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3" activeTab="5" autoFilterDateGrouping="1"/>
  </bookViews>
  <sheets>
    <sheet name="物料代码" sheetId="1" state="visible" r:id="rId1"/>
    <sheet name="板带类" sheetId="2" state="visible" r:id="rId2"/>
    <sheet name="型钢类" sheetId="3" state="visible" r:id="rId3"/>
    <sheet name="钢制品" sheetId="4" state="visible" r:id="rId4"/>
    <sheet name="生铁和粗钢及铁合金" sheetId="5" state="visible" r:id="rId5"/>
    <sheet name="其他黑色金属材料" sheetId="6" state="visible" r:id="rId6"/>
    <sheet name="物料代码_正式数据" sheetId="7" state="visible" r:id="rId7"/>
    <sheet name="物料代码_待补充属性数据" sheetId="8" state="visible" r:id="rId8"/>
    <sheet name="物料代码_重复数据项" sheetId="9" state="visible" r:id="rId9"/>
    <sheet name="板带类_正式数据" sheetId="10" state="visible" r:id="rId10"/>
    <sheet name="板带类_待补充属性数据" sheetId="11" state="visible" r:id="rId11"/>
    <sheet name="板带类_重复数据项" sheetId="12" state="visible" r:id="rId12"/>
    <sheet name="型钢类_正式数据" sheetId="13" state="visible" r:id="rId13"/>
    <sheet name="型钢类_待补充属性数据" sheetId="14" state="visible" r:id="rId14"/>
    <sheet name="型钢类_重复数据项" sheetId="15" state="visible" r:id="rId15"/>
    <sheet name="钢制品_正式数据" sheetId="16" state="visible" r:id="rId16"/>
    <sheet name="钢制品_待补充属性数据" sheetId="17" state="visible" r:id="rId17"/>
    <sheet name="钢制品_重复数据项" sheetId="18" state="visible" r:id="rId18"/>
    <sheet name="生铁和粗钢及铁合金_正式数据" sheetId="19" state="visible" r:id="rId19"/>
    <sheet name="生铁和粗钢及铁合金_待补充属性数据" sheetId="20" state="visible" r:id="rId20"/>
    <sheet name="生铁和粗钢及铁合金_重复数据项" sheetId="21" state="visible" r:id="rId21"/>
    <sheet name="其他黑色金属材料_正式数据" sheetId="22" state="visible" r:id="rId22"/>
    <sheet name="其他黑色金属材料_待补充属性数据" sheetId="23" state="visible" r:id="rId23"/>
    <sheet name="其他黑色金属材料_重复数据项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indexed="8"/>
      <sz val="11"/>
      <scheme val="minor"/>
    </font>
    <font>
      <name val="宋体"/>
      <charset val="134"/>
      <color indexed="8"/>
      <sz val="10.5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61"/>
      <color rgb="FF000000"/>
      <sz val="11"/>
    </font>
    <font>
      <name val="宋体"/>
      <charset val="134"/>
      <color rgb="FF000000"/>
      <sz val="11"/>
    </font>
    <font>
      <name val="Times New Roman"/>
      <charset val="134"/>
      <color indexed="8"/>
      <sz val="10.5"/>
    </font>
    <font>
      <name val="Calibri"/>
      <charset val="161"/>
      <sz val="11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8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9" applyAlignment="1">
      <alignment vertical="center"/>
    </xf>
    <xf numFmtId="0" fontId="11" fillId="0" borderId="9" applyAlignment="1">
      <alignment vertical="center"/>
    </xf>
    <xf numFmtId="0" fontId="12" fillId="0" borderId="10" applyAlignment="1">
      <alignment vertical="center"/>
    </xf>
    <xf numFmtId="0" fontId="12" fillId="0" borderId="0" applyAlignment="1">
      <alignment vertical="center"/>
    </xf>
    <xf numFmtId="0" fontId="13" fillId="5" borderId="11" applyAlignment="1">
      <alignment vertical="center"/>
    </xf>
    <xf numFmtId="0" fontId="14" fillId="6" borderId="12" applyAlignment="1">
      <alignment vertical="center"/>
    </xf>
    <xf numFmtId="0" fontId="15" fillId="6" borderId="11" applyAlignment="1">
      <alignment vertical="center"/>
    </xf>
    <xf numFmtId="0" fontId="16" fillId="7" borderId="13" applyAlignment="1">
      <alignment vertical="center"/>
    </xf>
    <xf numFmtId="0" fontId="17" fillId="0" borderId="14" applyAlignment="1">
      <alignment vertical="center"/>
    </xf>
    <xf numFmtId="0" fontId="18" fillId="0" borderId="15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justify" vertical="center" wrapText="1"/>
    </xf>
    <xf numFmtId="0" fontId="1" fillId="0" borderId="3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9" fontId="0" fillId="2" borderId="0" applyAlignment="1" pivotButton="0" quotePrefix="0" xfId="0">
      <alignment vertical="center"/>
    </xf>
    <xf numFmtId="49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0" borderId="4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justify" vertical="center" wrapText="1"/>
    </xf>
    <xf numFmtId="0" fontId="1" fillId="0" borderId="6" applyAlignment="1" pivotButton="0" quotePrefix="0" xfId="0">
      <alignment horizontal="justify" vertical="center" wrapText="1"/>
    </xf>
    <xf numFmtId="0" fontId="0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8" pivotButton="0" quotePrefix="0" xfId="0"/>
    <xf numFmtId="0" fontId="0" fillId="0" borderId="1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styles.xml" Type="http://schemas.openxmlformats.org/officeDocument/2006/relationships/styles"/><Relationship Id="rId26" Target="theme/theme1.xml" Type="http://schemas.openxmlformats.org/officeDocument/2006/relationships/theme"/><Relationship Id="rId27" Target="sharedStrings.xml" Type="http://schemas.openxmlformats.org/officeDocument/2006/relationships/sharedStrings"/><Relationship Id="rId28" Target="sharedStrings.xml" Type="http://schemas.openxmlformats.org/officeDocument/2006/relationships/sharedStrings"/><Relationship Id="rId29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8"/>
  <sheetViews>
    <sheetView workbookViewId="0">
      <pane ySplit="1" topLeftCell="A2" activePane="bottomLeft" state="frozen"/>
      <selection activeCell="A1" sqref="A1"/>
      <selection pane="bottomLeft" activeCell="D2" sqref="D2"/>
    </sheetView>
  </sheetViews>
  <sheetFormatPr baseColWidth="8" defaultColWidth="9" defaultRowHeight="24.85" customHeight="1"/>
  <cols>
    <col width="20" customWidth="1" style="2" min="1" max="3"/>
    <col width="70" customWidth="1" style="2" min="4" max="4"/>
    <col width="6.93636363636364" customWidth="1" style="2" min="5" max="5"/>
    <col width="14.4" customWidth="1" style="3" min="6" max="6"/>
  </cols>
  <sheetData>
    <row r="1" s="21">
      <c r="A1" s="4" t="inlineStr">
        <is>
          <t>类别编码</t>
        </is>
      </c>
      <c r="B1" s="4" t="inlineStr">
        <is>
          <t>类别名称</t>
        </is>
      </c>
      <c r="C1" s="4" t="inlineStr">
        <is>
          <t>物料代码</t>
        </is>
      </c>
      <c r="D1" s="4" t="inlineStr">
        <is>
          <t>长描述</t>
        </is>
      </c>
      <c r="E1" s="4" t="inlineStr">
        <is>
          <t>全描述</t>
        </is>
      </c>
      <c r="F1" s="4" t="inlineStr">
        <is>
          <t>计量单位</t>
        </is>
      </c>
    </row>
    <row r="2" s="21">
      <c r="A2" s="8" t="inlineStr">
        <is>
          <t>100101</t>
        </is>
      </c>
      <c r="B2" s="8" t="inlineStr">
        <is>
          <t>冷轧板材</t>
        </is>
      </c>
      <c r="C2" s="8" t="inlineStr">
        <is>
          <t>603548700</t>
        </is>
      </c>
      <c r="D2" s="8" t="inlineStr">
        <is>
          <t>冷轧不锈钢板|钢板|06Cr19Ni10|GB/T 3280-2015|冷轧|GB/T 708-2019</t>
        </is>
      </c>
      <c r="E2" s="8" t="inlineStr">
        <is>
          <t>物资名称 冷轧不锈钢板;物资简称 钢板;牌号 06Cr19Ni10;厚度 δ;宽 ;长 ;技术标准号 GB/T 3280-2015;加工工艺 冷轧;热处理工艺 ;特殊要求 ;规格标准号 GB/T 708-2019</t>
        </is>
      </c>
      <c r="F2" s="4" t="inlineStr">
        <is>
          <t>千克</t>
        </is>
      </c>
    </row>
    <row r="3" s="21">
      <c r="A3" s="8" t="inlineStr">
        <is>
          <t>100101</t>
        </is>
      </c>
      <c r="B3" s="8" t="inlineStr">
        <is>
          <t>冷轧板材</t>
        </is>
      </c>
      <c r="C3" s="8" t="inlineStr">
        <is>
          <t>603548400</t>
        </is>
      </c>
      <c r="D3" s="8" t="inlineStr">
        <is>
          <t>冷轧优质碳素结构钢板|钢板|20|δ0.5|GB/T 13237-2013|冷轧|FB,PT.A|GB/T 708-2019</t>
        </is>
      </c>
      <c r="E3" s="8" t="inlineStr">
        <is>
          <t>物资名称 冷轧优质碳素结构钢板;物资简称 钢板;牌号 20;厚度 δ0.5;宽 ;长 ;技术标准号 GB/T 13237-2013;加工工艺 冷轧;热处理工艺 ;特殊要求 FB,PT.A;规格标准号 GB/T 708-2019</t>
        </is>
      </c>
      <c r="F3" s="4" t="inlineStr">
        <is>
          <t>千克</t>
        </is>
      </c>
    </row>
    <row r="4" s="21">
      <c r="A4" s="8" t="inlineStr">
        <is>
          <t>100101</t>
        </is>
      </c>
      <c r="B4" s="8" t="inlineStr">
        <is>
          <t>冷轧板材</t>
        </is>
      </c>
      <c r="C4" s="8" t="inlineStr">
        <is>
          <t>603545100</t>
        </is>
      </c>
      <c r="D4" s="8" t="inlineStr">
        <is>
          <t>冷轧优质碳素结构钢板|钢板|20|δ3.5|GB/T 13237-2013|冷轧|FB,PT.A|GB/T 708-2019</t>
        </is>
      </c>
      <c r="E4" s="8" t="inlineStr">
        <is>
          <t>物资名称 冷轧优质碳素结构钢板;物资简称 钢板;牌号 20;厚度 δ3.5;宽 ;长 ;技术标准号 GB/T 13237-2013;加工工艺 冷轧;热处理工艺 ;特殊要求 FB,PT.A;规格标准号 GB/T 708-2019</t>
        </is>
      </c>
      <c r="F4" s="4" t="inlineStr">
        <is>
          <t>千克</t>
        </is>
      </c>
    </row>
    <row r="5" s="21">
      <c r="A5" s="8" t="inlineStr">
        <is>
          <t>100101</t>
        </is>
      </c>
      <c r="B5" s="8" t="inlineStr">
        <is>
          <t>冷轧板材</t>
        </is>
      </c>
      <c r="C5" s="8" t="inlineStr">
        <is>
          <t>603538800</t>
        </is>
      </c>
      <c r="D5" s="8" t="inlineStr">
        <is>
          <t>冷轧不锈钢板|钢板|20Cr13|GB/T 3280-2015|冷轧|GB/T708-2019</t>
        </is>
      </c>
      <c r="E5" s="8" t="inlineStr">
        <is>
          <t>物资名称 冷轧不锈钢板;物资简称 钢板;牌号 2Cr13;厚度 δ;宽 ;长 ;技术标准号 GB/T 3280-2015;加工工艺 冷轧;热处理工艺 ;特殊要求 ;规格标准号 GB/T 1220-2007</t>
        </is>
      </c>
      <c r="F5" s="4" t="inlineStr">
        <is>
          <t>千克</t>
        </is>
      </c>
    </row>
    <row r="6" s="21">
      <c r="A6" s="8" t="inlineStr">
        <is>
          <t>100101</t>
        </is>
      </c>
      <c r="B6" s="8" t="inlineStr">
        <is>
          <t>冷轧板材</t>
        </is>
      </c>
      <c r="C6" s="8" t="inlineStr">
        <is>
          <t>603519300</t>
        </is>
      </c>
      <c r="D6" s="8" t="inlineStr">
        <is>
          <t>冷轧不锈钢板|钢板|06Cr19Ni10|δ1|GB/T 3280-2015|冷轧|GB/T 708-2019</t>
        </is>
      </c>
      <c r="E6" s="8" t="inlineStr">
        <is>
          <t>物资名称 冷轧不锈钢板;物资简称 钢板;牌号 06Cr19Ni10;厚度 δ1;宽 ;长 ;技术标准号 GB/T 3280-2015;加工工艺 冷轧;热处理工艺 ;特殊要求 ;规格标准号 GB/T 708-2019</t>
        </is>
      </c>
      <c r="F6" s="4" t="inlineStr">
        <is>
          <t>千克</t>
        </is>
      </c>
    </row>
    <row r="7" s="21">
      <c r="A7" s="8" t="inlineStr">
        <is>
          <t>100101</t>
        </is>
      </c>
      <c r="B7" s="8" t="inlineStr">
        <is>
          <t>冷轧板材</t>
        </is>
      </c>
      <c r="C7" s="8" t="inlineStr">
        <is>
          <t>603519200</t>
        </is>
      </c>
      <c r="D7" s="8" t="inlineStr">
        <is>
          <t>冷轧不锈钢板|钢板|06Cr19Ni10|δ2.5|GB/T 3280-2015|冷轧|GB/T 708-2019</t>
        </is>
      </c>
      <c r="E7" s="8" t="inlineStr">
        <is>
          <t>物资名称 冷轧不锈钢板;物资简称 钢板;牌号 06Cr19Ni10;厚度 δ2.5;宽 ;长 ;技术标准号 GB/T 3280-2015;加工工艺 冷轧;热处理工艺 ;特殊要求 ;规格标准号 GB/T 708-2019</t>
        </is>
      </c>
      <c r="F7" s="4" t="inlineStr">
        <is>
          <t>千克</t>
        </is>
      </c>
    </row>
    <row r="8" s="21">
      <c r="A8" s="8" t="inlineStr">
        <is>
          <t>100101</t>
        </is>
      </c>
      <c r="B8" s="8" t="inlineStr">
        <is>
          <t>冷轧板材</t>
        </is>
      </c>
      <c r="C8" s="8" t="inlineStr">
        <is>
          <t>603519100</t>
        </is>
      </c>
      <c r="D8" s="8" t="inlineStr">
        <is>
          <t>冷轧不锈钢板|钢板|06Cr19Ni10|δ3|GB/T 3280-2015|冷轧|GB/T 708-2019</t>
        </is>
      </c>
      <c r="E8" s="8" t="inlineStr">
        <is>
          <t>物资名称 冷轧不锈钢板;物资简称 钢板;牌号 06Cr19Ni10;厚度 δ3;宽 ;长 ;技术标准号 GB/T 3280-2015;加工工艺 冷轧;热处理工艺 ;特殊要求 ;规格标准号 GB/T 708-2019</t>
        </is>
      </c>
      <c r="F8" s="4" t="inlineStr">
        <is>
          <t>千克</t>
        </is>
      </c>
    </row>
    <row r="9" s="21">
      <c r="A9" s="8" t="inlineStr">
        <is>
          <t>100101</t>
        </is>
      </c>
      <c r="B9" s="8" t="inlineStr">
        <is>
          <t>冷轧板材</t>
        </is>
      </c>
      <c r="C9" s="8" t="inlineStr">
        <is>
          <t>603128700</t>
        </is>
      </c>
      <c r="D9" s="8" t="inlineStr">
        <is>
          <t>冷轧优质碳素结构钢板|钢板|20|δ0.8|GB/T 13237-1991|Ⅱ,P|GB/T 708-2006</t>
        </is>
      </c>
      <c r="E9" s="8" t="inlineStr">
        <is>
          <t>物资名称 冷轧优质碳素结构钢板;物资简称 钢板;牌号 20;厚度 δ0.8;宽 ;长 ;技术标准号 GB/T 13237-1991;加工工艺 ;热处理工艺 ;特殊要求 Ⅱ,P;规格标准号 GB/T 708-2006</t>
        </is>
      </c>
      <c r="F9" s="4" t="inlineStr">
        <is>
          <t>千克</t>
        </is>
      </c>
    </row>
    <row r="10" s="21">
      <c r="A10" s="8" t="inlineStr">
        <is>
          <t>100101</t>
        </is>
      </c>
      <c r="B10" s="8" t="inlineStr">
        <is>
          <t>冷轧板材</t>
        </is>
      </c>
      <c r="C10" s="8" t="inlineStr">
        <is>
          <t>603114300</t>
        </is>
      </c>
      <c r="D10" s="8" t="inlineStr">
        <is>
          <t>航空用不锈钢薄板|不锈钢板|1Cr18Ni9Ti|δ7|GJB 2295-1995|冷轧|GB/T 708-2006</t>
        </is>
      </c>
      <c r="E10" s="8" t="inlineStr">
        <is>
          <t>物资名称 航空用不锈钢薄板;物资简称 不锈钢板;牌号 1Cr18Ni9Ti;厚度 δ7;宽 ;长 ;技术标准号 GJB 2295-1995;加工工艺 ;热处理工艺 冷轧;特殊要求 ;规格标准号 GB/T 708-2006</t>
        </is>
      </c>
      <c r="F10" s="4" t="inlineStr">
        <is>
          <t>千克</t>
        </is>
      </c>
    </row>
    <row r="11" s="21">
      <c r="A11" s="8" t="inlineStr">
        <is>
          <t>100101</t>
        </is>
      </c>
      <c r="B11" s="8" t="inlineStr">
        <is>
          <t>冷轧板材</t>
        </is>
      </c>
      <c r="C11" s="8" t="inlineStr">
        <is>
          <t>602640100</t>
        </is>
      </c>
      <c r="D11" s="8" t="inlineStr">
        <is>
          <t>冷轧航空用不锈钢薄板|不锈钢板|1Cr18Ni9Ti|δ0.5|GJB 2295-1995|冷轧|GB/T 708-2006</t>
        </is>
      </c>
      <c r="E11" s="8" t="inlineStr">
        <is>
          <t>物资名称 冷轧航空用不锈钢薄板;物资简称 不锈钢板;牌号 1Cr18Ni9Ti;厚度 δ0.5;宽 ;长 ;技术标准号 GJB 2295-1995;加工工艺 ;热处理工艺 冷轧;特殊要求 ;规格标准号 GB/T 708-2006</t>
        </is>
      </c>
      <c r="F11" s="4" t="inlineStr">
        <is>
          <t>千克</t>
        </is>
      </c>
    </row>
    <row r="12" s="21">
      <c r="A12" s="8" t="inlineStr">
        <is>
          <t>100101</t>
        </is>
      </c>
      <c r="B12" s="8" t="inlineStr">
        <is>
          <t>冷轧板材</t>
        </is>
      </c>
      <c r="C12" s="8" t="inlineStr">
        <is>
          <t>602484200</t>
        </is>
      </c>
      <c r="D12" s="8" t="inlineStr">
        <is>
          <t>冷轧不锈钢板|钢板|12Cr18Ni9|δ2.5|GB/T 3280-2015|冷轧</t>
        </is>
      </c>
      <c r="E12" s="8" t="inlineStr">
        <is>
          <t xml:space="preserve">物资名称 冷轧不锈钢板;物资简称 钢板;牌号 12Cr18Ni9;厚度 δ2.5;宽 ;长 ;技术标准号 GB/T 3280-2015;加工工艺 冷轧;热处理工艺 ;特殊要求 ;规格标准号 </t>
        </is>
      </c>
      <c r="F12" s="4" t="inlineStr">
        <is>
          <t>千克</t>
        </is>
      </c>
    </row>
    <row r="13" s="21">
      <c r="A13" s="8" t="inlineStr">
        <is>
          <t>100101</t>
        </is>
      </c>
      <c r="B13" s="8" t="inlineStr">
        <is>
          <t>冷轧板材</t>
        </is>
      </c>
      <c r="C13" s="8" t="inlineStr">
        <is>
          <t>602371700</t>
        </is>
      </c>
      <c r="D13" s="8" t="inlineStr">
        <is>
          <t>冷轧优质碳素结构钢板|钢板|20|δ1|GB/T 13237-2013|冷轧|FB,PT.A|GB/T 708-2006</t>
        </is>
      </c>
      <c r="E13" s="8" t="inlineStr">
        <is>
          <t>物资名称 冷轧优质碳素结构钢板;物资简称 钢板;牌号 20;厚度 δ1;宽 ;长 ;技术标准号 GB/T 13237-2013;加工工艺 冷轧;热处理工艺 ;特殊要求 FB,PT.A;规格标准号 GB/T 708-2006</t>
        </is>
      </c>
      <c r="F13" s="4" t="inlineStr">
        <is>
          <t>千克</t>
        </is>
      </c>
    </row>
    <row r="14" s="21">
      <c r="A14" s="8" t="inlineStr">
        <is>
          <t>100101</t>
        </is>
      </c>
      <c r="B14" s="8" t="inlineStr">
        <is>
          <t>冷轧板材</t>
        </is>
      </c>
      <c r="C14" s="8" t="inlineStr">
        <is>
          <t>602355200</t>
        </is>
      </c>
      <c r="D14" s="8" t="inlineStr">
        <is>
          <t>冷轧不锈钢板|钢板|1Cr18Ni9Ti|δ6|GB 3280-1992|冷轧|GB/T 708-2006</t>
        </is>
      </c>
      <c r="E14" s="8" t="inlineStr">
        <is>
          <t>物资名称 冷轧不锈钢板;物资简称 钢板;牌号 1Cr18Ni9Ti;厚度 δ6;宽 ;长 ;技术标准号 GB 3280-1992;加工工艺 冷轧;热处理工艺 ;特殊要求 ;规格标准号 GB/T 708-2006</t>
        </is>
      </c>
      <c r="F14" s="4" t="inlineStr">
        <is>
          <t>千克</t>
        </is>
      </c>
    </row>
    <row r="15" s="21">
      <c r="A15" s="8" t="inlineStr">
        <is>
          <t>100101</t>
        </is>
      </c>
      <c r="B15" s="8" t="inlineStr">
        <is>
          <t>冷轧板材</t>
        </is>
      </c>
      <c r="C15" s="8" t="inlineStr">
        <is>
          <t>602352900</t>
        </is>
      </c>
      <c r="D15" s="8" t="inlineStr">
        <is>
          <t>冷轧优质碳素结构钢板|钢板|20|δ1.2|GB/T 13237-2013|冷轧|FB,PT.A|GB/T 708-2006</t>
        </is>
      </c>
      <c r="E15" s="8" t="inlineStr">
        <is>
          <t>物资名称 冷轧优质碳素结构钢板;物资简称 钢板;牌号 20;厚度 δ1.2;宽 ;长 ;技术标准号 GB/T 13237-2013;加工工艺 冷轧;热处理工艺 ;特殊要求 FB,PT.A;规格标准号 GB/T 708-2006</t>
        </is>
      </c>
      <c r="F15" s="4" t="inlineStr">
        <is>
          <t>千克</t>
        </is>
      </c>
    </row>
    <row r="16" s="21">
      <c r="A16" s="8" t="inlineStr">
        <is>
          <t>100101</t>
        </is>
      </c>
      <c r="B16" s="8" t="inlineStr">
        <is>
          <t>冷轧板材</t>
        </is>
      </c>
      <c r="C16" s="8" t="inlineStr">
        <is>
          <t>602352800</t>
        </is>
      </c>
      <c r="D16" s="8" t="inlineStr">
        <is>
          <t>冷轧优质碳素结构钢板|钢板|20|δ0.8|GB/T 13237-2013|冷轧|FB,PT.A|GB/T 708-2006</t>
        </is>
      </c>
      <c r="E16" s="8" t="inlineStr">
        <is>
          <t>物资名称 冷轧优质碳素结构钢板;物资简称 钢板;牌号 20;厚度 δ0.8;宽 ;长 ;技术标准号 GB/T 13237-2013;加工工艺 冷轧;热处理工艺 ;特殊要求 FB,PT.A;规格标准号 GB/T 708-2006</t>
        </is>
      </c>
      <c r="F16" s="4" t="inlineStr">
        <is>
          <t>千克</t>
        </is>
      </c>
    </row>
    <row r="17" s="21">
      <c r="A17" s="8" t="inlineStr">
        <is>
          <t>100101</t>
        </is>
      </c>
      <c r="B17" s="8" t="inlineStr">
        <is>
          <t>冷轧板材</t>
        </is>
      </c>
      <c r="C17" s="8" t="inlineStr">
        <is>
          <t>602289300</t>
        </is>
      </c>
      <c r="D17" s="8" t="inlineStr">
        <is>
          <t>冷轧不锈钢板|钢板|1Cr18Ni9Ti|GB 3280-2015|冷轧</t>
        </is>
      </c>
      <c r="E17" s="8" t="inlineStr">
        <is>
          <t xml:space="preserve">物资名称 冷轧不锈钢板;物资简称 钢板;牌号 1Cr18Ni9Ti;厚度 δ;宽 ;长 ;技术标准号 GB 3280-2015;加工工艺 冷轧;热处理工艺 ;特殊要求 ;规格标准号 </t>
        </is>
      </c>
      <c r="F17" s="4" t="inlineStr">
        <is>
          <t>千克</t>
        </is>
      </c>
    </row>
    <row r="18" s="21">
      <c r="A18" s="8" t="inlineStr">
        <is>
          <t>100101</t>
        </is>
      </c>
      <c r="B18" s="8" t="inlineStr">
        <is>
          <t>冷轧板材</t>
        </is>
      </c>
      <c r="C18" s="8" t="inlineStr">
        <is>
          <t>602183500</t>
        </is>
      </c>
      <c r="D18" s="8" t="inlineStr">
        <is>
          <t>冷轧不锈钢板|钢板|06Cr19Ni10|δ2.5|GB/T 3280-2015|冷轧|GB/T 708-2006</t>
        </is>
      </c>
      <c r="E18" s="8" t="inlineStr">
        <is>
          <t>物资名称 冷轧不锈钢板;物资简称 钢板;牌号 06Cr19Ni10;厚度 δ2.5;宽 ;长 ;技术标准号 GB/T 3280-2015;加工工艺 冷轧;热处理工艺 ;特殊要求 ;规格标准号 GB/T 708-2006</t>
        </is>
      </c>
      <c r="F18" s="4" t="inlineStr">
        <is>
          <t>千克</t>
        </is>
      </c>
    </row>
    <row r="19" s="21">
      <c r="A19" s="8" t="inlineStr">
        <is>
          <t>100101</t>
        </is>
      </c>
      <c r="B19" s="8" t="inlineStr">
        <is>
          <t>冷轧板材</t>
        </is>
      </c>
      <c r="C19" s="8" t="inlineStr">
        <is>
          <t>602183400</t>
        </is>
      </c>
      <c r="D19" s="8" t="inlineStr">
        <is>
          <t>冷轧不锈钢板|钢板|06Cr19Ni10|δ5|GB/T 3280-2015|冷轧|GB/T 708-2006</t>
        </is>
      </c>
      <c r="E19" s="8" t="inlineStr">
        <is>
          <t>物资名称 冷轧不锈钢板;物资简称 钢板;牌号 06Cr19Ni10;厚度 δ5;宽 ;长 ;技术标准号 GB/T 3280-2015;加工工艺 冷轧;热处理工艺 ;特殊要求 ;规格标准号 GB/T 708-2006</t>
        </is>
      </c>
      <c r="F19" s="4" t="inlineStr">
        <is>
          <t>千克</t>
        </is>
      </c>
    </row>
    <row r="20" s="21">
      <c r="A20" s="8" t="inlineStr">
        <is>
          <t>100101</t>
        </is>
      </c>
      <c r="B20" s="8" t="inlineStr">
        <is>
          <t>冷轧板材</t>
        </is>
      </c>
      <c r="C20" s="8" t="inlineStr">
        <is>
          <t>602183300</t>
        </is>
      </c>
      <c r="D20" s="8" t="inlineStr">
        <is>
          <t>冷轧不锈钢板|钢板|06Cr19Ni10|δ3|GB/T 3280-2015|冷轧|GB/T 708-2006</t>
        </is>
      </c>
      <c r="E20" s="8" t="inlineStr">
        <is>
          <t>物资名称 冷轧不锈钢板;物资简称 钢板;牌号 06Cr19Ni10;厚度 δ3;宽 ;长 ;技术标准号 GB/T 3280-2015;加工工艺 冷轧;热处理工艺 ;特殊要求 ;规格标准号 GB/T 708-2006</t>
        </is>
      </c>
      <c r="F20" s="4" t="inlineStr">
        <is>
          <t>千克</t>
        </is>
      </c>
    </row>
    <row r="21" s="21">
      <c r="A21" s="8" t="inlineStr">
        <is>
          <t>100101</t>
        </is>
      </c>
      <c r="B21" s="8" t="inlineStr">
        <is>
          <t>冷轧板材</t>
        </is>
      </c>
      <c r="C21" s="8" t="inlineStr">
        <is>
          <t>602148600</t>
        </is>
      </c>
      <c r="D21" s="8" t="inlineStr">
        <is>
          <t>冷轧不锈钢板|钢板|12Cr18Ni9|δ3|GB/T 3280-2015|冷轧</t>
        </is>
      </c>
      <c r="E21" s="8" t="inlineStr">
        <is>
          <t xml:space="preserve">物资名称 冷轧不锈钢板;物资简称 钢板;牌号 12Cr18Ni9;厚度 δ3;宽 ;长 ;技术标准号 GB/T 3280-2015;加工工艺 冷轧;热处理工艺 ;特殊要求 ;规格标准号 </t>
        </is>
      </c>
      <c r="F21" s="4" t="inlineStr">
        <is>
          <t>千克</t>
        </is>
      </c>
    </row>
    <row r="22" s="21">
      <c r="A22" s="8" t="inlineStr">
        <is>
          <t>100101</t>
        </is>
      </c>
      <c r="B22" s="8" t="inlineStr">
        <is>
          <t>冷轧板材</t>
        </is>
      </c>
      <c r="C22" s="8" t="inlineStr">
        <is>
          <t>602148500</t>
        </is>
      </c>
      <c r="D22" s="8" t="inlineStr">
        <is>
          <t>冷轧不锈钢板|钢板|12Cr18Ni9|δ1.5|GB/T 3280-2015|冷轧</t>
        </is>
      </c>
      <c r="E22" s="8" t="inlineStr">
        <is>
          <t xml:space="preserve">物资名称 冷轧不锈钢板;物资简称 钢板;牌号 12Cr18Ni9;厚度 δ1.5;宽 ;长 ;技术标准号 GB/T 3280-2015;加工工艺 冷轧;热处理工艺 ;特殊要求 ;规格标准号 </t>
        </is>
      </c>
      <c r="F22" s="4" t="inlineStr">
        <is>
          <t>千克</t>
        </is>
      </c>
    </row>
    <row r="23" s="21">
      <c r="A23" s="8" t="inlineStr">
        <is>
          <t>100101</t>
        </is>
      </c>
      <c r="B23" s="8" t="inlineStr">
        <is>
          <t>冷轧板材</t>
        </is>
      </c>
      <c r="C23" s="8" t="inlineStr">
        <is>
          <t>601944300</t>
        </is>
      </c>
      <c r="D23" s="8" t="inlineStr">
        <is>
          <t>冷轧航空用不锈钢薄板|不锈钢板|1Cr18Ni9Ti|δ2×1000×2000|GJB 2295-1995|冷轧|GB/T 708-2006</t>
        </is>
      </c>
      <c r="E23" s="8" t="inlineStr">
        <is>
          <t>物资名称 冷轧航空用不锈钢薄板;物资简称 不锈钢板;牌号 1Cr18Ni9Ti;厚度 δ2;宽 1000;长 2000;技术标准号 GJB 2295-1995;加工工艺 ;热处理工艺 冷轧;特殊要求 ;规格标准号 GB/T 708-2006</t>
        </is>
      </c>
      <c r="F23" s="4" t="inlineStr">
        <is>
          <t>千克</t>
        </is>
      </c>
    </row>
    <row r="24" s="21">
      <c r="A24" s="8" t="inlineStr">
        <is>
          <t>100101</t>
        </is>
      </c>
      <c r="B24" s="8" t="inlineStr">
        <is>
          <t>冷轧板材</t>
        </is>
      </c>
      <c r="C24" s="8" t="inlineStr">
        <is>
          <t>601792100</t>
        </is>
      </c>
      <c r="D24" s="8" t="inlineStr">
        <is>
          <t>冷轧优质碳素结构钢板|钢板|20|δ2|GB/T 13237-2013|冷轧|GB/T 708-2019</t>
        </is>
      </c>
      <c r="E24" s="8" t="inlineStr">
        <is>
          <t>物资名称 冷轧优质碳素结构钢板;物资简称 钢板;牌号 20;厚度 δ2;宽 ;长 ;技术标准号 GB/T 13237-2013;加工工艺 冷轧;热处理工艺 ;特殊要求 ;规格标准号 GB/T 708-2019</t>
        </is>
      </c>
      <c r="F24" s="4" t="inlineStr">
        <is>
          <t>千克</t>
        </is>
      </c>
    </row>
    <row r="25" s="21">
      <c r="A25" s="8" t="inlineStr">
        <is>
          <t>100101</t>
        </is>
      </c>
      <c r="B25" s="8" t="inlineStr">
        <is>
          <t>冷轧板材</t>
        </is>
      </c>
      <c r="C25" s="8" t="inlineStr">
        <is>
          <t>601748900</t>
        </is>
      </c>
      <c r="D25" s="8" t="inlineStr">
        <is>
          <t>冷轧优质碳素结构钢板|钢板|20|δ1|GB/T 13237-2013|GB/T 708-2019</t>
        </is>
      </c>
      <c r="E25" s="8" t="inlineStr">
        <is>
          <t>物资名称 冷轧优质碳素结构钢板;物资简称 钢板;牌号 20;厚度 δ1;宽 ;长 ;技术标准号 GB/T 13237-2013;加工工艺 ;热处理工艺 ;特殊要求 ;规格标准号 GB/T 708-2019</t>
        </is>
      </c>
      <c r="F25" s="4" t="inlineStr">
        <is>
          <t>千克</t>
        </is>
      </c>
    </row>
    <row r="26" s="21">
      <c r="A26" s="8" t="inlineStr">
        <is>
          <t>100101</t>
        </is>
      </c>
      <c r="B26" s="8" t="inlineStr">
        <is>
          <t>冷轧板材</t>
        </is>
      </c>
      <c r="C26" s="8" t="inlineStr">
        <is>
          <t>601692000</t>
        </is>
      </c>
      <c r="D26" s="8" t="inlineStr">
        <is>
          <t>钢板|钢板|35CrMnSiA|δ28</t>
        </is>
      </c>
      <c r="E26" s="8" t="inlineStr">
        <is>
          <t xml:space="preserve">物资名称 钢板;物资简称 钢板;牌号 35CrMnSiA;厚度 δ28;宽 ;长 ;技术标准号 ;加工工艺 ;热处理工艺 ;特殊要求 ;规格标准号 </t>
        </is>
      </c>
      <c r="F26" s="4" t="inlineStr">
        <is>
          <t>千克</t>
        </is>
      </c>
    </row>
    <row r="27" s="21">
      <c r="A27" s="8" t="inlineStr">
        <is>
          <t>100101</t>
        </is>
      </c>
      <c r="B27" s="8" t="inlineStr">
        <is>
          <t>冷轧板材</t>
        </is>
      </c>
      <c r="C27" s="8" t="inlineStr">
        <is>
          <t>601498300</t>
        </is>
      </c>
      <c r="D27" s="8" t="inlineStr">
        <is>
          <t>冷轧航空用不锈钢薄板|不锈钢板|1Cr18Ni9Ti|δ0.5×8×GJB 2295-1995</t>
        </is>
      </c>
      <c r="E27" s="8" t="inlineStr">
        <is>
          <t xml:space="preserve">物资名称 冷轧航空用不锈钢薄板;物资简称 不锈钢板;牌号 1Cr18Ni9Ti;厚度 δ0.5;宽 8;长 ;技术标准号 GJB 2295-1995;加工工艺 ;热处理工艺 ;特殊要求 ;规格标准号 </t>
        </is>
      </c>
      <c r="F27" s="4" t="inlineStr">
        <is>
          <t>千克</t>
        </is>
      </c>
    </row>
    <row r="28" s="21">
      <c r="A28" s="8" t="inlineStr">
        <is>
          <t>100101</t>
        </is>
      </c>
      <c r="B28" s="8" t="inlineStr">
        <is>
          <t>冷轧板材</t>
        </is>
      </c>
      <c r="C28" s="8" t="inlineStr">
        <is>
          <t>601498200</t>
        </is>
      </c>
      <c r="D28" s="8" t="inlineStr">
        <is>
          <t>冷轧优质碳素结构钢板|钢板|45|δ3×100×100|GB/T 13237-1991</t>
        </is>
      </c>
      <c r="E28" s="8" t="inlineStr">
        <is>
          <t xml:space="preserve">物资名称 冷轧优质碳素结构钢板;物资简称 钢板;牌号 45;厚度 δ3;宽 100;长 100;技术标准号 GB/T 13237-1991;加工工艺 ;热处理工艺 ;特殊要求 ;规格标准号 </t>
        </is>
      </c>
      <c r="F28" s="4" t="inlineStr">
        <is>
          <t>千克</t>
        </is>
      </c>
    </row>
    <row r="29" s="21">
      <c r="A29" s="8" t="inlineStr">
        <is>
          <t>100101</t>
        </is>
      </c>
      <c r="B29" s="8" t="inlineStr">
        <is>
          <t>冷轧板材</t>
        </is>
      </c>
      <c r="C29" s="8" t="inlineStr">
        <is>
          <t>601496200</t>
        </is>
      </c>
      <c r="D29" s="8" t="inlineStr">
        <is>
          <t>冷轧航空用不锈钢薄板|不锈钢板|1Cr18Ni9Ti|δ3|GJB 2295-1995|冷轧</t>
        </is>
      </c>
      <c r="E29" s="8" t="inlineStr">
        <is>
          <t xml:space="preserve">物资名称 冷轧航空用不锈钢薄板;物资简称 不锈钢板;牌号 1Cr18Ni9Ti;厚度 δ3;宽 ;长 ;技术标准号 GJB 2295-1995;加工工艺 冷轧;热处理工艺 ;特殊要求 ;规格标准号 </t>
        </is>
      </c>
      <c r="F29" s="4" t="inlineStr">
        <is>
          <t>千克</t>
        </is>
      </c>
    </row>
    <row r="30" s="21">
      <c r="A30" s="8" t="inlineStr">
        <is>
          <t>100101</t>
        </is>
      </c>
      <c r="B30" s="8" t="inlineStr">
        <is>
          <t>冷轧板材</t>
        </is>
      </c>
      <c r="C30" s="8" t="inlineStr">
        <is>
          <t>601496100</t>
        </is>
      </c>
      <c r="D30" s="8" t="inlineStr">
        <is>
          <t>冷轧航空用不锈钢薄板|不锈钢板|1Cr18Ni9Ti|δ1.5|GJB 2295-1995|冷轧</t>
        </is>
      </c>
      <c r="E30" s="8" t="inlineStr">
        <is>
          <t xml:space="preserve">物资名称 冷轧航空用不锈钢薄板;物资简称 不锈钢板;牌号 1Cr18Ni9Ti;厚度 δ1.5;宽 ;长 ;技术标准号 GJB 2295-1995;加工工艺 冷轧;热处理工艺 ;特殊要求 ;规格标准号 </t>
        </is>
      </c>
      <c r="F30" s="4" t="inlineStr">
        <is>
          <t>千克</t>
        </is>
      </c>
    </row>
    <row r="31" s="21">
      <c r="A31" s="8" t="inlineStr">
        <is>
          <t>100101</t>
        </is>
      </c>
      <c r="B31" s="8" t="inlineStr">
        <is>
          <t>冷轧板材</t>
        </is>
      </c>
      <c r="C31" s="8" t="inlineStr">
        <is>
          <t>601454300</t>
        </is>
      </c>
      <c r="D31" s="8" t="inlineStr">
        <is>
          <t>冷轧航空用不锈钢薄板|钢板|1Cr18Ni9Ti|δ1.5×GJB 2295-1995|冷轧|GB/T 708-2006</t>
        </is>
      </c>
      <c r="E31" s="8" t="inlineStr">
        <is>
          <t>物资名称 冷轧航空用不锈钢薄板;物资简称 钢板;牌号 1Cr18Ni9Ti;厚度 δ1.5;宽 ;长 ;技术标准号 GJB 2295-1995;加工工艺 冷轧;热处理工艺 ;特殊要求 ;规格标准号 GB/T 708-2006</t>
        </is>
      </c>
      <c r="F31" s="4" t="inlineStr">
        <is>
          <t>千克</t>
        </is>
      </c>
    </row>
    <row r="32" s="21">
      <c r="A32" s="8" t="inlineStr">
        <is>
          <t>100101</t>
        </is>
      </c>
      <c r="B32" s="8" t="inlineStr">
        <is>
          <t>冷轧板材</t>
        </is>
      </c>
      <c r="C32" s="8" t="inlineStr">
        <is>
          <t>601454200</t>
        </is>
      </c>
      <c r="D32" s="8" t="inlineStr">
        <is>
          <t>冷轧航空用不锈钢薄板|钢板|1Cr18Ni9Ti|δ3×GJB 2295-1995|冷轧|GB/T 708-2006</t>
        </is>
      </c>
      <c r="E32" s="8" t="inlineStr">
        <is>
          <t>物资名称 冷轧航空用不锈钢薄板;物资简称 钢板;牌号 1Cr18Ni9Ti;厚度 δ3;宽 ;长 ;技术标准号 GJB 2295-1995;加工工艺 冷轧;热处理工艺 ;特殊要求 ;规格标准号 GB/T 708-2006</t>
        </is>
      </c>
      <c r="F32" s="4" t="inlineStr">
        <is>
          <t>千克</t>
        </is>
      </c>
    </row>
    <row r="33" s="21">
      <c r="A33" s="8" t="inlineStr">
        <is>
          <t>100101</t>
        </is>
      </c>
      <c r="B33" s="8" t="inlineStr">
        <is>
          <t>冷轧板材</t>
        </is>
      </c>
      <c r="C33" s="8" t="inlineStr">
        <is>
          <t>601445200</t>
        </is>
      </c>
      <c r="D33" s="8" t="inlineStr">
        <is>
          <t>冷轧不锈钢板|钢板|06Cr19Ni10|δ1|GB/T 3280-2007|冷轧|GB/T708-2006</t>
        </is>
      </c>
      <c r="E33" s="8" t="inlineStr">
        <is>
          <t>物资名称 冷轧不锈钢板;物资简称 钢板;牌号 06Cr19Ni10;厚度 δ1;宽 ;长 ;技术标准号 GB/T 3280-2007;加工工艺 冷轧;热处理工艺 ;特殊要求 ;规格标准号 GB/T708-2006</t>
        </is>
      </c>
      <c r="F33" s="4" t="inlineStr">
        <is>
          <t>千克</t>
        </is>
      </c>
    </row>
    <row r="34" s="21">
      <c r="A34" s="8" t="inlineStr">
        <is>
          <t>100101</t>
        </is>
      </c>
      <c r="B34" s="8" t="inlineStr">
        <is>
          <t>冷轧板材</t>
        </is>
      </c>
      <c r="C34" s="8" t="inlineStr">
        <is>
          <t>601437700</t>
        </is>
      </c>
      <c r="D34" s="8" t="inlineStr">
        <is>
          <t>冷轧航空用不锈钢板|优质钢板|1Cr18Ni9Ti|δ2.5×1000×2000|GJB 2295A-2006|冷轧|GB/T 708-1988</t>
        </is>
      </c>
      <c r="E34" s="8" t="inlineStr">
        <is>
          <t>物资名称 冷轧航空用不锈钢板;物资简称 优质钢板;牌号 1Cr18Ni9Ti;厚度 δ2.5;宽 1000;长 2000;技术标准号 GJB 2295A-2006;加工工艺 冷轧;热处理工艺 ;特殊要求 ;规格标准号 GB/T 708-1988</t>
        </is>
      </c>
      <c r="F34" s="4" t="inlineStr">
        <is>
          <t>千克</t>
        </is>
      </c>
    </row>
    <row r="35" s="21">
      <c r="A35" s="8" t="inlineStr">
        <is>
          <t>100101</t>
        </is>
      </c>
      <c r="B35" s="8" t="inlineStr">
        <is>
          <t>冷轧板材</t>
        </is>
      </c>
      <c r="C35" s="8" t="inlineStr">
        <is>
          <t>601432100</t>
        </is>
      </c>
      <c r="D35" s="8" t="inlineStr">
        <is>
          <t>冷轧优质碳素结构钢板|钢板|20|δ1.5|GB/T 13237-1991|冷轧|B,Ⅱ,P|GB/T 708-2006</t>
        </is>
      </c>
      <c r="E35" s="8" t="inlineStr">
        <is>
          <t>物资名称 冷轧优质碳素结构钢板;物资简称 钢板;牌号 20;厚度 δ1.5;宽 ;长 ;技术标准号 GB/T 13237-1991;加工工艺 冷轧;热处理工艺 ;特殊要求 B,Ⅱ,P;规格标准号 GB/T 708-2006</t>
        </is>
      </c>
      <c r="F35" s="4" t="inlineStr">
        <is>
          <t>千克</t>
        </is>
      </c>
    </row>
    <row r="36" s="21">
      <c r="A36" s="8" t="inlineStr">
        <is>
          <t>100101</t>
        </is>
      </c>
      <c r="B36" s="8" t="inlineStr">
        <is>
          <t>冷轧板材</t>
        </is>
      </c>
      <c r="C36" s="8" t="inlineStr">
        <is>
          <t>601417700</t>
        </is>
      </c>
      <c r="D36" s="8" t="inlineStr">
        <is>
          <t>冷轧钢板|钢板|Q235|δ0.8×GB/T700-1988|冷轧</t>
        </is>
      </c>
      <c r="E36" s="8" t="inlineStr">
        <is>
          <t xml:space="preserve">物资名称 冷轧钢板;物资简称 钢板;牌号 Q235;厚度 δ0.8;宽 ;长 ;技术标准号 GB/T700-1988;加工工艺 冷轧;热处理工艺 ;特殊要求 ;规格标准号 </t>
        </is>
      </c>
      <c r="F36" s="4" t="inlineStr">
        <is>
          <t>千克</t>
        </is>
      </c>
    </row>
    <row r="37" s="21">
      <c r="A37" s="8" t="inlineStr">
        <is>
          <t>100101</t>
        </is>
      </c>
      <c r="B37" s="8" t="inlineStr">
        <is>
          <t>冷轧板材</t>
        </is>
      </c>
      <c r="C37" s="8" t="inlineStr">
        <is>
          <t>601315800</t>
        </is>
      </c>
      <c r="D37" s="8" t="inlineStr">
        <is>
          <t>冷轧优质碳素结构钢板|钢板|10F|δ1.2×GB/T 13237-1991|冷轧|B,Ⅱ,S|GB/T 708-1988</t>
        </is>
      </c>
      <c r="E37" s="8" t="inlineStr">
        <is>
          <t>物资名称 冷轧优质碳素结构钢板;物资简称 钢板;牌号 10F;厚度 δ1.2;宽 ;长 ;技术标准号 GB/T 13237-1991;加工工艺 冷轧;热处理工艺 ;特殊要求 B,Ⅱ,S;规格标准号 GB/T 708-1988</t>
        </is>
      </c>
      <c r="F37" s="4" t="inlineStr">
        <is>
          <t>千克</t>
        </is>
      </c>
    </row>
    <row r="38" s="21">
      <c r="A38" s="8" t="inlineStr">
        <is>
          <t>100101</t>
        </is>
      </c>
      <c r="B38" s="8" t="inlineStr">
        <is>
          <t>冷轧板材</t>
        </is>
      </c>
      <c r="C38" s="8" t="inlineStr">
        <is>
          <t>601315700</t>
        </is>
      </c>
      <c r="D38" s="8" t="inlineStr">
        <is>
          <t>冷轧优质碳素结构钢板|钢板|20|δ5×1300×2010|冷轧</t>
        </is>
      </c>
      <c r="E38" s="8" t="inlineStr">
        <is>
          <t xml:space="preserve">物资名称 冷轧优质碳素结构钢板;物资简称 钢板;牌号 20;厚度 δ5;宽 1300;长 2010;技术标准号 ;加工工艺 冷轧;热处理工艺 ;特殊要求 ;规格标准号 </t>
        </is>
      </c>
      <c r="F38" s="4" t="inlineStr">
        <is>
          <t>千克</t>
        </is>
      </c>
    </row>
    <row r="39" s="21">
      <c r="A39" s="8" t="inlineStr">
        <is>
          <t>100101</t>
        </is>
      </c>
      <c r="B39" s="8" t="inlineStr">
        <is>
          <t>冷轧板材</t>
        </is>
      </c>
      <c r="C39" s="8" t="inlineStr">
        <is>
          <t>601315600</t>
        </is>
      </c>
      <c r="D39" s="8" t="inlineStr">
        <is>
          <t>冷轧优质碳素结构钢板|钢板|Q235A|δ6×冷轧</t>
        </is>
      </c>
      <c r="E39" s="8" t="inlineStr">
        <is>
          <t xml:space="preserve">物资名称 冷轧优质碳素结构钢板;物资简称 钢板;牌号 Q235A;厚度 δ6;宽 ;长 ;技术标准号 ;加工工艺 冷轧;热处理工艺 ;特殊要求 ;规格标准号 </t>
        </is>
      </c>
      <c r="F39" s="4" t="inlineStr">
        <is>
          <t>千克</t>
        </is>
      </c>
    </row>
    <row r="40" s="21">
      <c r="A40" s="8" t="inlineStr">
        <is>
          <t>100101</t>
        </is>
      </c>
      <c r="B40" s="8" t="inlineStr">
        <is>
          <t>冷轧板材</t>
        </is>
      </c>
      <c r="C40" s="8" t="inlineStr">
        <is>
          <t>601315500</t>
        </is>
      </c>
      <c r="D40" s="8" t="inlineStr">
        <is>
          <t>钢板|钢板|ST12|δ1</t>
        </is>
      </c>
      <c r="E40" s="8" t="inlineStr">
        <is>
          <t xml:space="preserve">物资名称 钢板;物资简称 钢板;牌号 ST12;厚度 δ1;宽 ;长 ;技术标准号 ;加工工艺 ;热处理工艺 ;特殊要求 ;规格标准号 </t>
        </is>
      </c>
      <c r="F40" s="4" t="inlineStr">
        <is>
          <t>千克</t>
        </is>
      </c>
    </row>
    <row r="41" s="21">
      <c r="A41" s="8" t="inlineStr">
        <is>
          <t>100101</t>
        </is>
      </c>
      <c r="B41" s="8" t="inlineStr">
        <is>
          <t>冷轧板材</t>
        </is>
      </c>
      <c r="C41" s="8" t="inlineStr">
        <is>
          <t>601003200</t>
        </is>
      </c>
      <c r="D41" s="8" t="inlineStr">
        <is>
          <t>冷轧航空用不锈钢薄板|不锈钢板|1Cr18Ni9Ti|δ2|GJB 2295-1995|冷轧|GB/T 708-2006</t>
        </is>
      </c>
      <c r="E41" s="8" t="inlineStr">
        <is>
          <t>物资名称 冷轧航空用不锈钢薄板;物资简称 不锈钢板;牌号 1Cr18Ni9Ti;厚度 δ2;宽 ;长 ;技术标准号 GJB 2295-1995;加工工艺 冷轧;热处理工艺 ;特殊要求 ;规格标准号 GB/T 708-2006</t>
        </is>
      </c>
      <c r="F41" s="4" t="inlineStr">
        <is>
          <t>千克</t>
        </is>
      </c>
    </row>
    <row r="42" s="21">
      <c r="A42" s="8" t="inlineStr">
        <is>
          <t>100101</t>
        </is>
      </c>
      <c r="B42" s="8" t="inlineStr">
        <is>
          <t>冷轧板材</t>
        </is>
      </c>
      <c r="C42" s="8" t="inlineStr">
        <is>
          <t>600999200</t>
        </is>
      </c>
      <c r="D42" s="8" t="inlineStr">
        <is>
          <t>冷轧不锈钢板|钢板|1Cr18Ni9Ti|δ10|GB 3280-1992|冷轧|GB/T 708-2006</t>
        </is>
      </c>
      <c r="E42" s="8" t="inlineStr">
        <is>
          <t>物资名称 冷轧不锈钢板;物资简称 钢板;牌号 1Cr18Ni9Ti;厚度 δ10;宽 ;长 ;技术标准号 GB 3280-1992;加工工艺 冷轧;热处理工艺 ;特殊要求 ;规格标准号 GB/T 708-2006</t>
        </is>
      </c>
      <c r="F42" s="4" t="inlineStr">
        <is>
          <t>千克</t>
        </is>
      </c>
    </row>
    <row r="43" s="21">
      <c r="A43" s="8" t="inlineStr">
        <is>
          <t>100101</t>
        </is>
      </c>
      <c r="B43" s="8" t="inlineStr">
        <is>
          <t>冷轧板材</t>
        </is>
      </c>
      <c r="C43" s="8" t="inlineStr">
        <is>
          <t>600999100</t>
        </is>
      </c>
      <c r="D43" s="8" t="inlineStr">
        <is>
          <t>冷轧不锈钢板|钢板|12Cr18Ni9|δ0.15|GB/T 3280-2007|冷轧|GB/T 708-2006</t>
        </is>
      </c>
      <c r="E43" s="8" t="inlineStr">
        <is>
          <t>物资名称 冷轧不锈钢板;物资简称 钢板;牌号 12Cr18Ni9;厚度 δ0.15;宽 ;长 ;技术标准号 GB/T 3280-2007;加工工艺 冷轧;热处理工艺 ;特殊要求 ;规格标准号 GB/T 708-2006</t>
        </is>
      </c>
      <c r="F43" s="4" t="inlineStr">
        <is>
          <t>千克</t>
        </is>
      </c>
    </row>
    <row r="44" s="21">
      <c r="A44" s="8" t="inlineStr">
        <is>
          <t>100101</t>
        </is>
      </c>
      <c r="B44" s="8" t="inlineStr">
        <is>
          <t>冷轧板材</t>
        </is>
      </c>
      <c r="C44" s="8" t="inlineStr">
        <is>
          <t>600999000</t>
        </is>
      </c>
      <c r="D44" s="8" t="inlineStr">
        <is>
          <t>冷轧不锈钢板|钢板|12Cr18Ni9|δ0.25|GB/T 3280-2007|冷轧|GB/T 708-2006</t>
        </is>
      </c>
      <c r="E44" s="8" t="inlineStr">
        <is>
          <t>物资名称 冷轧不锈钢板;物资简称 钢板;牌号 12Cr18Ni9;厚度 δ0.25;宽 ;长 ;技术标准号 GB/T 3280-2007;加工工艺 冷轧;热处理工艺 ;特殊要求 ;规格标准号 GB/T 708-2006</t>
        </is>
      </c>
      <c r="F44" s="4" t="inlineStr">
        <is>
          <t>千克</t>
        </is>
      </c>
    </row>
    <row r="45" s="21">
      <c r="A45" s="8" t="inlineStr">
        <is>
          <t>100101</t>
        </is>
      </c>
      <c r="B45" s="8" t="inlineStr">
        <is>
          <t>冷轧板材</t>
        </is>
      </c>
      <c r="C45" s="8" t="inlineStr">
        <is>
          <t>600994500</t>
        </is>
      </c>
      <c r="D45" s="8" t="inlineStr">
        <is>
          <t>冷轧不锈钢板|钢板|12Cr18Ni9|δ0.7|GB/T 3280-2007|冷轧|GB/T 708-2006</t>
        </is>
      </c>
      <c r="E45" s="8" t="inlineStr">
        <is>
          <t>物资名称 冷轧不锈钢板;物资简称 钢板;牌号 12Cr18Ni9;厚度 δ0.7;宽 ;长 ;技术标准号 GB/T 3280-2007;加工工艺 冷轧;热处理工艺 ;特殊要求 ;规格标准号 GB/T 708-2006</t>
        </is>
      </c>
      <c r="F45" s="4" t="inlineStr">
        <is>
          <t>千克</t>
        </is>
      </c>
    </row>
    <row r="46" s="21">
      <c r="A46" s="8" t="inlineStr">
        <is>
          <t>100101</t>
        </is>
      </c>
      <c r="B46" s="8" t="inlineStr">
        <is>
          <t>冷轧板材</t>
        </is>
      </c>
      <c r="C46" s="8" t="inlineStr">
        <is>
          <t>600994400</t>
        </is>
      </c>
      <c r="D46" s="8" t="inlineStr">
        <is>
          <t>冷轧不锈钢板|钢板|12Cr18Ni9|δ1|GB/T 3280-2007|冷轧|GB/T 708-2006</t>
        </is>
      </c>
      <c r="E46" s="8" t="inlineStr">
        <is>
          <t>物资名称 冷轧不锈钢板;物资简称 钢板;牌号 12Cr18Ni9;厚度 δ1;宽 ;长 ;技术标准号 GB/T 3280-2007;加工工艺 冷轧;热处理工艺 ;特殊要求 ;规格标准号 GB/T 708-2006</t>
        </is>
      </c>
      <c r="F46" s="4" t="inlineStr">
        <is>
          <t>千克</t>
        </is>
      </c>
    </row>
    <row r="47" s="21">
      <c r="A47" s="8" t="inlineStr">
        <is>
          <t>100101</t>
        </is>
      </c>
      <c r="B47" s="8" t="inlineStr">
        <is>
          <t>冷轧板材</t>
        </is>
      </c>
      <c r="C47" s="8" t="inlineStr">
        <is>
          <t>600994300</t>
        </is>
      </c>
      <c r="D47" s="8" t="inlineStr">
        <is>
          <t>冷轧不锈钢板|钢板|12Cr18Ni9|δ2|GB/T 3280-2007|冷轧|GB/T 708-2006</t>
        </is>
      </c>
      <c r="E47" s="8" t="inlineStr">
        <is>
          <t>物资名称 冷轧不锈钢板;物资简称 钢板;牌号 12Cr18Ni9;厚度 δ2;宽 ;长 ;技术标准号 GB/T 3280-2007;加工工艺 冷轧;热处理工艺 ;特殊要求 ;规格标准号 GB/T 708-2006</t>
        </is>
      </c>
      <c r="F47" s="4" t="inlineStr">
        <is>
          <t>千克</t>
        </is>
      </c>
    </row>
    <row r="48" s="21">
      <c r="A48" s="8" t="inlineStr">
        <is>
          <t>100101</t>
        </is>
      </c>
      <c r="B48" s="8" t="inlineStr">
        <is>
          <t>冷轧板材</t>
        </is>
      </c>
      <c r="C48" s="8" t="inlineStr">
        <is>
          <t>600994200</t>
        </is>
      </c>
      <c r="D48" s="8" t="inlineStr">
        <is>
          <t>冷轧不锈钢板|钢板|12Cr18Ni9|δ10|GB/T 3280-2007|冷轧|GB/T 708-2006</t>
        </is>
      </c>
      <c r="E48" s="8" t="inlineStr">
        <is>
          <t>物资名称 冷轧不锈钢板;物资简称 钢板;牌号 12Cr18Ni9;厚度 δ10;宽 ;长 ;技术标准号 GB/T 3280-2007;加工工艺 冷轧;热处理工艺 ;特殊要求 ;规格标准号 GB/T 708-2006</t>
        </is>
      </c>
      <c r="F48" s="4" t="inlineStr">
        <is>
          <t>千克</t>
        </is>
      </c>
    </row>
    <row r="49" s="21">
      <c r="A49" s="8" t="inlineStr">
        <is>
          <t>100101</t>
        </is>
      </c>
      <c r="B49" s="8" t="inlineStr">
        <is>
          <t>冷轧板材</t>
        </is>
      </c>
      <c r="C49" s="8" t="inlineStr">
        <is>
          <t>600983800</t>
        </is>
      </c>
      <c r="D49" s="8" t="inlineStr">
        <is>
          <t>冷轧优质碳素结构钢板|钢板|20|δ3|GB/T 11253-1989|B,Ⅱ,P|GB/T 708-1988</t>
        </is>
      </c>
      <c r="E49" s="8" t="inlineStr">
        <is>
          <t>物资名称 冷轧优质碳素结构钢板;物资简称 钢板;牌号 20;厚度 δ3;宽 ;长 ;技术标准号 GB/T 11253-1989;加工工艺 ;热处理工艺 ;特殊要求 B,Ⅱ,P;规格标准号 GB/T 708-1988</t>
        </is>
      </c>
      <c r="F49" s="4" t="inlineStr">
        <is>
          <t>千克</t>
        </is>
      </c>
    </row>
    <row r="50" s="21">
      <c r="A50" s="8" t="inlineStr">
        <is>
          <t>100101</t>
        </is>
      </c>
      <c r="B50" s="8" t="inlineStr">
        <is>
          <t>冷轧板材</t>
        </is>
      </c>
      <c r="C50" s="8" t="inlineStr">
        <is>
          <t>600979200</t>
        </is>
      </c>
      <c r="D50" s="8" t="inlineStr">
        <is>
          <t>冷轧优质碳素结构钢板|钢板|20|δ1.2|GB/T 13237-1991|Ⅱ,P|GB/T 708-2006</t>
        </is>
      </c>
      <c r="E50" s="8" t="inlineStr">
        <is>
          <t>物资名称 冷轧优质碳素结构钢板;物资简称 钢板;牌号 20;厚度 δ1.2;宽 ;长 ;技术标准号 GB/T 13237-1991;加工工艺 ;热处理工艺 ;特殊要求 Ⅱ,P;规格标准号 GB/T 708-2006</t>
        </is>
      </c>
      <c r="F50" s="4" t="inlineStr">
        <is>
          <t>千克</t>
        </is>
      </c>
    </row>
    <row r="51" s="21">
      <c r="A51" s="8" t="inlineStr">
        <is>
          <t>100101</t>
        </is>
      </c>
      <c r="B51" s="8" t="inlineStr">
        <is>
          <t>冷轧板材</t>
        </is>
      </c>
      <c r="C51" s="8" t="inlineStr">
        <is>
          <t>600978400</t>
        </is>
      </c>
      <c r="D51" s="8" t="inlineStr">
        <is>
          <t>冷轧优质碳素结构钢板|钢板|20|δ1.2|GB/T 13237-1991|冷轧</t>
        </is>
      </c>
      <c r="E51" s="8" t="inlineStr">
        <is>
          <t xml:space="preserve">物资名称 冷轧优质碳素结构钢板;物资简称 钢板;牌号 20;厚度 δ1.2;宽 ;长 ;技术标准号 GB/T 13237-1991;加工工艺 冷轧;热处理工艺 ;特殊要求 ;规格标准号 </t>
        </is>
      </c>
      <c r="F51" s="4" t="inlineStr">
        <is>
          <t>千克</t>
        </is>
      </c>
    </row>
    <row r="52" s="21">
      <c r="A52" s="8" t="inlineStr">
        <is>
          <t>100101</t>
        </is>
      </c>
      <c r="B52" s="8" t="inlineStr">
        <is>
          <t>冷轧板材</t>
        </is>
      </c>
      <c r="C52" s="8" t="inlineStr">
        <is>
          <t>600977300</t>
        </is>
      </c>
      <c r="D52" s="8" t="inlineStr">
        <is>
          <t>冷轧优质碳素结构钢板|钢板|20|δ1|GB/T 13237-1991|B,Ⅱ,P|GB/T 708-1988</t>
        </is>
      </c>
      <c r="E52" s="8" t="inlineStr">
        <is>
          <t>物资名称 冷轧优质碳素结构钢板;物资简称 钢板;牌号 20;厚度 δ1;宽 ;长 ;技术标准号 GB/T 13237-1991;加工工艺 ;热处理工艺 ;特殊要求 B,Ⅱ,P;规格标准号 GB/T 708-1988</t>
        </is>
      </c>
      <c r="F52" s="4" t="inlineStr">
        <is>
          <t>千克</t>
        </is>
      </c>
    </row>
    <row r="53" s="21">
      <c r="A53" s="8" t="inlineStr">
        <is>
          <t>100101</t>
        </is>
      </c>
      <c r="B53" s="8" t="inlineStr">
        <is>
          <t>冷轧板材</t>
        </is>
      </c>
      <c r="C53" s="8" t="inlineStr">
        <is>
          <t>600977200</t>
        </is>
      </c>
      <c r="D53" s="8" t="inlineStr">
        <is>
          <t>冷轧优质碳素结构钢板|钢板|20|δ2×GB/T 13237-1991|B,Ⅱ,P|GB/T 708-1988</t>
        </is>
      </c>
      <c r="E53" s="8" t="inlineStr">
        <is>
          <t>物资名称 冷轧优质碳素结构钢板;物资简称 钢板;牌号 20;厚度 δ2;宽 ;长 ;技术标准号 GB/T 13237-1991;加工工艺 ;热处理工艺 ;特殊要求 B,Ⅱ,P;规格标准号 GB/T 708-1988</t>
        </is>
      </c>
      <c r="F53" s="4" t="inlineStr">
        <is>
          <t>千克</t>
        </is>
      </c>
    </row>
    <row r="54" s="21">
      <c r="A54" s="8" t="inlineStr">
        <is>
          <t>100101</t>
        </is>
      </c>
      <c r="B54" s="8" t="inlineStr">
        <is>
          <t>冷轧板材</t>
        </is>
      </c>
      <c r="C54" s="8" t="inlineStr">
        <is>
          <t>600969000</t>
        </is>
      </c>
      <c r="D54" s="8" t="inlineStr">
        <is>
          <t>钢板|钢板|08F-Ⅱ-P|δB-1.5|GB/T 710-1991|GB/T 708-1988</t>
        </is>
      </c>
      <c r="E54" s="8" t="inlineStr">
        <is>
          <t>物资名称 钢板;物资简称 钢板;牌号 08F-Ⅱ-P;厚度 δB-1.5;宽 ;长 ;技术标准号 GB/T 710-1991;加工工艺 ;热处理工艺 ;特殊要求 ;规格标准号 GB/T 708-1988</t>
        </is>
      </c>
      <c r="F54" s="4" t="inlineStr">
        <is>
          <t>千克</t>
        </is>
      </c>
    </row>
    <row r="55" s="21">
      <c r="A55" s="8" t="inlineStr">
        <is>
          <t>100101</t>
        </is>
      </c>
      <c r="B55" s="8" t="inlineStr">
        <is>
          <t>冷轧板材</t>
        </is>
      </c>
      <c r="C55" s="8" t="inlineStr">
        <is>
          <t>600950500</t>
        </is>
      </c>
      <c r="D55" s="8" t="inlineStr">
        <is>
          <t>钢板|钢板|45\C|δ1.0|GB/T 13237-1991|GB/T 708-88</t>
        </is>
      </c>
      <c r="E55" s="8" t="inlineStr">
        <is>
          <t>物资名称 钢板;物资简称 钢板;牌号 45\C;厚度 δ1.0;宽 ;长 ;技术标准号 GB/T 13237-1991;加工工艺 ;热处理工艺 ;特殊要求 ;规格标准号 GB/T 708-88</t>
        </is>
      </c>
      <c r="F55" s="4" t="inlineStr">
        <is>
          <t>千克</t>
        </is>
      </c>
    </row>
    <row r="56" s="21">
      <c r="A56" s="8" t="inlineStr">
        <is>
          <t>100101</t>
        </is>
      </c>
      <c r="B56" s="8" t="inlineStr">
        <is>
          <t>冷轧板材</t>
        </is>
      </c>
      <c r="C56" s="8" t="inlineStr">
        <is>
          <t>600947000</t>
        </is>
      </c>
      <c r="D56" s="8" t="inlineStr">
        <is>
          <t>冷轧优质碳素结构钢板|钢板|20|δ2|GB/T 13237-2013|冷轧|FB|GB/T 708-2006</t>
        </is>
      </c>
      <c r="E56" s="8" t="inlineStr">
        <is>
          <t>物资名称 冷轧优质碳素结构钢板;物资简称 钢板;牌号 20;厚度 δ2;宽 ;长 ;技术标准号 GB/T 13237-2013;加工工艺 冷轧;热处理工艺 ;特殊要求 FB;规格标准号 GB/T 708-2006</t>
        </is>
      </c>
      <c r="F56" s="4" t="inlineStr">
        <is>
          <t>千克</t>
        </is>
      </c>
    </row>
    <row r="57" s="21">
      <c r="A57" s="8" t="inlineStr">
        <is>
          <t>100101</t>
        </is>
      </c>
      <c r="B57" s="8" t="inlineStr">
        <is>
          <t>冷轧板材</t>
        </is>
      </c>
      <c r="C57" s="8" t="inlineStr">
        <is>
          <t>600939700</t>
        </is>
      </c>
      <c r="D57" s="8" t="inlineStr">
        <is>
          <t>钢板|钢板|20-Ⅱ-P|δB-3|GB/T 13237-1991|GB/T 708-1988</t>
        </is>
      </c>
      <c r="E57" s="8" t="inlineStr">
        <is>
          <t>物资名称 钢板;物资简称 钢板;牌号 20-Ⅱ-P;厚度 δB-3;宽 ;长 ;技术标准号 GB/T 13237-1991;加工工艺 ;热处理工艺 ;特殊要求 ;规格标准号 GB/T 708-1988</t>
        </is>
      </c>
      <c r="F57" s="4" t="inlineStr">
        <is>
          <t>千克</t>
        </is>
      </c>
    </row>
    <row r="58" s="21">
      <c r="A58" s="8" t="inlineStr">
        <is>
          <t>100101</t>
        </is>
      </c>
      <c r="B58" s="8" t="inlineStr">
        <is>
          <t>冷轧板材</t>
        </is>
      </c>
      <c r="C58" s="8" t="inlineStr">
        <is>
          <t>600939600</t>
        </is>
      </c>
      <c r="D58" s="8" t="inlineStr">
        <is>
          <t>钢板|钢板|20-Ⅱ-P|δB-1.5|GB/T 13237-1991|GB/T 708-1988</t>
        </is>
      </c>
      <c r="E58" s="8" t="inlineStr">
        <is>
          <t>物资名称 钢板;物资简称 钢板;牌号 20-Ⅱ-P;厚度 δB-1.5;宽 ;长 ;技术标准号 GB/T 13237-1991;加工工艺 ;热处理工艺 ;特殊要求 ;规格标准号 GB/T 708-1988</t>
        </is>
      </c>
      <c r="F58" s="4" t="inlineStr">
        <is>
          <t>千克</t>
        </is>
      </c>
    </row>
    <row r="59" s="21">
      <c r="A59" s="8" t="inlineStr">
        <is>
          <t>100101</t>
        </is>
      </c>
      <c r="B59" s="8" t="inlineStr">
        <is>
          <t>冷轧板材</t>
        </is>
      </c>
      <c r="C59" s="8" t="inlineStr">
        <is>
          <t>600939500</t>
        </is>
      </c>
      <c r="D59" s="8" t="inlineStr">
        <is>
          <t>钢板|钢板|20-Ⅱ-P|δB-1|GB/T 13237-1991|GB/T 708-1988</t>
        </is>
      </c>
      <c r="E59" s="8" t="inlineStr">
        <is>
          <t>物资名称 钢板;物资简称 钢板;牌号 20-Ⅱ-P;厚度 δB-1;宽 ;长 ;技术标准号 GB/T 13237-1991;加工工艺 ;热处理工艺 ;特殊要求 ;规格标准号 GB/T 708-1988</t>
        </is>
      </c>
      <c r="F59" s="4" t="inlineStr">
        <is>
          <t>千克</t>
        </is>
      </c>
    </row>
    <row r="60" s="21">
      <c r="A60" s="8" t="inlineStr">
        <is>
          <t>100101</t>
        </is>
      </c>
      <c r="B60" s="8" t="inlineStr">
        <is>
          <t>冷轧板材</t>
        </is>
      </c>
      <c r="C60" s="8" t="inlineStr">
        <is>
          <t>600939400</t>
        </is>
      </c>
      <c r="D60" s="8" t="inlineStr">
        <is>
          <t>钢板|钢板|1Cr18Ni9Ti|δ0.2|GB/T 3280-1992|GB/T 708-1988</t>
        </is>
      </c>
      <c r="E60" s="8" t="inlineStr">
        <is>
          <t>物资名称 钢板;物资简称 钢板;牌号 1Cr18Ni9Ti;厚度 δ0.2;宽 ;长 ;技术标准号 GB/T 3280-1992;加工工艺 ;热处理工艺 ;特殊要求 ;规格标准号 GB/T 708-1988</t>
        </is>
      </c>
      <c r="F60" s="4" t="inlineStr">
        <is>
          <t>千克</t>
        </is>
      </c>
    </row>
    <row r="61" s="21">
      <c r="A61" s="8" t="inlineStr">
        <is>
          <t>100101</t>
        </is>
      </c>
      <c r="B61" s="8" t="inlineStr">
        <is>
          <t>冷轧板材</t>
        </is>
      </c>
      <c r="C61" s="8" t="inlineStr">
        <is>
          <t>600939300</t>
        </is>
      </c>
      <c r="D61" s="8" t="inlineStr">
        <is>
          <t>钢板|钢板|0Cr18Ni9|δ0.5|GB/T 3280-1992|GB/T 708-1988</t>
        </is>
      </c>
      <c r="E61" s="8" t="inlineStr">
        <is>
          <t>物资名称 钢板;物资简称 钢板;牌号 0Cr18Ni9;厚度 δ0.5;宽 ;长 ;技术标准号 GB/T 3280-1992;加工工艺 ;热处理工艺 ;特殊要求 ;规格标准号 GB/T 708-1988</t>
        </is>
      </c>
      <c r="F61" s="4" t="inlineStr">
        <is>
          <t>千克</t>
        </is>
      </c>
    </row>
    <row r="62" s="21">
      <c r="A62" s="8" t="inlineStr">
        <is>
          <t>100101</t>
        </is>
      </c>
      <c r="B62" s="8" t="inlineStr">
        <is>
          <t>冷轧板材</t>
        </is>
      </c>
      <c r="C62" s="8" t="inlineStr">
        <is>
          <t>600933500</t>
        </is>
      </c>
      <c r="D62" s="8" t="inlineStr">
        <is>
          <t>钢板|钢板|08F-Ⅱ-P|δB-1.5|GB 710-1991|GB/T 708-1988</t>
        </is>
      </c>
      <c r="E62" s="8" t="inlineStr">
        <is>
          <t>物资名称 钢板;物资简称 钢板;牌号 08F-Ⅱ-P;厚度 δB-1.5;宽 ;长 ;技术标准号 GB 710-1991;加工工艺 ;热处理工艺 ;特殊要求 ;规格标准号 GB/T 708-1988</t>
        </is>
      </c>
      <c r="F62" s="4" t="inlineStr">
        <is>
          <t>千克</t>
        </is>
      </c>
    </row>
    <row r="63" s="21">
      <c r="A63" s="8" t="inlineStr">
        <is>
          <t>100101</t>
        </is>
      </c>
      <c r="B63" s="8" t="inlineStr">
        <is>
          <t>冷轧板材</t>
        </is>
      </c>
      <c r="C63" s="8" t="inlineStr">
        <is>
          <t>600933400</t>
        </is>
      </c>
      <c r="D63" s="8" t="inlineStr">
        <is>
          <t>钢板|钢板|20-Ⅱ-P|δB-1|GB 710-1991|GB/T 708-1988</t>
        </is>
      </c>
      <c r="E63" s="8" t="inlineStr">
        <is>
          <t>物资名称 钢板;物资简称 钢板;牌号 20-Ⅱ-P;厚度 δB-1;宽 ;长 ;技术标准号 GB 710-1991;加工工艺 ;热处理工艺 ;特殊要求 ;规格标准号 GB/T 708-1988</t>
        </is>
      </c>
      <c r="F63" s="4" t="inlineStr">
        <is>
          <t>千克</t>
        </is>
      </c>
    </row>
    <row r="64" s="21">
      <c r="A64" s="8" t="inlineStr">
        <is>
          <t>100101</t>
        </is>
      </c>
      <c r="B64" s="8" t="inlineStr">
        <is>
          <t>冷轧板材</t>
        </is>
      </c>
      <c r="C64" s="8" t="inlineStr">
        <is>
          <t>600846200</t>
        </is>
      </c>
      <c r="D64" s="8" t="inlineStr">
        <is>
          <t>冷轧不锈钢板|钢板|1Cr18Ni9Ti|δ1.0|GB 3280-1992|GB/T 708-2006</t>
        </is>
      </c>
      <c r="E64" s="8" t="inlineStr">
        <is>
          <t>物资名称 冷轧不锈钢板;物资简称 钢板;牌号 1Cr18Ni9Ti;厚度 δ1.0;宽 ;长 ;技术标准号 GB 3280-1992;加工工艺 ;热处理工艺 ;特殊要求 ;规格标准号 GB/T 708-2006</t>
        </is>
      </c>
      <c r="F64" s="4" t="inlineStr">
        <is>
          <t>千克</t>
        </is>
      </c>
    </row>
    <row r="65" s="21">
      <c r="A65" s="8" t="inlineStr">
        <is>
          <t>100101</t>
        </is>
      </c>
      <c r="B65" s="8" t="inlineStr">
        <is>
          <t>冷轧板材</t>
        </is>
      </c>
      <c r="C65" s="8" t="inlineStr">
        <is>
          <t>600842800</t>
        </is>
      </c>
      <c r="D65" s="8" t="inlineStr">
        <is>
          <t>冷轧不锈钢板|钢板|12Cr18Ni9|δ1.5|GB/T 3280-2007|GB/T 708-2006</t>
        </is>
      </c>
      <c r="E65" s="8" t="inlineStr">
        <is>
          <t>物资名称 冷轧不锈钢板;物资简称 钢板;牌号 12Cr18Ni9;厚度 δ1.5;宽 ;长 ;技术标准号 GB/T 3280-2007;加工工艺 ;热处理工艺 ;特殊要求 ;规格标准号 GB/T 708-2006</t>
        </is>
      </c>
      <c r="F65" s="4" t="inlineStr">
        <is>
          <t>千克</t>
        </is>
      </c>
    </row>
    <row r="66" s="21">
      <c r="A66" s="8" t="inlineStr">
        <is>
          <t>100101</t>
        </is>
      </c>
      <c r="B66" s="8" t="inlineStr">
        <is>
          <t>冷轧板材</t>
        </is>
      </c>
      <c r="C66" s="8" t="inlineStr">
        <is>
          <t>600842200</t>
        </is>
      </c>
      <c r="D66" s="8" t="inlineStr">
        <is>
          <t>冷轧航空用不锈钢薄板|不锈钢板|1Cr18Ni9Ti|δ0.4|GJB 2295-1995|冷轧</t>
        </is>
      </c>
      <c r="E66" s="8" t="inlineStr">
        <is>
          <t xml:space="preserve">物资名称 冷轧航空用不锈钢薄板;物资简称 不锈钢板;牌号 1Cr18Ni9Ti;厚度 δ0.4;宽 ;长 ;技术标准号 GJB 2295-1995;加工工艺 冷轧;热处理工艺 ;特殊要求 ;规格标准号 </t>
        </is>
      </c>
      <c r="F66" s="4" t="inlineStr">
        <is>
          <t>千克</t>
        </is>
      </c>
    </row>
    <row r="67" s="21">
      <c r="A67" s="8" t="inlineStr">
        <is>
          <t>100101</t>
        </is>
      </c>
      <c r="B67" s="8" t="inlineStr">
        <is>
          <t>冷轧板材</t>
        </is>
      </c>
      <c r="C67" s="8" t="inlineStr">
        <is>
          <t>600842100</t>
        </is>
      </c>
      <c r="D67" s="8" t="inlineStr">
        <is>
          <t>冷轧航空用不锈钢薄板|不锈钢板|1Cr18Ni9Ti|δ2.5|GJB 2295-1995|GB/T 708-2006</t>
        </is>
      </c>
      <c r="E67" s="8" t="inlineStr">
        <is>
          <t>物资名称 冷轧航空用不锈钢薄板;物资简称 不锈钢板;牌号 1Cr18Ni9Ti;厚度 δ2.5;宽 ;长 ;技术标准号 GJB 2295-1995;加工工艺 ;热处理工艺 ;特殊要求 ;规格标准号 GB/T 708-2006</t>
        </is>
      </c>
      <c r="F67" s="4" t="inlineStr">
        <is>
          <t>千克</t>
        </is>
      </c>
    </row>
    <row r="68" s="21">
      <c r="A68" s="8" t="inlineStr">
        <is>
          <t>100101</t>
        </is>
      </c>
      <c r="B68" s="8" t="inlineStr">
        <is>
          <t>冷轧板材</t>
        </is>
      </c>
      <c r="C68" s="8" t="inlineStr">
        <is>
          <t>600839100</t>
        </is>
      </c>
      <c r="D68" s="8" t="inlineStr">
        <is>
          <t>冷轧航空用不锈钢薄板|不锈钢板|1Cr18Ni9Ti|GJB 2295-1995|GB/T 708-2006</t>
        </is>
      </c>
      <c r="E68" s="8" t="inlineStr">
        <is>
          <t>物资名称 冷轧航空用不锈钢薄板;物资简称 不锈钢板;牌号 1Cr18Ni9Ti;厚度 δ;宽 ;长 ;技术标准号 GJB 2295-1995;加工工艺 ;热处理工艺 ;特殊要求 ;规格标准号 GB/T 708-2006</t>
        </is>
      </c>
      <c r="F68" s="4" t="inlineStr">
        <is>
          <t>千克</t>
        </is>
      </c>
    </row>
    <row r="69" s="21">
      <c r="A69" s="8" t="inlineStr">
        <is>
          <t>100101</t>
        </is>
      </c>
      <c r="B69" s="8" t="inlineStr">
        <is>
          <t>冷轧板材</t>
        </is>
      </c>
      <c r="C69" s="8" t="inlineStr">
        <is>
          <t>600759500</t>
        </is>
      </c>
      <c r="D69" s="8" t="inlineStr">
        <is>
          <t>冷轧钢板|钢板|Q195|δ1|GB/T 11253-2007|冷轧|试接口|GB/T 708-2006</t>
        </is>
      </c>
      <c r="E69" s="8" t="inlineStr">
        <is>
          <t>物资名称 冷轧钢板;物资简称 钢板;牌号 Q195;厚度 δ1;宽 ;长 ;技术标准号 GB/T 11253-2007;加工工艺 冷轧;热处理工艺 ;规格标准号 GB/T 708-2006</t>
        </is>
      </c>
      <c r="F69" s="4" t="inlineStr">
        <is>
          <t>千克</t>
        </is>
      </c>
    </row>
    <row r="70" s="21">
      <c r="A70" s="8" t="inlineStr">
        <is>
          <t>100101</t>
        </is>
      </c>
      <c r="B70" s="8" t="inlineStr">
        <is>
          <t>冷轧板材</t>
        </is>
      </c>
      <c r="C70" s="8" t="inlineStr">
        <is>
          <t>600597000</t>
        </is>
      </c>
      <c r="D70" s="8" t="inlineStr">
        <is>
          <t>冷轧钢板|钢板|Q195|δ1|GB/T 11253-2007|冷轧|GB/T 708-2006</t>
        </is>
      </c>
      <c r="E70" s="8" t="inlineStr">
        <is>
          <t>物资名称 冷轧钢板;物资简称 钢板;牌号 Q195;厚度 δ1;宽 ;长 ;技术标准号 GB/T 11253-2007;加工工艺 冷轧;热处理工艺 ;特殊要求 ;规格标准号 GB/T 708-2006</t>
        </is>
      </c>
      <c r="F70" s="4" t="inlineStr">
        <is>
          <t>千克</t>
        </is>
      </c>
    </row>
    <row r="71" s="21">
      <c r="A71" s="8" t="inlineStr">
        <is>
          <t>100101</t>
        </is>
      </c>
      <c r="B71" s="8" t="inlineStr">
        <is>
          <t>冷轧板材</t>
        </is>
      </c>
      <c r="C71" s="8" t="inlineStr">
        <is>
          <t>600596900</t>
        </is>
      </c>
      <c r="D71" s="8" t="inlineStr">
        <is>
          <t>冷轧钢板|钢板|Q275|δ1|GB/T 11253-2007|冷轧|GB/T 708-2006</t>
        </is>
      </c>
      <c r="E71" s="8" t="inlineStr">
        <is>
          <t>物资名称 冷轧钢板;物资简称 钢板;牌号 Q275;厚度 δ1;宽 ;长 ;技术标准号 GB/T 11253-2007;加工工艺 冷轧;热处理工艺 ;特殊要求 ;规格标准号 GB/T 708-2006</t>
        </is>
      </c>
      <c r="F71" s="4" t="inlineStr">
        <is>
          <t>千克</t>
        </is>
      </c>
    </row>
    <row r="72" s="21">
      <c r="A72" s="8" t="inlineStr">
        <is>
          <t>100101</t>
        </is>
      </c>
      <c r="B72" s="8" t="inlineStr">
        <is>
          <t>冷轧板材</t>
        </is>
      </c>
      <c r="C72" s="8" t="inlineStr">
        <is>
          <t>600596800</t>
        </is>
      </c>
      <c r="D72" s="8" t="inlineStr">
        <is>
          <t>冷轧钢板|钢板|Q215|δ2.5|GB/T 11253-2007|冷轧|GB/T 708-2006</t>
        </is>
      </c>
      <c r="E72" s="8" t="inlineStr">
        <is>
          <t>物资名称 冷轧钢板;物资简称 钢板;牌号 Q215;厚度 δ2.5;宽 ;长 ;技术标准号 GB/T 11253-2007;加工工艺 冷轧;热处理工艺 ;特殊要求 ;规格标准号 GB/T 708-2006</t>
        </is>
      </c>
      <c r="F72" s="4" t="inlineStr">
        <is>
          <t>千克</t>
        </is>
      </c>
    </row>
    <row r="73" s="21">
      <c r="A73" s="8" t="inlineStr">
        <is>
          <t>100101</t>
        </is>
      </c>
      <c r="B73" s="8" t="inlineStr">
        <is>
          <t>冷轧板材</t>
        </is>
      </c>
      <c r="C73" s="8" t="inlineStr">
        <is>
          <t>600596700</t>
        </is>
      </c>
      <c r="D73" s="8" t="inlineStr">
        <is>
          <t>冷轧钢板|钢板|Q235|δ0.5|GB/T 11253-2007|冷轧|GB/T 708-2006</t>
        </is>
      </c>
      <c r="E73" s="8" t="inlineStr">
        <is>
          <t>物资名称 冷轧钢板;物资简称 钢板;牌号 Q235;厚度 δ0.5;宽 ;长 ;技术标准号 GB/T 11253-2007;加工工艺 冷轧;热处理工艺 ;特殊要求 ;规格标准号 GB/T 708-2006</t>
        </is>
      </c>
      <c r="F73" s="4" t="inlineStr">
        <is>
          <t>千克</t>
        </is>
      </c>
    </row>
    <row r="74" s="21">
      <c r="A74" s="8" t="inlineStr">
        <is>
          <t>100101</t>
        </is>
      </c>
      <c r="B74" s="8" t="inlineStr">
        <is>
          <t>冷轧板材</t>
        </is>
      </c>
      <c r="C74" s="8" t="inlineStr">
        <is>
          <t>600596600</t>
        </is>
      </c>
      <c r="D74" s="8" t="inlineStr">
        <is>
          <t>冷轧钢板|钢板|Q235|δ1.2|GB/T 11253-2007|冷轧|GB/T 708-2006</t>
        </is>
      </c>
      <c r="E74" s="8" t="inlineStr">
        <is>
          <t>物资名称 冷轧钢板;物资简称 钢板;牌号 Q235;厚度 δ1.2;宽 ;长 ;技术标准号 GB/T 11253-2007;加工工艺 冷轧;热处理工艺 ;特殊要求 ;规格标准号 GB/T 708-2006</t>
        </is>
      </c>
      <c r="F74" s="4" t="inlineStr">
        <is>
          <t>千克</t>
        </is>
      </c>
    </row>
    <row r="75" s="21">
      <c r="A75" s="8" t="inlineStr">
        <is>
          <t>100101</t>
        </is>
      </c>
      <c r="B75" s="8" t="inlineStr">
        <is>
          <t>冷轧板材</t>
        </is>
      </c>
      <c r="C75" s="8" t="inlineStr">
        <is>
          <t>600596500</t>
        </is>
      </c>
      <c r="D75" s="8" t="inlineStr">
        <is>
          <t>冷轧优质碳素结构钢板|钢板|10|GB/T 13237-2013|GB/T 708-2006</t>
        </is>
      </c>
      <c r="E75" s="8" t="inlineStr">
        <is>
          <t>物资名称 冷轧优质碳素结构钢板;物资简称 钢板;牌号 10;厚度 ;宽 ;长 ;技术标准号 GB/T 13237-2013;加工工艺 ;热处理工艺 ;特殊要求 ;规格标准号 GB/T 708-2006</t>
        </is>
      </c>
      <c r="F75" s="4" t="inlineStr">
        <is>
          <t>千克</t>
        </is>
      </c>
    </row>
    <row r="76" s="21">
      <c r="A76" s="8" t="inlineStr">
        <is>
          <t>100101</t>
        </is>
      </c>
      <c r="B76" s="8" t="inlineStr">
        <is>
          <t>冷轧板材</t>
        </is>
      </c>
      <c r="C76" s="8" t="inlineStr">
        <is>
          <t>600596400</t>
        </is>
      </c>
      <c r="D76" s="8" t="inlineStr">
        <is>
          <t>冷轧优质碳素结构钢板|钢板|10|δ3|GB/T 13237-2013|冷轧|GB/T 708-2006</t>
        </is>
      </c>
      <c r="E76" s="8" t="inlineStr">
        <is>
          <t>物资名称 冷轧优质碳素结构钢板;物资简称 钢板;牌号 10;厚度 δ3;宽 ;长 ;技术标准号 GB/T 13237-2013;加工工艺 冷轧;热处理工艺 ;特殊要求 ;规格标准号 GB/T 708-2006</t>
        </is>
      </c>
      <c r="F76" s="4" t="inlineStr">
        <is>
          <t>千克</t>
        </is>
      </c>
    </row>
    <row r="77" s="21">
      <c r="A77" s="8" t="inlineStr">
        <is>
          <t>100101</t>
        </is>
      </c>
      <c r="B77" s="8" t="inlineStr">
        <is>
          <t>冷轧板材</t>
        </is>
      </c>
      <c r="C77" s="8" t="inlineStr">
        <is>
          <t>600596300</t>
        </is>
      </c>
      <c r="D77" s="8" t="inlineStr">
        <is>
          <t>冷轧优质碳素结构钢板|钢板|20|GB/T 13237-2013|GB/T 708-2006</t>
        </is>
      </c>
      <c r="E77" s="8" t="inlineStr">
        <is>
          <t>物资名称 冷轧优质碳素结构钢板;物资简称 钢板;牌号 20;厚度 ;宽 ;长 ;技术标准号 GB/T 13237-2013;加工工艺 ;热处理工艺 ;特殊要求 ;规格标准号 GB/T 708-2006</t>
        </is>
      </c>
      <c r="F77" s="4" t="inlineStr">
        <is>
          <t>千克</t>
        </is>
      </c>
    </row>
    <row r="78" s="21">
      <c r="A78" s="8" t="inlineStr">
        <is>
          <t>100101</t>
        </is>
      </c>
      <c r="B78" s="8" t="inlineStr">
        <is>
          <t>冷轧板材</t>
        </is>
      </c>
      <c r="C78" s="8" t="inlineStr">
        <is>
          <t>600596200</t>
        </is>
      </c>
      <c r="D78" s="8" t="inlineStr">
        <is>
          <t>冷轧优质碳素结构钢板|钢板|20|δ0.8|GB/T 13237-2013|冷轧|GB/T 708-2006</t>
        </is>
      </c>
      <c r="E78" s="8" t="inlineStr">
        <is>
          <t>物资名称 冷轧优质碳素结构钢板;物资简称 钢板;牌号 20;厚度 δ0.8;宽 ;长 ;技术标准号 GB/T 13237-2013;加工工艺 冷轧;热处理工艺 ;特殊要求 ;规格标准号 GB/T 708-2006</t>
        </is>
      </c>
      <c r="F78" s="4" t="inlineStr">
        <is>
          <t>千克</t>
        </is>
      </c>
    </row>
    <row r="79" s="21">
      <c r="A79" s="8" t="inlineStr">
        <is>
          <t>100101</t>
        </is>
      </c>
      <c r="B79" s="8" t="inlineStr">
        <is>
          <t>冷轧板材</t>
        </is>
      </c>
      <c r="C79" s="8" t="inlineStr">
        <is>
          <t>600596100</t>
        </is>
      </c>
      <c r="D79" s="8" t="inlineStr">
        <is>
          <t>冷轧优质碳素结构钢板|钢板|20|δ1|GB/T 13237-2013|冷轧|FB|GB/T 708-2006</t>
        </is>
      </c>
      <c r="E79" s="8" t="inlineStr">
        <is>
          <t>物资名称 冷轧优质碳素结构钢板;物资简称 钢板;牌号 20;厚度 δ1;宽 ;长 ;技术标准号 GB/T 13237-2013;加工工艺 冷轧;热处理工艺 ;特殊要求 FB;规格标准号 GB/T 708-2006</t>
        </is>
      </c>
      <c r="F79" s="4" t="inlineStr">
        <is>
          <t>千克</t>
        </is>
      </c>
    </row>
    <row r="80" s="21">
      <c r="A80" s="8" t="inlineStr">
        <is>
          <t>100101</t>
        </is>
      </c>
      <c r="B80" s="8" t="inlineStr">
        <is>
          <t>冷轧板材</t>
        </is>
      </c>
      <c r="C80" s="8" t="inlineStr">
        <is>
          <t>600596000</t>
        </is>
      </c>
      <c r="D80" s="8" t="inlineStr">
        <is>
          <t>冷轧优质碳素结构钢板|钢板|20|δ1.2|GB/T 13237-2013|冷轧|GB/T 708-2006</t>
        </is>
      </c>
      <c r="E80" s="8" t="inlineStr">
        <is>
          <t>物资名称 冷轧优质碳素结构钢板;物资简称 钢板;牌号 20;厚度 δ1.2;宽 ;长 ;技术标准号 GB/T 13237-2013;加工工艺 冷轧;热处理工艺 ;特殊要求 ;规格标准号 GB/T 708-2006</t>
        </is>
      </c>
      <c r="F80" s="4" t="inlineStr">
        <is>
          <t>千克</t>
        </is>
      </c>
    </row>
    <row r="81" s="21">
      <c r="A81" s="8" t="inlineStr">
        <is>
          <t>100101</t>
        </is>
      </c>
      <c r="B81" s="8" t="inlineStr">
        <is>
          <t>冷轧板材</t>
        </is>
      </c>
      <c r="C81" s="8" t="inlineStr">
        <is>
          <t>600595900</t>
        </is>
      </c>
      <c r="D81" s="8" t="inlineStr">
        <is>
          <t>冷轧优质碳素结构钢板|钢板|20|δ1.5|GB/T 13237-2013|冷轧|FB|GB/T 708-2006</t>
        </is>
      </c>
      <c r="E81" s="8" t="inlineStr">
        <is>
          <t>物资名称 冷轧优质碳素结构钢板;物资简称 钢板;牌号 20;厚度 δ1.5;宽 ;长 ;技术标准号 GB/T 13237-2013;加工工艺 冷轧;热处理工艺 ;特殊要求 FB;规格标准号 GB/T 708-2006</t>
        </is>
      </c>
      <c r="F81" s="4" t="inlineStr">
        <is>
          <t>千克</t>
        </is>
      </c>
    </row>
    <row r="82" s="21">
      <c r="A82" s="8" t="inlineStr">
        <is>
          <t>100101</t>
        </is>
      </c>
      <c r="B82" s="8" t="inlineStr">
        <is>
          <t>冷轧板材</t>
        </is>
      </c>
      <c r="C82" s="8" t="inlineStr">
        <is>
          <t>600595800</t>
        </is>
      </c>
      <c r="D82" s="8" t="inlineStr">
        <is>
          <t>冷轧优质碳素结构钢板|钢板|20|δ2|GB/T 13237-2013|冷轧|退火|GB/T 708-2006</t>
        </is>
      </c>
      <c r="E82" s="8" t="inlineStr">
        <is>
          <t>物资名称 冷轧优质碳素结构钢板;物资简称 钢板;牌号 20;厚度 δ2;宽 ;长 ;技术标准号 GB/T 13237-2013;加工工艺 冷轧;热处理工艺 退火;特殊要求 ;规格标准号 GB/T 708-2006</t>
        </is>
      </c>
      <c r="F82" s="4" t="inlineStr">
        <is>
          <t>千克</t>
        </is>
      </c>
    </row>
    <row r="83" s="21">
      <c r="A83" s="8" t="inlineStr">
        <is>
          <t>100101</t>
        </is>
      </c>
      <c r="B83" s="8" t="inlineStr">
        <is>
          <t>冷轧板材</t>
        </is>
      </c>
      <c r="C83" s="8" t="inlineStr">
        <is>
          <t>600595700</t>
        </is>
      </c>
      <c r="D83" s="8" t="inlineStr">
        <is>
          <t>冷轧优质碳素结构钢板|钢板|20|δ3|GB/T 13237-2013|冷轧|退火|GB/T 708-2006</t>
        </is>
      </c>
      <c r="E83" s="8" t="inlineStr">
        <is>
          <t>物资名称 冷轧优质碳素结构钢板;物资简称 钢板;牌号 20;厚度 δ3;宽 ;长 ;技术标准号 GB/T 13237-2013;加工工艺 冷轧;热处理工艺 退火;特殊要求 ;规格标准号 GB/T 708-2006</t>
        </is>
      </c>
      <c r="F83" s="4" t="inlineStr">
        <is>
          <t>千克</t>
        </is>
      </c>
    </row>
    <row r="84" s="21">
      <c r="A84" s="8" t="inlineStr">
        <is>
          <t>100101</t>
        </is>
      </c>
      <c r="B84" s="8" t="inlineStr">
        <is>
          <t>冷轧板材</t>
        </is>
      </c>
      <c r="C84" s="8" t="inlineStr">
        <is>
          <t>600595600</t>
        </is>
      </c>
      <c r="D84" s="8" t="inlineStr">
        <is>
          <t>冷轧优质碳素结构钢板|钢板|20|δ3|GB/T 13237-2013|冷轧|FB|GB/T 708-2006</t>
        </is>
      </c>
      <c r="E84" s="8" t="inlineStr">
        <is>
          <t>物资名称 冷轧优质碳素结构钢板;物资简称 钢板;牌号 20;厚度 δ3;宽 ;长 ;技术标准号 GB/T 13237-2013;加工工艺 冷轧;热处理工艺 ;特殊要求 FB;规格标准号 GB/T 708-2006</t>
        </is>
      </c>
      <c r="F84" s="4" t="inlineStr">
        <is>
          <t>千克</t>
        </is>
      </c>
    </row>
    <row r="85" s="21">
      <c r="A85" s="8" t="inlineStr">
        <is>
          <t>100101</t>
        </is>
      </c>
      <c r="B85" s="8" t="inlineStr">
        <is>
          <t>冷轧板材</t>
        </is>
      </c>
      <c r="C85" s="8" t="inlineStr">
        <is>
          <t>600595500</t>
        </is>
      </c>
      <c r="D85" s="8" t="inlineStr">
        <is>
          <t>冷轧优质碳素结构钢板|钢板|40|GB/T 13237-2013|GB/T 708-2006</t>
        </is>
      </c>
      <c r="E85" s="8" t="inlineStr">
        <is>
          <t>物资名称 冷轧优质碳素结构钢板;物资简称 钢板;牌号 40;厚度 ;宽 ;长 ;技术标准号 GB/T 13237-2013;加工工艺 ;热处理工艺 ;特殊要求 ;规格标准号 GB/T 708-2006</t>
        </is>
      </c>
      <c r="F85" s="4" t="inlineStr">
        <is>
          <t>千克</t>
        </is>
      </c>
    </row>
    <row r="86" s="21">
      <c r="A86" s="8" t="inlineStr">
        <is>
          <t>100101</t>
        </is>
      </c>
      <c r="B86" s="8" t="inlineStr">
        <is>
          <t>冷轧板材</t>
        </is>
      </c>
      <c r="C86" s="8" t="inlineStr">
        <is>
          <t>600595400</t>
        </is>
      </c>
      <c r="D86" s="8" t="inlineStr">
        <is>
          <t>冷轧优质碳素结构钢板|钢板|40|δ0.8|GB/T 13237-2013|冷轧|GB/T 708-2006</t>
        </is>
      </c>
      <c r="E86" s="8" t="inlineStr">
        <is>
          <t>物资名称 冷轧优质碳素结构钢板;物资简称 钢板;牌号 40;厚度 δ0.8;宽 ;长 ;技术标准号 GB/T 13237-2013;加工工艺 冷轧;热处理工艺 ;特殊要求 ;规格标准号 GB/T 708-2006</t>
        </is>
      </c>
      <c r="F86" s="4" t="inlineStr">
        <is>
          <t>千克</t>
        </is>
      </c>
    </row>
    <row r="87" s="21">
      <c r="A87" s="8" t="inlineStr">
        <is>
          <t>100101</t>
        </is>
      </c>
      <c r="B87" s="8" t="inlineStr">
        <is>
          <t>冷轧板材</t>
        </is>
      </c>
      <c r="C87" s="8" t="inlineStr">
        <is>
          <t>600595300</t>
        </is>
      </c>
      <c r="D87" s="8" t="inlineStr">
        <is>
          <t>冷轧优质碳素结构钢板|钢板|40|δ1.5|GB/T 13237-2013|冷轧|GB/T 708-2006</t>
        </is>
      </c>
      <c r="E87" s="8" t="inlineStr">
        <is>
          <t>物资名称 冷轧优质碳素结构钢板;物资简称 钢板;牌号 40;厚度 δ1.5;宽 ;长 ;技术标准号 GB/T 13237-2013;加工工艺 冷轧;热处理工艺 ;特殊要求 ;规格标准号 GB/T 708-2006</t>
        </is>
      </c>
      <c r="F87" s="4" t="inlineStr">
        <is>
          <t>千克</t>
        </is>
      </c>
    </row>
    <row r="88" s="21">
      <c r="A88" s="8" t="inlineStr">
        <is>
          <t>100101</t>
        </is>
      </c>
      <c r="B88" s="8" t="inlineStr">
        <is>
          <t>冷轧板材</t>
        </is>
      </c>
      <c r="C88" s="8" t="inlineStr">
        <is>
          <t>600595200</t>
        </is>
      </c>
      <c r="D88" s="8" t="inlineStr">
        <is>
          <t>冷轧优质碳素结构钢板|钢板|40|δ2.8|GB/T 13237-2013|冷轧|GB/T 708-2006</t>
        </is>
      </c>
      <c r="E88" s="8" t="inlineStr">
        <is>
          <t>物资名称 冷轧优质碳素结构钢板;物资简称 钢板;牌号 40;厚度 δ2.8;宽 ;长 ;技术标准号 GB/T 13237-2013;加工工艺 冷轧;热处理工艺 ;特殊要求 ;规格标准号 GB/T 708-2006</t>
        </is>
      </c>
      <c r="F88" s="4" t="inlineStr">
        <is>
          <t>千克</t>
        </is>
      </c>
    </row>
    <row r="89" s="21">
      <c r="A89" s="8" t="inlineStr">
        <is>
          <t>100101</t>
        </is>
      </c>
      <c r="B89" s="8" t="inlineStr">
        <is>
          <t>冷轧板材</t>
        </is>
      </c>
      <c r="C89" s="8" t="inlineStr">
        <is>
          <t>600595100</t>
        </is>
      </c>
      <c r="D89" s="8" t="inlineStr">
        <is>
          <t>冷轧优质碳素结构钢板|钢板|45|GB/T 13237-2013|GB/T 708-2006</t>
        </is>
      </c>
      <c r="E89" s="8" t="inlineStr">
        <is>
          <t>物资名称 冷轧优质碳素结构钢板;物资简称 钢板;牌号 45;厚度 ;宽 ;长 ;技术标准号 GB/T 13237-2013;加工工艺 ;热处理工艺 ;特殊要求 ;规格标准号 GB/T 708-2006</t>
        </is>
      </c>
      <c r="F89" s="4" t="inlineStr">
        <is>
          <t>千克</t>
        </is>
      </c>
    </row>
    <row r="90" s="21">
      <c r="A90" s="8" t="inlineStr">
        <is>
          <t>100101</t>
        </is>
      </c>
      <c r="B90" s="8" t="inlineStr">
        <is>
          <t>冷轧板材</t>
        </is>
      </c>
      <c r="C90" s="8" t="inlineStr">
        <is>
          <t>600595000</t>
        </is>
      </c>
      <c r="D90" s="8" t="inlineStr">
        <is>
          <t>冷轧优质碳素结构钢板|钢板|45|δ1.5|GB/T 13237-2013|冷轧|GB/T 708-2006</t>
        </is>
      </c>
      <c r="E90" s="8" t="inlineStr">
        <is>
          <t>物资名称 冷轧优质碳素结构钢板;物资简称 钢板;牌号 45;厚度 δ1.5;宽 ;长 ;技术标准号 GB/T 13237-2013;加工工艺 冷轧;热处理工艺 ;特殊要求 ;规格标准号 GB/T 708-2006</t>
        </is>
      </c>
      <c r="F90" s="4" t="inlineStr">
        <is>
          <t>千克</t>
        </is>
      </c>
    </row>
    <row r="91" s="21">
      <c r="A91" s="8" t="inlineStr">
        <is>
          <t>100101</t>
        </is>
      </c>
      <c r="B91" s="8" t="inlineStr">
        <is>
          <t>冷轧板材</t>
        </is>
      </c>
      <c r="C91" s="8" t="inlineStr">
        <is>
          <t>600594900</t>
        </is>
      </c>
      <c r="D91" s="8" t="inlineStr">
        <is>
          <t>冷轧优质碳素结构钢板|钢板|45|δ2|GB/T 13237-2013|冷轧|GB/T 708-2006</t>
        </is>
      </c>
      <c r="E91" s="8" t="inlineStr">
        <is>
          <t>物资名称 冷轧优质碳素结构钢板;物资简称 钢板;牌号 45;厚度 δ2;宽 ;长 ;技术标准号 GB/T 13237-2013;加工工艺 冷轧;热处理工艺 ;特殊要求 ;规格标准号 GB/T 708-2006</t>
        </is>
      </c>
      <c r="F91" s="4" t="inlineStr">
        <is>
          <t>千克</t>
        </is>
      </c>
    </row>
    <row r="92" s="21">
      <c r="A92" s="8" t="inlineStr">
        <is>
          <t>100101</t>
        </is>
      </c>
      <c r="B92" s="8" t="inlineStr">
        <is>
          <t>冷轧板材</t>
        </is>
      </c>
      <c r="C92" s="8" t="inlineStr">
        <is>
          <t>600594800</t>
        </is>
      </c>
      <c r="D92" s="8" t="inlineStr">
        <is>
          <t>冷轧优质碳素结构钢板|钢板|45|δ2.5|GB/T 13237-2013|冷轧|GB/T 708-2006</t>
        </is>
      </c>
      <c r="E92" s="8" t="inlineStr">
        <is>
          <t>物资名称 冷轧优质碳素结构钢板;物资简称 钢板;牌号 45;厚度 δ2.5;宽 ;长 ;技术标准号 GB/T 13237-2013;加工工艺 冷轧;热处理工艺 ;特殊要求 ;规格标准号 GB/T 708-2006</t>
        </is>
      </c>
      <c r="F92" s="4" t="inlineStr">
        <is>
          <t>千克</t>
        </is>
      </c>
    </row>
    <row r="93" s="21">
      <c r="A93" s="8" t="inlineStr">
        <is>
          <t>100101</t>
        </is>
      </c>
      <c r="B93" s="8" t="inlineStr">
        <is>
          <t>冷轧板材</t>
        </is>
      </c>
      <c r="C93" s="8" t="inlineStr">
        <is>
          <t>600594700</t>
        </is>
      </c>
      <c r="D93" s="8" t="inlineStr">
        <is>
          <t>冷轧不锈钢板|钢板|1Cr18Ni9Ti|GB 3280-1992|GB/T 708-2006</t>
        </is>
      </c>
      <c r="E93" s="8" t="inlineStr">
        <is>
          <t>物资名称 冷轧不锈钢板;物资简称 钢板;牌号 1Cr18Ni9Ti;厚度 ;宽 ;长 ;技术标准号 GB 3280-1992;加工工艺 ;热处理工艺 ;特殊要求 ;规格标准号 GB/T 708-2006</t>
        </is>
      </c>
      <c r="F93" s="4" t="inlineStr">
        <is>
          <t>千克</t>
        </is>
      </c>
    </row>
    <row r="94" s="21">
      <c r="A94" s="8" t="inlineStr">
        <is>
          <t>100101</t>
        </is>
      </c>
      <c r="B94" s="8" t="inlineStr">
        <is>
          <t>冷轧板材</t>
        </is>
      </c>
      <c r="C94" s="8" t="inlineStr">
        <is>
          <t>600594600</t>
        </is>
      </c>
      <c r="D94" s="8" t="inlineStr">
        <is>
          <t>冷轧不锈钢板|钢板|1Cr18Ni9Ti|δ0.2|GB 3280-1992|冷轧|GB/T 708-2006</t>
        </is>
      </c>
      <c r="E94" s="8" t="inlineStr">
        <is>
          <t>物资名称 冷轧不锈钢板;物资简称 钢板;牌号 1Cr18Ni9Ti;厚度 δ0.2;宽 ;长 ;技术标准号 GB 3280-1992;加工工艺 冷轧;热处理工艺 ;特殊要求 ;规格标准号 GB/T 708-2006</t>
        </is>
      </c>
      <c r="F94" s="4" t="inlineStr">
        <is>
          <t>千克</t>
        </is>
      </c>
    </row>
    <row r="95" s="21">
      <c r="A95" s="8" t="inlineStr">
        <is>
          <t>100101</t>
        </is>
      </c>
      <c r="B95" s="8" t="inlineStr">
        <is>
          <t>冷轧板材</t>
        </is>
      </c>
      <c r="C95" s="8" t="inlineStr">
        <is>
          <t>600594500</t>
        </is>
      </c>
      <c r="D95" s="8" t="inlineStr">
        <is>
          <t>冷轧不锈钢板|钢板|1Cr18Ni9Ti|δ0.8|GB 3280-1992|冷轧|GB/T 708-2006</t>
        </is>
      </c>
      <c r="E95" s="8" t="inlineStr">
        <is>
          <t>物资名称 冷轧不锈钢板;物资简称 钢板;牌号 1Cr18Ni9Ti;厚度 δ0.8;宽 ;长 ;技术标准号 GB 3280-1992;加工工艺 冷轧;热处理工艺 ;特殊要求 ;规格标准号 GB/T 708-2006</t>
        </is>
      </c>
      <c r="F95" s="4" t="inlineStr">
        <is>
          <t>千克</t>
        </is>
      </c>
    </row>
    <row r="96" s="21">
      <c r="A96" s="8" t="inlineStr">
        <is>
          <t>100101</t>
        </is>
      </c>
      <c r="B96" s="8" t="inlineStr">
        <is>
          <t>冷轧板材</t>
        </is>
      </c>
      <c r="C96" s="8" t="inlineStr">
        <is>
          <t>600594400</t>
        </is>
      </c>
      <c r="D96" s="8" t="inlineStr">
        <is>
          <t>冷轧不锈钢板|钢板|1Cr18Ni9Ti|δ1.2|GB 3280-1992|冷轧|GB/T 708-2006</t>
        </is>
      </c>
      <c r="E96" s="8" t="inlineStr">
        <is>
          <t>物资名称 冷轧不锈钢板;物资简称 钢板;牌号 1Cr18Ni9Ti;厚度 δ1.2;宽 ;长 ;技术标准号 GB 3280-1992;加工工艺 冷轧;热处理工艺 ;特殊要求 ;规格标准号 GB/T 708-2006</t>
        </is>
      </c>
      <c r="F96" s="4" t="inlineStr">
        <is>
          <t>千克</t>
        </is>
      </c>
    </row>
    <row r="97" s="21">
      <c r="A97" s="8" t="inlineStr">
        <is>
          <t>100101</t>
        </is>
      </c>
      <c r="B97" s="8" t="inlineStr">
        <is>
          <t>冷轧板材</t>
        </is>
      </c>
      <c r="C97" s="8" t="inlineStr">
        <is>
          <t>600594300</t>
        </is>
      </c>
      <c r="D97" s="8" t="inlineStr">
        <is>
          <t>冷轧不锈钢板|钢板|1Cr18Ni9Ti|δ2|GB 3280-1992|冷轧|GB/T 708-2006</t>
        </is>
      </c>
      <c r="E97" s="8" t="inlineStr">
        <is>
          <t>物资名称 冷轧不锈钢板;物资简称 钢板;牌号 1Cr18Ni9Ti;厚度 δ2;宽 ;长 ;技术标准号 GB 3280-1992;加工工艺 冷轧;热处理工艺 ;特殊要求 ;规格标准号 GB/T 708-2006</t>
        </is>
      </c>
      <c r="F97" s="4" t="inlineStr">
        <is>
          <t>千克</t>
        </is>
      </c>
    </row>
    <row r="98" s="21">
      <c r="A98" s="8" t="inlineStr">
        <is>
          <t>100101</t>
        </is>
      </c>
      <c r="B98" s="8" t="inlineStr">
        <is>
          <t>冷轧板材</t>
        </is>
      </c>
      <c r="C98" s="8" t="inlineStr">
        <is>
          <t>600594200</t>
        </is>
      </c>
      <c r="D98" s="8" t="inlineStr">
        <is>
          <t>冷轧不锈钢板|钢板|06Cr19Ni10|GB/T 3280-2007|GB/T 708-2006</t>
        </is>
      </c>
      <c r="E98" s="8" t="inlineStr">
        <is>
          <t>物资名称 冷轧不锈钢板;物资简称 钢板;牌号 06Cr19Ni10;厚度 ;宽 ;长 ;技术标准号 GB/T 3280-2007;加工工艺 ;热处理工艺 ;特殊要求 ;规格标准号 GB/T 708-2006</t>
        </is>
      </c>
      <c r="F98" s="4" t="inlineStr">
        <is>
          <t>千克</t>
        </is>
      </c>
    </row>
    <row r="99" s="21">
      <c r="A99" s="8" t="inlineStr">
        <is>
          <t>100101</t>
        </is>
      </c>
      <c r="B99" s="8" t="inlineStr">
        <is>
          <t>冷轧板材</t>
        </is>
      </c>
      <c r="C99" s="8" t="inlineStr">
        <is>
          <t>600594100</t>
        </is>
      </c>
      <c r="D99" s="8" t="inlineStr">
        <is>
          <t>冷轧不锈钢板|钢板|06Cr19Ni10|δ1.5GB/T 3280-2007|冷轧|GB/T 708-2006</t>
        </is>
      </c>
      <c r="E99" s="8" t="inlineStr">
        <is>
          <t>物资名称 冷轧不锈钢板;物资简称 钢板;牌号 06Cr19Ni10;厚度 δ1.5;宽 ;长 ;技术标准号 GB/T 3280-2007;加工工艺 冷轧;热处理工艺 ;特殊要求 ;规格标准号 GB/T 708-2006</t>
        </is>
      </c>
      <c r="F99" s="4" t="inlineStr">
        <is>
          <t>千克</t>
        </is>
      </c>
    </row>
    <row r="100" s="21">
      <c r="A100" s="8" t="inlineStr">
        <is>
          <t>100101</t>
        </is>
      </c>
      <c r="B100" s="8" t="inlineStr">
        <is>
          <t>冷轧板材</t>
        </is>
      </c>
      <c r="C100" s="8" t="inlineStr">
        <is>
          <t>600594000</t>
        </is>
      </c>
      <c r="D100" s="8" t="inlineStr">
        <is>
          <t>冷轧不锈钢板|钢板|12Cr18Ni9|GB/T 3280-2007|GB/T 708-2006</t>
        </is>
      </c>
      <c r="E100" s="8" t="inlineStr">
        <is>
          <t>物资名称 冷轧不锈钢板;物资简称 钢板;牌号 12Cr18Ni9;厚度 ;宽 ;长 ;技术标准号 GB/T 3280-2007;加工工艺 ;热处理工艺 ;特殊要求 ;规格标准号 GB/T 708-2006</t>
        </is>
      </c>
      <c r="F100" s="4" t="inlineStr">
        <is>
          <t>千克</t>
        </is>
      </c>
    </row>
    <row r="101" s="21">
      <c r="A101" s="8" t="inlineStr">
        <is>
          <t>100101</t>
        </is>
      </c>
      <c r="B101" s="8" t="inlineStr">
        <is>
          <t>冷轧板材</t>
        </is>
      </c>
      <c r="C101" s="8" t="inlineStr">
        <is>
          <t>600593900</t>
        </is>
      </c>
      <c r="D101" s="8" t="inlineStr">
        <is>
          <t>冷轧不锈钢板|钢板|12Cr18Ni9|δ0.8|GB/T 3280-2007|冷轧|GB/T 708-2006</t>
        </is>
      </c>
      <c r="E101" s="8" t="inlineStr">
        <is>
          <t>物资名称 冷轧不锈钢板;物资简称 钢板;牌号 12Cr18Ni9;厚度 δ0.8;宽 ;长 ;技术标准号 GB/T 3280-2007;加工工艺 冷轧;热处理工艺 ;特殊要求 ;规格标准号 GB/T 708-2006</t>
        </is>
      </c>
      <c r="F101" s="4" t="inlineStr">
        <is>
          <t>千克</t>
        </is>
      </c>
    </row>
    <row r="102" s="21">
      <c r="A102" s="8" t="inlineStr">
        <is>
          <t>100101</t>
        </is>
      </c>
      <c r="B102" s="8" t="inlineStr">
        <is>
          <t>冷轧板材</t>
        </is>
      </c>
      <c r="C102" s="8" t="inlineStr">
        <is>
          <t>600593800</t>
        </is>
      </c>
      <c r="D102" s="8" t="inlineStr">
        <is>
          <t>冷轧不锈钢板|钢板|20Cr13|GB/T 3280-2007|GB/T 708-2006</t>
        </is>
      </c>
      <c r="E102" s="8" t="inlineStr">
        <is>
          <t>物资名称 冷轧不锈钢板;物资简称 钢板;牌号 20Cr13;厚度 ;宽 ;长 ;技术标准号 GB/T 3280-2007;加工工艺 ;热处理工艺 ;特殊要求 ;规格标准号 GB/T 708-2006</t>
        </is>
      </c>
      <c r="F102" s="4" t="inlineStr">
        <is>
          <t>千克</t>
        </is>
      </c>
    </row>
    <row r="103" s="21">
      <c r="A103" s="8" t="inlineStr">
        <is>
          <t>100101</t>
        </is>
      </c>
      <c r="B103" s="8" t="inlineStr">
        <is>
          <t>冷轧板材</t>
        </is>
      </c>
      <c r="C103" s="8" t="inlineStr">
        <is>
          <t>600593700</t>
        </is>
      </c>
      <c r="D103" s="8" t="inlineStr">
        <is>
          <t>冷轧不锈钢板|钢板|20Cr13|δ0.8|GB/T 3280-2007|冷轧|GB/T 708-2006</t>
        </is>
      </c>
      <c r="E103" s="8" t="inlineStr">
        <is>
          <t>物资名称 冷轧不锈钢板;物资简称 钢板;牌号 20Cr13;厚度 δ0.8;宽 ;长 ;技术标准号 GB/T 3280-2007;加工工艺 冷轧;热处理工艺 ;特殊要求 ;规格标准号 GB/T 708-2006</t>
        </is>
      </c>
      <c r="F103" s="4" t="inlineStr">
        <is>
          <t>千克</t>
        </is>
      </c>
    </row>
    <row r="104" s="21">
      <c r="A104" s="8" t="inlineStr">
        <is>
          <t>100101</t>
        </is>
      </c>
      <c r="B104" s="8" t="inlineStr">
        <is>
          <t>冷轧板材</t>
        </is>
      </c>
      <c r="C104" s="8" t="inlineStr">
        <is>
          <t>600593600</t>
        </is>
      </c>
      <c r="D104" s="8" t="inlineStr">
        <is>
          <t>冷轧不锈钢板|钢板|20Cr13|δ1|GB/T 3280-2007|冷轧|GB/T 708-2006</t>
        </is>
      </c>
      <c r="E104" s="8" t="inlineStr">
        <is>
          <t>物资名称 冷轧不锈钢板;物资简称 钢板;牌号 20Cr13;厚度 δ1;宽 ;长 ;技术标准号 GB/T 3280-2007;加工工艺 冷轧;热处理工艺 ;特殊要求 ;规格标准号 GB/T 708-2006</t>
        </is>
      </c>
      <c r="F104" s="4" t="inlineStr">
        <is>
          <t>千克</t>
        </is>
      </c>
    </row>
    <row r="105" s="21">
      <c r="A105" s="8" t="inlineStr">
        <is>
          <t>100101</t>
        </is>
      </c>
      <c r="B105" s="8" t="inlineStr">
        <is>
          <t>冷轧板材</t>
        </is>
      </c>
      <c r="C105" s="8" t="inlineStr">
        <is>
          <t>600593500</t>
        </is>
      </c>
      <c r="D105" s="8" t="inlineStr">
        <is>
          <t>冷轧耐热钢板|钢板|06Cr19Ni9|GB/T 4238-2007|GB/T 3280-2007</t>
        </is>
      </c>
      <c r="E105" s="8" t="inlineStr">
        <is>
          <t>物资名称 冷轧耐热钢板;物资简称 钢板;牌号 06Cr19Ni9;厚度 ;宽 ;长 ;技术标准号 GB/T 4238-2007;加工工艺 ;热处理工艺 ;特殊要求 ;规格标准号 GB/T 3280-2007</t>
        </is>
      </c>
      <c r="F105" s="4" t="inlineStr">
        <is>
          <t>千克</t>
        </is>
      </c>
    </row>
    <row r="106" s="21">
      <c r="A106" s="8" t="inlineStr">
        <is>
          <t>100101</t>
        </is>
      </c>
      <c r="B106" s="8" t="inlineStr">
        <is>
          <t>冷轧板材</t>
        </is>
      </c>
      <c r="C106" s="8" t="inlineStr">
        <is>
          <t>600593400</t>
        </is>
      </c>
      <c r="D106" s="8" t="inlineStr">
        <is>
          <t>冷轧耐热钢板|钢板|06Cr19Ni9|δ0.5|GB/T 4238-2007|冷轧|GB/T 3280-2007</t>
        </is>
      </c>
      <c r="E106" s="8" t="inlineStr">
        <is>
          <t>物资名称 冷轧耐热钢板;物资简称 钢板;牌号 06Cr19Ni9;厚度 δ0.5;宽 ;长 ;技术标准号 GB/T 4238-2007;加工工艺 冷轧;热处理工艺 ;特殊要求 ;规格标准号 GB/T 3280-2007</t>
        </is>
      </c>
      <c r="F106" s="4" t="inlineStr">
        <is>
          <t>千克</t>
        </is>
      </c>
    </row>
    <row r="107" s="21">
      <c r="A107" s="8" t="inlineStr">
        <is>
          <t>100101</t>
        </is>
      </c>
      <c r="B107" s="8" t="inlineStr">
        <is>
          <t>冷轧板材</t>
        </is>
      </c>
      <c r="C107" s="8" t="inlineStr">
        <is>
          <t>600593300</t>
        </is>
      </c>
      <c r="D107" s="8" t="inlineStr">
        <is>
          <t>冷轧耐热钢板|钢板|1Cr18Ni9Ti|GB 4238-1992|冷轧|GB/T 708-2006</t>
        </is>
      </c>
      <c r="E107" s="8" t="inlineStr">
        <is>
          <t>物资名称 冷轧耐热钢板;物资简称 钢板;牌号 1Cr18Ni9Ti;厚度 ;宽 ;长 ;技术标准号 GB 4238-1992;加工工艺 冷轧;热处理工艺 ;特殊要求 ;规格标准号 GB/T 708-2006</t>
        </is>
      </c>
      <c r="F107" s="4" t="inlineStr">
        <is>
          <t>千克</t>
        </is>
      </c>
    </row>
    <row r="108" s="21">
      <c r="A108" s="8" t="inlineStr">
        <is>
          <t>100101</t>
        </is>
      </c>
      <c r="B108" s="8" t="inlineStr">
        <is>
          <t>冷轧板材</t>
        </is>
      </c>
      <c r="C108" s="8" t="inlineStr">
        <is>
          <t>600593200</t>
        </is>
      </c>
      <c r="D108" s="8" t="inlineStr">
        <is>
          <t>冷轧耐热钢板|钢板|1Cr18Ni9Ti|δ0.8|GB 4238-1992|冷轧|GB/T 708-2006</t>
        </is>
      </c>
      <c r="E108" s="8" t="inlineStr">
        <is>
          <t>物资名称 冷轧耐热钢板;物资简称 钢板;牌号 1Cr18Ni9Ti;厚度 δ0.8;宽 ;长 ;技术标准号 GB 4238-1992;加工工艺 冷轧;热处理工艺 ;特殊要求 ;规格标准号 GB/T 708-2006</t>
        </is>
      </c>
      <c r="F108" s="4" t="inlineStr">
        <is>
          <t>千克</t>
        </is>
      </c>
    </row>
    <row r="109" s="21">
      <c r="A109" s="8" t="inlineStr">
        <is>
          <t>100101</t>
        </is>
      </c>
      <c r="B109" s="8" t="inlineStr">
        <is>
          <t>冷轧板材</t>
        </is>
      </c>
      <c r="C109" s="8" t="inlineStr">
        <is>
          <t>600593100</t>
        </is>
      </c>
      <c r="D109" s="8" t="inlineStr">
        <is>
          <t>冷轧耐热钢板|钢板|1Cr18Ni9Ti|δ1|GB 4238-1992|冷轧|GB/T 708-2006</t>
        </is>
      </c>
      <c r="E109" s="8" t="inlineStr">
        <is>
          <t>物资名称 冷轧耐热钢板;物资简称 钢板;牌号 1Cr18Ni9Ti;厚度 δ1;宽 ;长 ;技术标准号 GB 4238-1992;加工工艺 冷轧;热处理工艺 ;特殊要求 ;规格标准号 GB/T 708-2006</t>
        </is>
      </c>
      <c r="F109" s="4" t="inlineStr">
        <is>
          <t>千克</t>
        </is>
      </c>
    </row>
    <row r="110" s="21">
      <c r="A110" s="8" t="inlineStr">
        <is>
          <t>100101</t>
        </is>
      </c>
      <c r="B110" s="8" t="inlineStr">
        <is>
          <t>冷轧板材</t>
        </is>
      </c>
      <c r="C110" s="8" t="inlineStr">
        <is>
          <t>600593000</t>
        </is>
      </c>
      <c r="D110" s="8" t="inlineStr">
        <is>
          <t>冷轧耐热钢板|钢板|1Cr18Ni9Ti|δ1.2|GB 4238-1992|冷轧|GB/T 708-2006</t>
        </is>
      </c>
      <c r="E110" s="8" t="inlineStr">
        <is>
          <t>物资名称 冷轧耐热钢板;物资简称 钢板;牌号 1Cr18Ni9Ti;厚度 δ1.2;宽 ;长 ;技术标准号 GB 4238-1992;加工工艺 冷轧;热处理工艺 ;特殊要求 ;规格标准号 GB/T 708-2006</t>
        </is>
      </c>
      <c r="F110" s="4" t="inlineStr">
        <is>
          <t>千克</t>
        </is>
      </c>
    </row>
    <row r="111" s="21">
      <c r="A111" s="8" t="inlineStr">
        <is>
          <t>100101</t>
        </is>
      </c>
      <c r="B111" s="8" t="inlineStr">
        <is>
          <t>冷轧板材</t>
        </is>
      </c>
      <c r="C111" s="8" t="inlineStr">
        <is>
          <t>600592900</t>
        </is>
      </c>
      <c r="D111" s="8" t="inlineStr">
        <is>
          <t>冷轧耐热钢板|钢板|1Cr18Ni9Ti|δ1.5|GB 4238-1992|冷轧|GB/T 708-2006</t>
        </is>
      </c>
      <c r="E111" s="8" t="inlineStr">
        <is>
          <t>物资名称 冷轧耐热钢板;物资简称 钢板;牌号 1Cr18Ni9Ti;厚度 δ1.5;宽 ;长 ;技术标准号 GB 4238-1992;加工工艺 冷轧;热处理工艺 ;特殊要求 ;规格标准号 GB/T 708-2006</t>
        </is>
      </c>
      <c r="F111" s="4" t="inlineStr">
        <is>
          <t>千克</t>
        </is>
      </c>
    </row>
    <row r="112" s="21">
      <c r="A112" s="8" t="inlineStr">
        <is>
          <t>100101</t>
        </is>
      </c>
      <c r="B112" s="8" t="inlineStr">
        <is>
          <t>冷轧板材</t>
        </is>
      </c>
      <c r="C112" s="8" t="inlineStr">
        <is>
          <t>600592800</t>
        </is>
      </c>
      <c r="D112" s="8" t="inlineStr">
        <is>
          <t>冷轧耐热钢板|钢板|1Cr18Ni9Ti|δ2|GB 4238-1992|冷轧|GB/T 708-2006</t>
        </is>
      </c>
      <c r="E112" s="8" t="inlineStr">
        <is>
          <t>物资名称 冷轧耐热钢板;物资简称 钢板;牌号 1Cr18Ni9Ti;厚度 δ2;宽 ;长 ;技术标准号 GB 4238-1992;加工工艺 冷轧;热处理工艺 ;特殊要求 ;规格标准号 GB/T 708-2006</t>
        </is>
      </c>
      <c r="F112" s="4" t="inlineStr">
        <is>
          <t>千克</t>
        </is>
      </c>
    </row>
    <row r="113" s="21">
      <c r="A113" s="8" t="inlineStr">
        <is>
          <t>100101</t>
        </is>
      </c>
      <c r="B113" s="8" t="inlineStr">
        <is>
          <t>冷轧板材</t>
        </is>
      </c>
      <c r="C113" s="8" t="inlineStr">
        <is>
          <t>600592700</t>
        </is>
      </c>
      <c r="D113" s="8" t="inlineStr">
        <is>
          <t>冷轧耐热钢板|钢板|1Cr18Ni9Ti|δ2.5|GB 4238-1992|冷轧|GB/T 708-2006</t>
        </is>
      </c>
      <c r="E113" s="8" t="inlineStr">
        <is>
          <t>物资名称 冷轧耐热钢板;物资简称 钢板;牌号 1Cr18Ni9Ti;厚度 δ2.5;宽 ;长 ;技术标准号 GB 4238-1992;加工工艺 冷轧;热处理工艺 ;特殊要求 ;规格标准号 GB/T 708-2006</t>
        </is>
      </c>
      <c r="F113" s="4" t="inlineStr">
        <is>
          <t>千克</t>
        </is>
      </c>
    </row>
    <row r="114" s="21">
      <c r="A114" s="8" t="inlineStr">
        <is>
          <t>100101</t>
        </is>
      </c>
      <c r="B114" s="8" t="inlineStr">
        <is>
          <t>冷轧板材</t>
        </is>
      </c>
      <c r="C114" s="8" t="inlineStr">
        <is>
          <t>600592600</t>
        </is>
      </c>
      <c r="D114" s="8" t="inlineStr">
        <is>
          <t>冷轧耐热钢板|钢板|1Cr18Ni9Ti|δ3|GB 4238-1992|冷轧|GB/T 708-2006</t>
        </is>
      </c>
      <c r="E114" s="8" t="inlineStr">
        <is>
          <t>物资名称 冷轧耐热钢板;物资简称 钢板;牌号 1Cr18Ni9Ti;厚度 δ3;宽 ;长 ;技术标准号 GB 4238-1992;加工工艺 冷轧;热处理工艺 ;特殊要求 ;规格标准号 GB/T 708-2006</t>
        </is>
      </c>
      <c r="F114" s="4" t="inlineStr">
        <is>
          <t>千克</t>
        </is>
      </c>
    </row>
    <row r="115" s="21">
      <c r="A115" s="8" t="inlineStr">
        <is>
          <t>100101</t>
        </is>
      </c>
      <c r="B115" s="8" t="inlineStr">
        <is>
          <t>冷轧板材</t>
        </is>
      </c>
      <c r="C115" s="8" t="inlineStr">
        <is>
          <t>600592500</t>
        </is>
      </c>
      <c r="D115" s="8" t="inlineStr">
        <is>
          <t>冷轧耐热钢板|钢板|1Cr18Ni9Ti|δ4|GB 4238-1992|冷轧|GB/T 708-2006</t>
        </is>
      </c>
      <c r="E115" s="8" t="inlineStr">
        <is>
          <t>物资名称 冷轧耐热钢板;物资简称 钢板;牌号 1Cr18Ni9Ti;厚度 δ4;宽 ;长 ;技术标准号 GB 4238-1992;加工工艺 冷轧;热处理工艺 ;特殊要求 ;规格标准号 GB/T 708-2006</t>
        </is>
      </c>
      <c r="F115" s="4" t="inlineStr">
        <is>
          <t>千克</t>
        </is>
      </c>
    </row>
    <row r="116" s="21">
      <c r="A116" s="8" t="inlineStr">
        <is>
          <t>100102</t>
        </is>
      </c>
      <c r="B116" s="8" t="inlineStr">
        <is>
          <t>热轧板材</t>
        </is>
      </c>
      <c r="C116" s="8" t="inlineStr">
        <is>
          <t>603563500</t>
        </is>
      </c>
      <c r="D116" s="8" t="inlineStr">
        <is>
          <t>热轧优质碳素结构钢板|钢板|45|δ10|GB/T 711-2017|热轧|GB/T 711-2017</t>
        </is>
      </c>
      <c r="E116" s="8" t="inlineStr">
        <is>
          <t>物资名称 热轧优质碳素结构钢板;物资简称 钢板;牌号 45;厚度 δ10;宽 ;长 ;技术标准号 GB/T 711-2017;加工工艺 热轧;热处理工艺 ;特殊要求 ;规格标准号 GB/T 711-2017</t>
        </is>
      </c>
      <c r="F116" s="4" t="inlineStr">
        <is>
          <t>千克</t>
        </is>
      </c>
    </row>
    <row r="117" s="21">
      <c r="A117" s="8" t="inlineStr">
        <is>
          <t>100102</t>
        </is>
      </c>
      <c r="B117" s="8" t="inlineStr">
        <is>
          <t>热轧板材</t>
        </is>
      </c>
      <c r="C117" s="8" t="inlineStr">
        <is>
          <t>603553000</t>
        </is>
      </c>
      <c r="D117" s="8" t="inlineStr">
        <is>
          <t>热轧合金结构钢板|钢板|30CrMnSiA|GB/T 11251-2020|热轧|GB/T 709-2019</t>
        </is>
      </c>
      <c r="E117" s="8" t="inlineStr">
        <is>
          <t>物资名称 热轧合金结构钢板;物资简称 钢板;牌号 30CrMnSiA;厚度 δ;宽 ;长 ;技术标准号 GB/T 11251-2020;加工工艺 热轧;热处理工艺 ;特殊要求 ;规格标准号 GB/T 709-2019</t>
        </is>
      </c>
      <c r="F117" s="4" t="inlineStr">
        <is>
          <t>千克</t>
        </is>
      </c>
    </row>
    <row r="118" s="21">
      <c r="A118" s="8" t="inlineStr">
        <is>
          <t>100102</t>
        </is>
      </c>
      <c r="B118" s="8" t="inlineStr">
        <is>
          <t>热轧板材</t>
        </is>
      </c>
      <c r="C118" s="8" t="inlineStr">
        <is>
          <t>603551500</t>
        </is>
      </c>
      <c r="D118" s="8" t="inlineStr">
        <is>
          <t>热轧合金结构钢板|钢板|30CrMnSiA|δ60|GB/T 11251-2009|热轧|GB/T 709-2019</t>
        </is>
      </c>
      <c r="E118" s="8" t="inlineStr">
        <is>
          <t>物资名称 热轧合金结构钢板;物资简称 钢板;牌号 30CrMnSiA;厚度 δ60;宽 ;长 ;技术标准号 GB/T 11251-2009;加工工艺 热轧;热处理工艺 ;特殊要求 ;规格标准号 GB/T 709-2019</t>
        </is>
      </c>
      <c r="F118" s="4" t="inlineStr">
        <is>
          <t>千克</t>
        </is>
      </c>
    </row>
    <row r="119" s="21">
      <c r="A119" s="8" t="inlineStr">
        <is>
          <t>100102</t>
        </is>
      </c>
      <c r="B119" s="8" t="inlineStr">
        <is>
          <t>热轧板材</t>
        </is>
      </c>
      <c r="C119" s="8" t="inlineStr">
        <is>
          <t>603542300</t>
        </is>
      </c>
      <c r="D119" s="8" t="inlineStr">
        <is>
          <t>热轧航空用合金结构钢板|钢板|30CrMnSiA|GJB 2150A-2018|热轧|GB/T 709-2019</t>
        </is>
      </c>
      <c r="E119" s="8" t="inlineStr">
        <is>
          <t>物资名称 热轧航空用合金结构钢板;物资简称 钢板;牌号 30CrMnSiA;厚度 δ;宽 ;长 ;技术标准号 GJB 2150A-2018;加工工艺 热轧;热处理工艺 ;特殊要求 ;规格标准号 GB/T 709-2019</t>
        </is>
      </c>
      <c r="F119" s="4" t="inlineStr">
        <is>
          <t>千克</t>
        </is>
      </c>
    </row>
    <row r="120" s="21">
      <c r="A120" s="8" t="inlineStr">
        <is>
          <t>100102</t>
        </is>
      </c>
      <c r="B120" s="8" t="inlineStr">
        <is>
          <t>热轧板材</t>
        </is>
      </c>
      <c r="C120" s="8" t="inlineStr">
        <is>
          <t>602975000</t>
        </is>
      </c>
      <c r="D120" s="8" t="inlineStr">
        <is>
          <t>热轧不锈钢板|钢板|1Cr18Ni9Ti|δ14|GB/T 4237-2015|热轧|GB/T 709-2006</t>
        </is>
      </c>
      <c r="E120" s="8" t="inlineStr">
        <is>
          <t>物资名称 热轧不锈钢板;物资简称 钢板;牌号 1Cr18Ni9Ti;厚度 δ14;宽 ;长 ;技术标准号 GB/T 4237-2015;加工工艺 热轧;热处理工艺 ;特殊要求 ;规格标准号 GB/T 709-2006</t>
        </is>
      </c>
      <c r="F120" s="4" t="inlineStr">
        <is>
          <t>千克</t>
        </is>
      </c>
    </row>
    <row r="121" s="21">
      <c r="A121" s="8" t="inlineStr">
        <is>
          <t>100102</t>
        </is>
      </c>
      <c r="B121" s="8" t="inlineStr">
        <is>
          <t>热轧板材</t>
        </is>
      </c>
      <c r="C121" s="8" t="inlineStr">
        <is>
          <t>602374200</t>
        </is>
      </c>
      <c r="D121" s="8" t="inlineStr">
        <is>
          <t>热轧优质碳素结构钢板|钢板|10|GB/T 710-2008|热轧|GB/T 709-2006</t>
        </is>
      </c>
      <c r="E121" s="8" t="inlineStr">
        <is>
          <t>物资名称 热轧优质碳素结构钢板;物资简称 钢板;牌号 10;厚度 δ;宽 ;长 ;技术标准号 GB/T 710-2008;加工工艺 热轧;热处理工艺 ;特殊要求 ;规格标准号 GB/T 709-2006</t>
        </is>
      </c>
      <c r="F121" s="4" t="inlineStr">
        <is>
          <t>千克</t>
        </is>
      </c>
    </row>
    <row r="122" s="21">
      <c r="A122" s="8" t="inlineStr">
        <is>
          <t>100102</t>
        </is>
      </c>
      <c r="B122" s="8" t="inlineStr">
        <is>
          <t>热轧板材</t>
        </is>
      </c>
      <c r="C122" s="8" t="inlineStr">
        <is>
          <t>602366500</t>
        </is>
      </c>
      <c r="D122" s="8" t="inlineStr">
        <is>
          <t>热轧优质碳素结构钢板|钢板|20|GB/T 711-2017|热轧|GB/T 709-2019</t>
        </is>
      </c>
      <c r="E122" s="8" t="inlineStr">
        <is>
          <t>物资名称 热轧优质碳素结构钢板;物资简称 钢板;牌号 20;厚度 δ;宽 ;长 ;技术标准号 GB/T 711-2017;加工工艺 热轧;热处理工艺 ;特殊要求 ;规格标准号 GB/T 709-2019</t>
        </is>
      </c>
      <c r="F122" s="4" t="inlineStr">
        <is>
          <t>千克</t>
        </is>
      </c>
    </row>
    <row r="123" s="21">
      <c r="A123" s="8" t="inlineStr">
        <is>
          <t>100102</t>
        </is>
      </c>
      <c r="B123" s="8" t="inlineStr">
        <is>
          <t>热轧板材</t>
        </is>
      </c>
      <c r="C123" s="8" t="inlineStr">
        <is>
          <t>602207600</t>
        </is>
      </c>
      <c r="D123" s="8" t="inlineStr">
        <is>
          <t>热轧不锈钢板|钢板|06Cr19Ni10|δ20|GB/T 4237-2015|热轧|GB/T 709-2006</t>
        </is>
      </c>
      <c r="E123" s="8" t="inlineStr">
        <is>
          <t>物资名称 热轧不锈钢板;物资简称 钢板;牌号 06Cr19Ni10;厚度 δ20;宽 ;长 ;技术标准号 GB/T 4237-2015;加工工艺 热轧;热处理工艺 ;特殊要求 ;规格标准号 GB/T 709-2006</t>
        </is>
      </c>
      <c r="F123" s="4" t="inlineStr">
        <is>
          <t>千克</t>
        </is>
      </c>
    </row>
    <row r="124" s="21">
      <c r="A124" s="8" t="inlineStr">
        <is>
          <t>100102</t>
        </is>
      </c>
      <c r="B124" s="8" t="inlineStr">
        <is>
          <t>热轧板材</t>
        </is>
      </c>
      <c r="C124" s="8" t="inlineStr">
        <is>
          <t>602207500</t>
        </is>
      </c>
      <c r="D124" s="8" t="inlineStr">
        <is>
          <t>热轧不锈钢板|钢板|06Cr19Ni10|δ25|GB/T 4237-2015|热轧|GB/T 709-2006</t>
        </is>
      </c>
      <c r="E124" s="8" t="inlineStr">
        <is>
          <t>物资名称 热轧不锈钢板;物资简称 钢板;牌号 06Cr19Ni10;厚度 δ25;宽 ;长 ;技术标准号 GB/T 4237-2015;加工工艺 热轧;热处理工艺 ;特殊要求 ;规格标准号 GB/T 709-2006</t>
        </is>
      </c>
      <c r="F124" s="4" t="inlineStr">
        <is>
          <t>千克</t>
        </is>
      </c>
    </row>
    <row r="125" s="21">
      <c r="A125" s="8" t="inlineStr">
        <is>
          <t>100102</t>
        </is>
      </c>
      <c r="B125" s="8" t="inlineStr">
        <is>
          <t>热轧板材</t>
        </is>
      </c>
      <c r="C125" s="8" t="inlineStr">
        <is>
          <t>602207400</t>
        </is>
      </c>
      <c r="D125" s="8" t="inlineStr">
        <is>
          <t>热轧不锈钢板|钢板|06Cr19Ni10|δ16|GB/T 4237-2015|热轧|GB/T 709-2006</t>
        </is>
      </c>
      <c r="E125" s="8" t="inlineStr">
        <is>
          <t>物资名称 热轧不锈钢板;物资简称 钢板;牌号 06Cr19Ni10;厚度 δ16;宽 ;长 ;技术标准号 GB/T 4237-2015;加工工艺 热轧;热处理工艺 ;特殊要求 ;规格标准号 GB/T 709-2006</t>
        </is>
      </c>
      <c r="F125" s="4" t="inlineStr">
        <is>
          <t>千克</t>
        </is>
      </c>
    </row>
    <row r="126" s="21">
      <c r="A126" s="8" t="inlineStr">
        <is>
          <t>100102</t>
        </is>
      </c>
      <c r="B126" s="8" t="inlineStr">
        <is>
          <t>热轧板材</t>
        </is>
      </c>
      <c r="C126" s="8" t="inlineStr">
        <is>
          <t>602207300</t>
        </is>
      </c>
      <c r="D126" s="8" t="inlineStr">
        <is>
          <t>热轧不锈钢板|钢板|06Cr19Ni10|δ30|GB/T 4237-2015|热轧|GB/T 709-2006</t>
        </is>
      </c>
      <c r="E126" s="8" t="inlineStr">
        <is>
          <t>物资名称 热轧不锈钢板;物资简称 钢板;牌号 06Cr19Ni10;厚度 δ30;宽 ;长 ;技术标准号 GB/T 4237-2015;加工工艺 热轧;热处理工艺 ;特殊要求 ;规格标准号 GB/T 709-2006</t>
        </is>
      </c>
      <c r="F126" s="4" t="inlineStr">
        <is>
          <t>千克</t>
        </is>
      </c>
    </row>
    <row r="127" s="21">
      <c r="A127" s="8" t="inlineStr">
        <is>
          <t>100102</t>
        </is>
      </c>
      <c r="B127" s="8" t="inlineStr">
        <is>
          <t>热轧板材</t>
        </is>
      </c>
      <c r="C127" s="8" t="inlineStr">
        <is>
          <t>602207200</t>
        </is>
      </c>
      <c r="D127" s="8" t="inlineStr">
        <is>
          <t>热轧不锈钢板|钢板|06Cr19Ni10|δ50|GB/T 4237-2015|热轧|GB/T 709-2006</t>
        </is>
      </c>
      <c r="E127" s="8" t="inlineStr">
        <is>
          <t>物资名称 热轧不锈钢板;物资简称 钢板;牌号 06Cr19Ni10;厚度 δ50;宽 ;长 ;技术标准号 GB/T 4237-2015;加工工艺 热轧;热处理工艺 ;特殊要求 ;规格标准号 GB/T 709-2006</t>
        </is>
      </c>
      <c r="F127" s="4" t="inlineStr">
        <is>
          <t>千克</t>
        </is>
      </c>
    </row>
    <row r="128" s="21">
      <c r="A128" s="8" t="inlineStr">
        <is>
          <t>100102</t>
        </is>
      </c>
      <c r="B128" s="8" t="inlineStr">
        <is>
          <t>热轧板材</t>
        </is>
      </c>
      <c r="C128" s="8" t="inlineStr">
        <is>
          <t>602207100</t>
        </is>
      </c>
      <c r="D128" s="8" t="inlineStr">
        <is>
          <t>热轧不锈钢板|钢板|06Cr19Ni10|δ40|GB/T 4237-2015|热轧|GB/T 709-2006</t>
        </is>
      </c>
      <c r="E128" s="8" t="inlineStr">
        <is>
          <t>物资名称 热轧不锈钢板;物资简称 钢板;牌号 06Cr19Ni10;厚度 δ40;宽 ;长 ;技术标准号 GB/T 4237-2015;加工工艺 热轧;热处理工艺 ;特殊要求 ;规格标准号 GB/T 709-2006</t>
        </is>
      </c>
      <c r="F128" s="4" t="inlineStr">
        <is>
          <t>千克</t>
        </is>
      </c>
    </row>
    <row r="129" s="21">
      <c r="A129" s="8" t="inlineStr">
        <is>
          <t>100102</t>
        </is>
      </c>
      <c r="B129" s="8" t="inlineStr">
        <is>
          <t>热轧板材</t>
        </is>
      </c>
      <c r="C129" s="8" t="inlineStr">
        <is>
          <t>602207000</t>
        </is>
      </c>
      <c r="D129" s="8" t="inlineStr">
        <is>
          <t>热轧不锈钢板|钢板|06Cr19Ni10|δ18|GB/T 4237-2015|热轧|GB/T 709-2006</t>
        </is>
      </c>
      <c r="E129" s="8" t="inlineStr">
        <is>
          <t>物资名称 热轧不锈钢板;物资简称 钢板;牌号 06Cr19Ni10;厚度 δ18;宽 ;长 ;技术标准号 GB/T 4237-2015;加工工艺 热轧;热处理工艺 ;特殊要求 ;规格标准号 GB/T 709-2006</t>
        </is>
      </c>
      <c r="F129" s="4" t="inlineStr">
        <is>
          <t>千克</t>
        </is>
      </c>
    </row>
    <row r="130" s="21">
      <c r="A130" s="8" t="inlineStr">
        <is>
          <t>100102</t>
        </is>
      </c>
      <c r="B130" s="8" t="inlineStr">
        <is>
          <t>热轧板材</t>
        </is>
      </c>
      <c r="C130" s="8" t="inlineStr">
        <is>
          <t>602184200</t>
        </is>
      </c>
      <c r="D130" s="8" t="inlineStr">
        <is>
          <t>热轧优质碳素结构钢板|钢板|45|δ25|GB/T 711-2017|热轧|GB/T 709-2019</t>
        </is>
      </c>
      <c r="E130" s="8" t="inlineStr">
        <is>
          <t>物资名称 热轧优质碳素结构钢板;物资简称 钢板;牌号 45;厚度 δ25;宽 ;长 ;技术标准号 GB/T 711-2017;加工工艺 热轧;热处理工艺 ;特殊要求 ;规格标准号 GB/T 709-2019</t>
        </is>
      </c>
      <c r="F130" s="4" t="inlineStr">
        <is>
          <t>千克</t>
        </is>
      </c>
    </row>
    <row r="131" s="21">
      <c r="A131" s="8" t="inlineStr">
        <is>
          <t>100102</t>
        </is>
      </c>
      <c r="B131" s="8" t="inlineStr">
        <is>
          <t>热轧板材</t>
        </is>
      </c>
      <c r="C131" s="8" t="inlineStr">
        <is>
          <t>601445300</t>
        </is>
      </c>
      <c r="D131" s="8" t="inlineStr">
        <is>
          <t>热轧合金结构钢板|钢板|30CrMnSiA|GB/T 11251-2009|热轧|GB/T 709-2006</t>
        </is>
      </c>
      <c r="E131" s="8" t="inlineStr">
        <is>
          <t>物资名称 热轧合金结构钢板;物资简称 钢板;牌号 30CrMnSiA;厚度 δ;宽 ;长 ;技术标准号 GB/T 11251-2009;加工工艺 热轧;热处理工艺 ;特殊要求 ;规格标准号 GB/T 709-2006</t>
        </is>
      </c>
      <c r="F131" s="4" t="inlineStr">
        <is>
          <t>千克</t>
        </is>
      </c>
    </row>
    <row r="132" s="21">
      <c r="A132" s="8" t="inlineStr">
        <is>
          <t>100102</t>
        </is>
      </c>
      <c r="B132" s="8" t="inlineStr">
        <is>
          <t>热轧板材</t>
        </is>
      </c>
      <c r="C132" s="8" t="inlineStr">
        <is>
          <t>601417800</t>
        </is>
      </c>
      <c r="D132" s="8" t="inlineStr">
        <is>
          <t>热镀锌薄钢板|热镀锌薄钢板|Q235|GB/T 700-1988</t>
        </is>
      </c>
      <c r="E132" s="8" t="inlineStr">
        <is>
          <t xml:space="preserve">物资名称 热镀锌薄钢板;物资简称 热镀锌薄钢板;牌号 Q235;厚度 δ;宽 ;长 ;技术标准号 GB/T 700-1988;加工工艺 ;热处理工艺 ;特殊要求 ;规格标准号 </t>
        </is>
      </c>
      <c r="F132" s="4" t="inlineStr">
        <is>
          <t>千克</t>
        </is>
      </c>
    </row>
    <row r="133" s="21">
      <c r="A133" s="8" t="inlineStr">
        <is>
          <t>100102</t>
        </is>
      </c>
      <c r="B133" s="8" t="inlineStr">
        <is>
          <t>热轧板材</t>
        </is>
      </c>
      <c r="C133" s="8" t="inlineStr">
        <is>
          <t>600999300</t>
        </is>
      </c>
      <c r="D133" s="8" t="inlineStr">
        <is>
          <t>热轧优质碳素结构钢板|钢板|10|δ12|GB/T 711-2008|热轧|GB/T 709-2006</t>
        </is>
      </c>
      <c r="E133" s="8" t="inlineStr">
        <is>
          <t>物资名称 热轧优质碳素结构钢板;物资简称 钢板;牌号 10;厚度 δ12;宽 ;长 ;技术标准号 GB/T 711-2008;加工工艺 热轧;热处理工艺 ;特殊要求 ;规格标准号 GB/T 709-2006</t>
        </is>
      </c>
      <c r="F133" s="4" t="inlineStr">
        <is>
          <t>千克</t>
        </is>
      </c>
    </row>
    <row r="134" s="21">
      <c r="A134" s="8" t="inlineStr">
        <is>
          <t>100102</t>
        </is>
      </c>
      <c r="B134" s="8" t="inlineStr">
        <is>
          <t>热轧板材</t>
        </is>
      </c>
      <c r="C134" s="8" t="inlineStr">
        <is>
          <t>600998500</t>
        </is>
      </c>
      <c r="D134" s="8" t="inlineStr">
        <is>
          <t>热轧优质碳素结构钢板|钢板|45|δ7|GB/T699-1999|热轧</t>
        </is>
      </c>
      <c r="E134" s="8" t="inlineStr">
        <is>
          <t xml:space="preserve">物资名称 热轧优质碳素结构钢板;物资简称 钢板;牌号 45;厚度 δ7;宽 ;长 ;技术标准号 GB/T699-1999;加工工艺 热轧;热处理工艺 ;特殊要求 ;规格标准号 </t>
        </is>
      </c>
      <c r="F134" s="4" t="inlineStr">
        <is>
          <t>千克</t>
        </is>
      </c>
    </row>
    <row r="135" s="21">
      <c r="A135" s="8" t="inlineStr">
        <is>
          <t>100102</t>
        </is>
      </c>
      <c r="B135" s="8" t="inlineStr">
        <is>
          <t>热轧板材</t>
        </is>
      </c>
      <c r="C135" s="8" t="inlineStr">
        <is>
          <t>600940400</t>
        </is>
      </c>
      <c r="D135" s="8" t="inlineStr">
        <is>
          <t>钢板|钢板|0Cr18Ni9|GB/T 4237-1992</t>
        </is>
      </c>
      <c r="E135" s="8" t="inlineStr">
        <is>
          <t xml:space="preserve">物资名称 钢板;物资简称 钢板;牌号 0Cr18Ni9;厚度 δ;宽 ;长 ;技术标准号 GB/T 4237-1992;加工工艺 ;热处理工艺 ;特殊要求 ;规格标准号 </t>
        </is>
      </c>
      <c r="F135" s="4" t="inlineStr">
        <is>
          <t>千克</t>
        </is>
      </c>
    </row>
    <row r="136" s="21">
      <c r="A136" s="8" t="inlineStr">
        <is>
          <t>100102</t>
        </is>
      </c>
      <c r="B136" s="8" t="inlineStr">
        <is>
          <t>热轧板材</t>
        </is>
      </c>
      <c r="C136" s="8" t="inlineStr">
        <is>
          <t>600940300</t>
        </is>
      </c>
      <c r="D136" s="8" t="inlineStr">
        <is>
          <t>热镀锌薄钢板|热镀锌薄钢板|Q235-A|δ1.2-Y-A|GB/T 700-1988|GB 5066-85</t>
        </is>
      </c>
      <c r="E136" s="8" t="inlineStr">
        <is>
          <t>物资名称 热镀锌薄钢板;物资简称 热镀锌薄钢板;牌号 Q235-A;厚度 δ1.2-Y-A;宽 ;长 ;技术标准号 GB/T 700-1988;加工工艺 ;热处理工艺 ;特殊要求 ;规格标准号 GB 5066-85</t>
        </is>
      </c>
      <c r="F136" s="4" t="inlineStr">
        <is>
          <t>千克</t>
        </is>
      </c>
    </row>
    <row r="137" s="21">
      <c r="A137" s="8" t="inlineStr">
        <is>
          <t>100102</t>
        </is>
      </c>
      <c r="B137" s="8" t="inlineStr">
        <is>
          <t>热轧板材</t>
        </is>
      </c>
      <c r="C137" s="8" t="inlineStr">
        <is>
          <t>600940200</t>
        </is>
      </c>
      <c r="D137" s="8" t="inlineStr">
        <is>
          <t>钢板|钢板|20-Ⅱ-P|δB-0.5|GB/T 710-1991|GB/T 708-1988</t>
        </is>
      </c>
      <c r="E137" s="8" t="inlineStr">
        <is>
          <t>物资名称 钢板;物资简称 钢板;牌号 20-Ⅱ-P;厚度 δB-0.5;宽 ;长 ;技术标准号 GB/T 710-1991;加工工艺 ;热处理工艺 ;特殊要求 ;规格标准号 GB/T 708-1988</t>
        </is>
      </c>
      <c r="F137" s="4" t="inlineStr">
        <is>
          <t>千克</t>
        </is>
      </c>
    </row>
    <row r="138" s="21">
      <c r="A138" s="8" t="inlineStr">
        <is>
          <t>100102</t>
        </is>
      </c>
      <c r="B138" s="8" t="inlineStr">
        <is>
          <t>热轧板材</t>
        </is>
      </c>
      <c r="C138" s="8" t="inlineStr">
        <is>
          <t>600940100</t>
        </is>
      </c>
      <c r="D138" s="8" t="inlineStr">
        <is>
          <t>热镀锌薄钢板|热镀锌薄钢板|Q235-B.F|δ0.5-Y-A|GB/T 700-1988|YB 5131-1993</t>
        </is>
      </c>
      <c r="E138" s="8" t="inlineStr">
        <is>
          <t>物资名称 热镀锌薄钢板;物资简称 热镀锌薄钢板;牌号 Q235-B.F;厚度 δ0.5-Y-A;宽 ;长 ;技术标准号 GB/T 700-1988;加工工艺 ;热处理工艺 ;特殊要求 ;规格标准号 YB 5131-1993</t>
        </is>
      </c>
      <c r="F138" s="4" t="inlineStr">
        <is>
          <t>千克</t>
        </is>
      </c>
    </row>
    <row r="139" s="21">
      <c r="A139" s="8" t="inlineStr">
        <is>
          <t>100102</t>
        </is>
      </c>
      <c r="B139" s="8" t="inlineStr">
        <is>
          <t>热轧板材</t>
        </is>
      </c>
      <c r="C139" s="8" t="inlineStr">
        <is>
          <t>600940000</t>
        </is>
      </c>
      <c r="D139" s="8" t="inlineStr">
        <is>
          <t>热镀锌薄钢板|热镀锌薄钢板|Q235-B.F|δ1.5-Y-A|GB/T 700-1988|YB 5131-1993</t>
        </is>
      </c>
      <c r="E139" s="8" t="inlineStr">
        <is>
          <t>物资名称 热镀锌薄钢板;物资简称 热镀锌薄钢板;牌号 Q235-B.F;厚度 δ1.5-Y-A;宽 ;长 ;技术标准号 GB/T 700-1988;加工工艺 ;热处理工艺 ;特殊要求 ;规格标准号 YB 5131-1993</t>
        </is>
      </c>
      <c r="F139" s="4" t="inlineStr">
        <is>
          <t>千克</t>
        </is>
      </c>
    </row>
    <row r="140" s="21">
      <c r="A140" s="8" t="inlineStr">
        <is>
          <t>100102</t>
        </is>
      </c>
      <c r="B140" s="8" t="inlineStr">
        <is>
          <t>热轧板材</t>
        </is>
      </c>
      <c r="C140" s="8" t="inlineStr">
        <is>
          <t>600939900</t>
        </is>
      </c>
      <c r="D140" s="8" t="inlineStr">
        <is>
          <t>钢板|钢板|20-Ⅱ-P|δB-2|GB/T 710-1989|GB/T 708-1988</t>
        </is>
      </c>
      <c r="E140" s="8" t="inlineStr">
        <is>
          <t>物资名称 钢板;物资简称 钢板;牌号 20-Ⅱ-P;厚度 δB-2;宽 ;长 ;技术标准号 GB/T 710-1989;加工工艺 ;热处理工艺 ;特殊要求 ;规格标准号 GB/T 708-1988</t>
        </is>
      </c>
      <c r="F140" s="4" t="inlineStr">
        <is>
          <t>千克</t>
        </is>
      </c>
    </row>
    <row r="141" s="21">
      <c r="A141" s="8" t="inlineStr">
        <is>
          <t>100102</t>
        </is>
      </c>
      <c r="B141" s="8" t="inlineStr">
        <is>
          <t>热轧板材</t>
        </is>
      </c>
      <c r="C141" s="8" t="inlineStr">
        <is>
          <t>600939800</t>
        </is>
      </c>
      <c r="D141" s="8" t="inlineStr">
        <is>
          <t>钢板|钢板|20-Ⅱ-P|δB-1|GB/T 710-1991|GB/T 708-1988</t>
        </is>
      </c>
      <c r="E141" s="8" t="inlineStr">
        <is>
          <t>物资名称 钢板;物资简称 钢板;牌号 20-Ⅱ-P;厚度 δB-1;宽 ;长 ;技术标准号 GB/T 710-1991;加工工艺 ;热处理工艺 ;特殊要求 ;规格标准号 GB/T 708-1988</t>
        </is>
      </c>
      <c r="F141" s="4" t="inlineStr">
        <is>
          <t>千克</t>
        </is>
      </c>
    </row>
    <row r="142" s="21">
      <c r="A142" s="8" t="inlineStr">
        <is>
          <t>100102</t>
        </is>
      </c>
      <c r="B142" s="8" t="inlineStr">
        <is>
          <t>热轧板材</t>
        </is>
      </c>
      <c r="C142" s="8" t="inlineStr">
        <is>
          <t>600600100</t>
        </is>
      </c>
      <c r="D142" s="8" t="inlineStr">
        <is>
          <t>热轧钢板|钢板|Q235A|GB/T 3274-2007|GB/T 709-2006</t>
        </is>
      </c>
      <c r="E142" s="8" t="inlineStr">
        <is>
          <t>物资名称 热轧钢板;物资简称 钢板;牌号 Q235A;厚度 δ;宽 ;长 ;技术标准号 GB/T 3274-2007;加工工艺 ;热处理工艺 ;特殊要求 ;规格标准号 GB/T 709-2006</t>
        </is>
      </c>
      <c r="F142" s="4" t="inlineStr">
        <is>
          <t>千克</t>
        </is>
      </c>
    </row>
    <row r="143" s="21">
      <c r="A143" s="8" t="inlineStr">
        <is>
          <t>100102</t>
        </is>
      </c>
      <c r="B143" s="8" t="inlineStr">
        <is>
          <t>热轧板材</t>
        </is>
      </c>
      <c r="C143" s="8" t="inlineStr">
        <is>
          <t>600600000</t>
        </is>
      </c>
      <c r="D143" s="8" t="inlineStr">
        <is>
          <t>热轧钢板|钢板|Q235A|δ4|GB/T 3274-2007|热轧|GB/T 709-2006</t>
        </is>
      </c>
      <c r="E143" s="8" t="inlineStr">
        <is>
          <t>物资名称 热轧钢板;物资简称 钢板;牌号 Q235A;厚度 δ4;宽 ;长 ;技术标准号 GB/T 3274-2007;加工工艺 热轧;热处理工艺 ;特殊要求 ;规格标准号 GB/T 709-2006</t>
        </is>
      </c>
      <c r="F143" s="4" t="inlineStr">
        <is>
          <t>千克</t>
        </is>
      </c>
    </row>
    <row r="144" s="21">
      <c r="A144" s="8" t="inlineStr">
        <is>
          <t>100102</t>
        </is>
      </c>
      <c r="B144" s="8" t="inlineStr">
        <is>
          <t>热轧板材</t>
        </is>
      </c>
      <c r="C144" s="8" t="inlineStr">
        <is>
          <t>600599900</t>
        </is>
      </c>
      <c r="D144" s="8" t="inlineStr">
        <is>
          <t>热轧钢板|钢板|Q235A|δ6|GB/T 3274-2007|热轧|GB/T 709-2006</t>
        </is>
      </c>
      <c r="E144" s="8" t="inlineStr">
        <is>
          <t>物资名称 热轧钢板;物资简称 钢板;牌号 Q235A;厚度 δ6;宽 ;长 ;技术标准号 GB/T 3274-2007;加工工艺 热轧;热处理工艺 ;特殊要求 ;规格标准号 GB/T 709-2006</t>
        </is>
      </c>
      <c r="F144" s="4" t="inlineStr">
        <is>
          <t>千克</t>
        </is>
      </c>
    </row>
    <row r="145" s="21">
      <c r="A145" s="8" t="inlineStr">
        <is>
          <t>100102</t>
        </is>
      </c>
      <c r="B145" s="8" t="inlineStr">
        <is>
          <t>热轧板材</t>
        </is>
      </c>
      <c r="C145" s="8" t="inlineStr">
        <is>
          <t>600599800</t>
        </is>
      </c>
      <c r="D145" s="8" t="inlineStr">
        <is>
          <t>热轧钢板|钢板|Q235A|δ5|GB/T 3274-2007|热轧|GB/T 709-2006</t>
        </is>
      </c>
      <c r="E145" s="8" t="inlineStr">
        <is>
          <t>物资名称 热轧钢板;物资简称 钢板;牌号 Q235A;厚度 δ5;宽 ;长 ;技术标准号 GB/T 3274-2007;加工工艺 热轧;热处理工艺 ;特殊要求 ;规格标准号 GB/T 709-2006</t>
        </is>
      </c>
      <c r="F145" s="4" t="inlineStr">
        <is>
          <t>千克</t>
        </is>
      </c>
    </row>
    <row r="146" s="21">
      <c r="A146" s="8" t="inlineStr">
        <is>
          <t>100102</t>
        </is>
      </c>
      <c r="B146" s="8" t="inlineStr">
        <is>
          <t>热轧板材</t>
        </is>
      </c>
      <c r="C146" s="8" t="inlineStr">
        <is>
          <t>600599700</t>
        </is>
      </c>
      <c r="D146" s="8" t="inlineStr">
        <is>
          <t>热轧钢板|钢板|Q235A|δ8|GB/T 3274-2007|热轧|GB/T 709-2006</t>
        </is>
      </c>
      <c r="E146" s="8" t="inlineStr">
        <is>
          <t>物资名称 热轧钢板;物资简称 钢板;牌号 Q235A;厚度 δ8;宽 ;长 ;技术标准号 GB/T 3274-2007;加工工艺 热轧;热处理工艺 ;特殊要求 ;规格标准号 GB/T 709-2006</t>
        </is>
      </c>
      <c r="F146" s="4" t="inlineStr">
        <is>
          <t>千克</t>
        </is>
      </c>
    </row>
    <row r="147" s="21">
      <c r="A147" s="8" t="inlineStr">
        <is>
          <t>100102</t>
        </is>
      </c>
      <c r="B147" s="8" t="inlineStr">
        <is>
          <t>热轧板材</t>
        </is>
      </c>
      <c r="C147" s="8" t="inlineStr">
        <is>
          <t>600599600</t>
        </is>
      </c>
      <c r="D147" s="8" t="inlineStr">
        <is>
          <t>热轧钢板|钢板|Q235A|δ10|GB/T 3274-2007|热轧|GB/T 709-2006</t>
        </is>
      </c>
      <c r="E147" s="8" t="inlineStr">
        <is>
          <t>物资名称 热轧钢板;物资简称 钢板;牌号 Q235A;厚度 δ10;宽 ;长 ;技术标准号 GB/T 3274-2007;加工工艺 热轧;热处理工艺 ;特殊要求 ;规格标准号 GB/T 709-2006</t>
        </is>
      </c>
      <c r="F147" s="4" t="inlineStr">
        <is>
          <t>千克</t>
        </is>
      </c>
    </row>
    <row r="148" s="21">
      <c r="A148" s="8" t="inlineStr">
        <is>
          <t>100102</t>
        </is>
      </c>
      <c r="B148" s="8" t="inlineStr">
        <is>
          <t>热轧板材</t>
        </is>
      </c>
      <c r="C148" s="8" t="inlineStr">
        <is>
          <t>600599500</t>
        </is>
      </c>
      <c r="D148" s="8" t="inlineStr">
        <is>
          <t>热轧钢板|钢板|Q235A|δ20|GB/T 3274-2007|热轧|GB/T 709-2006</t>
        </is>
      </c>
      <c r="E148" s="8" t="inlineStr">
        <is>
          <t>物资名称 热轧钢板;物资简称 钢板;牌号 Q235A;厚度 δ20;宽 ;长 ;技术标准号 GB/T 3274-2007;加工工艺 热轧;热处理工艺 ;特殊要求 ;规格标准号 GB/T 709-2006</t>
        </is>
      </c>
      <c r="F148" s="4" t="inlineStr">
        <is>
          <t>千克</t>
        </is>
      </c>
    </row>
    <row r="149" s="21">
      <c r="A149" s="8" t="inlineStr">
        <is>
          <t>100102</t>
        </is>
      </c>
      <c r="B149" s="8" t="inlineStr">
        <is>
          <t>热轧板材</t>
        </is>
      </c>
      <c r="C149" s="8" t="inlineStr">
        <is>
          <t>600599400</t>
        </is>
      </c>
      <c r="D149" s="8" t="inlineStr">
        <is>
          <t>热轧钢板|钢板|Q235A|δ30|GB/T 3274-2007|热轧|GB/T 709-2006</t>
        </is>
      </c>
      <c r="E149" s="8" t="inlineStr">
        <is>
          <t>物资名称 热轧钢板;物资简称 钢板;牌号 Q235A;厚度 δ30;宽 ;长 ;技术标准号 GB/T 3274-2007;加工工艺 热轧;热处理工艺 ;特殊要求 ;规格标准号 GB/T 709-2006</t>
        </is>
      </c>
      <c r="F149" s="4" t="inlineStr">
        <is>
          <t>千克</t>
        </is>
      </c>
    </row>
    <row r="150" s="21">
      <c r="A150" s="8" t="inlineStr">
        <is>
          <t>100102</t>
        </is>
      </c>
      <c r="B150" s="8" t="inlineStr">
        <is>
          <t>热轧板材</t>
        </is>
      </c>
      <c r="C150" s="8" t="inlineStr">
        <is>
          <t>600599300</t>
        </is>
      </c>
      <c r="D150" s="8" t="inlineStr">
        <is>
          <t>热轧钢板|钢板|Q235A|δ35|GB/T 3274-2007|热轧|GB/T 709-2006</t>
        </is>
      </c>
      <c r="E150" s="8" t="inlineStr">
        <is>
          <t>物资名称 热轧钢板;物资简称 钢板;牌号 Q235A;厚度 δ35;宽 ;长 ;技术标准号 GB/T 3274-2007;加工工艺 热轧;热处理工艺 ;特殊要求 ;规格标准号 GB/T 709-2006</t>
        </is>
      </c>
      <c r="F150" s="4" t="inlineStr">
        <is>
          <t>千克</t>
        </is>
      </c>
    </row>
    <row r="151" s="21">
      <c r="A151" s="8" t="inlineStr">
        <is>
          <t>100102</t>
        </is>
      </c>
      <c r="B151" s="8" t="inlineStr">
        <is>
          <t>热轧板材</t>
        </is>
      </c>
      <c r="C151" s="8" t="inlineStr">
        <is>
          <t>600599200</t>
        </is>
      </c>
      <c r="D151" s="8" t="inlineStr">
        <is>
          <t>热轧优质碳素结构钢板|钢板|8Al|GB/T 710-2008|GB/T 709-2006</t>
        </is>
      </c>
      <c r="E151" s="8" t="inlineStr">
        <is>
          <t>物资名称 热轧优质碳素结构钢板;物资简称 钢板;牌号 8Al;厚度 δ;宽 ;长 ;技术标准号 GB/T 710-2008;加工工艺 ;热处理工艺 ;特殊要求 ;规格标准号 GB/T 709-2006</t>
        </is>
      </c>
      <c r="F151" s="4" t="inlineStr">
        <is>
          <t>千克</t>
        </is>
      </c>
    </row>
    <row r="152" s="21">
      <c r="A152" s="8" t="inlineStr">
        <is>
          <t>100102</t>
        </is>
      </c>
      <c r="B152" s="8" t="inlineStr">
        <is>
          <t>热轧板材</t>
        </is>
      </c>
      <c r="C152" s="8" t="inlineStr">
        <is>
          <t>600599100</t>
        </is>
      </c>
      <c r="D152" s="8" t="inlineStr">
        <is>
          <t>热轧优质碳素结构钢板|钢板|8Al|δ5|GB/T 710-2008|热轧|GB/T 709-2006</t>
        </is>
      </c>
      <c r="E152" s="8" t="inlineStr">
        <is>
          <t>物资名称 热轧优质碳素结构钢板;物资简称 钢板;牌号 8Al;厚度 δ5;宽 ;长 ;技术标准号 GB/T 710-2008;加工工艺 热轧;热处理工艺 ;特殊要求 ;规格标准号 GB/T 709-2006</t>
        </is>
      </c>
      <c r="F152" s="4" t="inlineStr">
        <is>
          <t>千克</t>
        </is>
      </c>
    </row>
    <row r="153" s="21">
      <c r="A153" s="8" t="inlineStr">
        <is>
          <t>100102</t>
        </is>
      </c>
      <c r="B153" s="8" t="inlineStr">
        <is>
          <t>热轧板材</t>
        </is>
      </c>
      <c r="C153" s="8" t="inlineStr">
        <is>
          <t>600599000</t>
        </is>
      </c>
      <c r="D153" s="8" t="inlineStr">
        <is>
          <t>热轧优质碳素结构钢板|钢板|20|GB/T 710-2008|GB/T 709-2006</t>
        </is>
      </c>
      <c r="E153" s="8" t="inlineStr">
        <is>
          <t>物资名称 热轧优质碳素结构钢板;物资简称 钢板;牌号 20;厚度 δ;宽 ;长 ;技术标准号 GB/T 710-2008;加工工艺 ;热处理工艺 ;特殊要求 ;规格标准号 GB/T 709-2006</t>
        </is>
      </c>
      <c r="F153" s="4" t="inlineStr">
        <is>
          <t>千克</t>
        </is>
      </c>
    </row>
    <row r="154" s="21">
      <c r="A154" s="8" t="inlineStr">
        <is>
          <t>100102</t>
        </is>
      </c>
      <c r="B154" s="8" t="inlineStr">
        <is>
          <t>热轧板材</t>
        </is>
      </c>
      <c r="C154" s="8" t="inlineStr">
        <is>
          <t>600598900</t>
        </is>
      </c>
      <c r="D154" s="8" t="inlineStr">
        <is>
          <t>热轧优质碳素结构钢板|钢板|20|δ1.5|GB/T 710-2008|热轧|GB/T 709-2006</t>
        </is>
      </c>
      <c r="E154" s="8" t="inlineStr">
        <is>
          <t>物资名称 热轧优质碳素结构钢板;物资简称 钢板;牌号 20;厚度 δ1.5;宽 ;长 ;技术标准号 GB/T 710-2008;加工工艺 热轧;热处理工艺 ;特殊要求 ;规格标准号 GB/T 709-2006</t>
        </is>
      </c>
      <c r="F154" s="4" t="inlineStr">
        <is>
          <t>千克</t>
        </is>
      </c>
    </row>
    <row r="155" s="21">
      <c r="A155" s="8" t="inlineStr">
        <is>
          <t>100102</t>
        </is>
      </c>
      <c r="B155" s="8" t="inlineStr">
        <is>
          <t>热轧板材</t>
        </is>
      </c>
      <c r="C155" s="8" t="inlineStr">
        <is>
          <t>600598800</t>
        </is>
      </c>
      <c r="D155" s="8" t="inlineStr">
        <is>
          <t>热轧优质碳素结构钢板|钢板|20|δ2|GB/T 710-2008|热轧|GB/T 709-2006</t>
        </is>
      </c>
      <c r="E155" s="8" t="inlineStr">
        <is>
          <t>物资名称 热轧优质碳素结构钢板;物资简称 钢板;牌号 20;厚度 δ2;宽 ;长 ;技术标准号 GB/T 710-2008;加工工艺 热轧;热处理工艺 ;特殊要求 ;规格标准号 GB/T 709-2006</t>
        </is>
      </c>
      <c r="F155" s="4" t="inlineStr">
        <is>
          <t>千克</t>
        </is>
      </c>
    </row>
    <row r="156" s="21">
      <c r="A156" s="8" t="inlineStr">
        <is>
          <t>100102</t>
        </is>
      </c>
      <c r="B156" s="8" t="inlineStr">
        <is>
          <t>热轧板材</t>
        </is>
      </c>
      <c r="C156" s="8" t="inlineStr">
        <is>
          <t>600598700</t>
        </is>
      </c>
      <c r="D156" s="8" t="inlineStr">
        <is>
          <t>热轧优质碳素结构钢板|钢板|20|δ2.5|GB/T 710-2008|热轧|GB/T 709-2006</t>
        </is>
      </c>
      <c r="E156" s="8" t="inlineStr">
        <is>
          <t>物资名称 热轧优质碳素结构钢板;物资简称 钢板;牌号 20;厚度 δ2.5;宽 ;长 ;技术标准号 GB/T 710-2008;加工工艺 热轧;热处理工艺 ;特殊要求 ;规格标准号 GB/T 709-2006</t>
        </is>
      </c>
      <c r="F156" s="4" t="inlineStr">
        <is>
          <t>千克</t>
        </is>
      </c>
    </row>
    <row r="157" s="21">
      <c r="A157" s="8" t="inlineStr">
        <is>
          <t>100102</t>
        </is>
      </c>
      <c r="B157" s="8" t="inlineStr">
        <is>
          <t>热轧板材</t>
        </is>
      </c>
      <c r="C157" s="8" t="inlineStr">
        <is>
          <t>600598600</t>
        </is>
      </c>
      <c r="D157" s="8" t="inlineStr">
        <is>
          <t>热轧优质碳素结构钢板|钢板|20|δ4|GB/T 711-2008|热轧|GB/T 709-2006</t>
        </is>
      </c>
      <c r="E157" s="8" t="inlineStr">
        <is>
          <t>物资名称 热轧优质碳素结构钢板;物资简称 钢板;牌号 20;厚度 δ4;宽 ;长 ;技术标准号 GB/T 711-2008;加工工艺 热轧;热处理工艺 ;特殊要求 ;规格标准号 GB/T 709-2006</t>
        </is>
      </c>
      <c r="F157" s="4" t="inlineStr">
        <is>
          <t>千克</t>
        </is>
      </c>
    </row>
    <row r="158" s="21">
      <c r="A158" s="8" t="inlineStr">
        <is>
          <t>100102</t>
        </is>
      </c>
      <c r="B158" s="8" t="inlineStr">
        <is>
          <t>热轧板材</t>
        </is>
      </c>
      <c r="C158" s="8" t="inlineStr">
        <is>
          <t>600598500</t>
        </is>
      </c>
      <c r="D158" s="8" t="inlineStr">
        <is>
          <t>热轧优质碳素结构钢板|钢板|20|δ5|GB/T 711-2008|热轧|GB/T 709-2006</t>
        </is>
      </c>
      <c r="E158" s="8" t="inlineStr">
        <is>
          <t>物资名称 热轧优质碳素结构钢板;物资简称 钢板;牌号 20;厚度 δ5;宽 ;长 ;技术标准号 GB/T 711-2008;加工工艺 热轧;热处理工艺 ;特殊要求 ;规格标准号 GB/T 709-2006</t>
        </is>
      </c>
      <c r="F158" s="4" t="inlineStr">
        <is>
          <t>千克</t>
        </is>
      </c>
    </row>
    <row r="159" s="21">
      <c r="A159" s="8" t="inlineStr">
        <is>
          <t>100102</t>
        </is>
      </c>
      <c r="B159" s="8" t="inlineStr">
        <is>
          <t>热轧板材</t>
        </is>
      </c>
      <c r="C159" s="8" t="inlineStr">
        <is>
          <t>600598400</t>
        </is>
      </c>
      <c r="D159" s="8" t="inlineStr">
        <is>
          <t>热轧优质碳素结构钢板|钢板|25|GB/T 711-2008|GB/T 709-2006</t>
        </is>
      </c>
      <c r="E159" s="8" t="inlineStr">
        <is>
          <t>物资名称 热轧优质碳素结构钢板;物资简称 钢板;牌号 25;厚度 ;宽 ;长 ;技术标准号 GB/T 711-2008;加工工艺 ;热处理工艺 ;特殊要求 ;规格标准号 GB/T 709-2006</t>
        </is>
      </c>
      <c r="F159" s="4" t="inlineStr">
        <is>
          <t>千克</t>
        </is>
      </c>
    </row>
    <row r="160" s="21">
      <c r="A160" s="8" t="inlineStr">
        <is>
          <t>100102</t>
        </is>
      </c>
      <c r="B160" s="8" t="inlineStr">
        <is>
          <t>热轧板材</t>
        </is>
      </c>
      <c r="C160" s="8" t="inlineStr">
        <is>
          <t>600598300</t>
        </is>
      </c>
      <c r="D160" s="8" t="inlineStr">
        <is>
          <t>热轧优质碳素结构钢板|钢板|25|δ12|GB/T 711-2008|热轧|GB/T 709-2006</t>
        </is>
      </c>
      <c r="E160" s="8" t="inlineStr">
        <is>
          <t>物资名称 热轧优质碳素结构钢板;物资简称 钢板;牌号 25;厚度 δ12;宽 ;长 ;技术标准号 GB/T 711-2008;加工工艺 热轧;热处理工艺 ;特殊要求 ;规格标准号 GB/T 709-2006</t>
        </is>
      </c>
      <c r="F160" s="4" t="inlineStr">
        <is>
          <t>千克</t>
        </is>
      </c>
    </row>
    <row r="161" s="21">
      <c r="A161" s="8" t="inlineStr">
        <is>
          <t>100102</t>
        </is>
      </c>
      <c r="B161" s="8" t="inlineStr">
        <is>
          <t>热轧板材</t>
        </is>
      </c>
      <c r="C161" s="8" t="inlineStr">
        <is>
          <t>600598200</t>
        </is>
      </c>
      <c r="D161" s="8" t="inlineStr">
        <is>
          <t>热轧优质碳素结构钢板|钢板|35|GB/T 710-2008|GB/T 709-2006</t>
        </is>
      </c>
      <c r="E161" s="8" t="inlineStr">
        <is>
          <t>物资名称 热轧优质碳素结构钢板;物资简称 钢板;牌号 35;厚度 δ;宽 ;长 ;技术标准号 GB/T 710-2008;加工工艺 ;热处理工艺 ;特殊要求 ;规格标准号 GB/T 709-2006</t>
        </is>
      </c>
      <c r="F161" s="4" t="inlineStr">
        <is>
          <t>千克</t>
        </is>
      </c>
    </row>
    <row r="162" s="21">
      <c r="A162" s="8" t="inlineStr">
        <is>
          <t>100102</t>
        </is>
      </c>
      <c r="B162" s="8" t="inlineStr">
        <is>
          <t>热轧板材</t>
        </is>
      </c>
      <c r="C162" s="8" t="inlineStr">
        <is>
          <t>600598100</t>
        </is>
      </c>
      <c r="D162" s="8" t="inlineStr">
        <is>
          <t>热轧优质碳素结构钢板|钢板|35|δ1.5|GB/T 710-2008|热轧|GB/T 709-2006</t>
        </is>
      </c>
      <c r="E162" s="8" t="inlineStr">
        <is>
          <t>物资名称 热轧优质碳素结构钢板;物资简称 钢板;牌号 35;厚度 δ1.5;宽 ;长 ;技术标准号 GB/T 710-2008;加工工艺 热轧;热处理工艺 ;特殊要求 ;规格标准号 GB/T 709-2006</t>
        </is>
      </c>
      <c r="F162" s="4" t="inlineStr">
        <is>
          <t>千克</t>
        </is>
      </c>
    </row>
    <row r="163" s="21">
      <c r="A163" s="8" t="inlineStr">
        <is>
          <t>100102</t>
        </is>
      </c>
      <c r="B163" s="8" t="inlineStr">
        <is>
          <t>热轧板材</t>
        </is>
      </c>
      <c r="C163" s="8" t="inlineStr">
        <is>
          <t>600598000</t>
        </is>
      </c>
      <c r="D163" s="8" t="inlineStr">
        <is>
          <t>热轧优质碳素结构钢板|钢板|45|GB/T 711-2008|GB/T 709-2006</t>
        </is>
      </c>
      <c r="E163" s="8" t="inlineStr">
        <is>
          <t>物资名称 热轧优质碳素结构钢板;物资简称 钢板;牌号 45;厚度 ;宽 ;长 ;技术标准号 GB/T 711-2008;加工工艺 ;热处理工艺 ;特殊要求 ;规格标准号 GB/T 709-2006</t>
        </is>
      </c>
      <c r="F163" s="4" t="inlineStr">
        <is>
          <t>千克</t>
        </is>
      </c>
    </row>
    <row r="164" s="21">
      <c r="A164" s="8" t="inlineStr">
        <is>
          <t>100102</t>
        </is>
      </c>
      <c r="B164" s="8" t="inlineStr">
        <is>
          <t>热轧板材</t>
        </is>
      </c>
      <c r="C164" s="8" t="inlineStr">
        <is>
          <t>600597900</t>
        </is>
      </c>
      <c r="D164" s="8" t="inlineStr">
        <is>
          <t>热轧优质碳素结构钢板|钢板|45|δ6|GB/T 711-2008|热轧|GB/T 709-2006</t>
        </is>
      </c>
      <c r="E164" s="8" t="inlineStr">
        <is>
          <t>物资名称 热轧优质碳素结构钢板;物资简称 钢板;牌号 45;厚度 δ6;宽 ;长 ;技术标准号 GB/T 711-2008;加工工艺 热轧;热处理工艺 ;特殊要求 ;规格标准号 GB/T 709-2006</t>
        </is>
      </c>
      <c r="F164" s="4" t="inlineStr">
        <is>
          <t>千克</t>
        </is>
      </c>
    </row>
    <row r="165" s="21">
      <c r="A165" s="8" t="inlineStr">
        <is>
          <t>100102</t>
        </is>
      </c>
      <c r="B165" s="8" t="inlineStr">
        <is>
          <t>热轧板材</t>
        </is>
      </c>
      <c r="C165" s="8" t="inlineStr">
        <is>
          <t>600597800</t>
        </is>
      </c>
      <c r="D165" s="8" t="inlineStr">
        <is>
          <t>热轧优质碳素结构钢板|钢板|45|δ8|GB/T 711-2008|热轧|GB/T 709-2006</t>
        </is>
      </c>
      <c r="E165" s="8" t="inlineStr">
        <is>
          <t>物资名称 热轧优质碳素结构钢板;物资简称 钢板;牌号 45;厚度 δ8;宽 ;长 ;技术标准号 GB/T 711-2008;加工工艺 热轧;热处理工艺 ;特殊要求 ;规格标准号 GB/T 709-2006</t>
        </is>
      </c>
      <c r="F165" s="4" t="inlineStr">
        <is>
          <t>千克</t>
        </is>
      </c>
    </row>
    <row r="166" s="21">
      <c r="A166" s="8" t="inlineStr">
        <is>
          <t>100102</t>
        </is>
      </c>
      <c r="B166" s="8" t="inlineStr">
        <is>
          <t>热轧板材</t>
        </is>
      </c>
      <c r="C166" s="8" t="inlineStr">
        <is>
          <t>600597700</t>
        </is>
      </c>
      <c r="D166" s="8" t="inlineStr">
        <is>
          <t>热轧优质碳素结构钢板|钢板|45|δ10|GB/T 711-2008|热轧|GB/T 709-2006</t>
        </is>
      </c>
      <c r="E166" s="8" t="inlineStr">
        <is>
          <t>物资名称 热轧优质碳素结构钢板;物资简称 钢板;牌号 45;厚度 δ10;宽 ;长 ;技术标准号 GB/T 711-2008;加工工艺 热轧;热处理工艺 ;特殊要求 ;规格标准号 GB/T 709-2006</t>
        </is>
      </c>
      <c r="F166" s="4" t="inlineStr">
        <is>
          <t>千克</t>
        </is>
      </c>
    </row>
    <row r="167" s="21">
      <c r="A167" s="8" t="inlineStr">
        <is>
          <t>100102</t>
        </is>
      </c>
      <c r="B167" s="8" t="inlineStr">
        <is>
          <t>热轧板材</t>
        </is>
      </c>
      <c r="C167" s="8" t="inlineStr">
        <is>
          <t>600597600</t>
        </is>
      </c>
      <c r="D167" s="8" t="inlineStr">
        <is>
          <t>热轧优质碳素结构钢板|钢板|45|δ12|GB/T 711-2008|热轧|GB/T 709-2006</t>
        </is>
      </c>
      <c r="E167" s="8" t="inlineStr">
        <is>
          <t>物资名称 热轧优质碳素结构钢板;物资简称 钢板;牌号 45;厚度 δ12;宽 ;长 ;技术标准号 GB/T 711-2008;加工工艺 热轧;热处理工艺 ;特殊要求 ;规格标准号 GB/T 709-2006</t>
        </is>
      </c>
      <c r="F167" s="4" t="inlineStr">
        <is>
          <t>千克</t>
        </is>
      </c>
    </row>
    <row r="168" s="21">
      <c r="A168" s="8" t="inlineStr">
        <is>
          <t>100102</t>
        </is>
      </c>
      <c r="B168" s="8" t="inlineStr">
        <is>
          <t>热轧板材</t>
        </is>
      </c>
      <c r="C168" s="8" t="inlineStr">
        <is>
          <t>600597500</t>
        </is>
      </c>
      <c r="D168" s="8" t="inlineStr">
        <is>
          <t>热轧优质碳素结构钢板|钢板|45|δ15|GB/T 711-2008|热轧|GB/T 709-2006</t>
        </is>
      </c>
      <c r="E168" s="8" t="inlineStr">
        <is>
          <t>物资名称 热轧优质碳素结构钢板;物资简称 钢板;牌号 45;厚度 δ15;宽 ;长 ;技术标准号 GB/T 711-2008;加工工艺 热轧;热处理工艺 ;特殊要求 ;规格标准号 GB/T 709-2006</t>
        </is>
      </c>
      <c r="F168" s="4" t="inlineStr">
        <is>
          <t>千克</t>
        </is>
      </c>
    </row>
    <row r="169" s="21">
      <c r="A169" s="8" t="inlineStr">
        <is>
          <t>100102</t>
        </is>
      </c>
      <c r="B169" s="8" t="inlineStr">
        <is>
          <t>热轧板材</t>
        </is>
      </c>
      <c r="C169" s="8" t="inlineStr">
        <is>
          <t>600597400</t>
        </is>
      </c>
      <c r="D169" s="8" t="inlineStr">
        <is>
          <t>热轧优质碳素结构钢板|钢板|45|δ20|GB/T 711-2008|热轧|GB/T 709-2006</t>
        </is>
      </c>
      <c r="E169" s="8" t="inlineStr">
        <is>
          <t>物资名称 热轧优质碳素结构钢板;物资简称 钢板;牌号 45;厚度 δ20;宽 ;长 ;技术标准号 GB/T 711-2008;加工工艺 热轧;热处理工艺 ;特殊要求 ;规格标准号 GB/T 709-2006</t>
        </is>
      </c>
      <c r="F169" s="4" t="inlineStr">
        <is>
          <t>千克</t>
        </is>
      </c>
    </row>
    <row r="170" s="21">
      <c r="A170" s="8" t="inlineStr">
        <is>
          <t>100102</t>
        </is>
      </c>
      <c r="B170" s="8" t="inlineStr">
        <is>
          <t>热轧板材</t>
        </is>
      </c>
      <c r="C170" s="8" t="inlineStr">
        <is>
          <t>600597300</t>
        </is>
      </c>
      <c r="D170" s="8" t="inlineStr">
        <is>
          <t>热轧优质碳素结构钢板|钢板|45|δ35|GB/T 711-2008|热轧|GB/T 709-2006</t>
        </is>
      </c>
      <c r="E170" s="8" t="inlineStr">
        <is>
          <t>物资名称 热轧优质碳素结构钢板;物资简称 钢板;牌号 45;厚度 δ35;宽 ;长 ;技术标准号 GB/T 711-2008;加工工艺 热轧;热处理工艺 ;特殊要求 ;规格标准号 GB/T 709-2006</t>
        </is>
      </c>
      <c r="F170" s="4" t="inlineStr">
        <is>
          <t>千克</t>
        </is>
      </c>
    </row>
    <row r="171" s="21">
      <c r="A171" s="8" t="inlineStr">
        <is>
          <t>100102</t>
        </is>
      </c>
      <c r="B171" s="8" t="inlineStr">
        <is>
          <t>热轧板材</t>
        </is>
      </c>
      <c r="C171" s="8" t="inlineStr">
        <is>
          <t>600597200</t>
        </is>
      </c>
      <c r="D171" s="8" t="inlineStr">
        <is>
          <t>热轧优质碳素结构钢板|钢板|45|δ40|GB/T 711-2008|热轧|GB/T 709-2006</t>
        </is>
      </c>
      <c r="E171" s="8" t="inlineStr">
        <is>
          <t>物资名称 热轧优质碳素结构钢板;物资简称 钢板;牌号 45;厚度 δ40;宽 ;长 ;技术标准号 GB/T 711-2008;加工工艺 热轧;热处理工艺 ;特殊要求 ;规格标准号 GB/T 709-2006</t>
        </is>
      </c>
      <c r="F171" s="4" t="inlineStr">
        <is>
          <t>千克</t>
        </is>
      </c>
    </row>
    <row r="172" s="21">
      <c r="A172" s="8" t="inlineStr">
        <is>
          <t>100102</t>
        </is>
      </c>
      <c r="B172" s="8" t="inlineStr">
        <is>
          <t>热轧板材</t>
        </is>
      </c>
      <c r="C172" s="8" t="inlineStr">
        <is>
          <t>600597100</t>
        </is>
      </c>
      <c r="D172" s="8" t="inlineStr">
        <is>
          <t>热轧优质碳素结构钢板|钢板|45|δ55|GB/T 711-2008|热轧|GB/T 709-2006</t>
        </is>
      </c>
      <c r="E172" s="8" t="inlineStr">
        <is>
          <t>物资名称 热轧优质碳素结构钢板;物资简称 钢板;牌号 45;厚度 δ55;宽 ;长 ;技术标准号 GB/T 711-2008;加工工艺 热轧;热处理工艺 ;特殊要求 ;规格标准号 GB/T 709-2006</t>
        </is>
      </c>
      <c r="F172" s="4" t="inlineStr">
        <is>
          <t>千克</t>
        </is>
      </c>
    </row>
    <row r="173" s="21">
      <c r="A173" s="8" t="inlineStr">
        <is>
          <t>100199</t>
        </is>
      </c>
      <c r="B173" s="8" t="inlineStr">
        <is>
          <t>其他板材</t>
        </is>
      </c>
      <c r="C173" s="8" t="inlineStr">
        <is>
          <t>601498400</t>
        </is>
      </c>
      <c r="D173" s="8" t="inlineStr">
        <is>
          <t>钛板|钛板|TA15 M|δ2|100|100|XJ/BS 5282-2004</t>
        </is>
      </c>
      <c r="E173" s="8" t="inlineStr">
        <is>
          <t xml:space="preserve">物资名称 钛板;物资简称 钛板;牌号 TA15 M;厚度 δ2;宽 100;长 100;技术标准号 XJ/BS 5282-2004;加工工艺 ;热处理工艺 ;特殊要求 ;规格标准号 </t>
        </is>
      </c>
      <c r="F173" s="4" t="inlineStr">
        <is>
          <t>把</t>
        </is>
      </c>
    </row>
    <row r="174" s="21">
      <c r="A174" s="8" t="inlineStr">
        <is>
          <t>100201</t>
        </is>
      </c>
      <c r="B174" s="8" t="inlineStr">
        <is>
          <t>圆钢</t>
        </is>
      </c>
      <c r="C174" s="8" t="inlineStr">
        <is>
          <t>603571900</t>
        </is>
      </c>
      <c r="D174" s="8" t="inlineStr">
        <is>
          <t>热轧航空用不锈圆钢|圆钢|2Cr13Ni2|Φ18|YB675-1973|热轧</t>
        </is>
      </c>
      <c r="E174" s="8" t="inlineStr">
        <is>
          <t>物资名称 热轧航空用不锈圆钢;物资简称 圆钢;牌号 2Cr13Ni2;直径 Φ18;技术标准号 YB675-1973;加工工艺 热轧;热处理工艺 ;特殊要求 ;规格标准号</t>
        </is>
      </c>
      <c r="F174" s="4" t="inlineStr">
        <is>
          <t>千克</t>
        </is>
      </c>
    </row>
    <row r="175" s="21">
      <c r="A175" s="8" t="inlineStr">
        <is>
          <t>100201</t>
        </is>
      </c>
      <c r="B175" s="8" t="inlineStr">
        <is>
          <t>圆钢</t>
        </is>
      </c>
      <c r="C175" s="8" t="inlineStr">
        <is>
          <t>603571800</t>
        </is>
      </c>
      <c r="D175" s="8" t="inlineStr">
        <is>
          <t>热轧优质碳素结构圆钢|圆钢|45|Φ60|GB/T 699-2015|热轧|GB/T 702-2017</t>
        </is>
      </c>
      <c r="E175" s="8" t="inlineStr">
        <is>
          <t>物资名称 热轧优质碳素结构圆钢;物资简称 圆钢;牌号 45;直径 Φ60;技术标准号 GB/T 699-2015;加工工艺 热轧;热处理工艺 ;特殊要求 ;规格标准号 GB/T 702-2017</t>
        </is>
      </c>
      <c r="F175" s="4" t="inlineStr">
        <is>
          <t>千克</t>
        </is>
      </c>
    </row>
    <row r="176" s="21">
      <c r="A176" s="8" t="inlineStr">
        <is>
          <t>100201</t>
        </is>
      </c>
      <c r="B176" s="8" t="inlineStr">
        <is>
          <t>圆钢</t>
        </is>
      </c>
      <c r="C176" s="8" t="inlineStr">
        <is>
          <t>603571700</t>
        </is>
      </c>
      <c r="D176" s="8" t="inlineStr">
        <is>
          <t>热轧航空用不锈圆钢|圆钢|2Cr13Ni2|Φ26|YB675-1973|热轧</t>
        </is>
      </c>
      <c r="E176" s="8" t="inlineStr">
        <is>
          <t>物资名称 热轧航空用不锈圆钢;物资简称 圆钢;牌号 2Cr13Ni2;直径 Φ26;技术标准号 YB675-1973;加工工艺 热轧;热处理工艺 ;特殊要求 ;规格标准号</t>
        </is>
      </c>
      <c r="F176" s="4" t="inlineStr">
        <is>
          <t>千克</t>
        </is>
      </c>
    </row>
    <row r="177" s="21">
      <c r="A177" s="8" t="inlineStr">
        <is>
          <t>100201</t>
        </is>
      </c>
      <c r="B177" s="8" t="inlineStr">
        <is>
          <t>圆钢</t>
        </is>
      </c>
      <c r="C177" s="8" t="inlineStr">
        <is>
          <t>603571600</t>
        </is>
      </c>
      <c r="D177" s="8" t="inlineStr">
        <is>
          <t>热轧航空用不锈圆钢|圆钢|2Cr13Ni2|Φ40|YB675-1973|热轧</t>
        </is>
      </c>
      <c r="E177" s="8" t="inlineStr">
        <is>
          <t>物资名称 热轧航空用不锈圆钢;物资简称 圆钢;牌号 2Cr13Ni2;直径 Φ40;技术标准号 YB675-1973;加工工艺 热轧;热处理工艺 ;特殊要求 ;规格标准号</t>
        </is>
      </c>
      <c r="F177" s="4" t="inlineStr">
        <is>
          <t>千克</t>
        </is>
      </c>
    </row>
    <row r="178" s="21">
      <c r="A178" s="8" t="inlineStr">
        <is>
          <t>100201</t>
        </is>
      </c>
      <c r="B178" s="8" t="inlineStr">
        <is>
          <t>圆钢</t>
        </is>
      </c>
      <c r="C178" s="8" t="inlineStr">
        <is>
          <t>603571500</t>
        </is>
      </c>
      <c r="D178" s="8" t="inlineStr">
        <is>
          <t>热轧航空用不锈圆钢|圆钢|2Cr13Ni2|Φ24|YB675-1973|热轧</t>
        </is>
      </c>
      <c r="E178" s="8" t="inlineStr">
        <is>
          <t>物资名称 热轧航空用不锈圆钢;物资简称 圆钢;牌号 2Cr13Ni2;直径 Φ24;技术标准号 YB675-1973;加工工艺 热轧;热处理工艺 ;特殊要求 ;规格标准号</t>
        </is>
      </c>
      <c r="F178" s="4" t="inlineStr">
        <is>
          <t>千克</t>
        </is>
      </c>
    </row>
    <row r="179" s="21">
      <c r="A179" s="8" t="inlineStr">
        <is>
          <t>100201</t>
        </is>
      </c>
      <c r="B179" s="8" t="inlineStr">
        <is>
          <t>圆钢</t>
        </is>
      </c>
      <c r="C179" s="8" t="inlineStr">
        <is>
          <t>603569200</t>
        </is>
      </c>
      <c r="D179" s="8" t="inlineStr">
        <is>
          <t>热轧优质碳素结构圆钢|圆钢|45|Φ235|GB/T 699-2015|热轧|GB/T 702-2017</t>
        </is>
      </c>
      <c r="E179" s="8" t="inlineStr">
        <is>
          <t>物资名称 热轧优质碳素结构圆钢;物资简称 圆钢;牌号 45;直径 Φ235;技术标准号 GB/T 699-2015;加工工艺 热轧;热处理工艺 ;特殊要求 ;规格标准号 GB/T 702-2017</t>
        </is>
      </c>
      <c r="F179" s="4" t="inlineStr">
        <is>
          <t>千克</t>
        </is>
      </c>
    </row>
    <row r="180" s="21">
      <c r="A180" s="8" t="inlineStr">
        <is>
          <t>100201</t>
        </is>
      </c>
      <c r="B180" s="8" t="inlineStr">
        <is>
          <t>圆钢</t>
        </is>
      </c>
      <c r="C180" s="8" t="inlineStr">
        <is>
          <t>603568700</t>
        </is>
      </c>
      <c r="D180" s="8" t="inlineStr">
        <is>
          <t>合金结构钢棒|钢棒|30CrMnSiA|Φ6|GB/T 3077-2015</t>
        </is>
      </c>
      <c r="E180" s="8" t="inlineStr">
        <is>
          <t>物资名称 合金结构钢棒;物资简称 钢棒;牌号 30CrMnSiA;直径 Φ6;技术标准号 GB/T 3077-2015;加工工艺 ;热处理工艺 ;特殊要求 ;规格标准号</t>
        </is>
      </c>
      <c r="F180" s="4" t="inlineStr">
        <is>
          <t>千克</t>
        </is>
      </c>
    </row>
    <row r="181" s="21">
      <c r="A181" s="8" t="inlineStr">
        <is>
          <t>100201</t>
        </is>
      </c>
      <c r="B181" s="8" t="inlineStr">
        <is>
          <t>圆钢</t>
        </is>
      </c>
      <c r="C181" s="8" t="inlineStr">
        <is>
          <t>603568400</t>
        </is>
      </c>
      <c r="D181" s="8" t="inlineStr">
        <is>
          <t>合金结构钢棒|钢棒|30CrMnSiA|Φ5|GB/T 3077-2015</t>
        </is>
      </c>
      <c r="E181" s="8" t="inlineStr">
        <is>
          <t>物资名称 合金结构钢棒;物资简称 钢棒;牌号 30CrMnSiA;直径 Φ5;技术标准号 GB/T 3077-2015;加工工艺 ;热处理工艺 ;特殊要求 ;规格标准号</t>
        </is>
      </c>
      <c r="F181" s="4" t="inlineStr">
        <is>
          <t>千克</t>
        </is>
      </c>
    </row>
    <row r="182" s="21">
      <c r="A182" s="8" t="inlineStr">
        <is>
          <t>100201</t>
        </is>
      </c>
      <c r="B182" s="8" t="inlineStr">
        <is>
          <t>圆钢</t>
        </is>
      </c>
      <c r="C182" s="8" t="inlineStr">
        <is>
          <t>603568100</t>
        </is>
      </c>
      <c r="D182" s="8" t="inlineStr">
        <is>
          <t>合金结构钢棒|钢棒|30CrMnSiA|Φ12|GB/T 3077-2015</t>
        </is>
      </c>
      <c r="E182" s="8" t="inlineStr">
        <is>
          <t>物资名称 合金结构钢棒;物资简称 钢棒;牌号 30CrMnSiA;直径 Φ12;技术标准号 GB/T 3077-2015;加工工艺 ;热处理工艺 ;特殊要求 ;规格标准号</t>
        </is>
      </c>
      <c r="F182" s="4" t="inlineStr">
        <is>
          <t>千克</t>
        </is>
      </c>
    </row>
    <row r="183" s="21">
      <c r="A183" s="8" t="inlineStr">
        <is>
          <t>100201</t>
        </is>
      </c>
      <c r="B183" s="8" t="inlineStr">
        <is>
          <t>圆钢</t>
        </is>
      </c>
      <c r="C183" s="8" t="inlineStr">
        <is>
          <t>603568000</t>
        </is>
      </c>
      <c r="D183" s="8" t="inlineStr">
        <is>
          <t>合金结构钢棒|钢棒|30CrMnSiA|Φ10|GB/T 3077-2015</t>
        </is>
      </c>
      <c r="E183" s="8" t="inlineStr">
        <is>
          <t>物资名称 合金结构钢棒;物资简称 钢棒;牌号 30CrMnSiA;直径 Φ10;技术标准号 GB/T 3077-2015;加工工艺 ;热处理工艺 ;特殊要求 ;规格标准号</t>
        </is>
      </c>
      <c r="F183" s="4" t="inlineStr">
        <is>
          <t>千克</t>
        </is>
      </c>
    </row>
    <row r="184" s="21">
      <c r="A184" s="8" t="inlineStr">
        <is>
          <t>100201</t>
        </is>
      </c>
      <c r="B184" s="8" t="inlineStr">
        <is>
          <t>圆钢</t>
        </is>
      </c>
      <c r="C184" s="8" t="inlineStr">
        <is>
          <t>603567300</t>
        </is>
      </c>
      <c r="D184" s="8" t="inlineStr">
        <is>
          <t>热轧优质碳素结构圆钢|圆钢|45|Φ55|GB/T 699-2015|热轧|GB/T 702-2017</t>
        </is>
      </c>
      <c r="E184" s="8" t="inlineStr">
        <is>
          <t>物资名称 热轧优质碳素结构圆钢;物资简称 圆钢;牌号 45;直径 Φ55;技术标准号 GB/T 699-2015;加工工艺 热轧;热处理工艺 ;特殊要求 ;规格标准号 GB/T 702-2017</t>
        </is>
      </c>
      <c r="F184" s="4" t="inlineStr">
        <is>
          <t>千克</t>
        </is>
      </c>
    </row>
    <row r="185" s="21">
      <c r="A185" s="8" t="inlineStr">
        <is>
          <t>100201</t>
        </is>
      </c>
      <c r="B185" s="8" t="inlineStr">
        <is>
          <t>圆钢</t>
        </is>
      </c>
      <c r="C185" s="8" t="inlineStr">
        <is>
          <t>603564000</t>
        </is>
      </c>
      <c r="D185" s="8" t="inlineStr">
        <is>
          <t>热轧不锈圆钢|圆钢|14Cr17Ni2|Φ55|GB/T 1220-2007|热轧|GB/T 702-2008</t>
        </is>
      </c>
      <c r="E185" s="8" t="inlineStr">
        <is>
          <t>物资名称 热轧不锈圆钢;物资简称 圆钢;牌号 14Cr17Ni2;直径 Φ55;技术标准号 GB/T 1220-2007;加工工艺 热轧;热处理工艺 ;特殊要求 ;规格标准号 GB/T 702-2008</t>
        </is>
      </c>
      <c r="F185" s="4" t="inlineStr">
        <is>
          <t>千克</t>
        </is>
      </c>
    </row>
    <row r="186" s="21">
      <c r="A186" s="8" t="inlineStr">
        <is>
          <t>100201</t>
        </is>
      </c>
      <c r="B186" s="8" t="inlineStr">
        <is>
          <t>圆钢</t>
        </is>
      </c>
      <c r="C186" s="8" t="inlineStr">
        <is>
          <t>603563900</t>
        </is>
      </c>
      <c r="D186" s="8" t="inlineStr">
        <is>
          <t>热轧不锈圆钢|圆钢|14Cr17Ni2|Φ36|GB/T 1220-2007|热轧|GB/T 702-2008</t>
        </is>
      </c>
      <c r="E186" s="8" t="inlineStr">
        <is>
          <t>物资名称 热轧不锈圆钢;物资简称 圆钢;牌号 14Cr17Ni2;直径 Φ36;技术标准号 GB/T 1220-2007;加工工艺 热轧;热处理工艺 ;特殊要求 ;规格标准号 GB/T 702-2008</t>
        </is>
      </c>
      <c r="F186" s="4" t="inlineStr">
        <is>
          <t>千克</t>
        </is>
      </c>
    </row>
    <row r="187" s="21">
      <c r="A187" s="8" t="inlineStr">
        <is>
          <t>100201</t>
        </is>
      </c>
      <c r="B187" s="8" t="inlineStr">
        <is>
          <t>圆钢</t>
        </is>
      </c>
      <c r="C187" s="8" t="inlineStr">
        <is>
          <t>603563800</t>
        </is>
      </c>
      <c r="D187" s="8" t="inlineStr">
        <is>
          <t>热轧不锈圆钢|圆钢|14Cr17Ni2|Φ70|GB/T 1220-2007|热轧|GB/T 702-2008</t>
        </is>
      </c>
      <c r="E187" s="8" t="inlineStr">
        <is>
          <t>物资名称 热轧不锈圆钢;物资简称 圆钢;牌号 14Cr17Ni2;直径 Φ70;技术标准号 GB/T 1220-2007;加工工艺 热轧;热处理工艺 ;特殊要求 ;规格标准号 GB/T 702-2008</t>
        </is>
      </c>
      <c r="F187" s="4" t="inlineStr">
        <is>
          <t>千克</t>
        </is>
      </c>
    </row>
    <row r="188" s="21">
      <c r="A188" s="8" t="inlineStr">
        <is>
          <t>100201</t>
        </is>
      </c>
      <c r="B188" s="8" t="inlineStr">
        <is>
          <t>圆钢</t>
        </is>
      </c>
      <c r="C188" s="8" t="inlineStr">
        <is>
          <t>603563700</t>
        </is>
      </c>
      <c r="D188" s="8" t="inlineStr">
        <is>
          <t>热轧不锈圆钢|圆钢|14Cr17Ni2|Φ80|GB/T 1220-2007|热轧|GB/T 702-2008</t>
        </is>
      </c>
      <c r="E188" s="8" t="inlineStr">
        <is>
          <t>物资名称 热轧不锈圆钢;物资简称 圆钢;牌号 14Cr17Ni2;直径 Φ80;技术标准号 GB/T 1220-2007;加工工艺 热轧;热处理工艺 ;特殊要求 ;规格标准号 GB/T 702-2008</t>
        </is>
      </c>
      <c r="F188" s="4" t="inlineStr">
        <is>
          <t>千克</t>
        </is>
      </c>
    </row>
    <row r="189" s="21">
      <c r="A189" s="8" t="inlineStr">
        <is>
          <t>100201</t>
        </is>
      </c>
      <c r="B189" s="8" t="inlineStr">
        <is>
          <t>圆钢</t>
        </is>
      </c>
      <c r="C189" s="8" t="inlineStr">
        <is>
          <t>603563600</t>
        </is>
      </c>
      <c r="D189" s="8" t="inlineStr">
        <is>
          <t>热轧合金结构圆钢|圆钢|30CrMnSiA|Φ80|GB/T 3077-2015|热轧|GB/T 702-2008</t>
        </is>
      </c>
      <c r="E189" s="8" t="inlineStr">
        <is>
          <t>物资名称 热轧合金结构圆钢;物资简称 圆钢;牌号 30CrMnSiA;直径 Φ80;技术标准号 GB/T 3077-2015;加工工艺 热轧;热处理工艺 ;特殊要求 ;规格标准号 GB/T 702-2008</t>
        </is>
      </c>
      <c r="F189" s="4" t="inlineStr">
        <is>
          <t>千克</t>
        </is>
      </c>
    </row>
    <row r="190" s="21">
      <c r="A190" s="8" t="inlineStr">
        <is>
          <t>100201</t>
        </is>
      </c>
      <c r="B190" s="8" t="inlineStr">
        <is>
          <t>圆钢</t>
        </is>
      </c>
      <c r="C190" s="8" t="inlineStr">
        <is>
          <t>603558300</t>
        </is>
      </c>
      <c r="D190" s="8" t="inlineStr">
        <is>
          <t>合金结构钢棒|钢棒|30CrMnSiA|Φ80|GB/T 3077-2015</t>
        </is>
      </c>
      <c r="E190" s="8" t="inlineStr">
        <is>
          <t>物资名称 合金结构钢棒;物资简称 钢棒;牌号 30CrMnSiA;直径 Φ80;技术标准号 GB/T 3077-2015;加工工艺 ;热处理工艺 ;特殊要求 ;规格标准号</t>
        </is>
      </c>
      <c r="F190" s="4" t="inlineStr">
        <is>
          <t>千克</t>
        </is>
      </c>
    </row>
    <row r="191" s="21">
      <c r="A191" s="8" t="inlineStr">
        <is>
          <t>100201</t>
        </is>
      </c>
      <c r="B191" s="8" t="inlineStr">
        <is>
          <t>圆钢</t>
        </is>
      </c>
      <c r="C191" s="8" t="inlineStr">
        <is>
          <t>603558200</t>
        </is>
      </c>
      <c r="D191" s="8" t="inlineStr">
        <is>
          <t>热轧合金结构圆钢|圆钢|35CrMnSiA|Φ70|GB/T 3077-2015|热轧</t>
        </is>
      </c>
      <c r="E191" s="8" t="inlineStr">
        <is>
          <t>物资名称 热轧合金结构圆钢;物资简称 圆钢;牌号 35CrMnSiA;直径 Φ70;技术标准号 GB/T 3077-2015;加工工艺 热轧;热处理工艺 ;特殊要求 ;规格标准号</t>
        </is>
      </c>
      <c r="F191" s="4" t="inlineStr">
        <is>
          <t>千克</t>
        </is>
      </c>
    </row>
    <row r="192" s="21">
      <c r="A192" s="8" t="inlineStr">
        <is>
          <t>100201</t>
        </is>
      </c>
      <c r="B192" s="8" t="inlineStr">
        <is>
          <t>圆钢</t>
        </is>
      </c>
      <c r="C192" s="8" t="inlineStr">
        <is>
          <t>603550100</t>
        </is>
      </c>
      <c r="D192" s="8" t="inlineStr">
        <is>
          <t>热轧合金结构圆钢|圆钢|30CrMnSi|Φ50|GB/T 3077-2015|热轧|GB/T 702-2017</t>
        </is>
      </c>
      <c r="E192" s="8" t="inlineStr">
        <is>
          <t>物资名称 热轧合金结构圆钢;物资简称 圆钢;牌号 30CrMnSi;直径 Φ50;技术标准号 GB/T 3077-2015;加工工艺 热轧;热处理工艺 ;特殊要求 ;规格标准号 GB/T 702-2017</t>
        </is>
      </c>
      <c r="F192" s="4" t="inlineStr">
        <is>
          <t>千克</t>
        </is>
      </c>
    </row>
    <row r="193" s="21">
      <c r="A193" s="8" t="inlineStr">
        <is>
          <t>100201</t>
        </is>
      </c>
      <c r="B193" s="8" t="inlineStr">
        <is>
          <t>圆钢</t>
        </is>
      </c>
      <c r="C193" s="8" t="inlineStr">
        <is>
          <t>603545500</t>
        </is>
      </c>
      <c r="D193" s="8" t="inlineStr">
        <is>
          <t>热轧不锈圆钢|圆钢|20Cr13|GB/T 1220-2007|热轧|GB/T 702-2017</t>
        </is>
      </c>
      <c r="E193" s="8" t="inlineStr">
        <is>
          <t>物资名称 热轧不锈圆钢;物资简称 圆钢;牌号 20Cr13;直径 Φ;技术标准号 GB/T 1220-2007;加工工艺 热轧;热处理工艺 ;特殊要求 ;规格标准号 GB/T 702-2017</t>
        </is>
      </c>
      <c r="F193" s="4" t="inlineStr">
        <is>
          <t>千克</t>
        </is>
      </c>
    </row>
    <row r="194" s="21">
      <c r="A194" s="8" t="inlineStr">
        <is>
          <t>100201</t>
        </is>
      </c>
      <c r="B194" s="8" t="inlineStr">
        <is>
          <t>圆钢</t>
        </is>
      </c>
      <c r="C194" s="8" t="inlineStr">
        <is>
          <t>603542200</t>
        </is>
      </c>
      <c r="D194" s="8" t="inlineStr">
        <is>
          <t>热轧航空用优质结构圆钢|圆钢|30CrMnSiNi2A|Φ80|GJB 1951-1994|热轧|GB/T 702-2017</t>
        </is>
      </c>
      <c r="E194" s="8" t="inlineStr">
        <is>
          <t>物资名称 热轧航空用优质结构圆钢;物资简称 圆钢;牌号 30CrMnSiNi2A;直径 Φ80;技术标准号 GJB 1951-1994;加工工艺 热轧;热处理工艺 ;特殊要求 ;规格标准号 GB/T 702-2017</t>
        </is>
      </c>
      <c r="F194" s="4" t="inlineStr">
        <is>
          <t>千克</t>
        </is>
      </c>
    </row>
    <row r="195" s="21">
      <c r="A195" s="8" t="inlineStr">
        <is>
          <t>100201</t>
        </is>
      </c>
      <c r="B195" s="8" t="inlineStr">
        <is>
          <t>圆钢</t>
        </is>
      </c>
      <c r="C195" s="8" t="inlineStr">
        <is>
          <t>603541700</t>
        </is>
      </c>
      <c r="D195" s="8" t="inlineStr">
        <is>
          <t>合金结构钢棒|钢棒|30CrMnSiA|GB/T 3077-2015</t>
        </is>
      </c>
      <c r="E195" s="8" t="inlineStr">
        <is>
          <t>物资名称 合金结构钢棒;物资简称 钢棒;牌号 30CrMnSiA;直径 Φ;技术标准号 GB/T 3077-2015;加工工艺 ;热处理工艺 ;特殊要求 ;规格标准号</t>
        </is>
      </c>
      <c r="F195" s="4" t="inlineStr">
        <is>
          <t>千克</t>
        </is>
      </c>
    </row>
    <row r="196" s="21">
      <c r="A196" s="8" t="inlineStr">
        <is>
          <t>100201</t>
        </is>
      </c>
      <c r="B196" s="8" t="inlineStr">
        <is>
          <t>圆钢</t>
        </is>
      </c>
      <c r="C196" s="8" t="inlineStr">
        <is>
          <t>603541200</t>
        </is>
      </c>
      <c r="D196" s="8" t="inlineStr">
        <is>
          <t>热轧不锈圆钢|圆钢|12Cr18Ni9|Φ90|GB/T 1220-2007|热轧|GB/T 702-2008</t>
        </is>
      </c>
      <c r="E196" s="8" t="inlineStr">
        <is>
          <t>物资名称 热轧不锈圆钢;物资简称 圆钢;牌号 12Cr18Ni9;直径 Φ90;技术标准号 GB/T 1220-2007;加工工艺 热轧;热处理工艺 ;特殊要求 ;规格标准号 GB/T 702-2008</t>
        </is>
      </c>
      <c r="F196" s="4" t="inlineStr">
        <is>
          <t>千克</t>
        </is>
      </c>
    </row>
    <row r="197" s="21">
      <c r="A197" s="8" t="inlineStr">
        <is>
          <t>100201</t>
        </is>
      </c>
      <c r="B197" s="8" t="inlineStr">
        <is>
          <t>圆钢</t>
        </is>
      </c>
      <c r="C197" s="8" t="inlineStr">
        <is>
          <t>603540400</t>
        </is>
      </c>
      <c r="D197" s="8" t="inlineStr">
        <is>
          <t>热轧合金结构圆钢|圆钢|30CrMnSiA|Φ15|GB/T 3077-1999|热轧|GB/T 702-2008</t>
        </is>
      </c>
      <c r="E197" s="8" t="inlineStr">
        <is>
          <t>物资名称 热轧合金结构圆钢;物资简称 圆钢;牌号 30CrMnSiA;直径 Φ15;技术标准号 GB/T 3077-1999;加工工艺 热轧;热处理工艺 ;特殊要求 ;规格标准号 GB/T 702-2008</t>
        </is>
      </c>
      <c r="F197" s="4" t="inlineStr">
        <is>
          <t>千克</t>
        </is>
      </c>
    </row>
    <row r="198" s="21">
      <c r="A198" s="8" t="inlineStr">
        <is>
          <t>100201</t>
        </is>
      </c>
      <c r="B198" s="8" t="inlineStr">
        <is>
          <t>圆钢</t>
        </is>
      </c>
      <c r="C198" s="8" t="inlineStr">
        <is>
          <t>603538900</t>
        </is>
      </c>
      <c r="D198" s="8" t="inlineStr">
        <is>
          <t>热轧合金结构圆钢|圆钢|30CrMnSiA|GB/T 3077-2015|热轧|GB/T 702-2017</t>
        </is>
      </c>
      <c r="E198" s="8" t="inlineStr">
        <is>
          <t>物资名称 热轧合金结构圆钢;物资简称 圆钢;牌号 30CrMnSiA;直径 Φ;技术标准号 GB/T 3077-2015;加工工艺 热轧;热处理工艺 ;特殊要求 ;规格标准号 GB/T 702-2017</t>
        </is>
      </c>
      <c r="F198" s="4" t="inlineStr">
        <is>
          <t>千克</t>
        </is>
      </c>
    </row>
    <row r="199" s="21">
      <c r="A199" s="8" t="inlineStr">
        <is>
          <t>100201</t>
        </is>
      </c>
      <c r="B199" s="8" t="inlineStr">
        <is>
          <t>圆钢</t>
        </is>
      </c>
      <c r="C199" s="8" t="inlineStr">
        <is>
          <t>603537700</t>
        </is>
      </c>
      <c r="D199" s="8" t="inlineStr">
        <is>
          <t>热轧不锈圆钢|圆钢|06Cr19Ni10|GB/T 1220-2007|热轧|GB/T 702-2017</t>
        </is>
      </c>
      <c r="E199" s="8" t="inlineStr">
        <is>
          <t>物资名称 热轧不锈圆钢;物资简称 圆钢;牌号 06Cr19Ni10;直径 Φ;技术标准号 GB/T 1220-2007;加工工艺 热轧;热处理工艺 ;特殊要求 ;规格标准号 GB/T 702-2017</t>
        </is>
      </c>
      <c r="F199" s="4" t="inlineStr">
        <is>
          <t>千克</t>
        </is>
      </c>
    </row>
    <row r="200" s="21">
      <c r="A200" s="8" t="inlineStr">
        <is>
          <t>100201</t>
        </is>
      </c>
      <c r="B200" s="8" t="inlineStr">
        <is>
          <t>圆钢</t>
        </is>
      </c>
      <c r="C200" s="8" t="inlineStr">
        <is>
          <t>603537500</t>
        </is>
      </c>
      <c r="D200" s="8" t="inlineStr">
        <is>
          <t>热轧合金结构圆钢|圆钢|35CrMnSiA|GB/T 3077-2015|热轧|GB/T 702-2017</t>
        </is>
      </c>
      <c r="E200" s="8" t="inlineStr">
        <is>
          <t>物资名称 热轧合金结构圆钢;物资简称 圆钢;牌号 35CrMnSiA;直径 Φ;技术标准号 GB/T 3077-2015;加工工艺 热轧;热处理工艺 ;特殊要求 ;规格标准号 GB/T 702-2017</t>
        </is>
      </c>
      <c r="F200" s="4" t="inlineStr">
        <is>
          <t>千克</t>
        </is>
      </c>
    </row>
    <row r="201" s="21">
      <c r="A201" s="8" t="inlineStr">
        <is>
          <t>100201</t>
        </is>
      </c>
      <c r="B201" s="8" t="inlineStr">
        <is>
          <t>圆钢</t>
        </is>
      </c>
      <c r="C201" s="8" t="inlineStr">
        <is>
          <t>603519700</t>
        </is>
      </c>
      <c r="D201" s="8" t="inlineStr">
        <is>
          <t>热轧不锈圆钢|圆钢|06Cr19Ni10|Φ160|GB/T 1220-2007|热轧|GB/T 702-2017</t>
        </is>
      </c>
      <c r="E201" s="8" t="inlineStr">
        <is>
          <t>物资名称 热轧不锈圆钢;物资简称 圆钢;牌号 06Cr19Ni10;直径 Φ160;技术标准号 GB/T 1220-2007;加工工艺 热轧;热处理工艺 ;特殊要求 ;规格标准号 GB/T 702-2017</t>
        </is>
      </c>
      <c r="F201" s="4" t="inlineStr">
        <is>
          <t>千克</t>
        </is>
      </c>
    </row>
    <row r="202" s="21">
      <c r="A202" s="8" t="inlineStr">
        <is>
          <t>100201</t>
        </is>
      </c>
      <c r="B202" s="8" t="inlineStr">
        <is>
          <t>圆钢</t>
        </is>
      </c>
      <c r="C202" s="8" t="inlineStr">
        <is>
          <t>603415800</t>
        </is>
      </c>
      <c r="D202" s="8" t="inlineStr">
        <is>
          <t>热轧不锈圆钢|圆钢|20Cr13|Φ95|GB/T 1220-2007|热轧|GB/T 702-2008</t>
        </is>
      </c>
      <c r="E202" s="8" t="inlineStr">
        <is>
          <t>物资名称 热轧不锈圆钢;物资简称 圆钢;牌号 20Cr13;直径 Φ95;技术标准号 GB/T 1220-2007;加工工艺 热轧;热处理工艺 ;特殊要求 ;规格标准号 GB/T 702-2008</t>
        </is>
      </c>
      <c r="F202" s="4" t="inlineStr">
        <is>
          <t>千克</t>
        </is>
      </c>
    </row>
    <row r="203" s="21">
      <c r="A203" s="8" t="inlineStr">
        <is>
          <t>100201</t>
        </is>
      </c>
      <c r="B203" s="8" t="inlineStr">
        <is>
          <t>圆钢</t>
        </is>
      </c>
      <c r="C203" s="8" t="inlineStr">
        <is>
          <t>603186400</t>
        </is>
      </c>
      <c r="D203" s="8" t="inlineStr">
        <is>
          <t>热轧合金结构圆钢|圆钢|30CrMnSiA|Φ54|GB/T 3077-1999|热轧|GB/T 702-2008</t>
        </is>
      </c>
      <c r="E203" s="8" t="inlineStr">
        <is>
          <t>物资名称 热轧合金结构圆钢;物资简称 圆钢;牌号 30CrMnSiA;直径 Φ54;技术标准号 GB/T 3077-1999;加工工艺 热轧;热处理工艺 ;特殊要求 ;规格标准号 GB/T 702-2008</t>
        </is>
      </c>
      <c r="F203" s="4" t="inlineStr">
        <is>
          <t>千克</t>
        </is>
      </c>
    </row>
    <row r="204" s="21">
      <c r="A204" s="8" t="inlineStr">
        <is>
          <t>100201</t>
        </is>
      </c>
      <c r="B204" s="8" t="inlineStr">
        <is>
          <t>圆钢</t>
        </is>
      </c>
      <c r="C204" s="8" t="inlineStr">
        <is>
          <t>603164500</t>
        </is>
      </c>
      <c r="D204" s="8" t="inlineStr">
        <is>
          <t>热轧不锈圆钢|圆钢|1Cr17Ni2|Φ12|GB/T 1220-1992|热轧|GB/T 702-2008</t>
        </is>
      </c>
      <c r="E204" s="8" t="inlineStr">
        <is>
          <t>物资名称 热轧不锈圆钢;物资简称 圆钢;牌号 1Cr17Ni2;直径 Φ12;技术标准号 GB/T 1220-1992;加工工艺 热轧;热处理工艺 ;特殊要求 ;规格标准号 GB/T 702-2008</t>
        </is>
      </c>
      <c r="F204" s="4" t="inlineStr">
        <is>
          <t>千克</t>
        </is>
      </c>
    </row>
    <row r="205" s="21">
      <c r="A205" s="8" t="inlineStr">
        <is>
          <t>100201</t>
        </is>
      </c>
      <c r="B205" s="8" t="inlineStr">
        <is>
          <t>圆钢</t>
        </is>
      </c>
      <c r="C205" s="8" t="inlineStr">
        <is>
          <t>603161300</t>
        </is>
      </c>
      <c r="D205" s="8" t="inlineStr">
        <is>
          <t>热轧航空用不锈圆钢|圆钢|1Cr18Ni9Ti|Φ95|GJB 2294A-2014|热轧|GB/T 702-2008</t>
        </is>
      </c>
      <c r="E205" s="8" t="inlineStr">
        <is>
          <t>物资名称 热轧航空用不锈圆钢;物资简称 圆钢;牌号 1Cr18Ni9Ti;直径 Φ95;技术标准号 GJB 2294A-2014;加工工艺 热轧;热处理工艺 ;特殊要求 ;规格标准号 GB/T 702-2008</t>
        </is>
      </c>
      <c r="F205" s="4" t="inlineStr">
        <is>
          <t>千克</t>
        </is>
      </c>
    </row>
    <row r="206" s="21">
      <c r="A206" s="8" t="inlineStr">
        <is>
          <t>100201</t>
        </is>
      </c>
      <c r="B206" s="8" t="inlineStr">
        <is>
          <t>圆钢</t>
        </is>
      </c>
      <c r="C206" s="8" t="inlineStr">
        <is>
          <t>603152900</t>
        </is>
      </c>
      <c r="D206" s="8" t="inlineStr">
        <is>
          <t>热轧航空用不锈圆钢|圆钢|1Cr18Ni9Ti|Φ132|GJB 2294A-2014|热轧|GB/T 702-2008</t>
        </is>
      </c>
      <c r="E206" s="8" t="inlineStr">
        <is>
          <t>物资名称 热轧航空用不锈圆钢;物资简称 圆钢;牌号 1Cr18Ni9Ti;直径 Φ132;技术标准号 GJB 2294A-2014;加工工艺 热轧;热处理工艺 ;特殊要求 ;规格标准号 GB/T 702-2008</t>
        </is>
      </c>
      <c r="F206" s="4" t="inlineStr">
        <is>
          <t>千克</t>
        </is>
      </c>
    </row>
    <row r="207" s="21">
      <c r="A207" s="8" t="inlineStr">
        <is>
          <t>100201</t>
        </is>
      </c>
      <c r="B207" s="8" t="inlineStr">
        <is>
          <t>圆钢</t>
        </is>
      </c>
      <c r="C207" s="8" t="inlineStr">
        <is>
          <t>603122200</t>
        </is>
      </c>
      <c r="D207" s="8" t="inlineStr">
        <is>
          <t>热轧合金结构圆钢|圆钢|40Cr|Φ16|GB/T 3077-2015|热轧|GB/T 702-2008</t>
        </is>
      </c>
      <c r="E207" s="8" t="inlineStr">
        <is>
          <t>物资名称 热轧合金结构圆钢;物资简称 圆钢;牌号 40Cr;直径 Φ16;技术标准号 GB/T 3077-2015;加工工艺 热轧;热处理工艺 ;特殊要求 ;规格标准号 GB/T 702-2008</t>
        </is>
      </c>
      <c r="F207" s="4" t="inlineStr">
        <is>
          <t>千克</t>
        </is>
      </c>
    </row>
    <row r="208" s="21">
      <c r="A208" s="8" t="inlineStr">
        <is>
          <t>100201</t>
        </is>
      </c>
      <c r="B208" s="8" t="inlineStr">
        <is>
          <t>圆钢</t>
        </is>
      </c>
      <c r="C208" s="8" t="inlineStr">
        <is>
          <t>603121900</t>
        </is>
      </c>
      <c r="D208" s="8" t="inlineStr">
        <is>
          <t>热轧合金结构圆钢|圆钢|30CrMnSiA|Φ55|GB/T 3077-1999|热轧|GB/T 702-2008</t>
        </is>
      </c>
      <c r="E208" s="8" t="inlineStr">
        <is>
          <t>物资名称 热轧合金结构圆钢;物资简称 圆钢;牌号 30CrMnSiA;直径 Φ55;技术标准号 GB/T 3077-1999;加工工艺 热轧;热处理工艺 ;特殊要求 ;规格标准号 GB/T 702-2008</t>
        </is>
      </c>
      <c r="F208" s="4" t="inlineStr">
        <is>
          <t>千克</t>
        </is>
      </c>
    </row>
    <row r="209" s="21">
      <c r="A209" s="8" t="inlineStr">
        <is>
          <t>100201</t>
        </is>
      </c>
      <c r="B209" s="8" t="inlineStr">
        <is>
          <t>圆钢</t>
        </is>
      </c>
      <c r="C209" s="8" t="inlineStr">
        <is>
          <t>603108600</t>
        </is>
      </c>
      <c r="D209" s="8" t="inlineStr">
        <is>
          <t>冷拉弹簧圆钢|圆钢|60Si2MnA|Φ6|GB/T 1222-2016|冷拉|GB/T 905-1994</t>
        </is>
      </c>
      <c r="E209" s="8" t="inlineStr">
        <is>
          <t>物资名称 冷拉弹簧圆钢;物资简称 圆钢;牌号 60Si2MnA;直径 Φ6;技术标准号 GB/T 1222-2016;加工工艺 冷拉;热处理工艺 ;特殊要求 ;规格标准号 GB/T 905-1994</t>
        </is>
      </c>
      <c r="F209" s="4" t="inlineStr">
        <is>
          <t>千克</t>
        </is>
      </c>
    </row>
    <row r="210" s="21">
      <c r="A210" s="8" t="inlineStr">
        <is>
          <t>100201</t>
        </is>
      </c>
      <c r="B210" s="8" t="inlineStr">
        <is>
          <t>圆钢</t>
        </is>
      </c>
      <c r="C210" s="8" t="inlineStr">
        <is>
          <t>603010600</t>
        </is>
      </c>
      <c r="D210" s="8" t="inlineStr">
        <is>
          <t>热轧合金结构圆钢|圆钢|40Cr|Φ25|GB/T 3077-2015|热轧|GB/T 702-2008</t>
        </is>
      </c>
      <c r="E210" s="8" t="inlineStr">
        <is>
          <t>物资名称 热轧合金结构圆钢;物资简称 圆钢;牌号 40Cr;直径 Φ25;技术标准号 GB/T 3077-2015;加工工艺 热轧;热处理工艺 ;特殊要求 ;规格标准号 GB/T 702-2008</t>
        </is>
      </c>
      <c r="F210" s="4" t="inlineStr">
        <is>
          <t>千克</t>
        </is>
      </c>
    </row>
    <row r="211" s="21">
      <c r="A211" s="8" t="inlineStr">
        <is>
          <t>100201</t>
        </is>
      </c>
      <c r="B211" s="8" t="inlineStr">
        <is>
          <t>圆钢</t>
        </is>
      </c>
      <c r="C211" s="8" t="inlineStr">
        <is>
          <t>603010500</t>
        </is>
      </c>
      <c r="D211" s="8" t="inlineStr">
        <is>
          <t>热轧合金结构圆钢|圆钢|40Cr|Φ30|GB/T 3077-2015|热轧|GB/T 702-2008</t>
        </is>
      </c>
      <c r="E211" s="8" t="inlineStr">
        <is>
          <t>物资名称 热轧合金结构圆钢;物资简称 圆钢;牌号 40Cr;直径 Φ30;技术标准号 GB/T 3077-2015;加工工艺 热轧;热处理工艺 ;特殊要求 ;规格标准号 GB/T 702-2008</t>
        </is>
      </c>
      <c r="F211" s="4" t="inlineStr">
        <is>
          <t>千克</t>
        </is>
      </c>
    </row>
    <row r="212" s="21">
      <c r="A212" s="8" t="inlineStr">
        <is>
          <t>100201</t>
        </is>
      </c>
      <c r="B212" s="8" t="inlineStr">
        <is>
          <t>圆钢</t>
        </is>
      </c>
      <c r="C212" s="8" t="inlineStr">
        <is>
          <t>603010300</t>
        </is>
      </c>
      <c r="D212" s="8" t="inlineStr">
        <is>
          <t>热轧不锈圆钢|圆钢|20Cr13|Φ100|GB/T 1220-2007|热轧|GB/T 702-2008</t>
        </is>
      </c>
      <c r="E212" s="8" t="inlineStr">
        <is>
          <t>物资名称 热轧不锈圆钢;物资简称 圆钢;牌号 20Cr13;直径 Φ100;技术标准号 GB/T 1220-2007;加工工艺 热轧;热处理工艺 ;特殊要求 ;规格标准号 GB/T 702-2008</t>
        </is>
      </c>
      <c r="F212" s="4" t="inlineStr">
        <is>
          <t>千克</t>
        </is>
      </c>
    </row>
    <row r="213" s="21">
      <c r="A213" s="8" t="inlineStr">
        <is>
          <t>100201</t>
        </is>
      </c>
      <c r="B213" s="8" t="inlineStr">
        <is>
          <t>圆钢</t>
        </is>
      </c>
      <c r="C213" s="8" t="inlineStr">
        <is>
          <t>602974900</t>
        </is>
      </c>
      <c r="D213" s="8" t="inlineStr">
        <is>
          <t>碳素工具圆钢|圆钢|T10A|Φ260|北京兵工</t>
        </is>
      </c>
      <c r="E213" s="8" t="inlineStr">
        <is>
          <t>物资名称 碳素工具圆钢;物资简称 圆钢;牌号 T10A;直径 Φ260;技术标准号 空;加工工艺 ;热处理工艺 ;特殊要求 北京兵工;规格标准号</t>
        </is>
      </c>
      <c r="F213" s="4" t="inlineStr">
        <is>
          <t>千克</t>
        </is>
      </c>
    </row>
    <row r="214" s="21">
      <c r="A214" s="8" t="inlineStr">
        <is>
          <t>100201</t>
        </is>
      </c>
      <c r="B214" s="8" t="inlineStr">
        <is>
          <t>圆钢</t>
        </is>
      </c>
      <c r="C214" s="8" t="inlineStr">
        <is>
          <t>602974800</t>
        </is>
      </c>
      <c r="D214" s="8" t="inlineStr">
        <is>
          <t>碳素工具圆钢|圆钢|T10A|Φ250|北京兵工</t>
        </is>
      </c>
      <c r="E214" s="8" t="inlineStr">
        <is>
          <t>物资名称 碳素工具圆钢;物资简称 圆钢;牌号 T10A;直径 Φ250;技术标准号 空;加工工艺 ;热处理工艺 ;特殊要求 北京兵工;规格标准号</t>
        </is>
      </c>
      <c r="F214" s="4" t="inlineStr">
        <is>
          <t>千克</t>
        </is>
      </c>
    </row>
    <row r="215" s="21">
      <c r="A215" s="8" t="inlineStr">
        <is>
          <t>100201</t>
        </is>
      </c>
      <c r="B215" s="8" t="inlineStr">
        <is>
          <t>圆钢</t>
        </is>
      </c>
      <c r="C215" s="8" t="inlineStr">
        <is>
          <t>602948300</t>
        </is>
      </c>
      <c r="D215" s="8" t="inlineStr">
        <is>
          <t>热轧优质碳素结构圆钢|圆钢|45|Φ220|GB/T 699-1999|热轧|GB/T 702-2008</t>
        </is>
      </c>
      <c r="E215" s="8" t="inlineStr">
        <is>
          <t>物资名称 热轧优质碳素结构圆钢;物资简称 圆钢;牌号 45;直径 Φ220;技术标准号 GB/T 699-1999;加工工艺 热轧;热处理工艺 ;特殊要求 ;规格标准号 GB/T 702-2008</t>
        </is>
      </c>
      <c r="F215" s="4" t="inlineStr">
        <is>
          <t>千克</t>
        </is>
      </c>
    </row>
    <row r="216" s="21">
      <c r="A216" s="8" t="inlineStr">
        <is>
          <t>100201</t>
        </is>
      </c>
      <c r="B216" s="8" t="inlineStr">
        <is>
          <t>圆钢</t>
        </is>
      </c>
      <c r="C216" s="8" t="inlineStr">
        <is>
          <t>602887100</t>
        </is>
      </c>
      <c r="D216" s="8" t="inlineStr">
        <is>
          <t>热轧合金结构圆钢|圆钢|40Cr|Φ60|GB/T 3077-2015|热轧|GB/T 702-2008</t>
        </is>
      </c>
      <c r="E216" s="8" t="inlineStr">
        <is>
          <t>物资名称 热轧合金结构圆钢;物资简称 圆钢;牌号 40Cr;直径 Φ60;技术标准号 GB/T 3077-2015;加工工艺 热轧;热处理工艺 ;特殊要求 ;规格标准号 GB/T 702-2008</t>
        </is>
      </c>
      <c r="F216" s="4" t="inlineStr">
        <is>
          <t>千克</t>
        </is>
      </c>
    </row>
    <row r="217" s="21">
      <c r="A217" s="8" t="inlineStr">
        <is>
          <t>100201</t>
        </is>
      </c>
      <c r="B217" s="8" t="inlineStr">
        <is>
          <t>圆钢</t>
        </is>
      </c>
      <c r="C217" s="8" t="inlineStr">
        <is>
          <t>602886800</t>
        </is>
      </c>
      <c r="D217" s="8" t="inlineStr">
        <is>
          <t>热轧航空用不锈圆钢|圆钢|1Cr18Ni9Ti|Φ75|GJB 2294A-2014|热轧|GB/T 702-2008</t>
        </is>
      </c>
      <c r="E217" s="8" t="inlineStr">
        <is>
          <t>物资名称 热轧航空用不锈圆钢;物资简称 圆钢;牌号 1Cr18Ni9Ti;直径 Φ75;技术标准号 GJB 2294A-2014;加工工艺 热轧;热处理工艺 ;特殊要求 ;规格标准号 GB/T 702-2008</t>
        </is>
      </c>
      <c r="F217" s="4" t="inlineStr">
        <is>
          <t>千克</t>
        </is>
      </c>
    </row>
    <row r="218" s="21">
      <c r="A218" s="8" t="inlineStr">
        <is>
          <t>100201</t>
        </is>
      </c>
      <c r="B218" s="8" t="inlineStr">
        <is>
          <t>圆钢</t>
        </is>
      </c>
      <c r="C218" s="8" t="inlineStr">
        <is>
          <t>602886700</t>
        </is>
      </c>
      <c r="D218" s="8" t="inlineStr">
        <is>
          <t>热轧航空用不锈圆钢|圆钢|1Cr18Ni9Ti|Φ80|GJB 2294A-2014|热轧|GB/T 702-2008</t>
        </is>
      </c>
      <c r="E218" s="8" t="inlineStr">
        <is>
          <t>物资名称 热轧航空用不锈圆钢;物资简称 圆钢;牌号 1Cr18Ni9Ti;直径 Φ80;技术标准号 GJB 2294A-2014;加工工艺 热轧;热处理工艺 ;特殊要求 ;规格标准号 GB/T 702-2008</t>
        </is>
      </c>
      <c r="F218" s="4" t="inlineStr">
        <is>
          <t>千克</t>
        </is>
      </c>
    </row>
    <row r="219" s="21">
      <c r="A219" s="8" t="inlineStr">
        <is>
          <t>100201</t>
        </is>
      </c>
      <c r="B219" s="8" t="inlineStr">
        <is>
          <t>圆钢</t>
        </is>
      </c>
      <c r="C219" s="8" t="inlineStr">
        <is>
          <t>602886600</t>
        </is>
      </c>
      <c r="D219" s="8" t="inlineStr">
        <is>
          <t>热轧航空用不锈圆钢|圆钢|1Cr18Ni9Ti|Φ45|GJB 2294A-2014|热轧|GB/T 702-2008</t>
        </is>
      </c>
      <c r="E219" s="8" t="inlineStr">
        <is>
          <t>物资名称 热轧航空用不锈圆钢;物资简称 圆钢;牌号 1Cr18Ni9Ti;直径 Φ45;技术标准号 GJB 2294A-2014;加工工艺 热轧;热处理工艺 ;特殊要求 ;规格标准号 GB/T 702-2008</t>
        </is>
      </c>
      <c r="F219" s="4" t="inlineStr">
        <is>
          <t>千克</t>
        </is>
      </c>
    </row>
    <row r="220" s="21">
      <c r="A220" s="8" t="inlineStr">
        <is>
          <t>100201</t>
        </is>
      </c>
      <c r="B220" s="8" t="inlineStr">
        <is>
          <t>圆钢</t>
        </is>
      </c>
      <c r="C220" s="8" t="inlineStr">
        <is>
          <t>602886500</t>
        </is>
      </c>
      <c r="D220" s="8" t="inlineStr">
        <is>
          <t>热轧航空用不锈圆钢|圆钢|1Cr18Ni9Ti|Φ30|GJB 2294A-2014|热轧|GB/T 702-2008</t>
        </is>
      </c>
      <c r="E220" s="8" t="inlineStr">
        <is>
          <t>物资名称 热轧航空用不锈圆钢;物资简称 圆钢;牌号 1Cr18Ni9Ti;直径 Φ30;技术标准号 GJB 2294A-2014;加工工艺 热轧;热处理工艺 ;特殊要求 ;规格标准号 GB/T 702-2008</t>
        </is>
      </c>
      <c r="F220" s="4" t="inlineStr">
        <is>
          <t>千克</t>
        </is>
      </c>
    </row>
    <row r="221" s="21">
      <c r="A221" s="8" t="inlineStr">
        <is>
          <t>100201</t>
        </is>
      </c>
      <c r="B221" s="8" t="inlineStr">
        <is>
          <t>圆钢</t>
        </is>
      </c>
      <c r="C221" s="8" t="inlineStr">
        <is>
          <t>602642300</t>
        </is>
      </c>
      <c r="D221" s="8" t="inlineStr">
        <is>
          <t>热轧航空用不锈圆钢|圆钢|1Cr18Ni9Ti|Φ50|GJB 2294A-2014|热轧|GB/T 702-2008</t>
        </is>
      </c>
      <c r="E221" s="8" t="inlineStr">
        <is>
          <t>物资名称 热轧航空用不锈圆钢;物资简称 圆钢;牌号 1Cr18Ni9Ti;直径 Φ50;技术标准号 GJB 2294A-2014;加工工艺 热轧;热处理工艺 ;特殊要求 ;规格标准号 GB/T 702-2008</t>
        </is>
      </c>
      <c r="F221" s="4" t="inlineStr">
        <is>
          <t>千克</t>
        </is>
      </c>
    </row>
    <row r="222" s="21">
      <c r="A222" s="8" t="inlineStr">
        <is>
          <t>100201</t>
        </is>
      </c>
      <c r="B222" s="8" t="inlineStr">
        <is>
          <t>圆钢</t>
        </is>
      </c>
      <c r="C222" s="8" t="inlineStr">
        <is>
          <t>602640500</t>
        </is>
      </c>
      <c r="D222" s="8" t="inlineStr">
        <is>
          <t>冷拉高碳铬轴承圆钢|圆钢|GCr15|Φ4.8|GB/T 18254-2002|冷拉</t>
        </is>
      </c>
      <c r="E222" s="8" t="inlineStr">
        <is>
          <t>物资名称 冷拉高碳铬轴承圆钢;物资简称 圆钢;牌号 GCr15;直径 Φ4.8;技术标准号 GB/T 18254-2002;加工工艺 冷拉;热处理工艺 ;特殊要求 ;规格标准号</t>
        </is>
      </c>
      <c r="F222" s="4" t="inlineStr">
        <is>
          <t>千克</t>
        </is>
      </c>
    </row>
    <row r="223" s="21">
      <c r="A223" s="8" t="inlineStr">
        <is>
          <t>100201</t>
        </is>
      </c>
      <c r="B223" s="8" t="inlineStr">
        <is>
          <t>圆钢</t>
        </is>
      </c>
      <c r="C223" s="8" t="inlineStr">
        <is>
          <t>602631700</t>
        </is>
      </c>
      <c r="D223" s="8" t="inlineStr">
        <is>
          <t>热轧优质碳素结构圆钢|圆钢|45|Φ6|GB/T 699-1999|热轧|GB/T 702-2008</t>
        </is>
      </c>
      <c r="E223" s="8" t="inlineStr">
        <is>
          <t>物资名称 热轧优质碳素结构圆钢;物资简称 圆钢;牌号 45;直径 Φ6;技术标准号 GB/T 699-1999;加工工艺 热轧;热处理工艺 ;特殊要求 ;规格标准号 GB/T 702-2008</t>
        </is>
      </c>
      <c r="F223" s="4" t="inlineStr">
        <is>
          <t>千克</t>
        </is>
      </c>
    </row>
    <row r="224" s="21">
      <c r="A224" s="8" t="inlineStr">
        <is>
          <t>100201</t>
        </is>
      </c>
      <c r="B224" s="8" t="inlineStr">
        <is>
          <t>圆钢</t>
        </is>
      </c>
      <c r="C224" s="8" t="inlineStr">
        <is>
          <t>602356800</t>
        </is>
      </c>
      <c r="D224" s="8" t="inlineStr">
        <is>
          <t>热轧合金结构圆钢|圆钢|45CrNiMoVA|Φ70|GB/T 3077-2015|热轧|GB/T 702-2017</t>
        </is>
      </c>
      <c r="E224" s="8" t="inlineStr">
        <is>
          <t>物资名称 热轧合金结构圆钢;物资简称 圆钢;牌号 45CrNiMoVA;直径 Φ70;技术标准号 GB/T 3077-2015;加工工艺 热轧;热处理工艺 ;特殊要求 ;规格标准号 GB/T 702-2017</t>
        </is>
      </c>
      <c r="F224" s="4" t="inlineStr">
        <is>
          <t>千克</t>
        </is>
      </c>
    </row>
    <row r="225" s="21">
      <c r="A225" s="8" t="inlineStr">
        <is>
          <t>100201</t>
        </is>
      </c>
      <c r="B225" s="8" t="inlineStr">
        <is>
          <t>圆钢</t>
        </is>
      </c>
      <c r="C225" s="8" t="inlineStr">
        <is>
          <t>602356700</t>
        </is>
      </c>
      <c r="D225" s="8" t="inlineStr">
        <is>
          <t>热轧不锈圆钢|圆钢|40Cr13|Φ12|GB/T 1220-2007|热轧|GB/T 702-2008</t>
        </is>
      </c>
      <c r="E225" s="8" t="inlineStr">
        <is>
          <t>物资名称 热轧不锈圆钢;物资简称 圆钢;牌号 40Cr13;直径 Φ12;技术标准号 GB/T 1220-2007;加工工艺 热轧;热处理工艺 ;特殊要求 ;规格标准号 GB/T 702-2008</t>
        </is>
      </c>
      <c r="F225" s="4" t="inlineStr">
        <is>
          <t>千克</t>
        </is>
      </c>
    </row>
    <row r="226" s="21">
      <c r="A226" s="8" t="inlineStr">
        <is>
          <t>100201</t>
        </is>
      </c>
      <c r="B226" s="8" t="inlineStr">
        <is>
          <t>圆钢</t>
        </is>
      </c>
      <c r="C226" s="8" t="inlineStr">
        <is>
          <t>602356600</t>
        </is>
      </c>
      <c r="D226" s="8" t="inlineStr">
        <is>
          <t>热轧合金结构圆钢|圆钢|45CrNiMoVA|Φ50|GB/T 3077-2015|热轧|GB/T 702-2017</t>
        </is>
      </c>
      <c r="E226" s="8" t="inlineStr">
        <is>
          <t>物资名称 热轧合金结构圆钢;物资简称 圆钢;牌号 45CrNiMoVA;直径 Φ50;技术标准号 GB/T 3077-2015;加工工艺 热轧;热处理工艺 ;特殊要求 ;规格标准号 GB/T 702-2017</t>
        </is>
      </c>
      <c r="F226" s="4" t="inlineStr">
        <is>
          <t>千克</t>
        </is>
      </c>
    </row>
    <row r="227" s="21">
      <c r="A227" s="8" t="inlineStr">
        <is>
          <t>100201</t>
        </is>
      </c>
      <c r="B227" s="8" t="inlineStr">
        <is>
          <t>圆钢</t>
        </is>
      </c>
      <c r="C227" s="8" t="inlineStr">
        <is>
          <t>602356500</t>
        </is>
      </c>
      <c r="D227" s="8" t="inlineStr">
        <is>
          <t>热轧合金结构圆钢|圆钢|45CrNiMoVA|Φ45|GB/T 3077-2015|热轧|GB/T 702-2017</t>
        </is>
      </c>
      <c r="E227" s="8" t="inlineStr">
        <is>
          <t>物资名称 热轧合金结构圆钢;物资简称 圆钢;牌号 45CrNiMoVA;直径 Φ45;技术标准号 GB/T 3077-2015;加工工艺 热轧;热处理工艺 ;特殊要求 ;规格标准号 GB/T 702-2017</t>
        </is>
      </c>
      <c r="F227" s="4" t="inlineStr">
        <is>
          <t>千克</t>
        </is>
      </c>
    </row>
    <row r="228" s="21">
      <c r="A228" s="8" t="inlineStr">
        <is>
          <t>100201</t>
        </is>
      </c>
      <c r="B228" s="8" t="inlineStr">
        <is>
          <t>圆钢</t>
        </is>
      </c>
      <c r="C228" s="8" t="inlineStr">
        <is>
          <t>602356400</t>
        </is>
      </c>
      <c r="D228" s="8" t="inlineStr">
        <is>
          <t>热轧优质碳素结构圆钢|圆钢|45|Φ8|GB/T 699-2015|热轧|GB/T 702-2017</t>
        </is>
      </c>
      <c r="E228" s="8" t="inlineStr">
        <is>
          <t>物资名称 热轧优质碳素结构圆钢;物资简称 圆钢;牌号 45;直径 Φ8;技术标准号 GB/T 699-2015;加工工艺 热轧;热处理工艺 ;特殊要求 ;规格标准号 GB/T 702-2017</t>
        </is>
      </c>
      <c r="F228" s="4" t="inlineStr">
        <is>
          <t>千克</t>
        </is>
      </c>
    </row>
    <row r="229" s="21">
      <c r="A229" s="8" t="inlineStr">
        <is>
          <t>100201</t>
        </is>
      </c>
      <c r="B229" s="8" t="inlineStr">
        <is>
          <t>圆钢</t>
        </is>
      </c>
      <c r="C229" s="8" t="inlineStr">
        <is>
          <t>602356300</t>
        </is>
      </c>
      <c r="D229" s="8" t="inlineStr">
        <is>
          <t>热轧优质碳素结构圆钢|圆钢|45|Φ265|GB/T 699-2015|热轧|GB/T 702-2008</t>
        </is>
      </c>
      <c r="E229" s="8" t="inlineStr">
        <is>
          <t>物资名称 热轧优质碳素结构圆钢;物资简称 圆钢;牌号 45;直径 Φ265;技术标准号 GB/T 699-2015;加工工艺 热轧;热处理工艺 ;特殊要求 ;规格标准号 GB/T 702-2008</t>
        </is>
      </c>
      <c r="F229" s="4" t="inlineStr">
        <is>
          <t>千克</t>
        </is>
      </c>
    </row>
    <row r="230" s="21">
      <c r="A230" s="8" t="inlineStr">
        <is>
          <t>100201</t>
        </is>
      </c>
      <c r="B230" s="8" t="inlineStr">
        <is>
          <t>圆钢</t>
        </is>
      </c>
      <c r="C230" s="8" t="inlineStr">
        <is>
          <t>602356200</t>
        </is>
      </c>
      <c r="D230" s="8" t="inlineStr">
        <is>
          <t>热轧合金结构圆钢|圆钢|30CrMnSiA|Φ14|GB/T 3077-2015|热轧|GB/T 702-2008</t>
        </is>
      </c>
      <c r="E230" s="8" t="inlineStr">
        <is>
          <t>物资名称 热轧合金结构圆钢;物资简称 圆钢;牌号 30CrMnSiA;直径 Φ14;技术标准号 GB/T 3077-2015;加工工艺 热轧;热处理工艺 ;特殊要求 ;规格标准号 GB/T 702-2008</t>
        </is>
      </c>
      <c r="F230" s="4" t="inlineStr">
        <is>
          <t>千克</t>
        </is>
      </c>
    </row>
    <row r="231" s="21">
      <c r="A231" s="8" t="inlineStr">
        <is>
          <t>100201</t>
        </is>
      </c>
      <c r="B231" s="8" t="inlineStr">
        <is>
          <t>圆钢</t>
        </is>
      </c>
      <c r="C231" s="8" t="inlineStr">
        <is>
          <t>602356100</t>
        </is>
      </c>
      <c r="D231" s="8" t="inlineStr">
        <is>
          <t>热轧优质碳素结构圆钢|圆钢|45|Φ205|GB/T 699-2015|热轧|GB/T 702-2008</t>
        </is>
      </c>
      <c r="E231" s="8" t="inlineStr">
        <is>
          <t>物资名称 热轧优质碳素结构圆钢;物资简称 圆钢;牌号 45;直径 Φ205;技术标准号 GB/T 699-2015;加工工艺 热轧;热处理工艺 ;特殊要求 ;规格标准号 GB/T 702-2008</t>
        </is>
      </c>
      <c r="F231" s="4" t="inlineStr">
        <is>
          <t>千克</t>
        </is>
      </c>
    </row>
    <row r="232" s="21">
      <c r="A232" s="8" t="inlineStr">
        <is>
          <t>100201</t>
        </is>
      </c>
      <c r="B232" s="8" t="inlineStr">
        <is>
          <t>圆钢</t>
        </is>
      </c>
      <c r="C232" s="8" t="inlineStr">
        <is>
          <t>602356000</t>
        </is>
      </c>
      <c r="D232" s="8" t="inlineStr">
        <is>
          <t>热轧航空用不锈圆钢|圆钢|1Cr18Ni9Ti|Φ27|GJB 2294-1995|热轧|GB/T 702-2008</t>
        </is>
      </c>
      <c r="E232" s="8" t="inlineStr">
        <is>
          <t>物资名称 热轧航空用不锈圆钢;物资简称 圆钢;牌号 1Cr18Ni9Ti;直径 Φ27;技术标准号 GJB 2294-1995;加工工艺 热轧;热处理工艺 ;特殊要求 ;规格标准号 GB/T 702-2008</t>
        </is>
      </c>
      <c r="F232" s="4" t="inlineStr">
        <is>
          <t>千克</t>
        </is>
      </c>
    </row>
    <row r="233" s="21">
      <c r="A233" s="8" t="inlineStr">
        <is>
          <t>100201</t>
        </is>
      </c>
      <c r="B233" s="8" t="inlineStr">
        <is>
          <t>圆钢</t>
        </is>
      </c>
      <c r="C233" s="8" t="inlineStr">
        <is>
          <t>602355100</t>
        </is>
      </c>
      <c r="D233" s="8" t="inlineStr">
        <is>
          <t>热轧航空用不锈圆钢|圆钢|1Cr18Ni9Ti|Φ75|GJB 2294-1995|热轧|GB/T 702-2008</t>
        </is>
      </c>
      <c r="E233" s="8" t="inlineStr">
        <is>
          <t>物资名称 热轧航空用不锈圆钢;物资简称 圆钢;牌号 1Cr18Ni9Ti;直径 Φ75;技术标准号 GJB 2294-1995;加工工艺 热轧;热处理工艺 ;特殊要求 ;规格标准号 GB/T 702-2008</t>
        </is>
      </c>
      <c r="F233" s="4" t="inlineStr">
        <is>
          <t>千克</t>
        </is>
      </c>
    </row>
    <row r="234" s="21">
      <c r="A234" s="8" t="inlineStr">
        <is>
          <t>100201</t>
        </is>
      </c>
      <c r="B234" s="8" t="inlineStr">
        <is>
          <t>圆钢</t>
        </is>
      </c>
      <c r="C234" s="8" t="inlineStr">
        <is>
          <t>602353200</t>
        </is>
      </c>
      <c r="D234" s="8" t="inlineStr">
        <is>
          <t>锻制航空航天用超高强度圆钢|圆钢|45CrNiMo1VA|Φ75|GJB 5063-2001|锻制|GB/T 908-2008</t>
        </is>
      </c>
      <c r="E234" s="8" t="inlineStr">
        <is>
          <t>物资名称 锻制航空航天用超高强度圆钢;物资简称 圆钢;牌号 45CrNiMo1VA;直径 Φ75;技术标准号 GJB 5063-2001;加工工艺 锻制;热处理工艺 ;特殊要求 ;规格标准号 GB/T 908-2008</t>
        </is>
      </c>
      <c r="F234" s="4" t="inlineStr">
        <is>
          <t>千克</t>
        </is>
      </c>
    </row>
    <row r="235" s="21">
      <c r="A235" s="8" t="inlineStr">
        <is>
          <t>100201</t>
        </is>
      </c>
      <c r="B235" s="8" t="inlineStr">
        <is>
          <t>圆钢</t>
        </is>
      </c>
      <c r="C235" s="8" t="inlineStr">
        <is>
          <t>602346100</t>
        </is>
      </c>
      <c r="D235" s="8" t="inlineStr">
        <is>
          <t>冷拉优质碳素结构圆钢|圆钢|45|Φ250|GB/T 3078-2008|冷拉|GB/T 905-1994</t>
        </is>
      </c>
      <c r="E235" s="8" t="inlineStr">
        <is>
          <t>物资名称 冷拉优质碳素结构圆钢;物资简称 圆钢;牌号 45;直径 Φ250;技术标准号 GB/T 3078-2008;加工工艺 冷拉;热处理工艺 ;特殊要求 ;规格标准号 GB/T 905-1994</t>
        </is>
      </c>
      <c r="F235" s="4" t="inlineStr">
        <is>
          <t>千克</t>
        </is>
      </c>
    </row>
    <row r="236" s="21">
      <c r="A236" s="8" t="inlineStr">
        <is>
          <t>100201</t>
        </is>
      </c>
      <c r="B236" s="8" t="inlineStr">
        <is>
          <t>圆钢</t>
        </is>
      </c>
      <c r="C236" s="8" t="inlineStr">
        <is>
          <t>602346000</t>
        </is>
      </c>
      <c r="D236" s="8" t="inlineStr">
        <is>
          <t>冷拉优质碳素结构圆钢|圆钢|45|Φ260|GB/T 3078-2008|冷拉|GB/T 905-1994</t>
        </is>
      </c>
      <c r="E236" s="8" t="inlineStr">
        <is>
          <t>物资名称 冷拉优质碳素结构圆钢;物资简称 圆钢;牌号 45;直径 Φ260;技术标准号 GB/T 3078-2008;加工工艺 冷拉;热处理工艺 ;特殊要求 ;规格标准号 GB/T 905-1994</t>
        </is>
      </c>
      <c r="F236" s="4" t="inlineStr">
        <is>
          <t>千克</t>
        </is>
      </c>
    </row>
    <row r="237" s="21">
      <c r="A237" s="8" t="inlineStr">
        <is>
          <t>100201</t>
        </is>
      </c>
      <c r="B237" s="8" t="inlineStr">
        <is>
          <t>圆钢</t>
        </is>
      </c>
      <c r="C237" s="8" t="inlineStr">
        <is>
          <t>602331600</t>
        </is>
      </c>
      <c r="D237" s="8" t="inlineStr">
        <is>
          <t>热轧优质碳素结构圆钢|圆钢|45|Φ60|GB/T 699-1999|热轧|GB/T 702-2008</t>
        </is>
      </c>
      <c r="E237" s="8" t="inlineStr">
        <is>
          <t>物资名称 热轧优质碳素结构圆钢;物资简称 圆钢;牌号 45;直径 Φ60;技术标准号 GB/T 699-1999;加工工艺 热轧;热处理工艺 ;特殊要求 ;规格标准号 GB/T 702-2008</t>
        </is>
      </c>
      <c r="F237" s="4" t="inlineStr">
        <is>
          <t>千克</t>
        </is>
      </c>
    </row>
    <row r="238" s="21">
      <c r="A238" s="8" t="inlineStr">
        <is>
          <t>100201</t>
        </is>
      </c>
      <c r="B238" s="8" t="inlineStr">
        <is>
          <t>圆钢</t>
        </is>
      </c>
      <c r="C238" s="8" t="inlineStr">
        <is>
          <t>602305400</t>
        </is>
      </c>
      <c r="D238" s="8" t="inlineStr">
        <is>
          <t>热轧耐热圆钢|圆钢|06Cr19Ni10|Φ5|GB/T 1221-2007|热轧|GB/T 702-2004</t>
        </is>
      </c>
      <c r="E238" s="8" t="inlineStr">
        <is>
          <t>物资名称 热轧耐热圆钢;物资简称 圆钢;牌号 06Cr19Ni10;直径 Φ5;技术标准号 GB/T 1221-2007;加工工艺 热轧;热处理工艺 ;特殊要求 ;规格标准号 GB/T 702-2004</t>
        </is>
      </c>
      <c r="F238" s="4" t="inlineStr">
        <is>
          <t>千克</t>
        </is>
      </c>
    </row>
    <row r="239" s="21">
      <c r="A239" s="8" t="inlineStr">
        <is>
          <t>100201</t>
        </is>
      </c>
      <c r="B239" s="8" t="inlineStr">
        <is>
          <t>圆钢</t>
        </is>
      </c>
      <c r="C239" s="8" t="inlineStr">
        <is>
          <t>602294600</t>
        </is>
      </c>
      <c r="D239" s="8" t="inlineStr">
        <is>
          <t>热轧航空用不锈圆钢|圆钢|1Cr18Ni9Ti|Φ25|GJB 2294A-2014|热轧|GB/T 702-2008</t>
        </is>
      </c>
      <c r="E239" s="8" t="inlineStr">
        <is>
          <t>物资名称 热轧航空用不锈圆钢;物资简称 圆钢;牌号 1Cr18Ni9Ti;直径 Φ25;技术标准号 GJB 2294A-2014;加工工艺 热轧;热处理工艺 ;特殊要求 ;规格标准号 GB/T 702-2008</t>
        </is>
      </c>
      <c r="F239" s="4" t="inlineStr">
        <is>
          <t>千克</t>
        </is>
      </c>
    </row>
    <row r="240" s="21">
      <c r="A240" s="8" t="inlineStr">
        <is>
          <t>100201</t>
        </is>
      </c>
      <c r="B240" s="8" t="inlineStr">
        <is>
          <t>圆钢</t>
        </is>
      </c>
      <c r="C240" s="8" t="inlineStr">
        <is>
          <t>602294500</t>
        </is>
      </c>
      <c r="D240" s="8" t="inlineStr">
        <is>
          <t>热轧航空用不锈圆钢|圆钢|1Cr18Ni9Ti|Φ40|GJB 2294A-2014|热轧|GB/T 702-2008</t>
        </is>
      </c>
      <c r="E240" s="8" t="inlineStr">
        <is>
          <t>物资名称 热轧航空用不锈圆钢;物资简称 圆钢;牌号 1Cr18Ni9Ti;直径 Φ40;技术标准号 GJB 2294A-2014;加工工艺 热轧;热处理工艺 ;特殊要求 ;规格标准号 GB/T 702-2008</t>
        </is>
      </c>
      <c r="F240" s="4" t="inlineStr">
        <is>
          <t>千克</t>
        </is>
      </c>
    </row>
    <row r="241" s="21">
      <c r="A241" s="8" t="inlineStr">
        <is>
          <t>100201</t>
        </is>
      </c>
      <c r="B241" s="8" t="inlineStr">
        <is>
          <t>圆钢</t>
        </is>
      </c>
      <c r="C241" s="8" t="inlineStr">
        <is>
          <t>602291000</t>
        </is>
      </c>
      <c r="D241" s="8" t="inlineStr">
        <is>
          <t>航空用优质结构圆钢|圆钢|38CrMoAlA|GJB 1951A-2020</t>
        </is>
      </c>
      <c r="E241" s="8" t="inlineStr">
        <is>
          <t xml:space="preserve">物资名称 航空用优质结构圆钢;物资简称 圆钢;牌号 38CrMoAlA;直径 Φ;技术标准号 GJB 1951A-2020;加工工艺 ;热处理工艺 ;特殊要求 ;规格标准号 </t>
        </is>
      </c>
      <c r="F241" s="4" t="inlineStr">
        <is>
          <t>千克</t>
        </is>
      </c>
    </row>
    <row r="242" s="21">
      <c r="A242" s="8" t="inlineStr">
        <is>
          <t>100201</t>
        </is>
      </c>
      <c r="B242" s="8" t="inlineStr">
        <is>
          <t>圆钢</t>
        </is>
      </c>
      <c r="C242" s="8" t="inlineStr">
        <is>
          <t>602289700</t>
        </is>
      </c>
      <c r="D242" s="8" t="inlineStr">
        <is>
          <t>热轧合金结构圆钢|圆钢|40Cr|GB/T 3077-2015|热轧|GB/T 702-2008</t>
        </is>
      </c>
      <c r="E242" s="8" t="inlineStr">
        <is>
          <t>物资名称 热轧合金结构圆钢;物资简称 圆钢;牌号 40Cr;直径 Φ;技术标准号 GB/T 3077-2015;加工工艺 热轧;热处理工艺 ;特殊要求 ;规格标准号 GB/T 702-2008</t>
        </is>
      </c>
      <c r="F242" s="4" t="inlineStr">
        <is>
          <t>千克</t>
        </is>
      </c>
    </row>
    <row r="243" s="21">
      <c r="A243" s="8" t="inlineStr">
        <is>
          <t>100201</t>
        </is>
      </c>
      <c r="B243" s="8" t="inlineStr">
        <is>
          <t>圆钢</t>
        </is>
      </c>
      <c r="C243" s="8" t="inlineStr">
        <is>
          <t>602289600</t>
        </is>
      </c>
      <c r="D243" s="8" t="inlineStr">
        <is>
          <t>热轧航空用不锈圆钢|圆钢|1Cr18Ni9Ti|GJB 2294A-2014|热轧</t>
        </is>
      </c>
      <c r="E243" s="8" t="inlineStr">
        <is>
          <t xml:space="preserve">物资名称 热轧航空用不锈圆钢;物资简称 圆钢;牌号 1Cr18Ni9Ti;直径 Φ;技术标准号 GJB 2294A-2014;加工工艺 热轧;热处理工艺 ;特殊要求 ;规格标准号 </t>
        </is>
      </c>
      <c r="F243" s="4" t="inlineStr">
        <is>
          <t>千克</t>
        </is>
      </c>
    </row>
    <row r="244" s="21">
      <c r="A244" s="8" t="inlineStr">
        <is>
          <t>100201</t>
        </is>
      </c>
      <c r="B244" s="8" t="inlineStr">
        <is>
          <t>圆钢</t>
        </is>
      </c>
      <c r="C244" s="8" t="inlineStr">
        <is>
          <t>602288400</t>
        </is>
      </c>
      <c r="D244" s="8" t="inlineStr">
        <is>
          <t>热轧合金结构圆钢|圆钢|40Cr|Φ52|GB/T 3077-2015|热轧|GB/T 702-2008</t>
        </is>
      </c>
      <c r="E244" s="8" t="inlineStr">
        <is>
          <t>物资名称 热轧合金结构圆钢;物资简称 圆钢;牌号 40Cr;直径 Φ52;技术标准号 GB/T 3077-2015;加工工艺 热轧;热处理工艺 ;特殊要求 ;规格标准号 GB/T 702-2008</t>
        </is>
      </c>
      <c r="F244" s="4" t="inlineStr">
        <is>
          <t>千克</t>
        </is>
      </c>
    </row>
    <row r="245" s="21">
      <c r="A245" s="8" t="inlineStr">
        <is>
          <t>100201</t>
        </is>
      </c>
      <c r="B245" s="8" t="inlineStr">
        <is>
          <t>圆钢</t>
        </is>
      </c>
      <c r="C245" s="8" t="inlineStr">
        <is>
          <t>602288300</t>
        </is>
      </c>
      <c r="D245" s="8" t="inlineStr">
        <is>
          <t>热轧航空用不锈圆钢|圆钢|1Cr18Ni9Ti|Φ68|GJB 2294A-2014|热轧|GB/T 702-2008</t>
        </is>
      </c>
      <c r="E245" s="8" t="inlineStr">
        <is>
          <t>物资名称 热轧航空用不锈圆钢;物资简称 圆钢;牌号 1Cr18Ni9Ti;直径 Φ68;技术标准号 GJB 2294A-2014;加工工艺 热轧;热处理工艺 ;特殊要求 ;规格标准号 GB/T 702-2008</t>
        </is>
      </c>
      <c r="F245" s="4" t="inlineStr">
        <is>
          <t>千克</t>
        </is>
      </c>
    </row>
    <row r="246" s="21">
      <c r="A246" s="8" t="inlineStr">
        <is>
          <t>100201</t>
        </is>
      </c>
      <c r="B246" s="8" t="inlineStr">
        <is>
          <t>圆钢</t>
        </is>
      </c>
      <c r="C246" s="8" t="inlineStr">
        <is>
          <t>602284900</t>
        </is>
      </c>
      <c r="D246" s="8" t="inlineStr">
        <is>
          <t>热轧不锈圆钢|圆钢|20Cr13|Φ85|GB/T 1220-2007|热轧|GB/T 702-2008</t>
        </is>
      </c>
      <c r="E246" s="8" t="inlineStr">
        <is>
          <t>物资名称 热轧不锈圆钢;物资简称 圆钢;牌号 20Cr13;直径 Φ85;技术标准号 GB/T 1220-2007;加工工艺 热轧;热处理工艺 ;特殊要求 ;规格标准号 GB/T 702-2008</t>
        </is>
      </c>
      <c r="F246" s="4" t="inlineStr">
        <is>
          <t>千克</t>
        </is>
      </c>
    </row>
    <row r="247" s="21">
      <c r="A247" s="8" t="inlineStr">
        <is>
          <t>100201</t>
        </is>
      </c>
      <c r="B247" s="8" t="inlineStr">
        <is>
          <t>圆钢</t>
        </is>
      </c>
      <c r="C247" s="8" t="inlineStr">
        <is>
          <t>602284800</t>
        </is>
      </c>
      <c r="D247" s="8" t="inlineStr">
        <is>
          <t>热轧不锈圆钢|圆钢|1Cr18Ni9Ti|Φ65|GB/T 1220-1992|热轧|GB/T 702-2008</t>
        </is>
      </c>
      <c r="E247" s="8" t="inlineStr">
        <is>
          <t>物资名称 热轧不锈圆钢;物资简称 圆钢;牌号 1Cr18Ni9Ti;直径 Φ65;技术标准号 GB/T 1220-1992;加工工艺 热轧;热处理工艺 ;特殊要求 ;规格标准号 GB/T 702-2008</t>
        </is>
      </c>
      <c r="F247" s="4" t="inlineStr">
        <is>
          <t>千克</t>
        </is>
      </c>
    </row>
    <row r="248" s="21">
      <c r="A248" s="8" t="inlineStr">
        <is>
          <t>100201</t>
        </is>
      </c>
      <c r="B248" s="8" t="inlineStr">
        <is>
          <t>圆钢</t>
        </is>
      </c>
      <c r="C248" s="8" t="inlineStr">
        <is>
          <t>602284700</t>
        </is>
      </c>
      <c r="D248" s="8" t="inlineStr">
        <is>
          <t>热轧航空用不锈圆钢|圆钢|1Cr18Ni9Ti|Φ160|GJB 2294A-2014|热轧|GB/T 702-2008</t>
        </is>
      </c>
      <c r="E248" s="8" t="inlineStr">
        <is>
          <t>物资名称 热轧航空用不锈圆钢;物资简称 圆钢;牌号 1Cr18Ni9Ti;直径 Φ160;技术标准号 GJB 2294A-2014;加工工艺 热轧;热处理工艺 ;特殊要求 ;规格标准号 GB/T 702-2008</t>
        </is>
      </c>
      <c r="F248" s="4" t="inlineStr">
        <is>
          <t>千克</t>
        </is>
      </c>
    </row>
    <row r="249" s="21">
      <c r="A249" s="8" t="inlineStr">
        <is>
          <t>100201</t>
        </is>
      </c>
      <c r="B249" s="8" t="inlineStr">
        <is>
          <t>圆钢</t>
        </is>
      </c>
      <c r="C249" s="8" t="inlineStr">
        <is>
          <t>602284600</t>
        </is>
      </c>
      <c r="D249" s="8" t="inlineStr">
        <is>
          <t>热轧航空用不锈圆钢|圆钢|1Cr18Ni9Ti|Φ60|GJB 2294A-2014|热轧|GB/T 702-2008</t>
        </is>
      </c>
      <c r="E249" s="8" t="inlineStr">
        <is>
          <t>物资名称 热轧航空用不锈圆钢;物资简称 圆钢;牌号 1Cr18Ni9Ti;直径 Φ60;技术标准号 GJB 2294A-2014;加工工艺 热轧;热处理工艺 ;特殊要求 ;规格标准号 GB/T 702-2008</t>
        </is>
      </c>
      <c r="F249" s="4" t="inlineStr">
        <is>
          <t>千克</t>
        </is>
      </c>
    </row>
    <row r="250" s="21">
      <c r="A250" s="8" t="inlineStr">
        <is>
          <t>100201</t>
        </is>
      </c>
      <c r="B250" s="8" t="inlineStr">
        <is>
          <t>圆钢</t>
        </is>
      </c>
      <c r="C250" s="8" t="inlineStr">
        <is>
          <t>602284500</t>
        </is>
      </c>
      <c r="D250" s="8" t="inlineStr">
        <is>
          <t>热轧航空用不锈圆钢|圆钢|1Cr18Ni9Ti|Φ70|GJB 2294A-2014|热轧|GB/T 702-2008</t>
        </is>
      </c>
      <c r="E250" s="8" t="inlineStr">
        <is>
          <t>物资名称 热轧航空用不锈圆钢;物资简称 圆钢;牌号 1Cr18Ni9Ti;直径 Φ70;技术标准号 GJB 2294A-2014;加工工艺 热轧;热处理工艺 ;特殊要求 ;规格标准号 GB/T 702-2008</t>
        </is>
      </c>
      <c r="F250" s="4" t="inlineStr">
        <is>
          <t>千克</t>
        </is>
      </c>
    </row>
    <row r="251" s="21">
      <c r="A251" s="8" t="inlineStr">
        <is>
          <t>100201</t>
        </is>
      </c>
      <c r="B251" s="8" t="inlineStr">
        <is>
          <t>圆钢</t>
        </is>
      </c>
      <c r="C251" s="8" t="inlineStr">
        <is>
          <t>602284400</t>
        </is>
      </c>
      <c r="D251" s="8" t="inlineStr">
        <is>
          <t>热轧航空用不锈圆钢|圆钢|1Cr18Ni9Ti|Φ28|GJB 2294A-2014|热轧|GB/T 702-2008</t>
        </is>
      </c>
      <c r="E251" s="8" t="inlineStr">
        <is>
          <t>物资名称 热轧航空用不锈圆钢;物资简称 圆钢;牌号 1Cr18Ni9Ti;直径 Φ28;技术标准号 GJB 2294A-2014;加工工艺 热轧;热处理工艺 ;特殊要求 ;规格标准号 GB/T 702-2008</t>
        </is>
      </c>
      <c r="F251" s="4" t="inlineStr">
        <is>
          <t>千克</t>
        </is>
      </c>
    </row>
    <row r="252" s="21">
      <c r="A252" s="8" t="inlineStr">
        <is>
          <t>100201</t>
        </is>
      </c>
      <c r="B252" s="8" t="inlineStr">
        <is>
          <t>圆钢</t>
        </is>
      </c>
      <c r="C252" s="8" t="inlineStr">
        <is>
          <t>602284300</t>
        </is>
      </c>
      <c r="D252" s="8" t="inlineStr">
        <is>
          <t>热轧航空用不锈圆钢|圆钢|1Cr18Ni9Ti|Φ52|GJB 2294A-2014|热轧|GB/T 702-2008</t>
        </is>
      </c>
      <c r="E252" s="8" t="inlineStr">
        <is>
          <t>物资名称 热轧航空用不锈圆钢;物资简称 圆钢;牌号 1Cr18Ni9Ti;直径 Φ52;技术标准号 GJB 2294A-2014;加工工艺 热轧;热处理工艺 ;特殊要求 ;规格标准号 GB/T 702-2008</t>
        </is>
      </c>
      <c r="F252" s="4" t="inlineStr">
        <is>
          <t>千克</t>
        </is>
      </c>
    </row>
    <row r="253" s="21">
      <c r="A253" s="8" t="inlineStr">
        <is>
          <t>100201</t>
        </is>
      </c>
      <c r="B253" s="8" t="inlineStr">
        <is>
          <t>圆钢</t>
        </is>
      </c>
      <c r="C253" s="8" t="inlineStr">
        <is>
          <t>602284200</t>
        </is>
      </c>
      <c r="D253" s="8" t="inlineStr">
        <is>
          <t>热轧航空用不锈圆钢|圆钢|1Cr18Ni9Ti|Φ62|GJB 2294A-2014|热轧|GB/T 702-2008</t>
        </is>
      </c>
      <c r="E253" s="8" t="inlineStr">
        <is>
          <t>物资名称 热轧航空用不锈圆钢;物资简称 圆钢;牌号 1Cr18Ni9Ti;直径 Φ62;技术标准号 GJB 2294A-2014;加工工艺 热轧;热处理工艺 ;特殊要求 ;规格标准号 GB/T 702-2008</t>
        </is>
      </c>
      <c r="F253" s="4" t="inlineStr">
        <is>
          <t>千克</t>
        </is>
      </c>
    </row>
    <row r="254" s="21">
      <c r="A254" s="8" t="inlineStr">
        <is>
          <t>100201</t>
        </is>
      </c>
      <c r="B254" s="8" t="inlineStr">
        <is>
          <t>圆钢</t>
        </is>
      </c>
      <c r="C254" s="8" t="inlineStr">
        <is>
          <t>602284100</t>
        </is>
      </c>
      <c r="D254" s="8" t="inlineStr">
        <is>
          <t>热轧航空用不锈圆钢|圆钢|1Cr18Ni9Ti|Φ85|GJB 2294A-2014|热轧|GB/T 702-2008</t>
        </is>
      </c>
      <c r="E254" s="8" t="inlineStr">
        <is>
          <t>物资名称 热轧航空用不锈圆钢;物资简称 圆钢;牌号 1Cr18Ni9Ti;直径 Φ85;技术标准号 GJB 2294A-2014;加工工艺 热轧;热处理工艺 ;特殊要求 ;规格标准号 GB/T 702-2008</t>
        </is>
      </c>
      <c r="F254" s="4" t="inlineStr">
        <is>
          <t>千克</t>
        </is>
      </c>
    </row>
    <row r="255" s="21">
      <c r="A255" s="8" t="inlineStr">
        <is>
          <t>100201</t>
        </is>
      </c>
      <c r="B255" s="8" t="inlineStr">
        <is>
          <t>圆钢</t>
        </is>
      </c>
      <c r="C255" s="8" t="inlineStr">
        <is>
          <t>602284000</t>
        </is>
      </c>
      <c r="D255" s="8" t="inlineStr">
        <is>
          <t>热轧航空用不锈圆钢|圆钢|1Cr18Ni9Ti|Φ65|GJB 2294A-2014|热轧|GB/T 702-2008</t>
        </is>
      </c>
      <c r="E255" s="8" t="inlineStr">
        <is>
          <t>物资名称 热轧航空用不锈圆钢;物资简称 圆钢;牌号 1Cr18Ni9Ti;直径 Φ65;技术标准号 GJB 2294A-2014;加工工艺 热轧;热处理工艺 ;特殊要求 ;规格标准号 GB/T 702-2008</t>
        </is>
      </c>
      <c r="F255" s="4" t="inlineStr">
        <is>
          <t>千克</t>
        </is>
      </c>
    </row>
    <row r="256" s="21">
      <c r="A256" s="8" t="inlineStr">
        <is>
          <t>100201</t>
        </is>
      </c>
      <c r="B256" s="8" t="inlineStr">
        <is>
          <t>圆钢</t>
        </is>
      </c>
      <c r="C256" s="8" t="inlineStr">
        <is>
          <t>602283900</t>
        </is>
      </c>
      <c r="D256" s="8" t="inlineStr">
        <is>
          <t>热轧航空用不锈圆钢|圆钢|1Cr18Ni9Ti|Φ35|GJB 2294A-2014|热轧|GB/T 702-2008</t>
        </is>
      </c>
      <c r="E256" s="8" t="inlineStr">
        <is>
          <t>物资名称 热轧航空用不锈圆钢;物资简称 圆钢;牌号 1Cr18Ni9Ti;直径 Φ35;技术标准号 GJB 2294A-2014;加工工艺 热轧;热处理工艺 ;特殊要求 ;规格标准号 GB/T 702-2008</t>
        </is>
      </c>
      <c r="F256" s="4" t="inlineStr">
        <is>
          <t>千克</t>
        </is>
      </c>
    </row>
    <row r="257" s="21">
      <c r="A257" s="8" t="inlineStr">
        <is>
          <t>100201</t>
        </is>
      </c>
      <c r="B257" s="8" t="inlineStr">
        <is>
          <t>圆钢</t>
        </is>
      </c>
      <c r="C257" s="8" t="inlineStr">
        <is>
          <t>602283800</t>
        </is>
      </c>
      <c r="D257" s="8" t="inlineStr">
        <is>
          <t>热轧航空用不锈圆钢|圆钢|1Cr18Ni9Ti|Φ58|GJB 2294A-2014|热轧|GB/T 702-2008</t>
        </is>
      </c>
      <c r="E257" s="8" t="inlineStr">
        <is>
          <t>物资名称 热轧航空用不锈圆钢;物资简称 圆钢;牌号 1Cr18Ni9Ti;直径 Φ58;技术标准号 GJB 2294A-2014;加工工艺 热轧;热处理工艺 ;特殊要求 ;规格标准号 GB/T 702-2008</t>
        </is>
      </c>
      <c r="F257" s="4" t="inlineStr">
        <is>
          <t>千克</t>
        </is>
      </c>
    </row>
    <row r="258" s="21">
      <c r="A258" s="8" t="inlineStr">
        <is>
          <t>100201</t>
        </is>
      </c>
      <c r="B258" s="8" t="inlineStr">
        <is>
          <t>圆钢</t>
        </is>
      </c>
      <c r="C258" s="8" t="inlineStr">
        <is>
          <t>602283700</t>
        </is>
      </c>
      <c r="D258" s="8" t="inlineStr">
        <is>
          <t>热轧航空用不锈圆钢|圆钢|1Cr18Ni9Ti|Φ10|GJB 2294A-2014|热轧|GB/T 702-2008</t>
        </is>
      </c>
      <c r="E258" s="8" t="inlineStr">
        <is>
          <t>物资名称 热轧航空用不锈圆钢;物资简称 圆钢;牌号 1Cr18Ni9Ti;直径 Φ10;技术标准号 GJB 2294A-2014;加工工艺 热轧;热处理工艺 ;特殊要求 ;规格标准号 GB/T 702-2008</t>
        </is>
      </c>
      <c r="F258" s="4" t="inlineStr">
        <is>
          <t>千克</t>
        </is>
      </c>
    </row>
    <row r="259" s="21">
      <c r="A259" s="8" t="inlineStr">
        <is>
          <t>100201</t>
        </is>
      </c>
      <c r="B259" s="8" t="inlineStr">
        <is>
          <t>圆钢</t>
        </is>
      </c>
      <c r="C259" s="8" t="inlineStr">
        <is>
          <t>602283600</t>
        </is>
      </c>
      <c r="D259" s="8" t="inlineStr">
        <is>
          <t>热轧航空用不锈圆钢|圆钢|1Cr18Ni9Ti|Φ90|GJB 2294A-2014|热轧|GB/T 702-2008</t>
        </is>
      </c>
      <c r="E259" s="8" t="inlineStr">
        <is>
          <t>物资名称 热轧航空用不锈圆钢;物资简称 圆钢;牌号 1Cr18Ni9Ti;直径 Φ90;技术标准号 GJB 2294A-2014;加工工艺 热轧;热处理工艺 ;特殊要求 ;规格标准号 GB/T 702-2008</t>
        </is>
      </c>
      <c r="F259" s="4" t="inlineStr">
        <is>
          <t>千克</t>
        </is>
      </c>
    </row>
    <row r="260" s="21">
      <c r="A260" s="8" t="inlineStr">
        <is>
          <t>100201</t>
        </is>
      </c>
      <c r="B260" s="8" t="inlineStr">
        <is>
          <t>圆钢</t>
        </is>
      </c>
      <c r="C260" s="8" t="inlineStr">
        <is>
          <t>602283500</t>
        </is>
      </c>
      <c r="D260" s="8" t="inlineStr">
        <is>
          <t>热轧航空用不锈圆钢|圆钢|1Cr18Ni9Ti|Φ105|GJB 2294A-2014|热轧|GB/T 702-2008</t>
        </is>
      </c>
      <c r="E260" s="8" t="inlineStr">
        <is>
          <t>物资名称 热轧航空用不锈圆钢;物资简称 圆钢;牌号 1Cr18Ni9Ti;直径 Φ105;技术标准号 GJB 2294A-2014;加工工艺 热轧;热处理工艺 ;特殊要求 ;规格标准号 GB/T 702-2008</t>
        </is>
      </c>
      <c r="F260" s="4" t="inlineStr">
        <is>
          <t>千克</t>
        </is>
      </c>
    </row>
    <row r="261" s="21">
      <c r="A261" s="8" t="inlineStr">
        <is>
          <t>100201</t>
        </is>
      </c>
      <c r="B261" s="8" t="inlineStr">
        <is>
          <t>圆钢</t>
        </is>
      </c>
      <c r="C261" s="8" t="inlineStr">
        <is>
          <t>602279000</t>
        </is>
      </c>
      <c r="D261" s="8" t="inlineStr">
        <is>
          <t>热轧优质碳素结构圆钢|圆钢|45|Φ205|GB/T 699-1999|热轧|GB/T 702-2008</t>
        </is>
      </c>
      <c r="E261" s="8" t="inlineStr">
        <is>
          <t>物资名称 热轧优质碳素结构圆钢;物资简称 圆钢;牌号 45;直径 Φ205;技术标准号 GB/T 699-1999;加工工艺 热轧;热处理工艺 ;特殊要求 ;规格标准号 GB/T 702-2008</t>
        </is>
      </c>
      <c r="F261" s="4" t="inlineStr">
        <is>
          <t>千克</t>
        </is>
      </c>
    </row>
    <row r="262" s="21">
      <c r="A262" s="8" t="inlineStr">
        <is>
          <t>100201</t>
        </is>
      </c>
      <c r="B262" s="8" t="inlineStr">
        <is>
          <t>圆钢</t>
        </is>
      </c>
      <c r="C262" s="8" t="inlineStr">
        <is>
          <t>602278900</t>
        </is>
      </c>
      <c r="D262" s="8" t="inlineStr">
        <is>
          <t>热轧航空用不锈圆钢|圆钢|1Cr18Ni9Ti|Φ135|GJB 2294-1995|热轧|GB/T 702-2008</t>
        </is>
      </c>
      <c r="E262" s="8" t="inlineStr">
        <is>
          <t>物资名称 热轧航空用不锈圆钢;物资简称 圆钢;牌号 1Cr18Ni9Ti;直径 Φ135;技术标准号 GJB 2294-1995;加工工艺 热轧;热处理工艺 ;特殊要求 ;规格标准号 GB/T 702-2008</t>
        </is>
      </c>
      <c r="F262" s="4" t="inlineStr">
        <is>
          <t>千克</t>
        </is>
      </c>
    </row>
    <row r="263" s="21">
      <c r="A263" s="8" t="inlineStr">
        <is>
          <t>100201</t>
        </is>
      </c>
      <c r="B263" s="8" t="inlineStr">
        <is>
          <t>圆钢</t>
        </is>
      </c>
      <c r="C263" s="8" t="inlineStr">
        <is>
          <t>602268400</t>
        </is>
      </c>
      <c r="D263" s="8" t="inlineStr">
        <is>
          <t>热轧不锈圆钢|圆钢|40Cr13|Φ18|GB/T 1220-2007|热轧|GB/T 702-2008</t>
        </is>
      </c>
      <c r="E263" s="8" t="inlineStr">
        <is>
          <t>物资名称 热轧不锈圆钢;物资简称 圆钢;牌号 40Cr13;直径 Φ18;技术标准号 GB/T 1220-2007;加工工艺 热轧;热处理工艺 ;特殊要求 ;规格标准号 GB/T 702-2008</t>
        </is>
      </c>
      <c r="F263" s="4" t="inlineStr">
        <is>
          <t>千克</t>
        </is>
      </c>
    </row>
    <row r="264" s="21">
      <c r="A264" s="8" t="inlineStr">
        <is>
          <t>100201</t>
        </is>
      </c>
      <c r="B264" s="8" t="inlineStr">
        <is>
          <t>圆钢</t>
        </is>
      </c>
      <c r="C264" s="8" t="inlineStr">
        <is>
          <t>602208900</t>
        </is>
      </c>
      <c r="D264" s="8" t="inlineStr">
        <is>
          <t>航空用优质结构圆钢|圆钢|38CrMoAlA|Φ40|GJB 1951A-2020|GB/T 702-2008</t>
        </is>
      </c>
      <c r="E264" s="8" t="inlineStr">
        <is>
          <t>物资名称 航空用优质结构圆钢;物资简称 圆钢;牌号 38CrMoAlA;直径 Φ40;技术标准号 GJB 1951A-2020;加工工艺 ;热处理工艺 ;特殊要求 ;规格标准号 GB/T 702-2008</t>
        </is>
      </c>
      <c r="F264" s="4" t="inlineStr">
        <is>
          <t>千克</t>
        </is>
      </c>
    </row>
    <row r="265" s="21">
      <c r="A265" s="8" t="inlineStr">
        <is>
          <t>100201</t>
        </is>
      </c>
      <c r="B265" s="8" t="inlineStr">
        <is>
          <t>圆钢</t>
        </is>
      </c>
      <c r="C265" s="8" t="inlineStr">
        <is>
          <t>602208800</t>
        </is>
      </c>
      <c r="D265" s="8" t="inlineStr">
        <is>
          <t>航空用优质结构圆钢|圆钢|38CrMoAlA|Φ100|GJB 1951A-2020|GB/T 702-2008</t>
        </is>
      </c>
      <c r="E265" s="8" t="inlineStr">
        <is>
          <t>物资名称 航空用优质结构圆钢;物资简称 圆钢;牌号 38CrMoAlA;直径 Φ100;技术标准号 GJB 1951A-2020;加工工艺 ;热处理工艺 ;特殊要求 ;规格标准号 GB/T 702-2008</t>
        </is>
      </c>
      <c r="F265" s="4" t="inlineStr">
        <is>
          <t>千克</t>
        </is>
      </c>
    </row>
    <row r="266" s="21">
      <c r="A266" s="8" t="inlineStr">
        <is>
          <t>100201</t>
        </is>
      </c>
      <c r="B266" s="8" t="inlineStr">
        <is>
          <t>圆钢</t>
        </is>
      </c>
      <c r="C266" s="8" t="inlineStr">
        <is>
          <t>602188900</t>
        </is>
      </c>
      <c r="D266" s="8" t="inlineStr">
        <is>
          <t>热轧不锈圆钢|圆钢|06Cr19Ni10|Φ50|GB/T 1220-2007|热轧|GB/T 702-2008</t>
        </is>
      </c>
      <c r="E266" s="8" t="inlineStr">
        <is>
          <t>物资名称 热轧不锈圆钢;物资简称 圆钢;牌号 06Cr19Ni10;直径 Φ50;技术标准号 GB/T 1220-2007;加工工艺 热轧;热处理工艺 ;特殊要求 ;规格标准号 GB/T 702-2008</t>
        </is>
      </c>
      <c r="F266" s="4" t="inlineStr">
        <is>
          <t>千克</t>
        </is>
      </c>
    </row>
    <row r="267" s="21">
      <c r="A267" s="8" t="inlineStr">
        <is>
          <t>100201</t>
        </is>
      </c>
      <c r="B267" s="8" t="inlineStr">
        <is>
          <t>圆钢</t>
        </is>
      </c>
      <c r="C267" s="8" t="inlineStr">
        <is>
          <t>602188800</t>
        </is>
      </c>
      <c r="D267" s="8" t="inlineStr">
        <is>
          <t>热轧不锈圆钢|圆钢|06Cr19Ni10|Φ70|GB/T 1220-2007|热轧|GB/T 702-2008</t>
        </is>
      </c>
      <c r="E267" s="8" t="inlineStr">
        <is>
          <t>物资名称 热轧不锈圆钢;物资简称 圆钢;牌号 06Cr19Ni10;直径 Φ70;技术标准号 GB/T 1220-2007;加工工艺 热轧;热处理工艺 ;特殊要求 ;规格标准号 GB/T 702-2008</t>
        </is>
      </c>
      <c r="F267" s="4" t="inlineStr">
        <is>
          <t>千克</t>
        </is>
      </c>
    </row>
    <row r="268" s="21">
      <c r="A268" s="8" t="inlineStr">
        <is>
          <t>100201</t>
        </is>
      </c>
      <c r="B268" s="8" t="inlineStr">
        <is>
          <t>圆钢</t>
        </is>
      </c>
      <c r="C268" s="8" t="inlineStr">
        <is>
          <t>602188700</t>
        </is>
      </c>
      <c r="D268" s="8" t="inlineStr">
        <is>
          <t>热轧不锈圆钢|圆钢|06Cr19Ni10|Φ280|GB/T 1220-2007|热轧|GB/T 702-2008</t>
        </is>
      </c>
      <c r="E268" s="8" t="inlineStr">
        <is>
          <t>物资名称 热轧不锈圆钢;物资简称 圆钢;牌号 06Cr19Ni10;直径 Φ280;技术标准号 GB/T 1220-2007;加工工艺 热轧;热处理工艺 ;特殊要求 ;规格标准号 GB/T 702-2008</t>
        </is>
      </c>
      <c r="F268" s="4" t="inlineStr">
        <is>
          <t>千克</t>
        </is>
      </c>
    </row>
    <row r="269" s="21">
      <c r="A269" s="8" t="inlineStr">
        <is>
          <t>100201</t>
        </is>
      </c>
      <c r="B269" s="8" t="inlineStr">
        <is>
          <t>圆钢</t>
        </is>
      </c>
      <c r="C269" s="8" t="inlineStr">
        <is>
          <t>602188600</t>
        </is>
      </c>
      <c r="D269" s="8" t="inlineStr">
        <is>
          <t>热轧不锈圆钢|圆钢|06Cr19Ni10|Φ80|GB/T 1220-2007|热轧|GB/T 702-2008</t>
        </is>
      </c>
      <c r="E269" s="8" t="inlineStr">
        <is>
          <t>物资名称 热轧不锈圆钢;物资简称 圆钢;牌号 06Cr19Ni10;直径 Φ80;技术标准号 GB/T 1220-2007;加工工艺 热轧;热处理工艺 ;特殊要求 ;规格标准号 GB/T 702-2008</t>
        </is>
      </c>
      <c r="F269" s="4" t="inlineStr">
        <is>
          <t>千克</t>
        </is>
      </c>
    </row>
    <row r="270" s="21">
      <c r="A270" s="8" t="inlineStr">
        <is>
          <t>100201</t>
        </is>
      </c>
      <c r="B270" s="8" t="inlineStr">
        <is>
          <t>圆钢</t>
        </is>
      </c>
      <c r="C270" s="8" t="inlineStr">
        <is>
          <t>602188500</t>
        </is>
      </c>
      <c r="D270" s="8" t="inlineStr">
        <is>
          <t>热轧不锈圆钢|圆钢|06Cr19Ni10|Φ12|GB/T 1220-2007|热轧|GB/T 702-2008</t>
        </is>
      </c>
      <c r="E270" s="8" t="inlineStr">
        <is>
          <t>物资名称 热轧不锈圆钢;物资简称 圆钢;牌号 06Cr19Ni10;直径 Φ12;技术标准号 GB/T 1220-2007;加工工艺 热轧;热处理工艺 ;特殊要求 ;规格标准号 GB/T 702-2008</t>
        </is>
      </c>
      <c r="F270" s="4" t="inlineStr">
        <is>
          <t>千克</t>
        </is>
      </c>
    </row>
    <row r="271" s="21">
      <c r="A271" s="8" t="inlineStr">
        <is>
          <t>100201</t>
        </is>
      </c>
      <c r="B271" s="8" t="inlineStr">
        <is>
          <t>圆钢</t>
        </is>
      </c>
      <c r="C271" s="8" t="inlineStr">
        <is>
          <t>602188400</t>
        </is>
      </c>
      <c r="D271" s="8" t="inlineStr">
        <is>
          <t>热轧不锈圆钢|圆钢|06Cr19Ni10|Φ90|GB/T 1220-2007|热轧|GB/T 702-2008</t>
        </is>
      </c>
      <c r="E271" s="8" t="inlineStr">
        <is>
          <t>物资名称 热轧不锈圆钢;物资简称 圆钢;牌号 06Cr19Ni10;直径 Φ90;技术标准号 GB/T 1220-2007;加工工艺 热轧;热处理工艺 ;特殊要求 ;规格标准号 GB/T 702-2008</t>
        </is>
      </c>
      <c r="F271" s="4" t="inlineStr">
        <is>
          <t>千克</t>
        </is>
      </c>
    </row>
    <row r="272" s="21">
      <c r="A272" s="8" t="inlineStr">
        <is>
          <t>100201</t>
        </is>
      </c>
      <c r="B272" s="8" t="inlineStr">
        <is>
          <t>圆钢</t>
        </is>
      </c>
      <c r="C272" s="8" t="inlineStr">
        <is>
          <t>602184700</t>
        </is>
      </c>
      <c r="D272" s="8" t="inlineStr">
        <is>
          <t>热轧合金结构圆钢|圆钢|35CrMnSiA|Φ25|GB/T 3077-2015|热轧|GB/T 702-2017</t>
        </is>
      </c>
      <c r="E272" s="8" t="inlineStr">
        <is>
          <t>物资名称 热轧合金结构圆钢;物资简称 圆钢;牌号 35CrMnSiA;直径 Φ25;技术标准号 GB/T 3077-2015;加工工艺 热轧;热处理工艺 ;特殊要求 ;规格标准号 GB/T 702-2017</t>
        </is>
      </c>
      <c r="F272" s="4" t="inlineStr">
        <is>
          <t>千克</t>
        </is>
      </c>
    </row>
    <row r="273" s="21">
      <c r="A273" s="8" t="inlineStr">
        <is>
          <t>100201</t>
        </is>
      </c>
      <c r="B273" s="8" t="inlineStr">
        <is>
          <t>圆钢</t>
        </is>
      </c>
      <c r="C273" s="8" t="inlineStr">
        <is>
          <t>602184600</t>
        </is>
      </c>
      <c r="D273" s="8" t="inlineStr">
        <is>
          <t>热轧合金结构圆钢|圆钢|35CrMnSiA|Φ60|GB/T 3077-2015|热轧|GB/T 702-2017</t>
        </is>
      </c>
      <c r="E273" s="8" t="inlineStr">
        <is>
          <t>物资名称 热轧合金结构圆钢;物资简称 圆钢;牌号 35CrMnSiA;直径 Φ60;技术标准号 GB/T 3077-2015;加工工艺 热轧;热处理工艺 ;特殊要求 ;规格标准号 GB/T 702-2017</t>
        </is>
      </c>
      <c r="F273" s="4" t="inlineStr">
        <is>
          <t>千克</t>
        </is>
      </c>
    </row>
    <row r="274" s="21">
      <c r="A274" s="8" t="inlineStr">
        <is>
          <t>100201</t>
        </is>
      </c>
      <c r="B274" s="8" t="inlineStr">
        <is>
          <t>圆钢</t>
        </is>
      </c>
      <c r="C274" s="8" t="inlineStr">
        <is>
          <t>602184500</t>
        </is>
      </c>
      <c r="D274" s="8" t="inlineStr">
        <is>
          <t>热轧合金结构圆钢|圆钢|35CrMnSiA|Φ15|GB/T 3077-2015|热轧|GB/T 702-2017</t>
        </is>
      </c>
      <c r="E274" s="8" t="inlineStr">
        <is>
          <t>物资名称 热轧合金结构圆钢;物资简称 圆钢;牌号 35CrMnSiA;直径 Φ15;技术标准号 GB/T 3077-2015;加工工艺 热轧;热处理工艺 ;特殊要求 ;规格标准号 GB/T 702-2017</t>
        </is>
      </c>
      <c r="F274" s="4" t="inlineStr">
        <is>
          <t>千克</t>
        </is>
      </c>
    </row>
    <row r="275" s="21">
      <c r="A275" s="8" t="inlineStr">
        <is>
          <t>100201</t>
        </is>
      </c>
      <c r="B275" s="8" t="inlineStr">
        <is>
          <t>圆钢</t>
        </is>
      </c>
      <c r="C275" s="8" t="inlineStr">
        <is>
          <t>602184400</t>
        </is>
      </c>
      <c r="D275" s="8" t="inlineStr">
        <is>
          <t>热轧合金结构圆钢|圆钢|35CrMnSiA|Φ20|GB/T 3077-2015|热轧|GB/T 702-2017</t>
        </is>
      </c>
      <c r="E275" s="8" t="inlineStr">
        <is>
          <t>物资名称 热轧合金结构圆钢;物资简称 圆钢;牌号 35CrMnSiA;直径 Φ20;技术标准号 GB/T 3077-2015;加工工艺 热轧;热处理工艺 ;特殊要求 ;规格标准号 GB/T 702-2017</t>
        </is>
      </c>
      <c r="F275" s="4" t="inlineStr">
        <is>
          <t>千克</t>
        </is>
      </c>
    </row>
    <row r="276" s="21">
      <c r="A276" s="8" t="inlineStr">
        <is>
          <t>100201</t>
        </is>
      </c>
      <c r="B276" s="8" t="inlineStr">
        <is>
          <t>圆钢</t>
        </is>
      </c>
      <c r="C276" s="8" t="inlineStr">
        <is>
          <t>602184300</t>
        </is>
      </c>
      <c r="D276" s="8" t="inlineStr">
        <is>
          <t>热轧合金结构圆钢|圆钢|35CrMnSiA|Φ10|GB/T 3077-2015|热轧|GB/T 702-2017</t>
        </is>
      </c>
      <c r="E276" s="8" t="inlineStr">
        <is>
          <t>物资名称 热轧合金结构圆钢;物资简称 圆钢;牌号 35CrMnSiA;直径 Φ10;技术标准号 GB/T 3077-2015;加工工艺 热轧;热处理工艺 ;特殊要求 ;规格标准号 GB/T 702-2017</t>
        </is>
      </c>
      <c r="F276" s="4" t="inlineStr">
        <is>
          <t>千克</t>
        </is>
      </c>
    </row>
    <row r="277" s="21">
      <c r="A277" s="8" t="inlineStr">
        <is>
          <t>100201</t>
        </is>
      </c>
      <c r="B277" s="8" t="inlineStr">
        <is>
          <t>圆钢</t>
        </is>
      </c>
      <c r="C277" s="8" t="inlineStr">
        <is>
          <t>602161400</t>
        </is>
      </c>
      <c r="D277" s="8" t="inlineStr">
        <is>
          <t>热轧合金结构圆钢|圆钢|35CrMnSiA|Φ60|GB/T 3077-2015|热轧|GB/T 702-2017</t>
        </is>
      </c>
      <c r="E277" s="8" t="inlineStr">
        <is>
          <t>物资名称 热轧合金结构圆钢;物资简称 圆钢;牌号 35CrMnSiA;直径 Φ60;技术标准号 GB/T 3077-2015;加工工艺 热轧;热处理工艺 ;特殊要求 ;规格标准号 GB/T 702-2017</t>
        </is>
      </c>
      <c r="F277" s="4" t="inlineStr">
        <is>
          <t>千克</t>
        </is>
      </c>
    </row>
    <row r="278" s="21">
      <c r="A278" s="8" t="inlineStr">
        <is>
          <t>100201</t>
        </is>
      </c>
      <c r="B278" s="8" t="inlineStr">
        <is>
          <t>圆钢</t>
        </is>
      </c>
      <c r="C278" s="8" t="inlineStr">
        <is>
          <t>602161300</t>
        </is>
      </c>
      <c r="D278" s="8" t="inlineStr">
        <is>
          <t>热轧合金结构圆钢|圆钢|35CrMnSiA|Φ25|GB/T 3077-2015|热轧|GB/T 702-2017</t>
        </is>
      </c>
      <c r="E278" s="8" t="inlineStr">
        <is>
          <t>物资名称 热轧合金结构圆钢;物资简称 圆钢;牌号 35CrMnSiA;直径 Φ25;技术标准号 GB/T 3077-2015;加工工艺 热轧;热处理工艺 ;特殊要求 ;规格标准号 GB/T 702-2017</t>
        </is>
      </c>
      <c r="F278" s="4" t="inlineStr">
        <is>
          <t>千克</t>
        </is>
      </c>
    </row>
    <row r="279" s="21">
      <c r="A279" s="8" t="inlineStr">
        <is>
          <t>100201</t>
        </is>
      </c>
      <c r="B279" s="8" t="inlineStr">
        <is>
          <t>圆钢</t>
        </is>
      </c>
      <c r="C279" s="8" t="inlineStr">
        <is>
          <t>602161200</t>
        </is>
      </c>
      <c r="D279" s="8" t="inlineStr">
        <is>
          <t>热轧合金结构圆钢|圆钢|35CrMnSiA|Φ10|GB/T 3077-2015|热轧|GB/T 702-2017</t>
        </is>
      </c>
      <c r="E279" s="8" t="inlineStr">
        <is>
          <t>物资名称 热轧合金结构圆钢;物资简称 圆钢;牌号 35CrMnSiA;直径 Φ10;技术标准号 GB/T 3077-2015;加工工艺 热轧;热处理工艺 ;特殊要求 ;规格标准号 GB/T 702-2017</t>
        </is>
      </c>
      <c r="F279" s="4" t="inlineStr">
        <is>
          <t>千克</t>
        </is>
      </c>
    </row>
    <row r="280" s="21">
      <c r="A280" s="8" t="inlineStr">
        <is>
          <t>100201</t>
        </is>
      </c>
      <c r="B280" s="8" t="inlineStr">
        <is>
          <t>圆钢</t>
        </is>
      </c>
      <c r="C280" s="8" t="inlineStr">
        <is>
          <t>602161100</t>
        </is>
      </c>
      <c r="D280" s="8" t="inlineStr">
        <is>
          <t>热轧合金结构圆钢|圆钢|35CrMnSiA|Φ15|GB/T 3077-2015|热轧|GB/T 702-2017</t>
        </is>
      </c>
      <c r="E280" s="8" t="inlineStr">
        <is>
          <t>物资名称 热轧合金结构圆钢;物资简称 圆钢;牌号 35CrMnSiA;直径 Φ15;技术标准号 GB/T 3077-2015;加工工艺 热轧;热处理工艺 ;特殊要求 ;规格标准号 GB/T 702-2017</t>
        </is>
      </c>
      <c r="F280" s="4" t="inlineStr">
        <is>
          <t>千克</t>
        </is>
      </c>
    </row>
    <row r="281" s="21">
      <c r="A281" s="8" t="inlineStr">
        <is>
          <t>100201</t>
        </is>
      </c>
      <c r="B281" s="8" t="inlineStr">
        <is>
          <t>圆钢</t>
        </is>
      </c>
      <c r="C281" s="8" t="inlineStr">
        <is>
          <t>602161000</t>
        </is>
      </c>
      <c r="D281" s="8" t="inlineStr">
        <is>
          <t>热轧合金结构圆钢|圆钢|35CrMnSiA|Φ20|GB/T 3077-2015|热轧|GB/T 702-2017</t>
        </is>
      </c>
      <c r="E281" s="8" t="inlineStr">
        <is>
          <t>物资名称 热轧合金结构圆钢;物资简称 圆钢;牌号 35CrMnSiA;直径 Φ20;技术标准号 GB/T 3077-2015;加工工艺 热轧;热处理工艺 ;特殊要求 ;规格标准号 GB/T 702-2017</t>
        </is>
      </c>
      <c r="F281" s="4" t="inlineStr">
        <is>
          <t>千克</t>
        </is>
      </c>
    </row>
    <row r="282" s="21">
      <c r="A282" s="8" t="inlineStr">
        <is>
          <t>100201</t>
        </is>
      </c>
      <c r="B282" s="8" t="inlineStr">
        <is>
          <t>圆钢</t>
        </is>
      </c>
      <c r="C282" s="8" t="inlineStr">
        <is>
          <t>602147300</t>
        </is>
      </c>
      <c r="D282" s="8" t="inlineStr">
        <is>
          <t>热轧不锈圆钢|圆钢|20Cr13|Φ90|GB/T 1220-2007|热轧|GB/T 702-2008</t>
        </is>
      </c>
      <c r="E282" s="8" t="inlineStr">
        <is>
          <t>物资名称 热轧不锈圆钢;物资简称 圆钢;牌号 20Cr13;直径 Φ90;技术标准号 GB/T 1220-2007;加工工艺 热轧;热处理工艺 ;特殊要求 ;规格标准号 GB/T 702-2008</t>
        </is>
      </c>
      <c r="F282" s="4" t="inlineStr">
        <is>
          <t>千克</t>
        </is>
      </c>
    </row>
    <row r="283" s="21">
      <c r="A283" s="8" t="inlineStr">
        <is>
          <t>100201</t>
        </is>
      </c>
      <c r="B283" s="8" t="inlineStr">
        <is>
          <t>圆钢</t>
        </is>
      </c>
      <c r="C283" s="8" t="inlineStr">
        <is>
          <t>602147200</t>
        </is>
      </c>
      <c r="D283" s="8" t="inlineStr">
        <is>
          <t>热轧航空用不锈圆钢|圆钢|1Cr18Ni9Ti|Φ120|GJB 2294A-2014|热轧|GB/T 702-2008</t>
        </is>
      </c>
      <c r="E283" s="8" t="inlineStr">
        <is>
          <t>物资名称 热轧航空用不锈圆钢;物资简称 圆钢;牌号 1Cr18Ni9Ti;直径 Φ120;技术标准号 GJB 2294A-2014;加工工艺 热轧;热处理工艺 ;特殊要求 ;规格标准号 GB/T 702-2008</t>
        </is>
      </c>
      <c r="F283" s="4" t="inlineStr">
        <is>
          <t>千克</t>
        </is>
      </c>
    </row>
    <row r="284" s="21">
      <c r="A284" s="8" t="inlineStr">
        <is>
          <t>100201</t>
        </is>
      </c>
      <c r="B284" s="8" t="inlineStr">
        <is>
          <t>圆钢</t>
        </is>
      </c>
      <c r="C284" s="8" t="inlineStr">
        <is>
          <t>602147100</t>
        </is>
      </c>
      <c r="D284" s="8" t="inlineStr">
        <is>
          <t>热轧航空用不锈圆钢|圆钢|1Cr18Ni9Ti|Φ55|GJB 2294A-2014|热轧|GB/T 702-2008</t>
        </is>
      </c>
      <c r="E284" s="8" t="inlineStr">
        <is>
          <t>物资名称 热轧航空用不锈圆钢;物资简称 圆钢;牌号 1Cr18Ni9Ti;直径 Φ55;技术标准号 GJB 2294A-2014;加工工艺 热轧;热处理工艺 ;特殊要求 ;规格标准号 GB/T 702-2008</t>
        </is>
      </c>
      <c r="F284" s="4" t="inlineStr">
        <is>
          <t>千克</t>
        </is>
      </c>
    </row>
    <row r="285" s="21">
      <c r="A285" s="8" t="inlineStr">
        <is>
          <t>100201</t>
        </is>
      </c>
      <c r="B285" s="8" t="inlineStr">
        <is>
          <t>圆钢</t>
        </is>
      </c>
      <c r="C285" s="8" t="inlineStr">
        <is>
          <t>602147000</t>
        </is>
      </c>
      <c r="D285" s="8" t="inlineStr">
        <is>
          <t>热轧航空用不锈圆钢|圆钢|1Cr18Ni9Ti|Φ12|GJB 2294A-2014|热轧|GB/T 702-2008</t>
        </is>
      </c>
      <c r="E285" s="8" t="inlineStr">
        <is>
          <t>物资名称 热轧航空用不锈圆钢;物资简称 圆钢;牌号 1Cr18Ni9Ti;直径 Φ12;技术标准号 GJB 2294A-2014;加工工艺 热轧;热处理工艺 ;特殊要求 ;规格标准号 GB/T 702-2008</t>
        </is>
      </c>
      <c r="F285" s="4" t="inlineStr">
        <is>
          <t>千克</t>
        </is>
      </c>
    </row>
    <row r="286" s="21">
      <c r="A286" s="8" t="inlineStr">
        <is>
          <t>100201</t>
        </is>
      </c>
      <c r="B286" s="8" t="inlineStr">
        <is>
          <t>圆钢</t>
        </is>
      </c>
      <c r="C286" s="8" t="inlineStr">
        <is>
          <t>602146900</t>
        </is>
      </c>
      <c r="D286" s="8" t="inlineStr">
        <is>
          <t>热轧航空用不锈圆钢|圆钢|1Cr18Ni9Ti|Φ11|GJB 2294A-2014|热轧|GB/T 702-2008</t>
        </is>
      </c>
      <c r="E286" s="8" t="inlineStr">
        <is>
          <t>物资名称 热轧航空用不锈圆钢;物资简称 圆钢;牌号 1Cr18Ni9Ti;直径 Φ11;技术标准号 GJB 2294A-2014;加工工艺 热轧;热处理工艺 ;特殊要求 ;规格标准号 GB/T 702-2008</t>
        </is>
      </c>
      <c r="F286" s="4" t="inlineStr">
        <is>
          <t>千克</t>
        </is>
      </c>
    </row>
    <row r="287" s="21">
      <c r="A287" s="8" t="inlineStr">
        <is>
          <t>100201</t>
        </is>
      </c>
      <c r="B287" s="8" t="inlineStr">
        <is>
          <t>圆钢</t>
        </is>
      </c>
      <c r="C287" s="8" t="inlineStr">
        <is>
          <t>601815400</t>
        </is>
      </c>
      <c r="D287" s="8" t="inlineStr">
        <is>
          <t>热轧优质碳素结构圆钢|圆钢|45|Φ22|GB/T 699-2015|热轧|GB/T 702-2017</t>
        </is>
      </c>
      <c r="E287" s="8" t="inlineStr">
        <is>
          <t>物资名称 热轧优质碳素结构圆钢;物资简称 圆钢;牌号 45;直径 Φ22;技术标准号 GB/T 699-2015;加工工艺 热轧;热处理工艺 ;特殊要求 ;规格标准号 GB/T 702-2017</t>
        </is>
      </c>
      <c r="F287" s="4" t="inlineStr">
        <is>
          <t>千克</t>
        </is>
      </c>
    </row>
    <row r="288" s="21">
      <c r="A288" s="8" t="inlineStr">
        <is>
          <t>100201</t>
        </is>
      </c>
      <c r="B288" s="8" t="inlineStr">
        <is>
          <t>圆钢</t>
        </is>
      </c>
      <c r="C288" s="8" t="inlineStr">
        <is>
          <t>601815300</t>
        </is>
      </c>
      <c r="D288" s="8" t="inlineStr">
        <is>
          <t>热轧优质碳素结构圆钢|圆钢|45|Φ120|GB/T 699-2015|热轧|GB/T 702-2017</t>
        </is>
      </c>
      <c r="E288" s="8" t="inlineStr">
        <is>
          <t>物资名称 热轧优质碳素结构圆钢;物资简称 圆钢;牌号 45;直径 Φ120;技术标准号 GB/T 699-2015;加工工艺 热轧;热处理工艺 ;特殊要求 ;规格标准号 GB/T 702-2017</t>
        </is>
      </c>
      <c r="F288" s="4" t="inlineStr">
        <is>
          <t>千克</t>
        </is>
      </c>
    </row>
    <row r="289" s="21">
      <c r="A289" s="8" t="inlineStr">
        <is>
          <t>100201</t>
        </is>
      </c>
      <c r="B289" s="8" t="inlineStr">
        <is>
          <t>圆钢</t>
        </is>
      </c>
      <c r="C289" s="8" t="inlineStr">
        <is>
          <t>601749000</t>
        </is>
      </c>
      <c r="D289" s="8" t="inlineStr">
        <is>
          <t>热轧优质碳素结构圆钢|圆钢|45|GB/T 699-2015|热轧</t>
        </is>
      </c>
      <c r="E289" s="8" t="inlineStr">
        <is>
          <t xml:space="preserve">物资名称 热轧优质碳素结构圆钢;物资简称 圆钢;牌号 45;直径 Φ;技术标准号 GB/T 699-2015;加工工艺 热轧;热处理工艺 ;特殊要求 ;规格标准号 </t>
        </is>
      </c>
      <c r="F289" s="4" t="inlineStr">
        <is>
          <t>千克</t>
        </is>
      </c>
    </row>
    <row r="290" s="21">
      <c r="A290" s="8" t="inlineStr">
        <is>
          <t>100201</t>
        </is>
      </c>
      <c r="B290" s="8" t="inlineStr">
        <is>
          <t>圆钢</t>
        </is>
      </c>
      <c r="C290" s="8" t="inlineStr">
        <is>
          <t>601692200</t>
        </is>
      </c>
      <c r="D290" s="8" t="inlineStr">
        <is>
          <t>钢棒|圆钢|35CrMnSiA|Φ13|GB/T 3077-1999</t>
        </is>
      </c>
      <c r="E290" s="8" t="inlineStr">
        <is>
          <t xml:space="preserve">物资名称 钢棒;物资简称 圆钢;牌号 35CrMnSiA;直径 Φ13;技术标准号 GB/T 3077-1999;加工工艺 ;热处理工艺 ;特殊要求 ;规格标准号 </t>
        </is>
      </c>
      <c r="F290" s="4" t="inlineStr">
        <is>
          <t>千克</t>
        </is>
      </c>
    </row>
    <row r="291" s="21">
      <c r="A291" s="8" t="inlineStr">
        <is>
          <t>100201</t>
        </is>
      </c>
      <c r="B291" s="8" t="inlineStr">
        <is>
          <t>圆钢</t>
        </is>
      </c>
      <c r="C291" s="8" t="inlineStr">
        <is>
          <t>601692100</t>
        </is>
      </c>
      <c r="D291" s="8" t="inlineStr">
        <is>
          <t>钢棒|圆钢|35CrMnSiA|Φ30|GB/T 3077-1999</t>
        </is>
      </c>
      <c r="E291" s="8" t="inlineStr">
        <is>
          <t xml:space="preserve">物资名称 钢棒;物资简称 圆钢;牌号 35CrMnSiA;直径 Φ30;技术标准号 GB/T 3077-1999;加工工艺 ;热处理工艺 ;特殊要求 ;规格标准号 </t>
        </is>
      </c>
      <c r="F291" s="4" t="inlineStr">
        <is>
          <t>千克</t>
        </is>
      </c>
    </row>
    <row r="292" s="21">
      <c r="A292" s="8" t="inlineStr">
        <is>
          <t>100201</t>
        </is>
      </c>
      <c r="B292" s="8" t="inlineStr">
        <is>
          <t>圆钢</t>
        </is>
      </c>
      <c r="C292" s="8" t="inlineStr">
        <is>
          <t>601652600</t>
        </is>
      </c>
      <c r="D292" s="8" t="inlineStr">
        <is>
          <t>冷拉高碳铬轴承圆钢|圆钢|GCr15|Φ5|GB/T 18254-2002|冷拉</t>
        </is>
      </c>
      <c r="E292" s="8" t="inlineStr">
        <is>
          <t xml:space="preserve">物资名称 冷拉高碳铬轴承圆钢;物资简称 圆钢;牌号 GCr15;直径 Φ5;技术标准号 GB/T 18254-2002;加工工艺 冷拉;热处理工艺 ;特殊要求 ;规格标准号 </t>
        </is>
      </c>
      <c r="F292" s="4" t="inlineStr">
        <is>
          <t>千克</t>
        </is>
      </c>
    </row>
    <row r="293" s="21">
      <c r="A293" s="8" t="inlineStr">
        <is>
          <t>100201</t>
        </is>
      </c>
      <c r="B293" s="8" t="inlineStr">
        <is>
          <t>圆钢</t>
        </is>
      </c>
      <c r="C293" s="8" t="inlineStr">
        <is>
          <t>601605800</t>
        </is>
      </c>
      <c r="D293" s="8" t="inlineStr">
        <is>
          <t>圆钢|圆钢|40Cr Φ14|GB/T3191-1998</t>
        </is>
      </c>
      <c r="E293" s="8" t="inlineStr">
        <is>
          <t xml:space="preserve">物资名称 圆钢;物资简称 圆钢;牌号 40Cr Φ14;直径 Φ;技术标准号 GB/T3191-1998;加工工艺 ;热处理工艺 ;特殊要求 ;规格标准号 </t>
        </is>
      </c>
      <c r="F293" s="4" t="inlineStr">
        <is>
          <t>千克</t>
        </is>
      </c>
    </row>
    <row r="294" s="21">
      <c r="A294" s="8" t="inlineStr">
        <is>
          <t>100201</t>
        </is>
      </c>
      <c r="B294" s="8" t="inlineStr">
        <is>
          <t>圆钢</t>
        </is>
      </c>
      <c r="C294" s="8" t="inlineStr">
        <is>
          <t>601605700</t>
        </is>
      </c>
      <c r="D294" s="8" t="inlineStr">
        <is>
          <t>圆钢|圆钢|40Cr Φ20|GB/T3077-1999</t>
        </is>
      </c>
      <c r="E294" s="8" t="inlineStr">
        <is>
          <t xml:space="preserve">物资名称 圆钢;物资简称 圆钢;牌号 40Cr Φ20;直径 Φ;技术标准号 GB/T3077-1999;加工工艺 ;热处理工艺 ;特殊要求 ;规格标准号 </t>
        </is>
      </c>
      <c r="F294" s="4" t="inlineStr">
        <is>
          <t>千克</t>
        </is>
      </c>
    </row>
    <row r="295" s="21">
      <c r="A295" s="8" t="inlineStr">
        <is>
          <t>100201</t>
        </is>
      </c>
      <c r="B295" s="8" t="inlineStr">
        <is>
          <t>圆钢</t>
        </is>
      </c>
      <c r="C295" s="8" t="inlineStr">
        <is>
          <t>601605600</t>
        </is>
      </c>
      <c r="D295" s="8" t="inlineStr">
        <is>
          <t>圆钢|圆钢|40Cr Φ25|GB/T3077-1999</t>
        </is>
      </c>
      <c r="E295" s="8" t="inlineStr">
        <is>
          <t xml:space="preserve">物资名称 圆钢;物资简称 圆钢;牌号 40Cr Φ25;直径 Φ;技术标准号 GB/T3077-1999;加工工艺 ;热处理工艺 ;特殊要求 ;规格标准号 </t>
        </is>
      </c>
      <c r="F295" s="4" t="inlineStr">
        <is>
          <t>千克</t>
        </is>
      </c>
    </row>
    <row r="296" s="21">
      <c r="A296" s="8" t="inlineStr">
        <is>
          <t>100201</t>
        </is>
      </c>
      <c r="B296" s="8" t="inlineStr">
        <is>
          <t>圆钢</t>
        </is>
      </c>
      <c r="C296" s="8" t="inlineStr">
        <is>
          <t>601605500</t>
        </is>
      </c>
      <c r="D296" s="8" t="inlineStr">
        <is>
          <t>圆钢|圆钢|40Cr Φ35|GB/T3077-1999</t>
        </is>
      </c>
      <c r="E296" s="8" t="inlineStr">
        <is>
          <t xml:space="preserve">物资名称 圆钢;物资简称 圆钢;牌号 40Cr Φ35;直径 Φ;技术标准号 GB/T3077-1999;加工工艺 ;热处理工艺 ;特殊要求 ;规格标准号 </t>
        </is>
      </c>
      <c r="F296" s="4" t="inlineStr">
        <is>
          <t>千克</t>
        </is>
      </c>
    </row>
    <row r="297" s="21">
      <c r="A297" s="8" t="inlineStr">
        <is>
          <t>100201</t>
        </is>
      </c>
      <c r="B297" s="8" t="inlineStr">
        <is>
          <t>圆钢</t>
        </is>
      </c>
      <c r="C297" s="8" t="inlineStr">
        <is>
          <t>601568400</t>
        </is>
      </c>
      <c r="D297" s="8" t="inlineStr">
        <is>
          <t>不锈钢|不锈钢|2Cr13|130*45*85</t>
        </is>
      </c>
      <c r="E297" s="8" t="inlineStr">
        <is>
          <t xml:space="preserve">物资名称 不锈钢;物资简称 不锈钢;牌号 2Cr13;直径 Φ;技术标准号 130*45*85;加工工艺 ;热处理工艺 ;特殊要求 ;规格标准号 </t>
        </is>
      </c>
      <c r="F297" s="4" t="inlineStr">
        <is>
          <t>千克</t>
        </is>
      </c>
    </row>
    <row r="298" s="21">
      <c r="A298" s="8" t="inlineStr">
        <is>
          <t>100201</t>
        </is>
      </c>
      <c r="B298" s="8" t="inlineStr">
        <is>
          <t>圆钢</t>
        </is>
      </c>
      <c r="C298" s="8" t="inlineStr">
        <is>
          <t>601511500</t>
        </is>
      </c>
      <c r="D298" s="8" t="inlineStr">
        <is>
          <t>不锈钢|不锈钢|1Cr18Ni9Ti|Φ130|GJB 2294-1995</t>
        </is>
      </c>
      <c r="E298" s="8" t="inlineStr">
        <is>
          <t xml:space="preserve">物资名称 不锈钢;物资简称 不锈钢;牌号 1Cr18Ni9Ti;直径 Φ130;技术标准号 GJB 2294-1995;加工工艺 ;热处理工艺 ;特殊要求 ;规格标准号 </t>
        </is>
      </c>
      <c r="F298" s="4" t="inlineStr">
        <is>
          <t>千克</t>
        </is>
      </c>
    </row>
    <row r="299" s="21">
      <c r="A299" s="8" t="inlineStr">
        <is>
          <t>100201</t>
        </is>
      </c>
      <c r="B299" s="8" t="inlineStr">
        <is>
          <t>圆钢</t>
        </is>
      </c>
      <c r="C299" s="8" t="inlineStr">
        <is>
          <t>601504300</t>
        </is>
      </c>
      <c r="D299" s="8" t="inlineStr">
        <is>
          <t>冷拉高碳铬轴承圆钢|圆钢|GCr15|Φ5.3|GB/T 18254-2002|冷拉</t>
        </is>
      </c>
      <c r="E299" s="8" t="inlineStr">
        <is>
          <t xml:space="preserve">物资名称 冷拉高碳铬轴承圆钢;物资简称 圆钢;牌号 GCr15;直径 Φ5.3;技术标准号 GB/T 18254-2002;加工工艺 冷拉;热处理工艺 ;特殊要求 ;规格标准号 </t>
        </is>
      </c>
      <c r="F299" s="4" t="inlineStr">
        <is>
          <t>千克</t>
        </is>
      </c>
    </row>
    <row r="300" s="21">
      <c r="A300" s="8" t="inlineStr">
        <is>
          <t>100201</t>
        </is>
      </c>
      <c r="B300" s="8" t="inlineStr">
        <is>
          <t>圆钢</t>
        </is>
      </c>
      <c r="C300" s="8" t="inlineStr">
        <is>
          <t>601504200</t>
        </is>
      </c>
      <c r="D300" s="8" t="inlineStr">
        <is>
          <t>冷拉高碳铬轴承圆钢|圆钢|GCr15|Φ6.3|GB/T 18254-2002|冷拉</t>
        </is>
      </c>
      <c r="E300" s="8" t="inlineStr">
        <is>
          <t xml:space="preserve">物资名称 冷拉高碳铬轴承圆钢;物资简称 圆钢;牌号 GCr15;直径 Φ6.3;技术标准号 GB/T 18254-2002;加工工艺 冷拉;热处理工艺 ;特殊要求 ;规格标准号 </t>
        </is>
      </c>
      <c r="F300" s="4" t="inlineStr">
        <is>
          <t>千克</t>
        </is>
      </c>
    </row>
    <row r="301" s="21">
      <c r="A301" s="8" t="inlineStr">
        <is>
          <t>100201</t>
        </is>
      </c>
      <c r="B301" s="8" t="inlineStr">
        <is>
          <t>圆钢</t>
        </is>
      </c>
      <c r="C301" s="8" t="inlineStr">
        <is>
          <t>601473000</t>
        </is>
      </c>
      <c r="D301" s="8" t="inlineStr">
        <is>
          <t>航空用不锈圆钢|圆钢|1Cr18Ni9Ti|Φ32|GJB 2294-1995</t>
        </is>
      </c>
      <c r="E301" s="8" t="inlineStr">
        <is>
          <t xml:space="preserve">物资名称 航空用不锈圆钢;物资简称 圆钢;牌号 1Cr18Ni9Ti;直径 Φ32;技术标准号 GJB 2294-1995;加工工艺 ;热处理工艺 ;特殊要求 ;规格标准号 </t>
        </is>
      </c>
      <c r="F301" s="4" t="inlineStr">
        <is>
          <t>千克</t>
        </is>
      </c>
    </row>
    <row r="302" s="21">
      <c r="A302" s="8" t="inlineStr">
        <is>
          <t>100201</t>
        </is>
      </c>
      <c r="B302" s="8" t="inlineStr">
        <is>
          <t>圆钢</t>
        </is>
      </c>
      <c r="C302" s="8" t="inlineStr">
        <is>
          <t>601472900</t>
        </is>
      </c>
      <c r="D302" s="8" t="inlineStr">
        <is>
          <t>航空用不锈圆钢|圆钢|1Cr18Ni9Ti|Φ95|GJB 2294-1995</t>
        </is>
      </c>
      <c r="E302" s="8" t="inlineStr">
        <is>
          <t xml:space="preserve">物资名称 航空用不锈圆钢;物资简称 圆钢;牌号 1Cr18Ni9Ti;直径 Φ95;技术标准号 GJB 2294-1995;加工工艺 ;热处理工艺 ;特殊要求 ;规格标准号 </t>
        </is>
      </c>
      <c r="F302" s="4" t="inlineStr">
        <is>
          <t>千克</t>
        </is>
      </c>
    </row>
    <row r="303" s="21">
      <c r="A303" s="8" t="inlineStr">
        <is>
          <t>100201</t>
        </is>
      </c>
      <c r="B303" s="8" t="inlineStr">
        <is>
          <t>圆钢</t>
        </is>
      </c>
      <c r="C303" s="8" t="inlineStr">
        <is>
          <t>601472800</t>
        </is>
      </c>
      <c r="D303" s="8" t="inlineStr">
        <is>
          <t>航空用不锈圆钢|圆钢|1Cr18Ni9Ti|Φ120|GJB 2294-1995</t>
        </is>
      </c>
      <c r="E303" s="8" t="inlineStr">
        <is>
          <t xml:space="preserve">物资名称 航空用不锈圆钢;物资简称 圆钢;牌号 1Cr18Ni9Ti;直径 Φ120;技术标准号 GJB 2294-1995;加工工艺 ;热处理工艺 ;特殊要求 ;规格标准号 </t>
        </is>
      </c>
      <c r="F303" s="4" t="inlineStr">
        <is>
          <t>千克</t>
        </is>
      </c>
    </row>
    <row r="304" s="21">
      <c r="A304" s="8" t="inlineStr">
        <is>
          <t>100201</t>
        </is>
      </c>
      <c r="B304" s="8" t="inlineStr">
        <is>
          <t>圆钢</t>
        </is>
      </c>
      <c r="C304" s="8" t="inlineStr">
        <is>
          <t>601472700</t>
        </is>
      </c>
      <c r="D304" s="8" t="inlineStr">
        <is>
          <t>不锈钢棒|钢棒|1Cr18Ni9|GB/T 1220-1992</t>
        </is>
      </c>
      <c r="E304" s="8" t="inlineStr">
        <is>
          <t xml:space="preserve">物资名称 不锈钢棒;物资简称 钢棒;牌号 1Cr18Ni9;直径 Φ;技术标准号 GB/T 1220-1992;加工工艺 ;热处理工艺 ;特殊要求 ;规格标准号 </t>
        </is>
      </c>
      <c r="F304" s="4" t="inlineStr">
        <is>
          <t>千克</t>
        </is>
      </c>
    </row>
    <row r="305" s="21">
      <c r="A305" s="8" t="inlineStr">
        <is>
          <t>100201</t>
        </is>
      </c>
      <c r="B305" s="8" t="inlineStr">
        <is>
          <t>圆钢</t>
        </is>
      </c>
      <c r="C305" s="8" t="inlineStr">
        <is>
          <t>601472600</t>
        </is>
      </c>
      <c r="D305" s="8" t="inlineStr">
        <is>
          <t>锻制优质碳素结构圆钢|圆钢|45|Φ265|GB/T 699-1999|锻制|GB/T 908-2019</t>
        </is>
      </c>
      <c r="E305" s="8" t="inlineStr">
        <is>
          <t>物资名称 锻制优质碳素结构圆钢;物资简称 圆钢;牌号 45;直径 Φ265;技术标准号 GB/T 699-1999;加工工艺 锻制;热处理工艺 ;特殊要求 ;规格标准号 GB/T 908-2019</t>
        </is>
      </c>
      <c r="F305" s="4" t="inlineStr">
        <is>
          <t>千克</t>
        </is>
      </c>
    </row>
    <row r="306" s="21">
      <c r="A306" s="8" t="inlineStr">
        <is>
          <t>100201</t>
        </is>
      </c>
      <c r="B306" s="8" t="inlineStr">
        <is>
          <t>圆钢</t>
        </is>
      </c>
      <c r="C306" s="8" t="inlineStr">
        <is>
          <t>601464700</t>
        </is>
      </c>
      <c r="D306" s="8" t="inlineStr">
        <is>
          <t>热轧不锈圆钢|圆钢|1Cr18Ni9|Φ5|GB/T 1220-1992|热轧|GB/T 702-2008</t>
        </is>
      </c>
      <c r="E306" s="8" t="inlineStr">
        <is>
          <t>物资名称 热轧不锈圆钢;物资简称 圆钢;牌号 1Cr18Ni9;直径 Φ5;技术标准号 GB/T 1220-1992;加工工艺 热轧;热处理工艺 ;特殊要求 ;规格标准号 GB/T 702-2008</t>
        </is>
      </c>
      <c r="F306" s="4" t="inlineStr">
        <is>
          <t>千克</t>
        </is>
      </c>
    </row>
    <row r="307" s="21">
      <c r="A307" s="8" t="inlineStr">
        <is>
          <t>100201</t>
        </is>
      </c>
      <c r="B307" s="8" t="inlineStr">
        <is>
          <t>圆钢</t>
        </is>
      </c>
      <c r="C307" s="8" t="inlineStr">
        <is>
          <t>601438400</t>
        </is>
      </c>
      <c r="D307" s="8" t="inlineStr">
        <is>
          <t>不锈圆钢|圆钢|304|φ180|空</t>
        </is>
      </c>
      <c r="E307" s="8" t="inlineStr">
        <is>
          <t xml:space="preserve">物资名称 不锈圆钢;物资简称 圆钢;牌号 304;直径 φ180;技术标准号 空;加工工艺 ;热处理工艺 ;特殊要求 ;规格标准号 </t>
        </is>
      </c>
      <c r="F307" s="4" t="inlineStr">
        <is>
          <t>千克</t>
        </is>
      </c>
    </row>
    <row r="308" s="21">
      <c r="A308" s="8" t="inlineStr">
        <is>
          <t>100201</t>
        </is>
      </c>
      <c r="B308" s="8" t="inlineStr">
        <is>
          <t>圆钢</t>
        </is>
      </c>
      <c r="C308" s="8" t="inlineStr">
        <is>
          <t>601438300</t>
        </is>
      </c>
      <c r="D308" s="8" t="inlineStr">
        <is>
          <t>不锈圆钢|圆钢|304|φ260|空</t>
        </is>
      </c>
      <c r="E308" s="8" t="inlineStr">
        <is>
          <t xml:space="preserve">物资名称 不锈圆钢;物资简称 圆钢;牌号 304;直径 φ260;技术标准号 空;加工工艺 ;热处理工艺 ;特殊要求 ;规格标准号 </t>
        </is>
      </c>
      <c r="F308" s="4" t="inlineStr">
        <is>
          <t>千克</t>
        </is>
      </c>
    </row>
    <row r="309" s="21">
      <c r="A309" s="8" t="inlineStr">
        <is>
          <t>100201</t>
        </is>
      </c>
      <c r="B309" s="8" t="inlineStr">
        <is>
          <t>圆钢</t>
        </is>
      </c>
      <c r="C309" s="8" t="inlineStr">
        <is>
          <t>601438200</t>
        </is>
      </c>
      <c r="D309" s="8" t="inlineStr">
        <is>
          <t>不锈圆钢|圆钢|304|φ270|空</t>
        </is>
      </c>
      <c r="E309" s="8" t="inlineStr">
        <is>
          <t xml:space="preserve">物资名称 不锈圆钢;物资简称 圆钢;牌号 304;直径 φ270;技术标准号 空;加工工艺 ;热处理工艺 ;特殊要求 ;规格标准号 </t>
        </is>
      </c>
      <c r="F309" s="4" t="inlineStr">
        <is>
          <t>千克</t>
        </is>
      </c>
    </row>
    <row r="310" s="21">
      <c r="A310" s="8" t="inlineStr">
        <is>
          <t>100201</t>
        </is>
      </c>
      <c r="B310" s="8" t="inlineStr">
        <is>
          <t>圆钢</t>
        </is>
      </c>
      <c r="C310" s="8" t="inlineStr">
        <is>
          <t>601438100</t>
        </is>
      </c>
      <c r="D310" s="8" t="inlineStr">
        <is>
          <t>不锈圆钢|圆钢|304|φ300|空</t>
        </is>
      </c>
      <c r="E310" s="8" t="inlineStr">
        <is>
          <t xml:space="preserve">物资名称 不锈圆钢;物资简称 圆钢;牌号 304;直径 φ300;技术标准号 空;加工工艺 ;热处理工艺 ;特殊要求 ;规格标准号 </t>
        </is>
      </c>
      <c r="F310" s="4" t="inlineStr">
        <is>
          <t>千克</t>
        </is>
      </c>
    </row>
    <row r="311" s="21">
      <c r="A311" s="8" t="inlineStr">
        <is>
          <t>100201</t>
        </is>
      </c>
      <c r="B311" s="8" t="inlineStr">
        <is>
          <t>圆钢</t>
        </is>
      </c>
      <c r="C311" s="8" t="inlineStr">
        <is>
          <t>601438000</t>
        </is>
      </c>
      <c r="D311" s="8" t="inlineStr">
        <is>
          <t>航空用优质结构钢棒|圆钢|38CrMoAlA|φ35|GJB 1951-1994</t>
        </is>
      </c>
      <c r="E311" s="8" t="inlineStr">
        <is>
          <t xml:space="preserve">物资名称 航空用优质结构钢棒;物资简称 圆钢;牌号 38CrMoAlA;直径 φ35;技术标准号 GJB 1951-1994;加工工艺 ;热处理工艺 ;特殊要求 ;规格标准号 </t>
        </is>
      </c>
      <c r="F311" s="4" t="inlineStr">
        <is>
          <t>千克</t>
        </is>
      </c>
    </row>
    <row r="312" s="21">
      <c r="A312" s="8" t="inlineStr">
        <is>
          <t>100201</t>
        </is>
      </c>
      <c r="B312" s="8" t="inlineStr">
        <is>
          <t>圆钢</t>
        </is>
      </c>
      <c r="C312" s="8" t="inlineStr">
        <is>
          <t>601437900</t>
        </is>
      </c>
      <c r="D312" s="8" t="inlineStr">
        <is>
          <t>航空用不锈圆钢|圆钢|1Cr18Ni9Ti|φ12|GJB 2294-1995</t>
        </is>
      </c>
      <c r="E312" s="8" t="inlineStr">
        <is>
          <t xml:space="preserve">物资名称 航空用不锈圆钢;物资简称 圆钢;牌号 1Cr18Ni9Ti;直径 φ12;技术标准号 GJB 2294-1995;加工工艺 ;热处理工艺 ;特殊要求 ;规格标准号 </t>
        </is>
      </c>
      <c r="F312" s="4" t="inlineStr">
        <is>
          <t>千克</t>
        </is>
      </c>
    </row>
    <row r="313" s="21">
      <c r="A313" s="8" t="inlineStr">
        <is>
          <t>100201</t>
        </is>
      </c>
      <c r="B313" s="8" t="inlineStr">
        <is>
          <t>圆钢</t>
        </is>
      </c>
      <c r="C313" s="8" t="inlineStr">
        <is>
          <t>601437800</t>
        </is>
      </c>
      <c r="D313" s="8" t="inlineStr">
        <is>
          <t>合金结构圆钢|圆钢|30CrMnSiA|φ320|空</t>
        </is>
      </c>
      <c r="E313" s="8" t="inlineStr">
        <is>
          <t xml:space="preserve">物资名称 合金结构圆钢;物资简称 圆钢;牌号 30CrMnSiA;直径 φ320;技术标准号 空;加工工艺 ;热处理工艺 ;特殊要求 ;规格标准号 </t>
        </is>
      </c>
      <c r="F313" s="4" t="inlineStr">
        <is>
          <t>千克</t>
        </is>
      </c>
    </row>
    <row r="314" s="21">
      <c r="A314" s="8" t="inlineStr">
        <is>
          <t>100201</t>
        </is>
      </c>
      <c r="B314" s="8" t="inlineStr">
        <is>
          <t>圆钢</t>
        </is>
      </c>
      <c r="C314" s="8" t="inlineStr">
        <is>
          <t>601432200</t>
        </is>
      </c>
      <c r="D314" s="8" t="inlineStr">
        <is>
          <t>航空航天用超高强度钢钢棒|圆钢|45CrNiMo1VA|GJB 5063-2001</t>
        </is>
      </c>
      <c r="E314" s="8" t="inlineStr">
        <is>
          <t xml:space="preserve">物资名称 航空航天用超高强度钢钢棒;物资简称 圆钢;牌号 45CrNiMo1VA;直径 Φ;技术标准号 GJB 5063-2001;加工工艺 ;热处理工艺 ;特殊要求 ;规格标准号 </t>
        </is>
      </c>
      <c r="F314" s="4" t="inlineStr">
        <is>
          <t>千克</t>
        </is>
      </c>
    </row>
    <row r="315" s="21">
      <c r="A315" s="8" t="inlineStr">
        <is>
          <t>100201</t>
        </is>
      </c>
      <c r="B315" s="8" t="inlineStr">
        <is>
          <t>圆钢</t>
        </is>
      </c>
      <c r="C315" s="8" t="inlineStr">
        <is>
          <t>601346800</t>
        </is>
      </c>
      <c r="D315" s="8" t="inlineStr">
        <is>
          <t>航空用不锈圆钢|圆钢|1Cr18Ni9Ti|Φ60|GJB 2294-1995</t>
        </is>
      </c>
      <c r="E315" s="8" t="inlineStr">
        <is>
          <t xml:space="preserve">物资名称 航空用不锈圆钢;物资简称 圆钢;牌号 1Cr18Ni9Ti;直径 Φ60;技术标准号 GJB 2294-1995;加工工艺 ;热处理工艺 ;特殊要求 ;规格标准号 </t>
        </is>
      </c>
      <c r="F315" s="4" t="inlineStr">
        <is>
          <t>千克</t>
        </is>
      </c>
    </row>
    <row r="316" s="21">
      <c r="A316" s="8" t="inlineStr">
        <is>
          <t>100201</t>
        </is>
      </c>
      <c r="B316" s="8" t="inlineStr">
        <is>
          <t>圆钢</t>
        </is>
      </c>
      <c r="C316" s="8" t="inlineStr">
        <is>
          <t>601346700</t>
        </is>
      </c>
      <c r="D316" s="8" t="inlineStr">
        <is>
          <t>合金结构圆钢|圆钢|30CrMnSiA|Φ100|空</t>
        </is>
      </c>
      <c r="E316" s="8" t="inlineStr">
        <is>
          <t xml:space="preserve">物资名称 合金结构圆钢;物资简称 圆钢;牌号 30CrMnSiA;直径 Φ100;技术标准号 空;加工工艺 ;热处理工艺 ;特殊要求 ;规格标准号 </t>
        </is>
      </c>
      <c r="F316" s="4" t="inlineStr">
        <is>
          <t>千克</t>
        </is>
      </c>
    </row>
    <row r="317" s="21">
      <c r="A317" s="8" t="inlineStr">
        <is>
          <t>100201</t>
        </is>
      </c>
      <c r="B317" s="8" t="inlineStr">
        <is>
          <t>圆钢</t>
        </is>
      </c>
      <c r="C317" s="8" t="inlineStr">
        <is>
          <t>601328900</t>
        </is>
      </c>
      <c r="D317" s="8" t="inlineStr">
        <is>
          <t>合金结构圆钢|圆钢|40Cr|Φ35|空</t>
        </is>
      </c>
      <c r="E317" s="8" t="inlineStr">
        <is>
          <t xml:space="preserve">物资名称 合金结构圆钢;物资简称 圆钢;牌号 40Cr;直径 Φ35;技术标准号 空;加工工艺 ;热处理工艺 ;特殊要求 ;规格标准号 </t>
        </is>
      </c>
      <c r="F317" s="4" t="inlineStr">
        <is>
          <t>千克</t>
        </is>
      </c>
    </row>
    <row r="318" s="21">
      <c r="A318" s="8" t="inlineStr">
        <is>
          <t>100201</t>
        </is>
      </c>
      <c r="B318" s="8" t="inlineStr">
        <is>
          <t>圆钢</t>
        </is>
      </c>
      <c r="C318" s="8" t="inlineStr">
        <is>
          <t>601328800</t>
        </is>
      </c>
      <c r="D318" s="8" t="inlineStr">
        <is>
          <t>不锈圆钢|圆钢|9Cr18|Φ35|空</t>
        </is>
      </c>
      <c r="E318" s="8" t="inlineStr">
        <is>
          <t xml:space="preserve">物资名称 不锈圆钢;物资简称 圆钢;牌号 9Cr18;直径 Φ35;技术标准号 空;加工工艺 ;热处理工艺 ;特殊要求 ;规格标准号 </t>
        </is>
      </c>
      <c r="F318" s="4" t="inlineStr">
        <is>
          <t>千克</t>
        </is>
      </c>
    </row>
    <row r="319" s="21">
      <c r="A319" s="8" t="inlineStr">
        <is>
          <t>100201</t>
        </is>
      </c>
      <c r="B319" s="8" t="inlineStr">
        <is>
          <t>圆钢</t>
        </is>
      </c>
      <c r="C319" s="8" t="inlineStr">
        <is>
          <t>601328700</t>
        </is>
      </c>
      <c r="D319" s="8" t="inlineStr">
        <is>
          <t>不锈圆钢|圆钢|2Cr13Ni2|Φ10|空</t>
        </is>
      </c>
      <c r="E319" s="8" t="inlineStr">
        <is>
          <t xml:space="preserve">物资名称 不锈圆钢;物资简称 圆钢;牌号 2Cr13Ni2;直径 Φ10;技术标准号 空;加工工艺 ;热处理工艺 ;特殊要求 ;规格标准号 </t>
        </is>
      </c>
      <c r="F319" s="4" t="inlineStr">
        <is>
          <t>千克</t>
        </is>
      </c>
    </row>
    <row r="320" s="21">
      <c r="A320" s="8" t="inlineStr">
        <is>
          <t>100201</t>
        </is>
      </c>
      <c r="B320" s="8" t="inlineStr">
        <is>
          <t>圆钢</t>
        </is>
      </c>
      <c r="C320" s="8" t="inlineStr">
        <is>
          <t>601328600</t>
        </is>
      </c>
      <c r="D320" s="8" t="inlineStr">
        <is>
          <t>不锈圆钢|圆钢|Y2Cr13Ni2|Φ14|空</t>
        </is>
      </c>
      <c r="E320" s="8" t="inlineStr">
        <is>
          <t xml:space="preserve">物资名称 不锈圆钢;物资简称 圆钢;牌号 Y2Cr13Ni2;直径 Φ14;技术标准号 空;加工工艺 ;热处理工艺 ;特殊要求 ;规格标准号 </t>
        </is>
      </c>
      <c r="F320" s="4" t="inlineStr">
        <is>
          <t>千克</t>
        </is>
      </c>
    </row>
    <row r="321" s="21">
      <c r="A321" s="8" t="inlineStr">
        <is>
          <t>100201</t>
        </is>
      </c>
      <c r="B321" s="8" t="inlineStr">
        <is>
          <t>圆钢</t>
        </is>
      </c>
      <c r="C321" s="8" t="inlineStr">
        <is>
          <t>601328500</t>
        </is>
      </c>
      <c r="D321" s="8" t="inlineStr">
        <is>
          <t>不锈圆钢|圆钢|Y2Cr13Ni2|Φ22|空</t>
        </is>
      </c>
      <c r="E321" s="8" t="inlineStr">
        <is>
          <t xml:space="preserve">物资名称 不锈圆钢;物资简称 圆钢;牌号 Y2Cr13Ni2;直径 Φ22;技术标准号 空;加工工艺 ;热处理工艺 ;特殊要求 ;规格标准号 </t>
        </is>
      </c>
      <c r="F321" s="4" t="inlineStr">
        <is>
          <t>千克</t>
        </is>
      </c>
    </row>
    <row r="322" s="21">
      <c r="A322" s="8" t="inlineStr">
        <is>
          <t>100201</t>
        </is>
      </c>
      <c r="B322" s="8" t="inlineStr">
        <is>
          <t>圆钢</t>
        </is>
      </c>
      <c r="C322" s="8" t="inlineStr">
        <is>
          <t>601328400</t>
        </is>
      </c>
      <c r="D322" s="8" t="inlineStr">
        <is>
          <t>冷拉合金结构圆钢|圆钢|30CrMnSiA|Φ12|空|冷拉</t>
        </is>
      </c>
      <c r="E322" s="8" t="inlineStr">
        <is>
          <t xml:space="preserve">物资名称 冷拉合金结构圆钢;物资简称 圆钢;牌号 30CrMnSiA;直径 Φ12;技术标准号 空;加工工艺 冷拉;热处理工艺 ;特殊要求 ;规格标准号 </t>
        </is>
      </c>
      <c r="F322" s="4" t="inlineStr">
        <is>
          <t>千克</t>
        </is>
      </c>
    </row>
    <row r="323" s="21">
      <c r="A323" s="8" t="inlineStr">
        <is>
          <t>100201</t>
        </is>
      </c>
      <c r="B323" s="8" t="inlineStr">
        <is>
          <t>圆钢</t>
        </is>
      </c>
      <c r="C323" s="8" t="inlineStr">
        <is>
          <t>601328300</t>
        </is>
      </c>
      <c r="D323" s="8" t="inlineStr">
        <is>
          <t>不锈圆钢|圆钢|0Cr18Ni9|Φ10|空</t>
        </is>
      </c>
      <c r="E323" s="8" t="inlineStr">
        <is>
          <t xml:space="preserve">物资名称 不锈圆钢;物资简称 圆钢;牌号 0Cr18Ni9;直径 Φ10;技术标准号 空;加工工艺 ;热处理工艺 ;特殊要求 ;规格标准号 </t>
        </is>
      </c>
      <c r="F323" s="4" t="inlineStr">
        <is>
          <t>千克</t>
        </is>
      </c>
    </row>
    <row r="324" s="21">
      <c r="A324" s="8" t="inlineStr">
        <is>
          <t>100201</t>
        </is>
      </c>
      <c r="B324" s="8" t="inlineStr">
        <is>
          <t>圆钢</t>
        </is>
      </c>
      <c r="C324" s="8" t="inlineStr">
        <is>
          <t>601328200</t>
        </is>
      </c>
      <c r="D324" s="8" t="inlineStr">
        <is>
          <t>不锈圆钢|圆钢|0Cr18Ni9|Φ140|空</t>
        </is>
      </c>
      <c r="E324" s="8" t="inlineStr">
        <is>
          <t xml:space="preserve">物资名称 不锈圆钢;物资简称 圆钢;牌号 0Cr18Ni9;直径 Φ140;技术标准号 空;加工工艺 ;热处理工艺 ;特殊要求 ;规格标准号 </t>
        </is>
      </c>
      <c r="F324" s="4" t="inlineStr">
        <is>
          <t>千克</t>
        </is>
      </c>
    </row>
    <row r="325" s="21">
      <c r="A325" s="8" t="inlineStr">
        <is>
          <t>100201</t>
        </is>
      </c>
      <c r="B325" s="8" t="inlineStr">
        <is>
          <t>圆钢</t>
        </is>
      </c>
      <c r="C325" s="8" t="inlineStr">
        <is>
          <t>601328100</t>
        </is>
      </c>
      <c r="D325" s="8" t="inlineStr">
        <is>
          <t>不锈圆钢|圆钢|0Cr18Ni9|Φ20|空</t>
        </is>
      </c>
      <c r="E325" s="8" t="inlineStr">
        <is>
          <t xml:space="preserve">物资名称 不锈圆钢;物资简称 圆钢;牌号 0Cr18Ni9;直径 Φ20;技术标准号 空;加工工艺 ;热处理工艺 ;特殊要求 ;规格标准号 </t>
        </is>
      </c>
      <c r="F325" s="4" t="inlineStr">
        <is>
          <t>千克</t>
        </is>
      </c>
    </row>
    <row r="326" s="21">
      <c r="A326" s="8" t="inlineStr">
        <is>
          <t>100201</t>
        </is>
      </c>
      <c r="B326" s="8" t="inlineStr">
        <is>
          <t>圆钢</t>
        </is>
      </c>
      <c r="C326" s="8" t="inlineStr">
        <is>
          <t>601328000</t>
        </is>
      </c>
      <c r="D326" s="8" t="inlineStr">
        <is>
          <t>不锈圆钢|圆钢|0Cr18Ni9|Φ25|空</t>
        </is>
      </c>
      <c r="E326" s="8" t="inlineStr">
        <is>
          <t xml:space="preserve">物资名称 不锈圆钢;物资简称 圆钢;牌号 0Cr18Ni9;直径 Φ25;技术标准号 空;加工工艺 ;热处理工艺 ;特殊要求 ;规格标准号 </t>
        </is>
      </c>
      <c r="F326" s="4" t="inlineStr">
        <is>
          <t>千克</t>
        </is>
      </c>
    </row>
    <row r="327" s="21">
      <c r="A327" s="8" t="inlineStr">
        <is>
          <t>100201</t>
        </is>
      </c>
      <c r="B327" s="8" t="inlineStr">
        <is>
          <t>圆钢</t>
        </is>
      </c>
      <c r="C327" s="8" t="inlineStr">
        <is>
          <t>601327900</t>
        </is>
      </c>
      <c r="D327" s="8" t="inlineStr">
        <is>
          <t>不锈圆钢|圆钢|0Cr18Ni9|Φ30|空</t>
        </is>
      </c>
      <c r="E327" s="8" t="inlineStr">
        <is>
          <t xml:space="preserve">物资名称 不锈圆钢;物资简称 圆钢;牌号 0Cr18Ni9;直径 Φ30;技术标准号 空;加工工艺 ;热处理工艺 ;特殊要求 ;规格标准号 </t>
        </is>
      </c>
      <c r="F327" s="4" t="inlineStr">
        <is>
          <t>千克</t>
        </is>
      </c>
    </row>
    <row r="328" s="21">
      <c r="A328" s="8" t="inlineStr">
        <is>
          <t>100201</t>
        </is>
      </c>
      <c r="B328" s="8" t="inlineStr">
        <is>
          <t>圆钢</t>
        </is>
      </c>
      <c r="C328" s="8" t="inlineStr">
        <is>
          <t>601327800</t>
        </is>
      </c>
      <c r="D328" s="8" t="inlineStr">
        <is>
          <t>不锈圆钢|圆钢|0Cr18Ni9|Φ35|空</t>
        </is>
      </c>
      <c r="E328" s="8" t="inlineStr">
        <is>
          <t xml:space="preserve">物资名称 不锈圆钢;物资简称 圆钢;牌号 0Cr18Ni9;直径 Φ35;技术标准号 空;加工工艺 ;热处理工艺 ;特殊要求 ;规格标准号 </t>
        </is>
      </c>
      <c r="F328" s="4" t="inlineStr">
        <is>
          <t>千克</t>
        </is>
      </c>
    </row>
    <row r="329" s="21">
      <c r="A329" s="8" t="inlineStr">
        <is>
          <t>100201</t>
        </is>
      </c>
      <c r="B329" s="8" t="inlineStr">
        <is>
          <t>圆钢</t>
        </is>
      </c>
      <c r="C329" s="8" t="inlineStr">
        <is>
          <t>601327700</t>
        </is>
      </c>
      <c r="D329" s="8" t="inlineStr">
        <is>
          <t>不锈圆钢|圆钢|0Cr18Ni9|Φ45|空</t>
        </is>
      </c>
      <c r="E329" s="8" t="inlineStr">
        <is>
          <t xml:space="preserve">物资名称 不锈圆钢;物资简称 圆钢;牌号 0Cr18Ni9;直径 Φ45;技术标准号 空;加工工艺 ;热处理工艺 ;特殊要求 ;规格标准号 </t>
        </is>
      </c>
      <c r="F329" s="4" t="inlineStr">
        <is>
          <t>千克</t>
        </is>
      </c>
    </row>
    <row r="330" s="21">
      <c r="A330" s="8" t="inlineStr">
        <is>
          <t>100201</t>
        </is>
      </c>
      <c r="B330" s="8" t="inlineStr">
        <is>
          <t>圆钢</t>
        </is>
      </c>
      <c r="C330" s="8" t="inlineStr">
        <is>
          <t>601327600</t>
        </is>
      </c>
      <c r="D330" s="8" t="inlineStr">
        <is>
          <t>不锈圆钢|圆钢|0Cr18Ni9|Φ80|空</t>
        </is>
      </c>
      <c r="E330" s="8" t="inlineStr">
        <is>
          <t xml:space="preserve">物资名称 不锈圆钢;物资简称 圆钢;牌号 0Cr18Ni9;直径 Φ80;技术标准号 空;加工工艺 ;热处理工艺 ;特殊要求 ;规格标准号 </t>
        </is>
      </c>
      <c r="F330" s="4" t="inlineStr">
        <is>
          <t>千克</t>
        </is>
      </c>
    </row>
    <row r="331" s="21">
      <c r="A331" s="8" t="inlineStr">
        <is>
          <t>100201</t>
        </is>
      </c>
      <c r="B331" s="8" t="inlineStr">
        <is>
          <t>圆钢</t>
        </is>
      </c>
      <c r="C331" s="8" t="inlineStr">
        <is>
          <t>601327500</t>
        </is>
      </c>
      <c r="D331" s="8" t="inlineStr">
        <is>
          <t>不锈圆钢|圆钢|0Cr18Ni9|Φ85|空</t>
        </is>
      </c>
      <c r="E331" s="8" t="inlineStr">
        <is>
          <t xml:space="preserve">物资名称 不锈圆钢;物资简称 圆钢;牌号 0Cr18Ni9;直径 Φ85;技术标准号 空;加工工艺 ;热处理工艺 ;特殊要求 ;规格标准号 </t>
        </is>
      </c>
      <c r="F331" s="4" t="inlineStr">
        <is>
          <t>千克</t>
        </is>
      </c>
    </row>
    <row r="332" s="21">
      <c r="A332" s="8" t="inlineStr">
        <is>
          <t>100201</t>
        </is>
      </c>
      <c r="B332" s="8" t="inlineStr">
        <is>
          <t>圆钢</t>
        </is>
      </c>
      <c r="C332" s="8" t="inlineStr">
        <is>
          <t>601327400</t>
        </is>
      </c>
      <c r="D332" s="8" t="inlineStr">
        <is>
          <t>不锈圆钢|圆钢|14Cr17Ni2|Φ10|空</t>
        </is>
      </c>
      <c r="E332" s="8" t="inlineStr">
        <is>
          <t xml:space="preserve">物资名称 不锈圆钢;物资简称 圆钢;牌号 14Cr17Ni2;直径 Φ10;技术标准号 空;加工工艺 ;热处理工艺 ;特殊要求 ;规格标准号 </t>
        </is>
      </c>
      <c r="F332" s="4" t="inlineStr">
        <is>
          <t>千克</t>
        </is>
      </c>
    </row>
    <row r="333" s="21">
      <c r="A333" s="8" t="inlineStr">
        <is>
          <t>100201</t>
        </is>
      </c>
      <c r="B333" s="8" t="inlineStr">
        <is>
          <t>圆钢</t>
        </is>
      </c>
      <c r="C333" s="8" t="inlineStr">
        <is>
          <t>601327300</t>
        </is>
      </c>
      <c r="D333" s="8" t="inlineStr">
        <is>
          <t>不锈圆钢|圆钢|1Cr13|Φ22|空</t>
        </is>
      </c>
      <c r="E333" s="8" t="inlineStr">
        <is>
          <t xml:space="preserve">物资名称 不锈圆钢;物资简称 圆钢;牌号 1Cr13;直径 Φ22;技术标准号 空;加工工艺 ;热处理工艺 ;特殊要求 ;规格标准号 </t>
        </is>
      </c>
      <c r="F333" s="4" t="inlineStr">
        <is>
          <t>千克</t>
        </is>
      </c>
    </row>
    <row r="334" s="21">
      <c r="A334" s="8" t="inlineStr">
        <is>
          <t>100201</t>
        </is>
      </c>
      <c r="B334" s="8" t="inlineStr">
        <is>
          <t>圆钢</t>
        </is>
      </c>
      <c r="C334" s="8" t="inlineStr">
        <is>
          <t>601327200</t>
        </is>
      </c>
      <c r="D334" s="8" t="inlineStr">
        <is>
          <t>不锈圆钢|圆钢|1Cr13|Φ35|空</t>
        </is>
      </c>
      <c r="E334" s="8" t="inlineStr">
        <is>
          <t xml:space="preserve">物资名称 不锈圆钢;物资简称 圆钢;牌号 1Cr13;直径 Φ35;技术标准号 空;加工工艺 ;热处理工艺 ;特殊要求 ;规格标准号 </t>
        </is>
      </c>
      <c r="F334" s="4" t="inlineStr">
        <is>
          <t>千克</t>
        </is>
      </c>
    </row>
    <row r="335" s="21">
      <c r="A335" s="8" t="inlineStr">
        <is>
          <t>100201</t>
        </is>
      </c>
      <c r="B335" s="8" t="inlineStr">
        <is>
          <t>圆钢</t>
        </is>
      </c>
      <c r="C335" s="8" t="inlineStr">
        <is>
          <t>601327100</t>
        </is>
      </c>
      <c r="D335" s="8" t="inlineStr">
        <is>
          <t>不锈圆钢|圆钢|1Cr13|Φ45|空</t>
        </is>
      </c>
      <c r="E335" s="8" t="inlineStr">
        <is>
          <t xml:space="preserve">物资名称 不锈圆钢;物资简称 圆钢;牌号 1Cr13;直径 Φ45;技术标准号 空;加工工艺 ;热处理工艺 ;特殊要求 ;规格标准号 </t>
        </is>
      </c>
      <c r="F335" s="4" t="inlineStr">
        <is>
          <t>千克</t>
        </is>
      </c>
    </row>
    <row r="336" s="21">
      <c r="A336" s="8" t="inlineStr">
        <is>
          <t>100201</t>
        </is>
      </c>
      <c r="B336" s="8" t="inlineStr">
        <is>
          <t>圆钢</t>
        </is>
      </c>
      <c r="C336" s="8" t="inlineStr">
        <is>
          <t>601327000</t>
        </is>
      </c>
      <c r="D336" s="8" t="inlineStr">
        <is>
          <t>不锈圆钢|圆钢|1Cr13|Φ60|空</t>
        </is>
      </c>
      <c r="E336" s="8" t="inlineStr">
        <is>
          <t xml:space="preserve">物资名称 不锈圆钢;物资简称 圆钢;牌号 1Cr13;直径 Φ60;技术标准号 空;加工工艺 ;热处理工艺 ;特殊要求 ;规格标准号 </t>
        </is>
      </c>
      <c r="F336" s="4" t="inlineStr">
        <is>
          <t>千克</t>
        </is>
      </c>
    </row>
    <row r="337" s="21">
      <c r="A337" s="8" t="inlineStr">
        <is>
          <t>100201</t>
        </is>
      </c>
      <c r="B337" s="8" t="inlineStr">
        <is>
          <t>圆钢</t>
        </is>
      </c>
      <c r="C337" s="8" t="inlineStr">
        <is>
          <t>601326900</t>
        </is>
      </c>
      <c r="D337" s="8" t="inlineStr">
        <is>
          <t>不锈圆钢|圆钢|1Cr13|Φ85|空</t>
        </is>
      </c>
      <c r="E337" s="8" t="inlineStr">
        <is>
          <t xml:space="preserve">物资名称 不锈圆钢;物资简称 圆钢;牌号 1Cr13;直径 Φ85;技术标准号 空;加工工艺 ;热处理工艺 ;特殊要求 ;规格标准号 </t>
        </is>
      </c>
      <c r="F337" s="4" t="inlineStr">
        <is>
          <t>千克</t>
        </is>
      </c>
    </row>
    <row r="338" s="21">
      <c r="A338" s="8" t="inlineStr">
        <is>
          <t>100201</t>
        </is>
      </c>
      <c r="B338" s="8" t="inlineStr">
        <is>
          <t>圆钢</t>
        </is>
      </c>
      <c r="C338" s="8" t="inlineStr">
        <is>
          <t>601326800</t>
        </is>
      </c>
      <c r="D338" s="8" t="inlineStr">
        <is>
          <t>不锈圆钢|圆钢|1Cr17Ni2|Φ25|空</t>
        </is>
      </c>
      <c r="E338" s="8" t="inlineStr">
        <is>
          <t xml:space="preserve">物资名称 不锈圆钢;物资简称 圆钢;牌号 1Cr17Ni2;直径 Φ25;技术标准号 空;加工工艺 ;热处理工艺 ;特殊要求 ;规格标准号 </t>
        </is>
      </c>
      <c r="F338" s="4" t="inlineStr">
        <is>
          <t>千克</t>
        </is>
      </c>
    </row>
    <row r="339" s="21">
      <c r="A339" s="8" t="inlineStr">
        <is>
          <t>100201</t>
        </is>
      </c>
      <c r="B339" s="8" t="inlineStr">
        <is>
          <t>圆钢</t>
        </is>
      </c>
      <c r="C339" s="8" t="inlineStr">
        <is>
          <t>601326700</t>
        </is>
      </c>
      <c r="D339" s="8" t="inlineStr">
        <is>
          <t>不锈圆钢|圆钢|1Cr17Ni2|Φ8|空</t>
        </is>
      </c>
      <c r="E339" s="8" t="inlineStr">
        <is>
          <t xml:space="preserve">物资名称 不锈圆钢;物资简称 圆钢;牌号 1Cr17Ni2;直径 Φ8;技术标准号 空;加工工艺 ;热处理工艺 ;特殊要求 ;规格标准号 </t>
        </is>
      </c>
      <c r="F339" s="4" t="inlineStr">
        <is>
          <t>千克</t>
        </is>
      </c>
    </row>
    <row r="340" s="21">
      <c r="A340" s="8" t="inlineStr">
        <is>
          <t>100201</t>
        </is>
      </c>
      <c r="B340" s="8" t="inlineStr">
        <is>
          <t>圆钢</t>
        </is>
      </c>
      <c r="C340" s="8" t="inlineStr">
        <is>
          <t>601326600</t>
        </is>
      </c>
      <c r="D340" s="8" t="inlineStr">
        <is>
          <t>不锈圆钢|圆钢|1Cr17Ni2|Φ90|空</t>
        </is>
      </c>
      <c r="E340" s="8" t="inlineStr">
        <is>
          <t xml:space="preserve">物资名称 不锈圆钢;物资简称 圆钢;牌号 1Cr17Ni2;直径 Φ90;技术标准号 空;加工工艺 ;热处理工艺 ;特殊要求 ;规格标准号 </t>
        </is>
      </c>
      <c r="F340" s="4" t="inlineStr">
        <is>
          <t>千克</t>
        </is>
      </c>
    </row>
    <row r="341" s="21">
      <c r="A341" s="8" t="inlineStr">
        <is>
          <t>100201</t>
        </is>
      </c>
      <c r="B341" s="8" t="inlineStr">
        <is>
          <t>圆钢</t>
        </is>
      </c>
      <c r="C341" s="8" t="inlineStr">
        <is>
          <t>601326500</t>
        </is>
      </c>
      <c r="D341" s="8" t="inlineStr">
        <is>
          <t>航空用不锈圆钢|圆钢|1Cr18Ni9Ti|Φ10|GJB 2294-1995</t>
        </is>
      </c>
      <c r="E341" s="8" t="inlineStr">
        <is>
          <t xml:space="preserve">物资名称 航空用不锈圆钢;物资简称 圆钢;牌号 1Cr18Ni9Ti;直径 Φ10;技术标准号 GJB 2294-1995;加工工艺 ;热处理工艺 ;特殊要求 ;规格标准号 </t>
        </is>
      </c>
      <c r="F341" s="4" t="inlineStr">
        <is>
          <t>千克</t>
        </is>
      </c>
    </row>
    <row r="342" s="21">
      <c r="A342" s="8" t="inlineStr">
        <is>
          <t>100201</t>
        </is>
      </c>
      <c r="B342" s="8" t="inlineStr">
        <is>
          <t>圆钢</t>
        </is>
      </c>
      <c r="C342" s="8" t="inlineStr">
        <is>
          <t>601326400</t>
        </is>
      </c>
      <c r="D342" s="8" t="inlineStr">
        <is>
          <t>航空用不锈圆钢|圆钢|1Cr18Ni9Ti|Φ110|GJB 2294-1995</t>
        </is>
      </c>
      <c r="E342" s="8" t="inlineStr">
        <is>
          <t xml:space="preserve">物资名称 航空用不锈圆钢;物资简称 圆钢;牌号 1Cr18Ni9Ti;直径 Φ110;技术标准号 GJB 2294-1995;加工工艺 ;热处理工艺 ;特殊要求 ;规格标准号 </t>
        </is>
      </c>
      <c r="F342" s="4" t="inlineStr">
        <is>
          <t>千克</t>
        </is>
      </c>
    </row>
    <row r="343" s="21">
      <c r="A343" s="8" t="inlineStr">
        <is>
          <t>100201</t>
        </is>
      </c>
      <c r="B343" s="8" t="inlineStr">
        <is>
          <t>圆钢</t>
        </is>
      </c>
      <c r="C343" s="8" t="inlineStr">
        <is>
          <t>601326300</t>
        </is>
      </c>
      <c r="D343" s="8" t="inlineStr">
        <is>
          <t>航空用不锈圆钢|圆钢|1Cr18Ni9Ti|Φ15|GJB 2294-1995</t>
        </is>
      </c>
      <c r="E343" s="8" t="inlineStr">
        <is>
          <t xml:space="preserve">物资名称 航空用不锈圆钢;物资简称 圆钢;牌号 1Cr18Ni9Ti;直径 Φ15;技术标准号 GJB 2294-1995;加工工艺 ;热处理工艺 ;特殊要求 ;规格标准号 </t>
        </is>
      </c>
      <c r="F343" s="4" t="inlineStr">
        <is>
          <t>千克</t>
        </is>
      </c>
    </row>
    <row r="344" s="21">
      <c r="A344" s="8" t="inlineStr">
        <is>
          <t>100201</t>
        </is>
      </c>
      <c r="B344" s="8" t="inlineStr">
        <is>
          <t>圆钢</t>
        </is>
      </c>
      <c r="C344" s="8" t="inlineStr">
        <is>
          <t>601326200</t>
        </is>
      </c>
      <c r="D344" s="8" t="inlineStr">
        <is>
          <t>航空用不锈圆钢|圆钢|1Cr18Ni9Ti|Φ20|GJB 2294-1995</t>
        </is>
      </c>
      <c r="E344" s="8" t="inlineStr">
        <is>
          <t xml:space="preserve">物资名称 航空用不锈圆钢;物资简称 圆钢;牌号 1Cr18Ni9Ti;直径 Φ20;技术标准号 GJB 2294-1995;加工工艺 ;热处理工艺 ;特殊要求 ;规格标准号 </t>
        </is>
      </c>
      <c r="F344" s="4" t="inlineStr">
        <is>
          <t>千克</t>
        </is>
      </c>
    </row>
    <row r="345" s="21">
      <c r="A345" s="8" t="inlineStr">
        <is>
          <t>100201</t>
        </is>
      </c>
      <c r="B345" s="8" t="inlineStr">
        <is>
          <t>圆钢</t>
        </is>
      </c>
      <c r="C345" s="8" t="inlineStr">
        <is>
          <t>601326100</t>
        </is>
      </c>
      <c r="D345" s="8" t="inlineStr">
        <is>
          <t>航空用不锈圆钢|圆钢|1Cr18Ni9Ti|Φ35|GJB 2294-1995</t>
        </is>
      </c>
      <c r="E345" s="8" t="inlineStr">
        <is>
          <t xml:space="preserve">物资名称 航空用不锈圆钢;物资简称 圆钢;牌号 1Cr18Ni9Ti;直径 Φ35;技术标准号 GJB 2294-1995;加工工艺 ;热处理工艺 ;特殊要求 ;规格标准号 </t>
        </is>
      </c>
      <c r="F345" s="4" t="inlineStr">
        <is>
          <t>千克</t>
        </is>
      </c>
    </row>
    <row r="346" s="21">
      <c r="A346" s="8" t="inlineStr">
        <is>
          <t>100201</t>
        </is>
      </c>
      <c r="B346" s="8" t="inlineStr">
        <is>
          <t>圆钢</t>
        </is>
      </c>
      <c r="C346" s="8" t="inlineStr">
        <is>
          <t>601326000</t>
        </is>
      </c>
      <c r="D346" s="8" t="inlineStr">
        <is>
          <t>不锈圆钢|圆钢|1Cr18Ni9Ti|Φ55|空</t>
        </is>
      </c>
      <c r="E346" s="8" t="inlineStr">
        <is>
          <t xml:space="preserve">物资名称 不锈圆钢;物资简称 圆钢;牌号 1Cr18Ni9Ti;直径 Φ55;技术标准号 空;加工工艺 ;热处理工艺 ;特殊要求 ;规格标准号 </t>
        </is>
      </c>
      <c r="F346" s="4" t="inlineStr">
        <is>
          <t>千克</t>
        </is>
      </c>
    </row>
    <row r="347" s="21">
      <c r="A347" s="8" t="inlineStr">
        <is>
          <t>100201</t>
        </is>
      </c>
      <c r="B347" s="8" t="inlineStr">
        <is>
          <t>圆钢</t>
        </is>
      </c>
      <c r="C347" s="8" t="inlineStr">
        <is>
          <t>601325900</t>
        </is>
      </c>
      <c r="D347" s="8" t="inlineStr">
        <is>
          <t>航空用不锈圆钢|圆钢|1Cr18Ni9Ti|Φ55|GJB 2294-1995</t>
        </is>
      </c>
      <c r="E347" s="8" t="inlineStr">
        <is>
          <t xml:space="preserve">物资名称 航空用不锈圆钢;物资简称 圆钢;牌号 1Cr18Ni9Ti;直径 Φ55;技术标准号 GJB 2294-1995;加工工艺 ;热处理工艺 ;特殊要求 ;规格标准号 </t>
        </is>
      </c>
      <c r="F347" s="4" t="inlineStr">
        <is>
          <t>千克</t>
        </is>
      </c>
    </row>
    <row r="348" s="21">
      <c r="A348" s="8" t="inlineStr">
        <is>
          <t>100201</t>
        </is>
      </c>
      <c r="B348" s="8" t="inlineStr">
        <is>
          <t>圆钢</t>
        </is>
      </c>
      <c r="C348" s="8" t="inlineStr">
        <is>
          <t>601325800</t>
        </is>
      </c>
      <c r="D348" s="8" t="inlineStr">
        <is>
          <t>航空用不锈圆钢|圆钢|1Cr18Ni9Ti|Φ85|GJB 2294-1995</t>
        </is>
      </c>
      <c r="E348" s="8" t="inlineStr">
        <is>
          <t xml:space="preserve">物资名称 航空用不锈圆钢;物资简称 圆钢;牌号 1Cr18Ni9Ti;直径 Φ85;技术标准号 GJB 2294-1995;加工工艺 ;热处理工艺 ;特殊要求 ;规格标准号 </t>
        </is>
      </c>
      <c r="F348" s="4" t="inlineStr">
        <is>
          <t>千克</t>
        </is>
      </c>
    </row>
    <row r="349" s="21">
      <c r="A349" s="8" t="inlineStr">
        <is>
          <t>100201</t>
        </is>
      </c>
      <c r="B349" s="8" t="inlineStr">
        <is>
          <t>圆钢</t>
        </is>
      </c>
      <c r="C349" s="8" t="inlineStr">
        <is>
          <t>601325700</t>
        </is>
      </c>
      <c r="D349" s="8" t="inlineStr">
        <is>
          <t>航空用不锈圆钢|圆钢|1Cr18Ni9Ti|Φ90|GJB 2294-1995</t>
        </is>
      </c>
      <c r="E349" s="8" t="inlineStr">
        <is>
          <t xml:space="preserve">物资名称 航空用不锈圆钢;物资简称 圆钢;牌号 1Cr18Ni9Ti;直径 Φ90;技术标准号 GJB 2294-1995;加工工艺 ;热处理工艺 ;特殊要求 ;规格标准号 </t>
        </is>
      </c>
      <c r="F349" s="4" t="inlineStr">
        <is>
          <t>千克</t>
        </is>
      </c>
    </row>
    <row r="350" s="21">
      <c r="A350" s="8" t="inlineStr">
        <is>
          <t>100201</t>
        </is>
      </c>
      <c r="B350" s="8" t="inlineStr">
        <is>
          <t>圆钢</t>
        </is>
      </c>
      <c r="C350" s="8" t="inlineStr">
        <is>
          <t>601325600</t>
        </is>
      </c>
      <c r="D350" s="8" t="inlineStr">
        <is>
          <t>不锈圆钢|圆钢|2Cr13|Φ32|空</t>
        </is>
      </c>
      <c r="E350" s="8" t="inlineStr">
        <is>
          <t xml:space="preserve">物资名称 不锈圆钢;物资简称 圆钢;牌号 2Cr13;直径 Φ32;技术标准号 空;加工工艺 ;热处理工艺 ;特殊要求 ;规格标准号 </t>
        </is>
      </c>
      <c r="F350" s="4" t="inlineStr">
        <is>
          <t>千克</t>
        </is>
      </c>
    </row>
    <row r="351" s="21">
      <c r="A351" s="8" t="inlineStr">
        <is>
          <t>100201</t>
        </is>
      </c>
      <c r="B351" s="8" t="inlineStr">
        <is>
          <t>圆钢</t>
        </is>
      </c>
      <c r="C351" s="8" t="inlineStr">
        <is>
          <t>601325500</t>
        </is>
      </c>
      <c r="D351" s="8" t="inlineStr">
        <is>
          <t>不锈圆钢|圆钢|2Cr13Ni2|Φ36|空</t>
        </is>
      </c>
      <c r="E351" s="8" t="inlineStr">
        <is>
          <t xml:space="preserve">物资名称 不锈圆钢;物资简称 圆钢;牌号 2Cr13Ni2;直径 Φ36;技术标准号 空;加工工艺 ;热处理工艺 ;特殊要求 ;规格标准号 </t>
        </is>
      </c>
      <c r="F351" s="4" t="inlineStr">
        <is>
          <t>千克</t>
        </is>
      </c>
    </row>
    <row r="352" s="21">
      <c r="A352" s="8" t="inlineStr">
        <is>
          <t>100201</t>
        </is>
      </c>
      <c r="B352" s="8" t="inlineStr">
        <is>
          <t>圆钢</t>
        </is>
      </c>
      <c r="C352" s="8" t="inlineStr">
        <is>
          <t>601325400</t>
        </is>
      </c>
      <c r="D352" s="8" t="inlineStr">
        <is>
          <t>不锈圆钢|圆钢|2Cr13Ni2|Φ65|空</t>
        </is>
      </c>
      <c r="E352" s="8" t="inlineStr">
        <is>
          <t xml:space="preserve">物资名称 不锈圆钢;物资简称 圆钢;牌号 2Cr13Ni2;直径 Φ65;技术标准号 空;加工工艺 ;热处理工艺 ;特殊要求 ;规格标准号 </t>
        </is>
      </c>
      <c r="F352" s="4" t="inlineStr">
        <is>
          <t>千克</t>
        </is>
      </c>
    </row>
    <row r="353" s="21">
      <c r="A353" s="8" t="inlineStr">
        <is>
          <t>100201</t>
        </is>
      </c>
      <c r="B353" s="8" t="inlineStr">
        <is>
          <t>圆钢</t>
        </is>
      </c>
      <c r="C353" s="8" t="inlineStr">
        <is>
          <t>601325300</t>
        </is>
      </c>
      <c r="D353" s="8" t="inlineStr">
        <is>
          <t>不锈圆钢|圆钢|2Cr13Ni2|Φ70|空</t>
        </is>
      </c>
      <c r="E353" s="8" t="inlineStr">
        <is>
          <t xml:space="preserve">物资名称 不锈圆钢;物资简称 圆钢;牌号 2Cr13Ni2;直径 Φ70;技术标准号 空;加工工艺 ;热处理工艺 ;特殊要求 ;规格标准号 </t>
        </is>
      </c>
      <c r="F353" s="4" t="inlineStr">
        <is>
          <t>千克</t>
        </is>
      </c>
    </row>
    <row r="354" s="21">
      <c r="A354" s="8" t="inlineStr">
        <is>
          <t>100201</t>
        </is>
      </c>
      <c r="B354" s="8" t="inlineStr">
        <is>
          <t>圆钢</t>
        </is>
      </c>
      <c r="C354" s="8" t="inlineStr">
        <is>
          <t>601325200</t>
        </is>
      </c>
      <c r="D354" s="8" t="inlineStr">
        <is>
          <t>不锈圆钢|圆钢|2Cr13Ni2|Φ75|空</t>
        </is>
      </c>
      <c r="E354" s="8" t="inlineStr">
        <is>
          <t xml:space="preserve">物资名称 不锈圆钢;物资简称 圆钢;牌号 2Cr13Ni2;直径 Φ75;技术标准号 空;加工工艺 ;热处理工艺 ;特殊要求 ;规格标准号 </t>
        </is>
      </c>
      <c r="F354" s="4" t="inlineStr">
        <is>
          <t>千克</t>
        </is>
      </c>
    </row>
    <row r="355" s="21">
      <c r="A355" s="8" t="inlineStr">
        <is>
          <t>100201</t>
        </is>
      </c>
      <c r="B355" s="8" t="inlineStr">
        <is>
          <t>圆钢</t>
        </is>
      </c>
      <c r="C355" s="8" t="inlineStr">
        <is>
          <t>601325100</t>
        </is>
      </c>
      <c r="D355" s="8" t="inlineStr">
        <is>
          <t>不锈圆钢|圆钢|40Cr13|Φ25|空</t>
        </is>
      </c>
      <c r="E355" s="8" t="inlineStr">
        <is>
          <t xml:space="preserve">物资名称 不锈圆钢;物资简称 圆钢;牌号 40Cr13;直径 Φ25;技术标准号 空;加工工艺 ;热处理工艺 ;特殊要求 ;规格标准号 </t>
        </is>
      </c>
      <c r="F355" s="4" t="inlineStr">
        <is>
          <t>千克</t>
        </is>
      </c>
    </row>
    <row r="356" s="21">
      <c r="A356" s="8" t="inlineStr">
        <is>
          <t>100201</t>
        </is>
      </c>
      <c r="B356" s="8" t="inlineStr">
        <is>
          <t>圆钢</t>
        </is>
      </c>
      <c r="C356" s="8" t="inlineStr">
        <is>
          <t>601325000</t>
        </is>
      </c>
      <c r="D356" s="8" t="inlineStr">
        <is>
          <t>不锈圆钢|圆钢|4Cr13|Φ100|空</t>
        </is>
      </c>
      <c r="E356" s="8" t="inlineStr">
        <is>
          <t xml:space="preserve">物资名称 不锈圆钢;物资简称 圆钢;牌号 4Cr13;直径 Φ100;技术标准号 空;加工工艺 ;热处理工艺 ;特殊要求 ;规格标准号 </t>
        </is>
      </c>
      <c r="F356" s="4" t="inlineStr">
        <is>
          <t>千克</t>
        </is>
      </c>
    </row>
    <row r="357" s="21">
      <c r="A357" s="8" t="inlineStr">
        <is>
          <t>100201</t>
        </is>
      </c>
      <c r="B357" s="8" t="inlineStr">
        <is>
          <t>圆钢</t>
        </is>
      </c>
      <c r="C357" s="8" t="inlineStr">
        <is>
          <t>601324900</t>
        </is>
      </c>
      <c r="D357" s="8" t="inlineStr">
        <is>
          <t>不锈圆钢|圆钢|4Cr13|Φ18|空</t>
        </is>
      </c>
      <c r="E357" s="8" t="inlineStr">
        <is>
          <t xml:space="preserve">物资名称 不锈圆钢;物资简称 圆钢;牌号 4Cr13;直径 Φ18;技术标准号 空;加工工艺 ;热处理工艺 ;特殊要求 ;规格标准号 </t>
        </is>
      </c>
      <c r="F357" s="4" t="inlineStr">
        <is>
          <t>千克</t>
        </is>
      </c>
    </row>
    <row r="358" s="21">
      <c r="A358" s="8" t="inlineStr">
        <is>
          <t>100201</t>
        </is>
      </c>
      <c r="B358" s="8" t="inlineStr">
        <is>
          <t>圆钢</t>
        </is>
      </c>
      <c r="C358" s="8" t="inlineStr">
        <is>
          <t>601324800</t>
        </is>
      </c>
      <c r="D358" s="8" t="inlineStr">
        <is>
          <t>不锈圆钢|圆钢|Y1Cr18Ni9|Φ40|空</t>
        </is>
      </c>
      <c r="E358" s="8" t="inlineStr">
        <is>
          <t xml:space="preserve">物资名称 不锈圆钢;物资简称 圆钢;牌号 Y1Cr18Ni9;直径 Φ40;技术标准号 空;加工工艺 ;热处理工艺 ;特殊要求 ;规格标准号 </t>
        </is>
      </c>
      <c r="F358" s="4" t="inlineStr">
        <is>
          <t>千克</t>
        </is>
      </c>
    </row>
    <row r="359" s="21">
      <c r="A359" s="8" t="inlineStr">
        <is>
          <t>100201</t>
        </is>
      </c>
      <c r="B359" s="8" t="inlineStr">
        <is>
          <t>圆钢</t>
        </is>
      </c>
      <c r="C359" s="8" t="inlineStr">
        <is>
          <t>601324700</t>
        </is>
      </c>
      <c r="D359" s="8" t="inlineStr">
        <is>
          <t>不锈圆钢|圆钢|Y2Cr13Ni2|Φ60|空</t>
        </is>
      </c>
      <c r="E359" s="8" t="inlineStr">
        <is>
          <t xml:space="preserve">物资名称 不锈圆钢;物资简称 圆钢;牌号 Y2Cr13Ni2;直径 Φ60;技术标准号 空;加工工艺 ;热处理工艺 ;特殊要求 ;规格标准号 </t>
        </is>
      </c>
      <c r="F359" s="4" t="inlineStr">
        <is>
          <t>千克</t>
        </is>
      </c>
    </row>
    <row r="360" s="21">
      <c r="A360" s="8" t="inlineStr">
        <is>
          <t>100201</t>
        </is>
      </c>
      <c r="B360" s="8" t="inlineStr">
        <is>
          <t>圆钢</t>
        </is>
      </c>
      <c r="C360" s="8" t="inlineStr">
        <is>
          <t>601324600</t>
        </is>
      </c>
      <c r="D360" s="8" t="inlineStr">
        <is>
          <t>不锈圆钢|圆钢|0Cr25Ni20|Φ200|空|耐热</t>
        </is>
      </c>
      <c r="E360" s="8" t="inlineStr">
        <is>
          <t xml:space="preserve">物资名称 不锈圆钢;物资简称 圆钢;牌号 0Cr25Ni20;直径 Φ200;技术标准号 空;加工工艺 ;热处理工艺 ;特殊要求 耐热;规格标准号 </t>
        </is>
      </c>
      <c r="F360" s="4" t="inlineStr">
        <is>
          <t>千克</t>
        </is>
      </c>
    </row>
    <row r="361" s="21">
      <c r="A361" s="8" t="inlineStr">
        <is>
          <t>100201</t>
        </is>
      </c>
      <c r="B361" s="8" t="inlineStr">
        <is>
          <t>圆钢</t>
        </is>
      </c>
      <c r="C361" s="8" t="inlineStr">
        <is>
          <t>601324500</t>
        </is>
      </c>
      <c r="D361" s="8" t="inlineStr">
        <is>
          <t>不锈圆钢|圆钢|2Cr15Mn15Ni2N|Φ20|空|抗磁</t>
        </is>
      </c>
      <c r="E361" s="8" t="inlineStr">
        <is>
          <t xml:space="preserve">物资名称 不锈圆钢;物资简称 圆钢;牌号 2Cr15Mn15Ni2N;直径 Φ20;技术标准号 空;加工工艺 ;热处理工艺 ;特殊要求 抗磁;规格标准号 </t>
        </is>
      </c>
      <c r="F361" s="4" t="inlineStr">
        <is>
          <t>千克</t>
        </is>
      </c>
    </row>
    <row r="362" s="21">
      <c r="A362" s="8" t="inlineStr">
        <is>
          <t>100201</t>
        </is>
      </c>
      <c r="B362" s="8" t="inlineStr">
        <is>
          <t>圆钢</t>
        </is>
      </c>
      <c r="C362" s="8" t="inlineStr">
        <is>
          <t>601324400</t>
        </is>
      </c>
      <c r="D362" s="8" t="inlineStr">
        <is>
          <t>不锈圆钢|圆钢|2Cr15Mn15Ni2N|Φ30|空|抗磁</t>
        </is>
      </c>
      <c r="E362" s="8" t="inlineStr">
        <is>
          <t xml:space="preserve">物资名称 不锈圆钢;物资简称 圆钢;牌号 2Cr15Mn15Ni2N;直径 Φ30;技术标准号 空;加工工艺 ;热处理工艺 ;特殊要求 抗磁;规格标准号 </t>
        </is>
      </c>
      <c r="F362" s="4" t="inlineStr">
        <is>
          <t>千克</t>
        </is>
      </c>
    </row>
    <row r="363" s="21">
      <c r="A363" s="8" t="inlineStr">
        <is>
          <t>100201</t>
        </is>
      </c>
      <c r="B363" s="8" t="inlineStr">
        <is>
          <t>圆钢</t>
        </is>
      </c>
      <c r="C363" s="8" t="inlineStr">
        <is>
          <t>601324300</t>
        </is>
      </c>
      <c r="D363" s="8" t="inlineStr">
        <is>
          <t>不锈圆钢|圆钢|2Cr15Mn15Ni2N|Φ40|空|抗磁</t>
        </is>
      </c>
      <c r="E363" s="8" t="inlineStr">
        <is>
          <t xml:space="preserve">物资名称 不锈圆钢;物资简称 圆钢;牌号 2Cr15Mn15Ni2N;直径 Φ40;技术标准号 空;加工工艺 ;热处理工艺 ;特殊要求 抗磁;规格标准号 </t>
        </is>
      </c>
      <c r="F363" s="4" t="inlineStr">
        <is>
          <t>千克</t>
        </is>
      </c>
    </row>
    <row r="364" s="21">
      <c r="A364" s="8" t="inlineStr">
        <is>
          <t>100201</t>
        </is>
      </c>
      <c r="B364" s="8" t="inlineStr">
        <is>
          <t>圆钢</t>
        </is>
      </c>
      <c r="C364" s="8" t="inlineStr">
        <is>
          <t>601324200</t>
        </is>
      </c>
      <c r="D364" s="8" t="inlineStr">
        <is>
          <t>不锈圆钢|圆钢|2Cr15Mn15Ni2N|Φ5|空|抗磁</t>
        </is>
      </c>
      <c r="E364" s="8" t="inlineStr">
        <is>
          <t xml:space="preserve">物资名称 不锈圆钢;物资简称 圆钢;牌号 2Cr15Mn15Ni2N;直径 Φ5;技术标准号 空;加工工艺 ;热处理工艺 ;特殊要求 抗磁;规格标准号 </t>
        </is>
      </c>
      <c r="F364" s="4" t="inlineStr">
        <is>
          <t>千克</t>
        </is>
      </c>
    </row>
    <row r="365" s="21">
      <c r="A365" s="8" t="inlineStr">
        <is>
          <t>100201</t>
        </is>
      </c>
      <c r="B365" s="8" t="inlineStr">
        <is>
          <t>圆钢</t>
        </is>
      </c>
      <c r="C365" s="8" t="inlineStr">
        <is>
          <t>601324100</t>
        </is>
      </c>
      <c r="D365" s="8" t="inlineStr">
        <is>
          <t>不锈圆钢|圆钢|2Cr15Mn15Ni2N|Φ90|空|抗磁</t>
        </is>
      </c>
      <c r="E365" s="8" t="inlineStr">
        <is>
          <t xml:space="preserve">物资名称 不锈圆钢;物资简称 圆钢;牌号 2Cr15Mn15Ni2N;直径 Φ90;技术标准号 空;加工工艺 ;热处理工艺 ;特殊要求 抗磁;规格标准号 </t>
        </is>
      </c>
      <c r="F365" s="4" t="inlineStr">
        <is>
          <t>千克</t>
        </is>
      </c>
    </row>
    <row r="366" s="21">
      <c r="A366" s="8" t="inlineStr">
        <is>
          <t>100201</t>
        </is>
      </c>
      <c r="B366" s="8" t="inlineStr">
        <is>
          <t>圆钢</t>
        </is>
      </c>
      <c r="C366" s="8" t="inlineStr">
        <is>
          <t>601324000</t>
        </is>
      </c>
      <c r="D366" s="8" t="inlineStr">
        <is>
          <t>合金弹簧圆钢|圆钢|60Si2Mn|Φ16|空</t>
        </is>
      </c>
      <c r="E366" s="8" t="inlineStr">
        <is>
          <t xml:space="preserve">物资名称 合金弹簧圆钢;物资简称 圆钢;牌号 60Si2Mn;直径 Φ16;技术标准号 空;加工工艺 ;热处理工艺 ;特殊要求 ;规格标准号 </t>
        </is>
      </c>
      <c r="F366" s="4" t="inlineStr">
        <is>
          <t>千克</t>
        </is>
      </c>
    </row>
    <row r="367" s="21">
      <c r="A367" s="8" t="inlineStr">
        <is>
          <t>100201</t>
        </is>
      </c>
      <c r="B367" s="8" t="inlineStr">
        <is>
          <t>圆钢</t>
        </is>
      </c>
      <c r="C367" s="8" t="inlineStr">
        <is>
          <t>601323900</t>
        </is>
      </c>
      <c r="D367" s="8" t="inlineStr">
        <is>
          <t>低膨胀合金圆钢|圆钢|4J32|Φ100|空</t>
        </is>
      </c>
      <c r="E367" s="8" t="inlineStr">
        <is>
          <t xml:space="preserve">物资名称 低膨胀合金圆钢;物资简称 圆钢;牌号 4J32;直径 Φ100;技术标准号 空;加工工艺 ;热处理工艺 ;特殊要求 ;规格标准号 </t>
        </is>
      </c>
      <c r="F367" s="4" t="inlineStr">
        <is>
          <t>千克</t>
        </is>
      </c>
    </row>
    <row r="368" s="21">
      <c r="A368" s="8" t="inlineStr">
        <is>
          <t>100201</t>
        </is>
      </c>
      <c r="B368" s="8" t="inlineStr">
        <is>
          <t>圆钢</t>
        </is>
      </c>
      <c r="C368" s="8" t="inlineStr">
        <is>
          <t>601323800</t>
        </is>
      </c>
      <c r="D368" s="8" t="inlineStr">
        <is>
          <t>低膨胀合金圆钢|圆钢|4J32|Φ50|空</t>
        </is>
      </c>
      <c r="E368" s="8" t="inlineStr">
        <is>
          <t xml:space="preserve">物资名称 低膨胀合金圆钢;物资简称 圆钢;牌号 4J32;直径 Φ50;技术标准号 空;加工工艺 ;热处理工艺 ;特殊要求 ;规格标准号 </t>
        </is>
      </c>
      <c r="F368" s="4" t="inlineStr">
        <is>
          <t>千克</t>
        </is>
      </c>
    </row>
    <row r="369" s="21">
      <c r="A369" s="8" t="inlineStr">
        <is>
          <t>100201</t>
        </is>
      </c>
      <c r="B369" s="8" t="inlineStr">
        <is>
          <t>圆钢</t>
        </is>
      </c>
      <c r="C369" s="8" t="inlineStr">
        <is>
          <t>601323400</t>
        </is>
      </c>
      <c r="D369" s="8" t="inlineStr">
        <is>
          <t>高速工具圆钢|圆钢|6542|Φ25|空</t>
        </is>
      </c>
      <c r="E369" s="8" t="inlineStr">
        <is>
          <t xml:space="preserve">物资名称 高速工具圆钢;物资简称 圆钢;牌号 6542;直径 Φ25;技术标准号 空;加工工艺 ;热处理工艺 ;特殊要求 ;规格标准号 </t>
        </is>
      </c>
      <c r="F369" s="4" t="inlineStr">
        <is>
          <t>千克</t>
        </is>
      </c>
    </row>
    <row r="370" s="21">
      <c r="A370" s="8" t="inlineStr">
        <is>
          <t>100201</t>
        </is>
      </c>
      <c r="B370" s="8" t="inlineStr">
        <is>
          <t>圆钢</t>
        </is>
      </c>
      <c r="C370" s="8" t="inlineStr">
        <is>
          <t>601323300</t>
        </is>
      </c>
      <c r="D370" s="8" t="inlineStr">
        <is>
          <t>高速工具圆钢|圆钢|6542|Φ40|空</t>
        </is>
      </c>
      <c r="E370" s="8" t="inlineStr">
        <is>
          <t xml:space="preserve">物资名称 高速工具圆钢;物资简称 圆钢;牌号 6542;直径 Φ40;技术标准号 空;加工工艺 ;热处理工艺 ;特殊要求 ;规格标准号 </t>
        </is>
      </c>
      <c r="F370" s="4" t="inlineStr">
        <is>
          <t>千克</t>
        </is>
      </c>
    </row>
    <row r="371" s="21">
      <c r="A371" s="8" t="inlineStr">
        <is>
          <t>100201</t>
        </is>
      </c>
      <c r="B371" s="8" t="inlineStr">
        <is>
          <t>圆钢</t>
        </is>
      </c>
      <c r="C371" s="8" t="inlineStr">
        <is>
          <t>601323200</t>
        </is>
      </c>
      <c r="D371" s="8" t="inlineStr">
        <is>
          <t>高速工具圆钢|圆钢|W18Cr4V|Φ100|空</t>
        </is>
      </c>
      <c r="E371" s="8" t="inlineStr">
        <is>
          <t xml:space="preserve">物资名称 高速工具圆钢;物资简称 圆钢;牌号 W18Cr4V;直径 Φ100;技术标准号 空;加工工艺 ;热处理工艺 ;特殊要求 ;规格标准号 </t>
        </is>
      </c>
      <c r="F371" s="4" t="inlineStr">
        <is>
          <t>千克</t>
        </is>
      </c>
    </row>
    <row r="372" s="21">
      <c r="A372" s="8" t="inlineStr">
        <is>
          <t>100201</t>
        </is>
      </c>
      <c r="B372" s="8" t="inlineStr">
        <is>
          <t>圆钢</t>
        </is>
      </c>
      <c r="C372" s="8" t="inlineStr">
        <is>
          <t>601323100</t>
        </is>
      </c>
      <c r="D372" s="8" t="inlineStr">
        <is>
          <t>合金工具圆钢|圆钢|3Cr2W8V|Φ60|空</t>
        </is>
      </c>
      <c r="E372" s="8" t="inlineStr">
        <is>
          <t xml:space="preserve">物资名称 合金工具圆钢;物资简称 圆钢;牌号 3Cr2W8V;直径 Φ60;技术标准号 空;加工工艺 ;热处理工艺 ;特殊要求 ;规格标准号 </t>
        </is>
      </c>
      <c r="F372" s="4" t="inlineStr">
        <is>
          <t>千克</t>
        </is>
      </c>
    </row>
    <row r="373" s="21">
      <c r="A373" s="8" t="inlineStr">
        <is>
          <t>100201</t>
        </is>
      </c>
      <c r="B373" s="8" t="inlineStr">
        <is>
          <t>圆钢</t>
        </is>
      </c>
      <c r="C373" s="8" t="inlineStr">
        <is>
          <t>601323000</t>
        </is>
      </c>
      <c r="D373" s="8" t="inlineStr">
        <is>
          <t>合金工具圆钢|圆钢|3Cr2W8V|Φ70|空</t>
        </is>
      </c>
      <c r="E373" s="8" t="inlineStr">
        <is>
          <t xml:space="preserve">物资名称 合金工具圆钢;物资简称 圆钢;牌号 3Cr2W8V;直径 Φ70;技术标准号 空;加工工艺 ;热处理工艺 ;特殊要求 ;规格标准号 </t>
        </is>
      </c>
      <c r="F373" s="4" t="inlineStr">
        <is>
          <t>千克</t>
        </is>
      </c>
    </row>
    <row r="374" s="21">
      <c r="A374" s="8" t="inlineStr">
        <is>
          <t>100201</t>
        </is>
      </c>
      <c r="B374" s="8" t="inlineStr">
        <is>
          <t>圆钢</t>
        </is>
      </c>
      <c r="C374" s="8" t="inlineStr">
        <is>
          <t>601322900</t>
        </is>
      </c>
      <c r="D374" s="8" t="inlineStr">
        <is>
          <t>合金工具圆钢|圆钢|3Cr2W8V|Φ80|空</t>
        </is>
      </c>
      <c r="E374" s="8" t="inlineStr">
        <is>
          <t xml:space="preserve">物资名称 合金工具圆钢;物资简称 圆钢;牌号 3Cr2W8V;直径 Φ80;技术标准号 空;加工工艺 ;热处理工艺 ;特殊要求 ;规格标准号 </t>
        </is>
      </c>
      <c r="F374" s="4" t="inlineStr">
        <is>
          <t>千克</t>
        </is>
      </c>
    </row>
    <row r="375" s="21">
      <c r="A375" s="8" t="inlineStr">
        <is>
          <t>100201</t>
        </is>
      </c>
      <c r="B375" s="8" t="inlineStr">
        <is>
          <t>圆钢</t>
        </is>
      </c>
      <c r="C375" s="8" t="inlineStr">
        <is>
          <t>601322800</t>
        </is>
      </c>
      <c r="D375" s="8" t="inlineStr">
        <is>
          <t>合金工具圆钢|圆钢|Cr12MoV|Φ30|空</t>
        </is>
      </c>
      <c r="E375" s="8" t="inlineStr">
        <is>
          <t xml:space="preserve">物资名称 合金工具圆钢;物资简称 圆钢;牌号 Cr12MoV;直径 Φ30;技术标准号 空;加工工艺 ;热处理工艺 ;特殊要求 ;规格标准号 </t>
        </is>
      </c>
      <c r="F375" s="4" t="inlineStr">
        <is>
          <t>千克</t>
        </is>
      </c>
    </row>
    <row r="376" s="21">
      <c r="A376" s="8" t="inlineStr">
        <is>
          <t>100201</t>
        </is>
      </c>
      <c r="B376" s="8" t="inlineStr">
        <is>
          <t>圆钢</t>
        </is>
      </c>
      <c r="C376" s="8" t="inlineStr">
        <is>
          <t>601322700</t>
        </is>
      </c>
      <c r="D376" s="8" t="inlineStr">
        <is>
          <t>合金工具圆钢|圆钢|Cr12MoV|Φ80|空</t>
        </is>
      </c>
      <c r="E376" s="8" t="inlineStr">
        <is>
          <t xml:space="preserve">物资名称 合金工具圆钢;物资简称 圆钢;牌号 Cr12MoV;直径 Φ80;技术标准号 空;加工工艺 ;热处理工艺 ;特殊要求 ;规格标准号 </t>
        </is>
      </c>
      <c r="F376" s="4" t="inlineStr">
        <is>
          <t>千克</t>
        </is>
      </c>
    </row>
    <row r="377" s="21">
      <c r="A377" s="8" t="inlineStr">
        <is>
          <t>100201</t>
        </is>
      </c>
      <c r="B377" s="8" t="inlineStr">
        <is>
          <t>圆钢</t>
        </is>
      </c>
      <c r="C377" s="8" t="inlineStr">
        <is>
          <t>601322600</t>
        </is>
      </c>
      <c r="D377" s="8" t="inlineStr">
        <is>
          <t>合金工具圆钢|圆钢|CrMn|Φ20|空</t>
        </is>
      </c>
      <c r="E377" s="8" t="inlineStr">
        <is>
          <t xml:space="preserve">物资名称 合金工具圆钢;物资简称 圆钢;牌号 CrMn;直径 Φ20;技术标准号 空;加工工艺 ;热处理工艺 ;特殊要求 ;规格标准号 </t>
        </is>
      </c>
      <c r="F377" s="4" t="inlineStr">
        <is>
          <t>千克</t>
        </is>
      </c>
    </row>
    <row r="378" s="21">
      <c r="A378" s="8" t="inlineStr">
        <is>
          <t>100201</t>
        </is>
      </c>
      <c r="B378" s="8" t="inlineStr">
        <is>
          <t>圆钢</t>
        </is>
      </c>
      <c r="C378" s="8" t="inlineStr">
        <is>
          <t>601322500</t>
        </is>
      </c>
      <c r="D378" s="8" t="inlineStr">
        <is>
          <t>合金工具圆钢|圆钢|CrWMn|Φ120|空</t>
        </is>
      </c>
      <c r="E378" s="8" t="inlineStr">
        <is>
          <t xml:space="preserve">物资名称 合金工具圆钢;物资简称 圆钢;牌号 CrWMn;直径 Φ120;技术标准号 空;加工工艺 ;热处理工艺 ;特殊要求 ;规格标准号 </t>
        </is>
      </c>
      <c r="F378" s="4" t="inlineStr">
        <is>
          <t>千克</t>
        </is>
      </c>
    </row>
    <row r="379" s="21">
      <c r="A379" s="8" t="inlineStr">
        <is>
          <t>100201</t>
        </is>
      </c>
      <c r="B379" s="8" t="inlineStr">
        <is>
          <t>圆钢</t>
        </is>
      </c>
      <c r="C379" s="8" t="inlineStr">
        <is>
          <t>601322400</t>
        </is>
      </c>
      <c r="D379" s="8" t="inlineStr">
        <is>
          <t>合金结构圆钢|圆钢|12CrNi3A|Φ25|GB/T 3077</t>
        </is>
      </c>
      <c r="E379" s="8" t="inlineStr">
        <is>
          <t xml:space="preserve">物资名称 合金结构圆钢;物资简称 圆钢;牌号 12CrNi3A;直径 Φ25;技术标准号 GB/T 3077;加工工艺 ;热处理工艺 ;特殊要求 ;规格标准号 </t>
        </is>
      </c>
      <c r="F379" s="4" t="inlineStr">
        <is>
          <t>千克</t>
        </is>
      </c>
    </row>
    <row r="380" s="21">
      <c r="A380" s="8" t="inlineStr">
        <is>
          <t>100201</t>
        </is>
      </c>
      <c r="B380" s="8" t="inlineStr">
        <is>
          <t>圆钢</t>
        </is>
      </c>
      <c r="C380" s="8" t="inlineStr">
        <is>
          <t>601322300</t>
        </is>
      </c>
      <c r="D380" s="8" t="inlineStr">
        <is>
          <t>合金结构圆钢|圆钢|12CrNi3A|Φ28|GB/T 3077</t>
        </is>
      </c>
      <c r="E380" s="8" t="inlineStr">
        <is>
          <t xml:space="preserve">物资名称 合金结构圆钢;物资简称 圆钢;牌号 12CrNi3A;直径 Φ28;技术标准号 GB/T 3077;加工工艺 ;热处理工艺 ;特殊要求 ;规格标准号 </t>
        </is>
      </c>
      <c r="F380" s="4" t="inlineStr">
        <is>
          <t>千克</t>
        </is>
      </c>
    </row>
    <row r="381" s="21">
      <c r="A381" s="8" t="inlineStr">
        <is>
          <t>100201</t>
        </is>
      </c>
      <c r="B381" s="8" t="inlineStr">
        <is>
          <t>圆钢</t>
        </is>
      </c>
      <c r="C381" s="8" t="inlineStr">
        <is>
          <t>601322200</t>
        </is>
      </c>
      <c r="D381" s="8" t="inlineStr">
        <is>
          <t>合金结构圆钢|圆钢|12CrNi3A|Φ45|GB/T 3077|东北特殊</t>
        </is>
      </c>
      <c r="E381" s="8" t="inlineStr">
        <is>
          <t xml:space="preserve">物资名称 合金结构圆钢;物资简称 圆钢;牌号 12CrNi3A;直径 Φ45;技术标准号 GB/T 3077;加工工艺 ;热处理工艺 ;特殊要求 东北特殊;规格标准号 </t>
        </is>
      </c>
      <c r="F381" s="4" t="inlineStr">
        <is>
          <t>千克</t>
        </is>
      </c>
    </row>
    <row r="382" s="21">
      <c r="A382" s="8" t="inlineStr">
        <is>
          <t>100201</t>
        </is>
      </c>
      <c r="B382" s="8" t="inlineStr">
        <is>
          <t>圆钢</t>
        </is>
      </c>
      <c r="C382" s="8" t="inlineStr">
        <is>
          <t>601322100</t>
        </is>
      </c>
      <c r="D382" s="8" t="inlineStr">
        <is>
          <t>合金结构圆钢|圆钢|12CrNi3A|Φ55|GB/T 3077|东北特殊</t>
        </is>
      </c>
      <c r="E382" s="8" t="inlineStr">
        <is>
          <t xml:space="preserve">物资名称 合金结构圆钢;物资简称 圆钢;牌号 12CrNi3A;直径 Φ55;技术标准号 GB/T 3077;加工工艺 ;热处理工艺 ;特殊要求 东北特殊;规格标准号 </t>
        </is>
      </c>
      <c r="F382" s="4" t="inlineStr">
        <is>
          <t>千克</t>
        </is>
      </c>
    </row>
    <row r="383" s="21">
      <c r="A383" s="8" t="inlineStr">
        <is>
          <t>100201</t>
        </is>
      </c>
      <c r="B383" s="8" t="inlineStr">
        <is>
          <t>圆钢</t>
        </is>
      </c>
      <c r="C383" s="8" t="inlineStr">
        <is>
          <t>601322000</t>
        </is>
      </c>
      <c r="D383" s="8" t="inlineStr">
        <is>
          <t>合金结构圆钢|圆钢|12CrNi3A|Φ85|GB/T 3077|东北特殊</t>
        </is>
      </c>
      <c r="E383" s="8" t="inlineStr">
        <is>
          <t xml:space="preserve">物资名称 合金结构圆钢;物资简称 圆钢;牌号 12CrNi3A;直径 Φ85;技术标准号 GB/T 3077;加工工艺 ;热处理工艺 ;特殊要求 东北特殊;规格标准号 </t>
        </is>
      </c>
      <c r="F383" s="4" t="inlineStr">
        <is>
          <t>千克</t>
        </is>
      </c>
    </row>
    <row r="384" s="21">
      <c r="A384" s="8" t="inlineStr">
        <is>
          <t>100201</t>
        </is>
      </c>
      <c r="B384" s="8" t="inlineStr">
        <is>
          <t>圆钢</t>
        </is>
      </c>
      <c r="C384" s="8" t="inlineStr">
        <is>
          <t>601321900</t>
        </is>
      </c>
      <c r="D384" s="8" t="inlineStr">
        <is>
          <t>合金结构圆钢|圆钢|30CrMnSi|Φ8|GB/T 3077</t>
        </is>
      </c>
      <c r="E384" s="8" t="inlineStr">
        <is>
          <t xml:space="preserve">物资名称 合金结构圆钢;物资简称 圆钢;牌号 30CrMnSi;直径 Φ8;技术标准号 GB/T 3077;加工工艺 ;热处理工艺 ;特殊要求 ;规格标准号 </t>
        </is>
      </c>
      <c r="F384" s="4" t="inlineStr">
        <is>
          <t>千克</t>
        </is>
      </c>
    </row>
    <row r="385" s="21">
      <c r="A385" s="8" t="inlineStr">
        <is>
          <t>100201</t>
        </is>
      </c>
      <c r="B385" s="8" t="inlineStr">
        <is>
          <t>圆钢</t>
        </is>
      </c>
      <c r="C385" s="8" t="inlineStr">
        <is>
          <t>601321800</t>
        </is>
      </c>
      <c r="D385" s="8" t="inlineStr">
        <is>
          <t>合金结构圆钢|圆钢|30CrMnSiA|Φ10|GB/T 3077</t>
        </is>
      </c>
      <c r="E385" s="8" t="inlineStr">
        <is>
          <t xml:space="preserve">物资名称 合金结构圆钢;物资简称 圆钢;牌号 30CrMnSiA;直径 Φ10;技术标准号 GB/T 3077;加工工艺 ;热处理工艺 ;特殊要求 ;规格标准号 </t>
        </is>
      </c>
      <c r="F385" s="4" t="inlineStr">
        <is>
          <t>千克</t>
        </is>
      </c>
    </row>
    <row r="386" s="21">
      <c r="A386" s="8" t="inlineStr">
        <is>
          <t>100201</t>
        </is>
      </c>
      <c r="B386" s="8" t="inlineStr">
        <is>
          <t>圆钢</t>
        </is>
      </c>
      <c r="C386" s="8" t="inlineStr">
        <is>
          <t>601321700</t>
        </is>
      </c>
      <c r="D386" s="8" t="inlineStr">
        <is>
          <t>合金结构圆钢|圆钢|30CrMnSiA|Φ12|GB/T 3077</t>
        </is>
      </c>
      <c r="E386" s="8" t="inlineStr">
        <is>
          <t xml:space="preserve">物资名称 合金结构圆钢;物资简称 圆钢;牌号 30CrMnSiA;直径 Φ12;技术标准号 GB/T 3077;加工工艺 ;热处理工艺 ;特殊要求 ;规格标准号 </t>
        </is>
      </c>
      <c r="F386" s="4" t="inlineStr">
        <is>
          <t>千克</t>
        </is>
      </c>
    </row>
    <row r="387" s="21">
      <c r="A387" s="8" t="inlineStr">
        <is>
          <t>100201</t>
        </is>
      </c>
      <c r="B387" s="8" t="inlineStr">
        <is>
          <t>圆钢</t>
        </is>
      </c>
      <c r="C387" s="8" t="inlineStr">
        <is>
          <t>601321600</t>
        </is>
      </c>
      <c r="D387" s="8" t="inlineStr">
        <is>
          <t>合金结构圆钢|圆钢|30CrMnSiA|Φ16|GB/T 3077</t>
        </is>
      </c>
      <c r="E387" s="8" t="inlineStr">
        <is>
          <t xml:space="preserve">物资名称 合金结构圆钢;物资简称 圆钢;牌号 30CrMnSiA;直径 Φ16;技术标准号 GB/T 3077;加工工艺 ;热处理工艺 ;特殊要求 ;规格标准号 </t>
        </is>
      </c>
      <c r="F387" s="4" t="inlineStr">
        <is>
          <t>千克</t>
        </is>
      </c>
    </row>
    <row r="388" s="21">
      <c r="A388" s="8" t="inlineStr">
        <is>
          <t>100201</t>
        </is>
      </c>
      <c r="B388" s="8" t="inlineStr">
        <is>
          <t>圆钢</t>
        </is>
      </c>
      <c r="C388" s="8" t="inlineStr">
        <is>
          <t>601321500</t>
        </is>
      </c>
      <c r="D388" s="8" t="inlineStr">
        <is>
          <t>合金结构圆钢|圆钢|30CrMnSiA|Φ210|GB/T 3077</t>
        </is>
      </c>
      <c r="E388" s="8" t="inlineStr">
        <is>
          <t xml:space="preserve">物资名称 合金结构圆钢;物资简称 圆钢;牌号 30CrMnSiA;直径 Φ210;技术标准号 GB/T 3077;加工工艺 ;热处理工艺 ;特殊要求 ;规格标准号 </t>
        </is>
      </c>
      <c r="F388" s="4" t="inlineStr">
        <is>
          <t>千克</t>
        </is>
      </c>
    </row>
    <row r="389" s="21">
      <c r="A389" s="8" t="inlineStr">
        <is>
          <t>100201</t>
        </is>
      </c>
      <c r="B389" s="8" t="inlineStr">
        <is>
          <t>圆钢</t>
        </is>
      </c>
      <c r="C389" s="8" t="inlineStr">
        <is>
          <t>601321400</t>
        </is>
      </c>
      <c r="D389" s="8" t="inlineStr">
        <is>
          <t>合金结构圆钢|圆钢|35CrMoA|Φ45|GB/T 3077</t>
        </is>
      </c>
      <c r="E389" s="8" t="inlineStr">
        <is>
          <t xml:space="preserve">物资名称 合金结构圆钢;物资简称 圆钢;牌号 35CrMoA;直径 Φ45;技术标准号 GB/T 3077;加工工艺 ;热处理工艺 ;特殊要求 ;规格标准号 </t>
        </is>
      </c>
      <c r="F389" s="4" t="inlineStr">
        <is>
          <t>千克</t>
        </is>
      </c>
    </row>
    <row r="390" s="21">
      <c r="A390" s="8" t="inlineStr">
        <is>
          <t>100201</t>
        </is>
      </c>
      <c r="B390" s="8" t="inlineStr">
        <is>
          <t>圆钢</t>
        </is>
      </c>
      <c r="C390" s="8" t="inlineStr">
        <is>
          <t>601321300</t>
        </is>
      </c>
      <c r="D390" s="8" t="inlineStr">
        <is>
          <t>航空用优质结构钢棒|圆钢|38CrMoAlA|Φ120|GJB 1951-1994</t>
        </is>
      </c>
      <c r="E390" s="8" t="inlineStr">
        <is>
          <t xml:space="preserve">物资名称 航空用优质结构钢棒;物资简称 圆钢;牌号 38CrMoAlA;直径 Φ120;技术标准号 GJB 1951-1994;加工工艺 ;热处理工艺 ;特殊要求 ;规格标准号 </t>
        </is>
      </c>
      <c r="F390" s="4" t="inlineStr">
        <is>
          <t>千克</t>
        </is>
      </c>
    </row>
    <row r="391" s="21">
      <c r="A391" s="8" t="inlineStr">
        <is>
          <t>100201</t>
        </is>
      </c>
      <c r="B391" s="8" t="inlineStr">
        <is>
          <t>圆钢</t>
        </is>
      </c>
      <c r="C391" s="8" t="inlineStr">
        <is>
          <t>601321200</t>
        </is>
      </c>
      <c r="D391" s="8" t="inlineStr">
        <is>
          <t>航空用优质结构钢棒|圆钢|38CrMoALA|Φ30|空</t>
        </is>
      </c>
      <c r="E391" s="8" t="inlineStr">
        <is>
          <t xml:space="preserve">物资名称 航空用优质结构钢棒;物资简称 圆钢;牌号 38CrMoALA;直径 Φ30;技术标准号 空;加工工艺 ;热处理工艺 ;特殊要求 ;规格标准号 </t>
        </is>
      </c>
      <c r="F391" s="4" t="inlineStr">
        <is>
          <t>千克</t>
        </is>
      </c>
    </row>
    <row r="392" s="21">
      <c r="A392" s="8" t="inlineStr">
        <is>
          <t>100201</t>
        </is>
      </c>
      <c r="B392" s="8" t="inlineStr">
        <is>
          <t>圆钢</t>
        </is>
      </c>
      <c r="C392" s="8" t="inlineStr">
        <is>
          <t>601321100</t>
        </is>
      </c>
      <c r="D392" s="8" t="inlineStr">
        <is>
          <t>合金结构圆钢|圆钢|40Cr|Φ16|GB/T 3077</t>
        </is>
      </c>
      <c r="E392" s="8" t="inlineStr">
        <is>
          <t xml:space="preserve">物资名称 合金结构圆钢;物资简称 圆钢;牌号 40Cr;直径 Φ16;技术标准号 GB/T 3077;加工工艺 ;热处理工艺 ;特殊要求 ;规格标准号 </t>
        </is>
      </c>
      <c r="F392" s="4" t="inlineStr">
        <is>
          <t>千克</t>
        </is>
      </c>
    </row>
    <row r="393" s="21">
      <c r="A393" s="8" t="inlineStr">
        <is>
          <t>100201</t>
        </is>
      </c>
      <c r="B393" s="8" t="inlineStr">
        <is>
          <t>圆钢</t>
        </is>
      </c>
      <c r="C393" s="8" t="inlineStr">
        <is>
          <t>601321000</t>
        </is>
      </c>
      <c r="D393" s="8" t="inlineStr">
        <is>
          <t>合金结构圆钢|圆钢|40Cr|Φ55|GB/T 3077</t>
        </is>
      </c>
      <c r="E393" s="8" t="inlineStr">
        <is>
          <t xml:space="preserve">物资名称 合金结构圆钢;物资简称 圆钢;牌号 40Cr;直径 Φ55;技术标准号 GB/T 3077;加工工艺 ;热处理工艺 ;特殊要求 ;规格标准号 </t>
        </is>
      </c>
      <c r="F393" s="4" t="inlineStr">
        <is>
          <t>千克</t>
        </is>
      </c>
    </row>
    <row r="394" s="21">
      <c r="A394" s="8" t="inlineStr">
        <is>
          <t>100201</t>
        </is>
      </c>
      <c r="B394" s="8" t="inlineStr">
        <is>
          <t>圆钢</t>
        </is>
      </c>
      <c r="C394" s="8" t="inlineStr">
        <is>
          <t>601320900</t>
        </is>
      </c>
      <c r="D394" s="8" t="inlineStr">
        <is>
          <t>合金结构圆钢|圆钢|40Cr|Φ6|GB/T 3077|大连钢丝</t>
        </is>
      </c>
      <c r="E394" s="8" t="inlineStr">
        <is>
          <t xml:space="preserve">物资名称 合金结构圆钢;物资简称 圆钢;牌号 40Cr;直径 Φ6;技术标准号 GB/T 3077;加工工艺 ;热处理工艺 ;特殊要求 大连钢丝;规格标准号 </t>
        </is>
      </c>
      <c r="F394" s="4" t="inlineStr">
        <is>
          <t>千克</t>
        </is>
      </c>
    </row>
    <row r="395" s="21">
      <c r="A395" s="8" t="inlineStr">
        <is>
          <t>100201</t>
        </is>
      </c>
      <c r="B395" s="8" t="inlineStr">
        <is>
          <t>圆钢</t>
        </is>
      </c>
      <c r="C395" s="8" t="inlineStr">
        <is>
          <t>601320800</t>
        </is>
      </c>
      <c r="D395" s="8" t="inlineStr">
        <is>
          <t>合金结构圆钢|圆钢|40Cr|Φ70|GB/T 3077</t>
        </is>
      </c>
      <c r="E395" s="8" t="inlineStr">
        <is>
          <t xml:space="preserve">物资名称 合金结构圆钢;物资简称 圆钢;牌号 40Cr;直径 Φ70;技术标准号 GB/T 3077;加工工艺 ;热处理工艺 ;特殊要求 ;规格标准号 </t>
        </is>
      </c>
      <c r="F395" s="4" t="inlineStr">
        <is>
          <t>千克</t>
        </is>
      </c>
    </row>
    <row r="396" s="21">
      <c r="A396" s="8" t="inlineStr">
        <is>
          <t>100201</t>
        </is>
      </c>
      <c r="B396" s="8" t="inlineStr">
        <is>
          <t>圆钢</t>
        </is>
      </c>
      <c r="C396" s="8" t="inlineStr">
        <is>
          <t>601320700</t>
        </is>
      </c>
      <c r="D396" s="8" t="inlineStr">
        <is>
          <t>合金结构圆钢|圆钢|40Cr|Φ8|GB/T 3077|大连钢丝</t>
        </is>
      </c>
      <c r="E396" s="8" t="inlineStr">
        <is>
          <t xml:space="preserve">物资名称 合金结构圆钢;物资简称 圆钢;牌号 40Cr;直径 Φ8;技术标准号 GB/T 3077;加工工艺 ;热处理工艺 ;特殊要求 大连钢丝;规格标准号 </t>
        </is>
      </c>
      <c r="F396" s="4" t="inlineStr">
        <is>
          <t>千克</t>
        </is>
      </c>
    </row>
    <row r="397" s="21">
      <c r="A397" s="8" t="inlineStr">
        <is>
          <t>100201</t>
        </is>
      </c>
      <c r="B397" s="8" t="inlineStr">
        <is>
          <t>圆钢</t>
        </is>
      </c>
      <c r="C397" s="8" t="inlineStr">
        <is>
          <t>601320600</t>
        </is>
      </c>
      <c r="D397" s="8" t="inlineStr">
        <is>
          <t>合金结构圆钢|圆钢|40CrNiMoA|Φ45|GB/T 3077</t>
        </is>
      </c>
      <c r="E397" s="8" t="inlineStr">
        <is>
          <t xml:space="preserve">物资名称 合金结构圆钢;物资简称 圆钢;牌号 40CrNiMoA;直径 Φ45;技术标准号 GB/T 3077;加工工艺 ;热处理工艺 ;特殊要求 ;规格标准号 </t>
        </is>
      </c>
      <c r="F397" s="4" t="inlineStr">
        <is>
          <t>千克</t>
        </is>
      </c>
    </row>
    <row r="398" s="21">
      <c r="A398" s="8" t="inlineStr">
        <is>
          <t>100201</t>
        </is>
      </c>
      <c r="B398" s="8" t="inlineStr">
        <is>
          <t>圆钢</t>
        </is>
      </c>
      <c r="C398" s="8" t="inlineStr">
        <is>
          <t>601320500</t>
        </is>
      </c>
      <c r="D398" s="8" t="inlineStr">
        <is>
          <t>合金结构圆钢|圆钢|45CrNiMoVA|Φ190|GB/T 3077</t>
        </is>
      </c>
      <c r="E398" s="8" t="inlineStr">
        <is>
          <t xml:space="preserve">物资名称 合金结构圆钢;物资简称 圆钢;牌号 45CrNiMoVA;直径 Φ190;技术标准号 GB/T 3077;加工工艺 ;热处理工艺 ;特殊要求 ;规格标准号 </t>
        </is>
      </c>
      <c r="F398" s="4" t="inlineStr">
        <is>
          <t>千克</t>
        </is>
      </c>
    </row>
    <row r="399" s="21">
      <c r="A399" s="8" t="inlineStr">
        <is>
          <t>100201</t>
        </is>
      </c>
      <c r="B399" s="8" t="inlineStr">
        <is>
          <t>圆钢</t>
        </is>
      </c>
      <c r="C399" s="8" t="inlineStr">
        <is>
          <t>601320400</t>
        </is>
      </c>
      <c r="D399" s="8" t="inlineStr">
        <is>
          <t>合金结构圆钢|圆钢|45CrNiMoVA|Φ200|GB/T 3077</t>
        </is>
      </c>
      <c r="E399" s="8" t="inlineStr">
        <is>
          <t xml:space="preserve">物资名称 合金结构圆钢;物资简称 圆钢;牌号 45CrNiMoVA;直径 Φ200;技术标准号 GB/T 3077;加工工艺 ;热处理工艺 ;特殊要求 ;规格标准号 </t>
        </is>
      </c>
      <c r="F399" s="4" t="inlineStr">
        <is>
          <t>千克</t>
        </is>
      </c>
    </row>
    <row r="400" s="21">
      <c r="A400" s="8" t="inlineStr">
        <is>
          <t>100201</t>
        </is>
      </c>
      <c r="B400" s="8" t="inlineStr">
        <is>
          <t>圆钢</t>
        </is>
      </c>
      <c r="C400" s="8" t="inlineStr">
        <is>
          <t>601320300</t>
        </is>
      </c>
      <c r="D400" s="8" t="inlineStr">
        <is>
          <t>合金结构圆钢|圆钢|45CrNiMoVA|Φ220|GB/T 3077</t>
        </is>
      </c>
      <c r="E400" s="8" t="inlineStr">
        <is>
          <t xml:space="preserve">物资名称 合金结构圆钢;物资简称 圆钢;牌号 45CrNiMoVA;直径 Φ220;技术标准号 GB/T 3077;加工工艺 ;热处理工艺 ;特殊要求 ;规格标准号 </t>
        </is>
      </c>
      <c r="F400" s="4" t="inlineStr">
        <is>
          <t>千克</t>
        </is>
      </c>
    </row>
    <row r="401" s="21">
      <c r="A401" s="8" t="inlineStr">
        <is>
          <t>100201</t>
        </is>
      </c>
      <c r="B401" s="8" t="inlineStr">
        <is>
          <t>圆钢</t>
        </is>
      </c>
      <c r="C401" s="8" t="inlineStr">
        <is>
          <t>601320200</t>
        </is>
      </c>
      <c r="D401" s="8" t="inlineStr">
        <is>
          <t>合金结构圆钢|圆钢|45CrNiMoVA|Φ70|GB/T 3077</t>
        </is>
      </c>
      <c r="E401" s="8" t="inlineStr">
        <is>
          <t xml:space="preserve">物资名称 合金结构圆钢;物资简称 圆钢;牌号 45CrNiMoVA;直径 Φ70;技术标准号 GB/T 3077;加工工艺 ;热处理工艺 ;特殊要求 ;规格标准号 </t>
        </is>
      </c>
      <c r="F401" s="4" t="inlineStr">
        <is>
          <t>千克</t>
        </is>
      </c>
    </row>
    <row r="402" s="21">
      <c r="A402" s="8" t="inlineStr">
        <is>
          <t>100201</t>
        </is>
      </c>
      <c r="B402" s="8" t="inlineStr">
        <is>
          <t>圆钢</t>
        </is>
      </c>
      <c r="C402" s="8" t="inlineStr">
        <is>
          <t>601320100</t>
        </is>
      </c>
      <c r="D402" s="8" t="inlineStr">
        <is>
          <t>合金结构圆钢|圆钢|45CrNiMoVA|Φ80|GB/T 3077</t>
        </is>
      </c>
      <c r="E402" s="8" t="inlineStr">
        <is>
          <t xml:space="preserve">物资名称 合金结构圆钢;物资简称 圆钢;牌号 45CrNiMoVA;直径 Φ80;技术标准号 GB/T 3077;加工工艺 ;热处理工艺 ;特殊要求 ;规格标准号 </t>
        </is>
      </c>
      <c r="F402" s="4" t="inlineStr">
        <is>
          <t>千克</t>
        </is>
      </c>
    </row>
    <row r="403" s="21">
      <c r="A403" s="8" t="inlineStr">
        <is>
          <t>100201</t>
        </is>
      </c>
      <c r="B403" s="8" t="inlineStr">
        <is>
          <t>圆钢</t>
        </is>
      </c>
      <c r="C403" s="8" t="inlineStr">
        <is>
          <t>601320000</t>
        </is>
      </c>
      <c r="D403" s="8" t="inlineStr">
        <is>
          <t>合金结构圆钢|圆钢|锻制45CrNiMoVA|ΦT=28、30、40、50、86|空</t>
        </is>
      </c>
      <c r="E403" s="8" t="inlineStr">
        <is>
          <t xml:space="preserve">物资名称 合金结构圆钢;物资简称 圆钢;牌号 锻制45CrNiMoVA;直径 ΦT=28、30、40、50、86;技术标准号 空;加工工艺 ;热处理工艺 ;特殊要求 ;规格标准号 </t>
        </is>
      </c>
      <c r="F403" s="4" t="inlineStr">
        <is>
          <t>千克</t>
        </is>
      </c>
    </row>
    <row r="404" s="21">
      <c r="A404" s="8" t="inlineStr">
        <is>
          <t>100201</t>
        </is>
      </c>
      <c r="B404" s="8" t="inlineStr">
        <is>
          <t>圆钢</t>
        </is>
      </c>
      <c r="C404" s="8" t="inlineStr">
        <is>
          <t>601319900</t>
        </is>
      </c>
      <c r="D404" s="8" t="inlineStr">
        <is>
          <t>冷拉优质碳素结构圆钢|圆钢|20|Φ8|空|冷拉</t>
        </is>
      </c>
      <c r="E404" s="8" t="inlineStr">
        <is>
          <t xml:space="preserve">物资名称 冷拉优质碳素结构圆钢;物资简称 圆钢;牌号 20;直径 Φ8;技术标准号 空;加工工艺 冷拉;热处理工艺 ;特殊要求 ;规格标准号 </t>
        </is>
      </c>
      <c r="F404" s="4" t="inlineStr">
        <is>
          <t>千克</t>
        </is>
      </c>
    </row>
    <row r="405" s="21">
      <c r="A405" s="8" t="inlineStr">
        <is>
          <t>100201</t>
        </is>
      </c>
      <c r="B405" s="8" t="inlineStr">
        <is>
          <t>圆钢</t>
        </is>
      </c>
      <c r="C405" s="8" t="inlineStr">
        <is>
          <t>601319800</t>
        </is>
      </c>
      <c r="D405" s="8" t="inlineStr">
        <is>
          <t>碳素工具圆钢|圆钢|T10|Φ28|空</t>
        </is>
      </c>
      <c r="E405" s="8" t="inlineStr">
        <is>
          <t xml:space="preserve">物资名称 碳素工具圆钢;物资简称 圆钢;牌号 T10;直径 Φ28;技术标准号 空;加工工艺 ;热处理工艺 ;特殊要求 ;规格标准号 </t>
        </is>
      </c>
      <c r="F405" s="4" t="inlineStr">
        <is>
          <t>千克</t>
        </is>
      </c>
    </row>
    <row r="406" s="21">
      <c r="A406" s="8" t="inlineStr">
        <is>
          <t>100201</t>
        </is>
      </c>
      <c r="B406" s="8" t="inlineStr">
        <is>
          <t>圆钢</t>
        </is>
      </c>
      <c r="C406" s="8" t="inlineStr">
        <is>
          <t>601319700</t>
        </is>
      </c>
      <c r="D406" s="8" t="inlineStr">
        <is>
          <t>碳素工具圆钢|圆钢|T10|Φ45|空</t>
        </is>
      </c>
      <c r="E406" s="8" t="inlineStr">
        <is>
          <t xml:space="preserve">物资名称 碳素工具圆钢;物资简称 圆钢;牌号 T10;直径 Φ45;技术标准号 空;加工工艺 ;热处理工艺 ;特殊要求 ;规格标准号 </t>
        </is>
      </c>
      <c r="F406" s="4" t="inlineStr">
        <is>
          <t>千克</t>
        </is>
      </c>
    </row>
    <row r="407" s="21">
      <c r="A407" s="8" t="inlineStr">
        <is>
          <t>100201</t>
        </is>
      </c>
      <c r="B407" s="8" t="inlineStr">
        <is>
          <t>圆钢</t>
        </is>
      </c>
      <c r="C407" s="8" t="inlineStr">
        <is>
          <t>601319600</t>
        </is>
      </c>
      <c r="D407" s="8" t="inlineStr">
        <is>
          <t>碳素工具圆钢|圆钢|T10|Φ50|空</t>
        </is>
      </c>
      <c r="E407" s="8" t="inlineStr">
        <is>
          <t xml:space="preserve">物资名称 碳素工具圆钢;物资简称 圆钢;牌号 T10;直径 Φ50;技术标准号 空;加工工艺 ;热处理工艺 ;特殊要求 ;规格标准号 </t>
        </is>
      </c>
      <c r="F407" s="4" t="inlineStr">
        <is>
          <t>千克</t>
        </is>
      </c>
    </row>
    <row r="408" s="21">
      <c r="A408" s="8" t="inlineStr">
        <is>
          <t>100201</t>
        </is>
      </c>
      <c r="B408" s="8" t="inlineStr">
        <is>
          <t>圆钢</t>
        </is>
      </c>
      <c r="C408" s="8" t="inlineStr">
        <is>
          <t>601319500</t>
        </is>
      </c>
      <c r="D408" s="8" t="inlineStr">
        <is>
          <t>碳素工具圆钢|圆钢|T10A|Φ12|空|抚顺森亚</t>
        </is>
      </c>
      <c r="E408" s="8" t="inlineStr">
        <is>
          <t xml:space="preserve">物资名称 碳素工具圆钢;物资简称 圆钢;牌号 T10A;直径 Φ12;技术标准号 空;加工工艺 ;热处理工艺 ;特殊要求 抚顺森亚;规格标准号 </t>
        </is>
      </c>
      <c r="F408" s="4" t="inlineStr">
        <is>
          <t>千克</t>
        </is>
      </c>
    </row>
    <row r="409" s="21">
      <c r="A409" s="8" t="inlineStr">
        <is>
          <t>100201</t>
        </is>
      </c>
      <c r="B409" s="8" t="inlineStr">
        <is>
          <t>圆钢</t>
        </is>
      </c>
      <c r="C409" s="8" t="inlineStr">
        <is>
          <t>601319400</t>
        </is>
      </c>
      <c r="D409" s="8" t="inlineStr">
        <is>
          <t>碳素工具圆钢|圆钢|T10A|Φ130|空</t>
        </is>
      </c>
      <c r="E409" s="8" t="inlineStr">
        <is>
          <t xml:space="preserve">物资名称 碳素工具圆钢;物资简称 圆钢;牌号 T10A;直径 Φ130;技术标准号 空;加工工艺 ;热处理工艺 ;特殊要求 ;规格标准号 </t>
        </is>
      </c>
      <c r="F409" s="4" t="inlineStr">
        <is>
          <t>千克</t>
        </is>
      </c>
    </row>
    <row r="410" s="21">
      <c r="A410" s="8" t="inlineStr">
        <is>
          <t>100201</t>
        </is>
      </c>
      <c r="B410" s="8" t="inlineStr">
        <is>
          <t>圆钢</t>
        </is>
      </c>
      <c r="C410" s="8" t="inlineStr">
        <is>
          <t>601319300</t>
        </is>
      </c>
      <c r="D410" s="8" t="inlineStr">
        <is>
          <t>碳素工具圆钢|圆钢|T10A|Φ14|空|抚顺森亚</t>
        </is>
      </c>
      <c r="E410" s="8" t="inlineStr">
        <is>
          <t xml:space="preserve">物资名称 碳素工具圆钢;物资简称 圆钢;牌号 T10A;直径 Φ14;技术标准号 空;加工工艺 ;热处理工艺 ;特殊要求 抚顺森亚;规格标准号 </t>
        </is>
      </c>
      <c r="F410" s="4" t="inlineStr">
        <is>
          <t>千克</t>
        </is>
      </c>
    </row>
    <row r="411" s="21">
      <c r="A411" s="8" t="inlineStr">
        <is>
          <t>100201</t>
        </is>
      </c>
      <c r="B411" s="8" t="inlineStr">
        <is>
          <t>圆钢</t>
        </is>
      </c>
      <c r="C411" s="8" t="inlineStr">
        <is>
          <t>601319200</t>
        </is>
      </c>
      <c r="D411" s="8" t="inlineStr">
        <is>
          <t>碳素工具圆钢|圆钢|T10A|Φ18|空|抚顺森亚</t>
        </is>
      </c>
      <c r="E411" s="8" t="inlineStr">
        <is>
          <t xml:space="preserve">物资名称 碳素工具圆钢;物资简称 圆钢;牌号 T10A;直径 Φ18;技术标准号 空;加工工艺 ;热处理工艺 ;特殊要求 抚顺森亚;规格标准号 </t>
        </is>
      </c>
      <c r="F411" s="4" t="inlineStr">
        <is>
          <t>千克</t>
        </is>
      </c>
    </row>
    <row r="412" s="21">
      <c r="A412" s="8" t="inlineStr">
        <is>
          <t>100201</t>
        </is>
      </c>
      <c r="B412" s="8" t="inlineStr">
        <is>
          <t>圆钢</t>
        </is>
      </c>
      <c r="C412" s="8" t="inlineStr">
        <is>
          <t>601319100</t>
        </is>
      </c>
      <c r="D412" s="8" t="inlineStr">
        <is>
          <t>碳素工具圆钢|圆钢|T10A|Φ20|空|抚顺森亚</t>
        </is>
      </c>
      <c r="E412" s="8" t="inlineStr">
        <is>
          <t xml:space="preserve">物资名称 碳素工具圆钢;物资简称 圆钢;牌号 T10A;直径 Φ20;技术标准号 空;加工工艺 ;热处理工艺 ;特殊要求 抚顺森亚;规格标准号 </t>
        </is>
      </c>
      <c r="F412" s="4" t="inlineStr">
        <is>
          <t>千克</t>
        </is>
      </c>
    </row>
    <row r="413" s="21">
      <c r="A413" s="8" t="inlineStr">
        <is>
          <t>100201</t>
        </is>
      </c>
      <c r="B413" s="8" t="inlineStr">
        <is>
          <t>圆钢</t>
        </is>
      </c>
      <c r="C413" s="8" t="inlineStr">
        <is>
          <t>601319000</t>
        </is>
      </c>
      <c r="D413" s="8" t="inlineStr">
        <is>
          <t>碳素工具圆钢|圆钢|T10A|Φ25|空|抚顺森亚</t>
        </is>
      </c>
      <c r="E413" s="8" t="inlineStr">
        <is>
          <t xml:space="preserve">物资名称 碳素工具圆钢;物资简称 圆钢;牌号 T10A;直径 Φ25;技术标准号 空;加工工艺 ;热处理工艺 ;特殊要求 抚顺森亚;规格标准号 </t>
        </is>
      </c>
      <c r="F413" s="4" t="inlineStr">
        <is>
          <t>千克</t>
        </is>
      </c>
    </row>
    <row r="414" s="21">
      <c r="A414" s="8" t="inlineStr">
        <is>
          <t>100201</t>
        </is>
      </c>
      <c r="B414" s="8" t="inlineStr">
        <is>
          <t>圆钢</t>
        </is>
      </c>
      <c r="C414" s="8" t="inlineStr">
        <is>
          <t>601318900</t>
        </is>
      </c>
      <c r="D414" s="8" t="inlineStr">
        <is>
          <t>碳素工具圆钢|圆钢|T10A|Φ32|空|抚顺森亚</t>
        </is>
      </c>
      <c r="E414" s="8" t="inlineStr">
        <is>
          <t xml:space="preserve">物资名称 碳素工具圆钢;物资简称 圆钢;牌号 T10A;直径 Φ32;技术标准号 空;加工工艺 ;热处理工艺 ;特殊要求 抚顺森亚;规格标准号 </t>
        </is>
      </c>
      <c r="F414" s="4" t="inlineStr">
        <is>
          <t>千克</t>
        </is>
      </c>
    </row>
    <row r="415" s="21">
      <c r="A415" s="8" t="inlineStr">
        <is>
          <t>100201</t>
        </is>
      </c>
      <c r="B415" s="8" t="inlineStr">
        <is>
          <t>圆钢</t>
        </is>
      </c>
      <c r="C415" s="8" t="inlineStr">
        <is>
          <t>601318800</t>
        </is>
      </c>
      <c r="D415" s="8" t="inlineStr">
        <is>
          <t>碳素工具圆钢|圆钢|T10A|Φ35|空</t>
        </is>
      </c>
      <c r="E415" s="8" t="inlineStr">
        <is>
          <t xml:space="preserve">物资名称 碳素工具圆钢;物资简称 圆钢;牌号 T10A;直径 Φ35;技术标准号 空;加工工艺 ;热处理工艺 ;特殊要求 ;规格标准号 </t>
        </is>
      </c>
      <c r="F415" s="4" t="inlineStr">
        <is>
          <t>千克</t>
        </is>
      </c>
    </row>
    <row r="416" s="21">
      <c r="A416" s="8" t="inlineStr">
        <is>
          <t>100201</t>
        </is>
      </c>
      <c r="B416" s="8" t="inlineStr">
        <is>
          <t>圆钢</t>
        </is>
      </c>
      <c r="C416" s="8" t="inlineStr">
        <is>
          <t>601318700</t>
        </is>
      </c>
      <c r="D416" s="8" t="inlineStr">
        <is>
          <t>碳素工具圆钢|圆钢|T10A|Φ45|空</t>
        </is>
      </c>
      <c r="E416" s="8" t="inlineStr">
        <is>
          <t xml:space="preserve">物资名称 碳素工具圆钢;物资简称 圆钢;牌号 T10A;直径 Φ45;技术标准号 空;加工工艺 ;热处理工艺 ;特殊要求 ;规格标准号 </t>
        </is>
      </c>
      <c r="F416" s="4" t="inlineStr">
        <is>
          <t>千克</t>
        </is>
      </c>
    </row>
    <row r="417" s="21">
      <c r="A417" s="8" t="inlineStr">
        <is>
          <t>100201</t>
        </is>
      </c>
      <c r="B417" s="8" t="inlineStr">
        <is>
          <t>圆钢</t>
        </is>
      </c>
      <c r="C417" s="8" t="inlineStr">
        <is>
          <t>601318600</t>
        </is>
      </c>
      <c r="D417" s="8" t="inlineStr">
        <is>
          <t>碳素工具圆钢|圆钢|T10A|Φ60|空</t>
        </is>
      </c>
      <c r="E417" s="8" t="inlineStr">
        <is>
          <t xml:space="preserve">物资名称 碳素工具圆钢;物资简称 圆钢;牌号 T10A;直径 Φ60;技术标准号 空;加工工艺 ;热处理工艺 ;特殊要求 ;规格标准号 </t>
        </is>
      </c>
      <c r="F417" s="4" t="inlineStr">
        <is>
          <t>千克</t>
        </is>
      </c>
    </row>
    <row r="418" s="21">
      <c r="A418" s="8" t="inlineStr">
        <is>
          <t>100201</t>
        </is>
      </c>
      <c r="B418" s="8" t="inlineStr">
        <is>
          <t>圆钢</t>
        </is>
      </c>
      <c r="C418" s="8" t="inlineStr">
        <is>
          <t>601318500</t>
        </is>
      </c>
      <c r="D418" s="8" t="inlineStr">
        <is>
          <t>碳素工具圆钢|圆钢|T10A|Φ70|空|抚顺森亚</t>
        </is>
      </c>
      <c r="E418" s="8" t="inlineStr">
        <is>
          <t xml:space="preserve">物资名称 碳素工具圆钢;物资简称 圆钢;牌号 T10A;直径 Φ70;技术标准号 空;加工工艺 ;热处理工艺 ;特殊要求 抚顺森亚;规格标准号 </t>
        </is>
      </c>
      <c r="F418" s="4" t="inlineStr">
        <is>
          <t>千克</t>
        </is>
      </c>
    </row>
    <row r="419" s="21">
      <c r="A419" s="8" t="inlineStr">
        <is>
          <t>100201</t>
        </is>
      </c>
      <c r="B419" s="8" t="inlineStr">
        <is>
          <t>圆钢</t>
        </is>
      </c>
      <c r="C419" s="8" t="inlineStr">
        <is>
          <t>601318400</t>
        </is>
      </c>
      <c r="D419" s="8" t="inlineStr">
        <is>
          <t>碳素工具圆钢|圆钢|T10A|Φ90|空</t>
        </is>
      </c>
      <c r="E419" s="8" t="inlineStr">
        <is>
          <t xml:space="preserve">物资名称 碳素工具圆钢;物资简称 圆钢;牌号 T10A;直径 Φ90;技术标准号 空;加工工艺 ;热处理工艺 ;特殊要求 ;规格标准号 </t>
        </is>
      </c>
      <c r="F419" s="4" t="inlineStr">
        <is>
          <t>千克</t>
        </is>
      </c>
    </row>
    <row r="420" s="21">
      <c r="A420" s="8" t="inlineStr">
        <is>
          <t>100201</t>
        </is>
      </c>
      <c r="B420" s="8" t="inlineStr">
        <is>
          <t>圆钢</t>
        </is>
      </c>
      <c r="C420" s="8" t="inlineStr">
        <is>
          <t>601318300</t>
        </is>
      </c>
      <c r="D420" s="8" t="inlineStr">
        <is>
          <t>优质碳素结构圆钢|圆钢|20|Φ14|空</t>
        </is>
      </c>
      <c r="E420" s="8" t="inlineStr">
        <is>
          <t xml:space="preserve">物资名称 优质碳素结构圆钢;物资简称 圆钢;牌号 20;直径 Φ14;技术标准号 空;加工工艺 ;热处理工艺 ;特殊要求 ;规格标准号 </t>
        </is>
      </c>
      <c r="F420" s="4" t="inlineStr">
        <is>
          <t>千克</t>
        </is>
      </c>
    </row>
    <row r="421" s="21">
      <c r="A421" s="8" t="inlineStr">
        <is>
          <t>100201</t>
        </is>
      </c>
      <c r="B421" s="8" t="inlineStr">
        <is>
          <t>圆钢</t>
        </is>
      </c>
      <c r="C421" s="8" t="inlineStr">
        <is>
          <t>601318200</t>
        </is>
      </c>
      <c r="D421" s="8" t="inlineStr">
        <is>
          <t>优质碳素结构圆钢|圆钢|20|Φ40|空</t>
        </is>
      </c>
      <c r="E421" s="8" t="inlineStr">
        <is>
          <t xml:space="preserve">物资名称 优质碳素结构圆钢;物资简称 圆钢;牌号 20;直径 Φ40;技术标准号 空;加工工艺 ;热处理工艺 ;特殊要求 ;规格标准号 </t>
        </is>
      </c>
      <c r="F421" s="4" t="inlineStr">
        <is>
          <t>千克</t>
        </is>
      </c>
    </row>
    <row r="422" s="21">
      <c r="A422" s="8" t="inlineStr">
        <is>
          <t>100201</t>
        </is>
      </c>
      <c r="B422" s="8" t="inlineStr">
        <is>
          <t>圆钢</t>
        </is>
      </c>
      <c r="C422" s="8" t="inlineStr">
        <is>
          <t>601318100</t>
        </is>
      </c>
      <c r="D422" s="8" t="inlineStr">
        <is>
          <t>优质碳素结构圆钢|圆钢|45|Φ130|空</t>
        </is>
      </c>
      <c r="E422" s="8" t="inlineStr">
        <is>
          <t xml:space="preserve">物资名称 优质碳素结构圆钢;物资简称 圆钢;牌号 45;直径 Φ130;技术标准号 空;加工工艺 ;热处理工艺 ;特殊要求 ;规格标准号 </t>
        </is>
      </c>
      <c r="F422" s="4" t="inlineStr">
        <is>
          <t>千克</t>
        </is>
      </c>
    </row>
    <row r="423" s="21">
      <c r="A423" s="8" t="inlineStr">
        <is>
          <t>100201</t>
        </is>
      </c>
      <c r="B423" s="8" t="inlineStr">
        <is>
          <t>圆钢</t>
        </is>
      </c>
      <c r="C423" s="8" t="inlineStr">
        <is>
          <t>601318000</t>
        </is>
      </c>
      <c r="D423" s="8" t="inlineStr">
        <is>
          <t>优质碳素结构圆钢|圆钢|45|Φ14|空|东北特殊</t>
        </is>
      </c>
      <c r="E423" s="8" t="inlineStr">
        <is>
          <t xml:space="preserve">物资名称 优质碳素结构圆钢;物资简称 圆钢;牌号 45;直径 Φ14;技术标准号 空;加工工艺 ;热处理工艺 ;特殊要求 东北特殊;规格标准号 </t>
        </is>
      </c>
      <c r="F423" s="4" t="inlineStr">
        <is>
          <t>千克</t>
        </is>
      </c>
    </row>
    <row r="424" s="21">
      <c r="A424" s="8" t="inlineStr">
        <is>
          <t>100201</t>
        </is>
      </c>
      <c r="B424" s="8" t="inlineStr">
        <is>
          <t>圆钢</t>
        </is>
      </c>
      <c r="C424" s="8" t="inlineStr">
        <is>
          <t>601317900</t>
        </is>
      </c>
      <c r="D424" s="8" t="inlineStr">
        <is>
          <t>优质碳素结构圆钢|圆钢|45|Φ140|空</t>
        </is>
      </c>
      <c r="E424" s="8" t="inlineStr">
        <is>
          <t xml:space="preserve">物资名称 优质碳素结构圆钢;物资简称 圆钢;牌号 45;直径 Φ140;技术标准号 空;加工工艺 ;热处理工艺 ;特殊要求 ;规格标准号 </t>
        </is>
      </c>
      <c r="F424" s="4" t="inlineStr">
        <is>
          <t>千克</t>
        </is>
      </c>
    </row>
    <row r="425" s="21">
      <c r="A425" s="8" t="inlineStr">
        <is>
          <t>100201</t>
        </is>
      </c>
      <c r="B425" s="8" t="inlineStr">
        <is>
          <t>圆钢</t>
        </is>
      </c>
      <c r="C425" s="8" t="inlineStr">
        <is>
          <t>601317800</t>
        </is>
      </c>
      <c r="D425" s="8" t="inlineStr">
        <is>
          <t>优质碳素结构圆钢|圆钢|45|Φ180|空</t>
        </is>
      </c>
      <c r="E425" s="8" t="inlineStr">
        <is>
          <t xml:space="preserve">物资名称 优质碳素结构圆钢;物资简称 圆钢;牌号 45;直径 Φ180;技术标准号 空;加工工艺 ;热处理工艺 ;特殊要求 ;规格标准号 </t>
        </is>
      </c>
      <c r="F425" s="4" t="inlineStr">
        <is>
          <t>千克</t>
        </is>
      </c>
    </row>
    <row r="426" s="21">
      <c r="A426" s="8" t="inlineStr">
        <is>
          <t>100201</t>
        </is>
      </c>
      <c r="B426" s="8" t="inlineStr">
        <is>
          <t>圆钢</t>
        </is>
      </c>
      <c r="C426" s="8" t="inlineStr">
        <is>
          <t>601317700</t>
        </is>
      </c>
      <c r="D426" s="8" t="inlineStr">
        <is>
          <t>优质碳素结构圆钢|圆钢|45|Φ230|空</t>
        </is>
      </c>
      <c r="E426" s="8" t="inlineStr">
        <is>
          <t xml:space="preserve">物资名称 优质碳素结构圆钢;物资简称 圆钢;牌号 45;直径 Φ230;技术标准号 空;加工工艺 ;热处理工艺 ;特殊要求 ;规格标准号 </t>
        </is>
      </c>
      <c r="F426" s="4" t="inlineStr">
        <is>
          <t>千克</t>
        </is>
      </c>
    </row>
    <row r="427" s="21">
      <c r="A427" s="8" t="inlineStr">
        <is>
          <t>100201</t>
        </is>
      </c>
      <c r="B427" s="8" t="inlineStr">
        <is>
          <t>圆钢</t>
        </is>
      </c>
      <c r="C427" s="8" t="inlineStr">
        <is>
          <t>601317600</t>
        </is>
      </c>
      <c r="D427" s="8" t="inlineStr">
        <is>
          <t>优质碳素结构圆钢|圆钢|45|Φ270|空</t>
        </is>
      </c>
      <c r="E427" s="8" t="inlineStr">
        <is>
          <t xml:space="preserve">物资名称 优质碳素结构圆钢;物资简称 圆钢;牌号 45;直径 Φ270;技术标准号 空;加工工艺 ;热处理工艺 ;特殊要求 ;规格标准号 </t>
        </is>
      </c>
      <c r="F427" s="4" t="inlineStr">
        <is>
          <t>千克</t>
        </is>
      </c>
    </row>
    <row r="428" s="21">
      <c r="A428" s="8" t="inlineStr">
        <is>
          <t>100201</t>
        </is>
      </c>
      <c r="B428" s="8" t="inlineStr">
        <is>
          <t>圆钢</t>
        </is>
      </c>
      <c r="C428" s="8" t="inlineStr">
        <is>
          <t>601317500</t>
        </is>
      </c>
      <c r="D428" s="8" t="inlineStr">
        <is>
          <t>优质碳素结构圆钢|圆钢|45|Φ300|空</t>
        </is>
      </c>
      <c r="E428" s="8" t="inlineStr">
        <is>
          <t xml:space="preserve">物资名称 优质碳素结构圆钢;物资简称 圆钢;牌号 45;直径 Φ300;技术标准号 空;加工工艺 ;热处理工艺 ;特殊要求 ;规格标准号 </t>
        </is>
      </c>
      <c r="F428" s="4" t="inlineStr">
        <is>
          <t>千克</t>
        </is>
      </c>
    </row>
    <row r="429" s="21">
      <c r="A429" s="8" t="inlineStr">
        <is>
          <t>100201</t>
        </is>
      </c>
      <c r="B429" s="8" t="inlineStr">
        <is>
          <t>圆钢</t>
        </is>
      </c>
      <c r="C429" s="8" t="inlineStr">
        <is>
          <t>601317400</t>
        </is>
      </c>
      <c r="D429" s="8" t="inlineStr">
        <is>
          <t>优质碳素结构圆钢|圆钢|45|Φ36|空</t>
        </is>
      </c>
      <c r="E429" s="8" t="inlineStr">
        <is>
          <t xml:space="preserve">物资名称 优质碳素结构圆钢;物资简称 圆钢;牌号 45;直径 Φ36;技术标准号 空;加工工艺 ;热处理工艺 ;特殊要求 ;规格标准号 </t>
        </is>
      </c>
      <c r="F429" s="4" t="inlineStr">
        <is>
          <t>千克</t>
        </is>
      </c>
    </row>
    <row r="430" s="21">
      <c r="A430" s="8" t="inlineStr">
        <is>
          <t>100201</t>
        </is>
      </c>
      <c r="B430" s="8" t="inlineStr">
        <is>
          <t>圆钢</t>
        </is>
      </c>
      <c r="C430" s="8" t="inlineStr">
        <is>
          <t>601317300</t>
        </is>
      </c>
      <c r="D430" s="8" t="inlineStr">
        <is>
          <t>优质碳素结构圆钢|圆钢|45|Φ60|空</t>
        </is>
      </c>
      <c r="E430" s="8" t="inlineStr">
        <is>
          <t xml:space="preserve">物资名称 优质碳素结构圆钢;物资简称 圆钢;牌号 45;直径 Φ60;技术标准号 空;加工工艺 ;热处理工艺 ;特殊要求 ;规格标准号 </t>
        </is>
      </c>
      <c r="F430" s="4" t="inlineStr">
        <is>
          <t>千克</t>
        </is>
      </c>
    </row>
    <row r="431" s="21">
      <c r="A431" s="8" t="inlineStr">
        <is>
          <t>100201</t>
        </is>
      </c>
      <c r="B431" s="8" t="inlineStr">
        <is>
          <t>圆钢</t>
        </is>
      </c>
      <c r="C431" s="8" t="inlineStr">
        <is>
          <t>601317200</t>
        </is>
      </c>
      <c r="D431" s="8" t="inlineStr">
        <is>
          <t>优质碳素结构圆钢|圆钢|45|Φ85|空</t>
        </is>
      </c>
      <c r="E431" s="8" t="inlineStr">
        <is>
          <t xml:space="preserve">物资名称 优质碳素结构圆钢;物资简称 圆钢;牌号 45;直径 Φ85;技术标准号 空;加工工艺 ;热处理工艺 ;特殊要求 ;规格标准号 </t>
        </is>
      </c>
      <c r="F431" s="4" t="inlineStr">
        <is>
          <t>千克</t>
        </is>
      </c>
    </row>
    <row r="432" s="21">
      <c r="A432" s="8" t="inlineStr">
        <is>
          <t>100201</t>
        </is>
      </c>
      <c r="B432" s="8" t="inlineStr">
        <is>
          <t>圆钢</t>
        </is>
      </c>
      <c r="C432" s="8" t="inlineStr">
        <is>
          <t>601317100</t>
        </is>
      </c>
      <c r="D432" s="8" t="inlineStr">
        <is>
          <t>优质碳素结构圆钢|圆钢|CK22|Φ70|空</t>
        </is>
      </c>
      <c r="E432" s="8" t="inlineStr">
        <is>
          <t xml:space="preserve">物资名称 优质碳素结构圆钢;物资简称 圆钢;牌号 CK22;直径 Φ70;技术标准号 空;加工工艺 ;热处理工艺 ;特殊要求 ;规格标准号 </t>
        </is>
      </c>
      <c r="F432" s="4" t="inlineStr">
        <is>
          <t>千克</t>
        </is>
      </c>
    </row>
    <row r="433" s="21">
      <c r="A433" s="8" t="inlineStr">
        <is>
          <t>100201</t>
        </is>
      </c>
      <c r="B433" s="8" t="inlineStr">
        <is>
          <t>圆钢</t>
        </is>
      </c>
      <c r="C433" s="8" t="inlineStr">
        <is>
          <t>601317000</t>
        </is>
      </c>
      <c r="D433" s="8" t="inlineStr">
        <is>
          <t>优质碳素结构圆钢|圆钢|20|Φ20|空</t>
        </is>
      </c>
      <c r="E433" s="8" t="inlineStr">
        <is>
          <t xml:space="preserve">物资名称 优质碳素结构圆钢;物资简称 圆钢;牌号 20;直径 Φ20;技术标准号 空;加工工艺 ;热处理工艺 ;特殊要求 ;规格标准号 </t>
        </is>
      </c>
      <c r="F433" s="4" t="inlineStr">
        <is>
          <t>千克</t>
        </is>
      </c>
    </row>
    <row r="434" s="21">
      <c r="A434" s="8" t="inlineStr">
        <is>
          <t>100201</t>
        </is>
      </c>
      <c r="B434" s="8" t="inlineStr">
        <is>
          <t>圆钢</t>
        </is>
      </c>
      <c r="C434" s="8" t="inlineStr">
        <is>
          <t>601316900</t>
        </is>
      </c>
      <c r="D434" s="8" t="inlineStr">
        <is>
          <t>优质碳素结构圆钢|圆钢|20|Φ26|空</t>
        </is>
      </c>
      <c r="E434" s="8" t="inlineStr">
        <is>
          <t xml:space="preserve">物资名称 优质碳素结构圆钢;物资简称 圆钢;牌号 20;直径 Φ26;技术标准号 空;加工工艺 ;热处理工艺 ;特殊要求 ;规格标准号 </t>
        </is>
      </c>
      <c r="F434" s="4" t="inlineStr">
        <is>
          <t>千克</t>
        </is>
      </c>
    </row>
    <row r="435" s="21">
      <c r="A435" s="8" t="inlineStr">
        <is>
          <t>100201</t>
        </is>
      </c>
      <c r="B435" s="8" t="inlineStr">
        <is>
          <t>圆钢</t>
        </is>
      </c>
      <c r="C435" s="8" t="inlineStr">
        <is>
          <t>601316800</t>
        </is>
      </c>
      <c r="D435" s="8" t="inlineStr">
        <is>
          <t>优质碳素结构圆钢|圆钢|20|Φ8|空|天鸟</t>
        </is>
      </c>
      <c r="E435" s="8" t="inlineStr">
        <is>
          <t xml:space="preserve">物资名称 优质碳素结构圆钢;物资简称 圆钢;牌号 20;直径 Φ8;技术标准号 空;加工工艺 ;热处理工艺 ;特殊要求 天鸟;规格标准号 </t>
        </is>
      </c>
      <c r="F435" s="4" t="inlineStr">
        <is>
          <t>千克</t>
        </is>
      </c>
    </row>
    <row r="436" s="21">
      <c r="A436" s="8" t="inlineStr">
        <is>
          <t>100201</t>
        </is>
      </c>
      <c r="B436" s="8" t="inlineStr">
        <is>
          <t>圆钢</t>
        </is>
      </c>
      <c r="C436" s="8" t="inlineStr">
        <is>
          <t>601316700</t>
        </is>
      </c>
      <c r="D436" s="8" t="inlineStr">
        <is>
          <t>优质碳素结构圆钢|圆钢|45|Φ27|空</t>
        </is>
      </c>
      <c r="E436" s="8" t="inlineStr">
        <is>
          <t xml:space="preserve">物资名称 优质碳素结构圆钢;物资简称 圆钢;牌号 45;直径 Φ27;技术标准号 空;加工工艺 ;热处理工艺 ;特殊要求 ;规格标准号 </t>
        </is>
      </c>
      <c r="F436" s="4" t="inlineStr">
        <is>
          <t>千克</t>
        </is>
      </c>
    </row>
    <row r="437" s="21">
      <c r="A437" s="8" t="inlineStr">
        <is>
          <t>100201</t>
        </is>
      </c>
      <c r="B437" s="8" t="inlineStr">
        <is>
          <t>圆钢</t>
        </is>
      </c>
      <c r="C437" s="8" t="inlineStr">
        <is>
          <t>601316600</t>
        </is>
      </c>
      <c r="D437" s="8" t="inlineStr">
        <is>
          <t>优质碳素结构圆钢|圆钢|45|Φ8|空</t>
        </is>
      </c>
      <c r="E437" s="8" t="inlineStr">
        <is>
          <t xml:space="preserve">物资名称 优质碳素结构圆钢;物资简称 圆钢;牌号 45;直径 Φ8;技术标准号 空;加工工艺 ;热处理工艺 ;特殊要求 ;规格标准号 </t>
        </is>
      </c>
      <c r="F437" s="4" t="inlineStr">
        <is>
          <t>千克</t>
        </is>
      </c>
    </row>
    <row r="438" s="21">
      <c r="A438" s="8" t="inlineStr">
        <is>
          <t>100201</t>
        </is>
      </c>
      <c r="B438" s="8" t="inlineStr">
        <is>
          <t>圆钢</t>
        </is>
      </c>
      <c r="C438" s="8" t="inlineStr">
        <is>
          <t>601316500</t>
        </is>
      </c>
      <c r="D438" s="8" t="inlineStr">
        <is>
          <t>易切削结构圆钢|圆钢|Y12|Φ25|空</t>
        </is>
      </c>
      <c r="E438" s="8" t="inlineStr">
        <is>
          <t xml:space="preserve">物资名称 易切削结构圆钢;物资简称 圆钢;牌号 Y12;直径 Φ25;技术标准号 空;加工工艺 ;热处理工艺 ;特殊要求 ;规格标准号 </t>
        </is>
      </c>
      <c r="F438" s="4" t="inlineStr">
        <is>
          <t>千克</t>
        </is>
      </c>
    </row>
    <row r="439" s="21">
      <c r="A439" s="8" t="inlineStr">
        <is>
          <t>100201</t>
        </is>
      </c>
      <c r="B439" s="8" t="inlineStr">
        <is>
          <t>圆钢</t>
        </is>
      </c>
      <c r="C439" s="8" t="inlineStr">
        <is>
          <t>601316400</t>
        </is>
      </c>
      <c r="D439" s="8" t="inlineStr">
        <is>
          <t>易切削结构圆钢|圆钢|Y12|Φ8|空</t>
        </is>
      </c>
      <c r="E439" s="8" t="inlineStr">
        <is>
          <t xml:space="preserve">物资名称 易切削结构圆钢;物资简称 圆钢;牌号 Y12;直径 Φ8;技术标准号 空;加工工艺 ;热处理工艺 ;特殊要求 ;规格标准号 </t>
        </is>
      </c>
      <c r="F439" s="4" t="inlineStr">
        <is>
          <t>千克</t>
        </is>
      </c>
    </row>
    <row r="440" s="21">
      <c r="A440" s="8" t="inlineStr">
        <is>
          <t>100201</t>
        </is>
      </c>
      <c r="B440" s="8" t="inlineStr">
        <is>
          <t>圆钢</t>
        </is>
      </c>
      <c r="C440" s="8" t="inlineStr">
        <is>
          <t>601316300</t>
        </is>
      </c>
      <c r="D440" s="8" t="inlineStr">
        <is>
          <t>高碳铬轴承圆钢|圆钢|GCr15|Φ12|空</t>
        </is>
      </c>
      <c r="E440" s="8" t="inlineStr">
        <is>
          <t xml:space="preserve">物资名称 高碳铬轴承圆钢;物资简称 圆钢;牌号 GCr15;直径 Φ12;技术标准号 空;加工工艺 ;热处理工艺 ;特殊要求 ;规格标准号 </t>
        </is>
      </c>
      <c r="F440" s="4" t="inlineStr">
        <is>
          <t>千克</t>
        </is>
      </c>
    </row>
    <row r="441" s="21">
      <c r="A441" s="8" t="inlineStr">
        <is>
          <t>100201</t>
        </is>
      </c>
      <c r="B441" s="8" t="inlineStr">
        <is>
          <t>圆钢</t>
        </is>
      </c>
      <c r="C441" s="8" t="inlineStr">
        <is>
          <t>601316200</t>
        </is>
      </c>
      <c r="D441" s="8" t="inlineStr">
        <is>
          <t>高碳铬轴承圆钢|圆钢|GCr15|Φ90|空</t>
        </is>
      </c>
      <c r="E441" s="8" t="inlineStr">
        <is>
          <t xml:space="preserve">物资名称 高碳铬轴承圆钢;物资简称 圆钢;牌号 GCr15;直径 Φ90;技术标准号 空;加工工艺 ;热处理工艺 ;特殊要求 ;规格标准号 </t>
        </is>
      </c>
      <c r="F441" s="4" t="inlineStr">
        <is>
          <t>千克</t>
        </is>
      </c>
    </row>
    <row r="442" s="21">
      <c r="A442" s="8" t="inlineStr">
        <is>
          <t>100201</t>
        </is>
      </c>
      <c r="B442" s="8" t="inlineStr">
        <is>
          <t>圆钢</t>
        </is>
      </c>
      <c r="C442" s="8" t="inlineStr">
        <is>
          <t>601316100</t>
        </is>
      </c>
      <c r="D442" s="8" t="inlineStr">
        <is>
          <t>优质碳素结构圆钢|圆钢|45|Φ300|GB/T 699</t>
        </is>
      </c>
      <c r="E442" s="8" t="inlineStr">
        <is>
          <t xml:space="preserve">物资名称 优质碳素结构圆钢;物资简称 圆钢;牌号 45;直径 Φ300;技术标准号 GB/T 699;加工工艺 ;热处理工艺 ;特殊要求 ;规格标准号 </t>
        </is>
      </c>
      <c r="F442" s="4" t="inlineStr">
        <is>
          <t>千克</t>
        </is>
      </c>
    </row>
    <row r="443" s="21">
      <c r="A443" s="8" t="inlineStr">
        <is>
          <t>100201</t>
        </is>
      </c>
      <c r="B443" s="8" t="inlineStr">
        <is>
          <t>圆钢</t>
        </is>
      </c>
      <c r="C443" s="8" t="inlineStr">
        <is>
          <t>601316000</t>
        </is>
      </c>
      <c r="D443" s="8" t="inlineStr">
        <is>
          <t>优质碳素结构圆钢|圆钢|45|Φ8|GB/T 699</t>
        </is>
      </c>
      <c r="E443" s="8" t="inlineStr">
        <is>
          <t xml:space="preserve">物资名称 优质碳素结构圆钢;物资简称 圆钢;牌号 45;直径 Φ8;技术标准号 GB/T 699;加工工艺 ;热处理工艺 ;特殊要求 ;规格标准号 </t>
        </is>
      </c>
      <c r="F443" s="4" t="inlineStr">
        <is>
          <t>千克</t>
        </is>
      </c>
    </row>
    <row r="444" s="21">
      <c r="A444" s="8" t="inlineStr">
        <is>
          <t>100201</t>
        </is>
      </c>
      <c r="B444" s="8" t="inlineStr">
        <is>
          <t>圆钢</t>
        </is>
      </c>
      <c r="C444" s="8" t="inlineStr">
        <is>
          <t>601315900</t>
        </is>
      </c>
      <c r="D444" s="8" t="inlineStr">
        <is>
          <t>锻制航空航天用超高强度圆钢|圆钢|45CrNiMo1VA|Φ195|GJB 5063-2001|锻制|GB/T 908-2008</t>
        </is>
      </c>
      <c r="E444" s="8" t="inlineStr">
        <is>
          <t>物资名称 锻制航空航天用超高强度圆钢;物资简称 圆钢;牌号 45CrNiMo1VA;直径 Φ195;技术标准号 GJB 5063-2001;加工工艺 锻制;热处理工艺 ;特殊要求 ;规格标准号 GB/T 908-2008</t>
        </is>
      </c>
      <c r="F444" s="4" t="inlineStr">
        <is>
          <t>千克</t>
        </is>
      </c>
    </row>
    <row r="445" s="21">
      <c r="A445" s="8" t="inlineStr">
        <is>
          <t>100201</t>
        </is>
      </c>
      <c r="B445" s="8" t="inlineStr">
        <is>
          <t>圆钢</t>
        </is>
      </c>
      <c r="C445" s="8" t="inlineStr">
        <is>
          <t>601018500</t>
        </is>
      </c>
      <c r="D445" s="8" t="inlineStr">
        <is>
          <t>热轧优质碳素结构圆钢|圆钢|45|Φ300|GB/T 699-1999|热轧|GB/T 702-2008</t>
        </is>
      </c>
      <c r="E445" s="8" t="inlineStr">
        <is>
          <t>物资名称 热轧优质碳素结构圆钢;物资简称 圆钢;牌号 45;直径 Φ300;技术标准号 GB/T 699-1999;加工工艺 热轧;热处理工艺 ;特殊要求 ;规格标准号 GB/T 702-2008</t>
        </is>
      </c>
      <c r="F445" s="4" t="inlineStr">
        <is>
          <t>千克</t>
        </is>
      </c>
    </row>
    <row r="446" s="21">
      <c r="A446" s="8" t="inlineStr">
        <is>
          <t>100201</t>
        </is>
      </c>
      <c r="B446" s="8" t="inlineStr">
        <is>
          <t>圆钢</t>
        </is>
      </c>
      <c r="C446" s="8" t="inlineStr">
        <is>
          <t>601009600</t>
        </is>
      </c>
      <c r="D446" s="8" t="inlineStr">
        <is>
          <t>热轧合金结构圆钢|圆钢|40Cr|Φ85|GB/T 3077-1999|热轧|GB/T 702-2008</t>
        </is>
      </c>
      <c r="E446" s="8" t="inlineStr">
        <is>
          <t>物资名称 热轧合金结构圆钢;物资简称 圆钢;牌号 40Cr;直径 Φ85;技术标准号 GB/T 3077-1999;加工工艺 热轧;热处理工艺 ;特殊要求 ;规格标准号 GB/T 702-2008</t>
        </is>
      </c>
      <c r="F446" s="4" t="inlineStr">
        <is>
          <t>千克</t>
        </is>
      </c>
    </row>
    <row r="447" s="21">
      <c r="A447" s="8" t="inlineStr">
        <is>
          <t>100201</t>
        </is>
      </c>
      <c r="B447" s="8" t="inlineStr">
        <is>
          <t>圆钢</t>
        </is>
      </c>
      <c r="C447" s="8" t="inlineStr">
        <is>
          <t>601003600</t>
        </is>
      </c>
      <c r="D447" s="8" t="inlineStr">
        <is>
          <t>热轧航空用优质结构圆钢|圆钢|38CrMoAlA|Φ25|GJB 1951-1994|热轧|GB/T 702-2008</t>
        </is>
      </c>
      <c r="E447" s="8" t="inlineStr">
        <is>
          <t>物资名称 热轧航空用优质结构圆钢;物资简称 圆钢;牌号 38CrMoAlA;直径 Φ25;技术标准号 GJB 1951-1994;加工工艺 热轧;热处理工艺 ;特殊要求 ;规格标准号 GB/T 702-2008</t>
        </is>
      </c>
      <c r="F447" s="4" t="inlineStr">
        <is>
          <t>千克</t>
        </is>
      </c>
    </row>
    <row r="448" s="21">
      <c r="A448" s="8" t="inlineStr">
        <is>
          <t>100201</t>
        </is>
      </c>
      <c r="B448" s="8" t="inlineStr">
        <is>
          <t>圆钢</t>
        </is>
      </c>
      <c r="C448" s="8" t="inlineStr">
        <is>
          <t>600999500</t>
        </is>
      </c>
      <c r="D448" s="8" t="inlineStr">
        <is>
          <t>热轧不锈圆钢|圆钢|2Cr13|Φ85|GB 1220-1992|热轧|GB/T 702-2008</t>
        </is>
      </c>
      <c r="E448" s="8" t="inlineStr">
        <is>
          <t>物资名称 热轧不锈圆钢;物资简称 圆钢;牌号 2Cr13;直径 Φ85;技术标准号 GB 1220-1992;加工工艺 热轧;热处理工艺 ;特殊要求 ;规格标准号 GB/T 702-2008</t>
        </is>
      </c>
      <c r="F448" s="4" t="inlineStr">
        <is>
          <t>千克</t>
        </is>
      </c>
    </row>
    <row r="449" s="21">
      <c r="A449" s="8" t="inlineStr">
        <is>
          <t>100201</t>
        </is>
      </c>
      <c r="B449" s="8" t="inlineStr">
        <is>
          <t>圆钢</t>
        </is>
      </c>
      <c r="C449" s="8" t="inlineStr">
        <is>
          <t>600999400</t>
        </is>
      </c>
      <c r="D449" s="8" t="inlineStr">
        <is>
          <t>热轧航空用不锈圆钢|圆钢|1Cr18Ni9Ti|Φ82|GJB 2294-1995|热轧|GB/T 702-2008</t>
        </is>
      </c>
      <c r="E449" s="8" t="inlineStr">
        <is>
          <t>物资名称 热轧航空用不锈圆钢;物资简称 圆钢;牌号 1Cr18Ni9Ti;直径 Φ82;技术标准号 GJB 2294-1995;加工工艺 热轧;热处理工艺 ;特殊要求 ;规格标准号 GB/T 702-2008</t>
        </is>
      </c>
      <c r="F449" s="4" t="inlineStr">
        <is>
          <t>千克</t>
        </is>
      </c>
    </row>
    <row r="450" s="21">
      <c r="A450" s="8" t="inlineStr">
        <is>
          <t>100201</t>
        </is>
      </c>
      <c r="B450" s="8" t="inlineStr">
        <is>
          <t>圆钢</t>
        </is>
      </c>
      <c r="C450" s="8" t="inlineStr">
        <is>
          <t>600996500</t>
        </is>
      </c>
      <c r="D450" s="8" t="inlineStr">
        <is>
          <t>热轧航空用优质结构圆钢|圆钢|38CrMoAlA|Φ118|GJB 1951-1994|热轧|GB/T 702-2008</t>
        </is>
      </c>
      <c r="E450" s="8" t="inlineStr">
        <is>
          <t>物资名称 热轧航空用优质结构圆钢;物资简称 圆钢;牌号 38CrMoAlA;直径 Φ118;技术标准号 GJB 1951-1994;加工工艺 热轧;热处理工艺 ;特殊要求 ;规格标准号 GB/T 702-2008</t>
        </is>
      </c>
      <c r="F450" s="4" t="inlineStr">
        <is>
          <t>千克</t>
        </is>
      </c>
    </row>
    <row r="451" s="21">
      <c r="A451" s="8" t="inlineStr">
        <is>
          <t>100201</t>
        </is>
      </c>
      <c r="B451" s="8" t="inlineStr">
        <is>
          <t>圆钢</t>
        </is>
      </c>
      <c r="C451" s="8" t="inlineStr">
        <is>
          <t>600996400</t>
        </is>
      </c>
      <c r="D451" s="8" t="inlineStr">
        <is>
          <t>热轧合金结构圆钢|圆钢|40Cr|Φ52|GB/T 3077-1999|热轧|GB/T 702-2008</t>
        </is>
      </c>
      <c r="E451" s="8" t="inlineStr">
        <is>
          <t>物资名称 热轧合金结构圆钢;物资简称 圆钢;牌号 40Cr;直径 Φ52;技术标准号 GB/T 3077-1999;加工工艺 热轧;热处理工艺 ;特殊要求 ;规格标准号 GB/T 702-2008</t>
        </is>
      </c>
      <c r="F451" s="4" t="inlineStr">
        <is>
          <t>千克</t>
        </is>
      </c>
    </row>
    <row r="452" s="21">
      <c r="A452" s="8" t="inlineStr">
        <is>
          <t>100201</t>
        </is>
      </c>
      <c r="B452" s="8" t="inlineStr">
        <is>
          <t>圆钢</t>
        </is>
      </c>
      <c r="C452" s="8" t="inlineStr">
        <is>
          <t>600996300</t>
        </is>
      </c>
      <c r="D452" s="8" t="inlineStr">
        <is>
          <t>热轧航空用不锈圆钢|圆钢|1Cr18Ni9Ti|Φ50|GJB 2294-1995|热轧|GB/T 702-2008</t>
        </is>
      </c>
      <c r="E452" s="8" t="inlineStr">
        <is>
          <t>物资名称 热轧航空用不锈圆钢;物资简称 圆钢;牌号 1Cr18Ni9Ti;直径 Φ50;技术标准号 GJB 2294-1995;加工工艺 热轧;热处理工艺 ;特殊要求 ;规格标准号 GB/T 702-2008</t>
        </is>
      </c>
      <c r="F452" s="4" t="inlineStr">
        <is>
          <t>千克</t>
        </is>
      </c>
    </row>
    <row r="453" s="21">
      <c r="A453" s="8" t="inlineStr">
        <is>
          <t>100201</t>
        </is>
      </c>
      <c r="B453" s="8" t="inlineStr">
        <is>
          <t>圆钢</t>
        </is>
      </c>
      <c r="C453" s="8" t="inlineStr">
        <is>
          <t>600996200</t>
        </is>
      </c>
      <c r="D453" s="8" t="inlineStr">
        <is>
          <t>热轧航空用不锈圆钢|圆钢|1Cr18Ni9Ti|Φ18|GJB 2294-1995|热轧|GB/T 702-2008</t>
        </is>
      </c>
      <c r="E453" s="8" t="inlineStr">
        <is>
          <t>物资名称 热轧航空用不锈圆钢;物资简称 圆钢;牌号 1Cr18Ni9Ti;直径 Φ18;技术标准号 GJB 2294-1995;加工工艺 热轧;热处理工艺 ;特殊要求 ;规格标准号 GB/T 702-2008</t>
        </is>
      </c>
      <c r="F453" s="4" t="inlineStr">
        <is>
          <t>千克</t>
        </is>
      </c>
    </row>
    <row r="454" s="21">
      <c r="A454" s="8" t="inlineStr">
        <is>
          <t>100201</t>
        </is>
      </c>
      <c r="B454" s="8" t="inlineStr">
        <is>
          <t>圆钢</t>
        </is>
      </c>
      <c r="C454" s="8" t="inlineStr">
        <is>
          <t>600996100</t>
        </is>
      </c>
      <c r="D454" s="8" t="inlineStr">
        <is>
          <t>热轧航空用不锈圆钢|圆钢|1Cr18Ni9Ti|Φ33|GJB 2294-1995|热轧|GB/T 702-2008</t>
        </is>
      </c>
      <c r="E454" s="8" t="inlineStr">
        <is>
          <t>物资名称 热轧航空用不锈圆钢;物资简称 圆钢;牌号 1Cr18Ni9Ti;直径 Φ33;技术标准号 GJB 2294-1995;加工工艺 热轧;热处理工艺 ;特殊要求 ;规格标准号 GB/T 702-2008</t>
        </is>
      </c>
      <c r="F454" s="4" t="inlineStr">
        <is>
          <t>千克</t>
        </is>
      </c>
    </row>
    <row r="455" s="21">
      <c r="A455" s="8" t="inlineStr">
        <is>
          <t>100201</t>
        </is>
      </c>
      <c r="B455" s="8" t="inlineStr">
        <is>
          <t>圆钢</t>
        </is>
      </c>
      <c r="C455" s="8" t="inlineStr">
        <is>
          <t>600996000</t>
        </is>
      </c>
      <c r="D455" s="8" t="inlineStr">
        <is>
          <t>热轧航空用不锈圆钢|圆钢|1Cr18Ni9Ti|Φ65|GJB 2294-1995|热轧|GB/T 702-2008</t>
        </is>
      </c>
      <c r="E455" s="8" t="inlineStr">
        <is>
          <t>物资名称 热轧航空用不锈圆钢;物资简称 圆钢;牌号 1Cr18Ni9Ti;直径 Φ65;技术标准号 GJB 2294-1995;加工工艺 热轧;热处理工艺 ;特殊要求 ;规格标准号 GB/T 702-2008</t>
        </is>
      </c>
      <c r="F455" s="4" t="inlineStr">
        <is>
          <t>千克</t>
        </is>
      </c>
    </row>
    <row r="456" s="21">
      <c r="A456" s="8" t="inlineStr">
        <is>
          <t>100201</t>
        </is>
      </c>
      <c r="B456" s="8" t="inlineStr">
        <is>
          <t>圆钢</t>
        </is>
      </c>
      <c r="C456" s="8" t="inlineStr">
        <is>
          <t>600995900</t>
        </is>
      </c>
      <c r="D456" s="8" t="inlineStr">
        <is>
          <t>热轧航空用不锈圆钢|圆钢|1Cr18Ni9Ti|Φ80|GJB 2294-1995|热轧|GB/T 702-2008</t>
        </is>
      </c>
      <c r="E456" s="8" t="inlineStr">
        <is>
          <t>物资名称 热轧航空用不锈圆钢;物资简称 圆钢;牌号 1Cr18Ni9Ti;直径 Φ80;技术标准号 GJB 2294-1995;加工工艺 热轧;热处理工艺 ;特殊要求 ;规格标准号 GB/T 702-2008</t>
        </is>
      </c>
      <c r="F456" s="4" t="inlineStr">
        <is>
          <t>千克</t>
        </is>
      </c>
    </row>
    <row r="457" s="21">
      <c r="A457" s="8" t="inlineStr">
        <is>
          <t>100201</t>
        </is>
      </c>
      <c r="B457" s="8" t="inlineStr">
        <is>
          <t>圆钢</t>
        </is>
      </c>
      <c r="C457" s="8" t="inlineStr">
        <is>
          <t>600995800</t>
        </is>
      </c>
      <c r="D457" s="8" t="inlineStr">
        <is>
          <t>热轧航空用不锈圆钢|圆钢|1Cr18Ni9Ti|Φ31|GJB 2294-1995|热轧|GB/T 702-2008</t>
        </is>
      </c>
      <c r="E457" s="8" t="inlineStr">
        <is>
          <t>物资名称 热轧航空用不锈圆钢;物资简称 圆钢;牌号 1Cr18Ni9Ti;直径 Φ31;技术标准号 GJB 2294-1995;加工工艺 热轧;热处理工艺 ;特殊要求 ;规格标准号 GB/T 702-2008</t>
        </is>
      </c>
      <c r="F457" s="4" t="inlineStr">
        <is>
          <t>千克</t>
        </is>
      </c>
    </row>
    <row r="458" s="21">
      <c r="A458" s="8" t="inlineStr">
        <is>
          <t>100201</t>
        </is>
      </c>
      <c r="B458" s="8" t="inlineStr">
        <is>
          <t>圆钢</t>
        </is>
      </c>
      <c r="C458" s="8" t="inlineStr">
        <is>
          <t>600995700</t>
        </is>
      </c>
      <c r="D458" s="8" t="inlineStr">
        <is>
          <t>热轧航空用不锈圆钢|圆钢|1Cr18Ni9Ti|Φ30|GJB 2294-1995|热轧|GB/T 702-2008</t>
        </is>
      </c>
      <c r="E458" s="8" t="inlineStr">
        <is>
          <t>物资名称 热轧航空用不锈圆钢;物资简称 圆钢;牌号 1Cr18Ni9Ti;直径 Φ30;技术标准号 GJB 2294-1995;加工工艺 热轧;热处理工艺 ;特殊要求 ;规格标准号 GB/T 702-2008</t>
        </is>
      </c>
      <c r="F458" s="4" t="inlineStr">
        <is>
          <t>千克</t>
        </is>
      </c>
    </row>
    <row r="459" s="21">
      <c r="A459" s="8" t="inlineStr">
        <is>
          <t>100201</t>
        </is>
      </c>
      <c r="B459" s="8" t="inlineStr">
        <is>
          <t>圆钢</t>
        </is>
      </c>
      <c r="C459" s="8" t="inlineStr">
        <is>
          <t>600995600</t>
        </is>
      </c>
      <c r="D459" s="8" t="inlineStr">
        <is>
          <t>热轧航空用不锈圆钢|圆钢|1Cr18Ni9Ti|Φ40|GJB 2294-1995|热轧|GB/T 702-2008</t>
        </is>
      </c>
      <c r="E459" s="8" t="inlineStr">
        <is>
          <t>物资名称 热轧航空用不锈圆钢;物资简称 圆钢;牌号 1Cr18Ni9Ti;直径 Φ40;技术标准号 GJB 2294-1995;加工工艺 热轧;热处理工艺 ;特殊要求 ;规格标准号 GB/T 702-2008</t>
        </is>
      </c>
      <c r="F459" s="4" t="inlineStr">
        <is>
          <t>千克</t>
        </is>
      </c>
    </row>
    <row r="460" s="21">
      <c r="A460" s="8" t="inlineStr">
        <is>
          <t>100201</t>
        </is>
      </c>
      <c r="B460" s="8" t="inlineStr">
        <is>
          <t>圆钢</t>
        </is>
      </c>
      <c r="C460" s="8" t="inlineStr">
        <is>
          <t>600995500</t>
        </is>
      </c>
      <c r="D460" s="8" t="inlineStr">
        <is>
          <t>热轧航空用不锈圆钢|圆钢|1Cr18Ni9Ti|Φ175|GJB 2294-1995|热轧|GB/T 702-2008</t>
        </is>
      </c>
      <c r="E460" s="8" t="inlineStr">
        <is>
          <t>物资名称 热轧航空用不锈圆钢;物资简称 圆钢;牌号 1Cr18Ni9Ti;直径 Φ175;技术标准号 GJB 2294-1995;加工工艺 热轧;热处理工艺 ;特殊要求 ;规格标准号 GB/T 702-2008</t>
        </is>
      </c>
      <c r="F460" s="4" t="inlineStr">
        <is>
          <t>千克</t>
        </is>
      </c>
    </row>
    <row r="461" s="21">
      <c r="A461" s="8" t="inlineStr">
        <is>
          <t>100201</t>
        </is>
      </c>
      <c r="B461" s="8" t="inlineStr">
        <is>
          <t>圆钢</t>
        </is>
      </c>
      <c r="C461" s="8" t="inlineStr">
        <is>
          <t>600995400</t>
        </is>
      </c>
      <c r="D461" s="8" t="inlineStr">
        <is>
          <t>热轧航空用不锈圆钢|圆钢|1Cr18Ni9Ti|Φ130|GJB 2294-1995|热轧|GB/T 702-2008</t>
        </is>
      </c>
      <c r="E461" s="8" t="inlineStr">
        <is>
          <t>物资名称 热轧航空用不锈圆钢;物资简称 圆钢;牌号 1Cr18Ni9Ti;直径 Φ130;技术标准号 GJB 2294-1995;加工工艺 热轧;热处理工艺 ;特殊要求 ;规格标准号 GB/T 702-2008</t>
        </is>
      </c>
      <c r="F461" s="4" t="inlineStr">
        <is>
          <t>千克</t>
        </is>
      </c>
    </row>
    <row r="462" s="21">
      <c r="A462" s="8" t="inlineStr">
        <is>
          <t>100201</t>
        </is>
      </c>
      <c r="B462" s="8" t="inlineStr">
        <is>
          <t>圆钢</t>
        </is>
      </c>
      <c r="C462" s="8" t="inlineStr">
        <is>
          <t>600995300</t>
        </is>
      </c>
      <c r="D462" s="8" t="inlineStr">
        <is>
          <t>热轧航空用不锈圆钢|圆钢|1Cr18Ni9Ti|Φ8|GJB 2294-1995|热轧|GB/T 702-2008</t>
        </is>
      </c>
      <c r="E462" s="8" t="inlineStr">
        <is>
          <t>物资名称 热轧航空用不锈圆钢;物资简称 圆钢;牌号 1Cr18Ni9Ti;直径 Φ8;技术标准号 GJB 2294-1995;加工工艺 热轧;热处理工艺 ;特殊要求 ;规格标准号 GB/T 702-2008</t>
        </is>
      </c>
      <c r="F462" s="4" t="inlineStr">
        <is>
          <t>千克</t>
        </is>
      </c>
    </row>
    <row r="463" s="21">
      <c r="A463" s="8" t="inlineStr">
        <is>
          <t>100201</t>
        </is>
      </c>
      <c r="B463" s="8" t="inlineStr">
        <is>
          <t>圆钢</t>
        </is>
      </c>
      <c r="C463" s="8" t="inlineStr">
        <is>
          <t>600995200</t>
        </is>
      </c>
      <c r="D463" s="8" t="inlineStr">
        <is>
          <t>热轧航空用不锈圆钢|圆钢|1Cr18Ni9Ti|Φ11|GJB 2294-1995|热轧|GB/T 702-2008</t>
        </is>
      </c>
      <c r="E463" s="8" t="inlineStr">
        <is>
          <t>物资名称 热轧航空用不锈圆钢;物资简称 圆钢;牌号 1Cr18Ni9Ti;直径 Φ11;技术标准号 GJB 2294-1995;加工工艺 热轧;热处理工艺 ;特殊要求 ;规格标准号 GB/T 702-2008</t>
        </is>
      </c>
      <c r="F463" s="4" t="inlineStr">
        <is>
          <t>千克</t>
        </is>
      </c>
    </row>
    <row r="464" s="21">
      <c r="A464" s="8" t="inlineStr">
        <is>
          <t>100201</t>
        </is>
      </c>
      <c r="B464" s="8" t="inlineStr">
        <is>
          <t>圆钢</t>
        </is>
      </c>
      <c r="C464" s="8" t="inlineStr">
        <is>
          <t>600995000</t>
        </is>
      </c>
      <c r="D464" s="8" t="inlineStr">
        <is>
          <t>热轧航空用不锈圆钢|圆钢|1Cr18Ni9Ti|Φ100|GJB 2294-1995|热轧|GB/T 702-2008</t>
        </is>
      </c>
      <c r="E464" s="8" t="inlineStr">
        <is>
          <t>物资名称 热轧航空用不锈圆钢;物资简称 圆钢;牌号 1Cr18Ni9Ti;直径 Φ100;技术标准号 GJB 2294-1995;加工工艺 热轧;热处理工艺 ;特殊要求 ;规格标准号 GB/T 702-2008</t>
        </is>
      </c>
      <c r="F464" s="4" t="inlineStr">
        <is>
          <t>千克</t>
        </is>
      </c>
    </row>
    <row r="465" s="21">
      <c r="A465" s="8" t="inlineStr">
        <is>
          <t>100201</t>
        </is>
      </c>
      <c r="B465" s="8" t="inlineStr">
        <is>
          <t>圆钢</t>
        </is>
      </c>
      <c r="C465" s="8" t="inlineStr">
        <is>
          <t>600994900</t>
        </is>
      </c>
      <c r="D465" s="8" t="inlineStr">
        <is>
          <t>热轧航空用不锈圆钢|圆钢|1Cr18Ni9Ti|Φ45|GJB 2294-1995|热轧|GB/T 702-2008</t>
        </is>
      </c>
      <c r="E465" s="8" t="inlineStr">
        <is>
          <t>物资名称 热轧航空用不锈圆钢;物资简称 圆钢;牌号 1Cr18Ni9Ti;直径 Φ45;技术标准号 GJB 2294-1995;加工工艺 热轧;热处理工艺 ;特殊要求 ;规格标准号 GB/T 702-2008</t>
        </is>
      </c>
      <c r="F465" s="4" t="inlineStr">
        <is>
          <t>千克</t>
        </is>
      </c>
    </row>
    <row r="466" s="21">
      <c r="A466" s="8" t="inlineStr">
        <is>
          <t>100201</t>
        </is>
      </c>
      <c r="B466" s="8" t="inlineStr">
        <is>
          <t>圆钢</t>
        </is>
      </c>
      <c r="C466" s="8" t="inlineStr">
        <is>
          <t>600994800</t>
        </is>
      </c>
      <c r="D466" s="8" t="inlineStr">
        <is>
          <t>热轧航空用不锈圆钢|圆钢|1Cr18Ni9Ti|Φ48|GJB 2294-1995|热轧|GB/T 702-2008</t>
        </is>
      </c>
      <c r="E466" s="8" t="inlineStr">
        <is>
          <t>物资名称 热轧航空用不锈圆钢;物资简称 圆钢;牌号 1Cr18Ni9Ti;直径 Φ48;技术标准号 GJB 2294-1995;加工工艺 热轧;热处理工艺 ;特殊要求 ;规格标准号 GB/T 702-2008</t>
        </is>
      </c>
      <c r="F466" s="4" t="inlineStr">
        <is>
          <t>千克</t>
        </is>
      </c>
    </row>
    <row r="467" s="21">
      <c r="A467" s="8" t="inlineStr">
        <is>
          <t>100201</t>
        </is>
      </c>
      <c r="B467" s="8" t="inlineStr">
        <is>
          <t>圆钢</t>
        </is>
      </c>
      <c r="C467" s="8" t="inlineStr">
        <is>
          <t>600994700</t>
        </is>
      </c>
      <c r="D467" s="8" t="inlineStr">
        <is>
          <t>热轧航空用不锈圆钢|圆钢|1Cr18Ni9Ti|Φ34|GJB 2294-1995|热轧|GB/T 702-2008</t>
        </is>
      </c>
      <c r="E467" s="8" t="inlineStr">
        <is>
          <t>物资名称 热轧航空用不锈圆钢;物资简称 圆钢;牌号 1Cr18Ni9Ti;直径 Φ34;技术标准号 GJB 2294-1995;加工工艺 热轧;热处理工艺 ;特殊要求 ;规格标准号 GB/T 702-2008</t>
        </is>
      </c>
      <c r="F467" s="4" t="inlineStr">
        <is>
          <t>千克</t>
        </is>
      </c>
    </row>
    <row r="468" s="21">
      <c r="A468" s="8" t="inlineStr">
        <is>
          <t>100201</t>
        </is>
      </c>
      <c r="B468" s="8" t="inlineStr">
        <is>
          <t>圆钢</t>
        </is>
      </c>
      <c r="C468" s="8" t="inlineStr">
        <is>
          <t>600994600</t>
        </is>
      </c>
      <c r="D468" s="8" t="inlineStr">
        <is>
          <t>热轧航空用不锈圆钢|圆钢|1Cr18Ni9Ti|Φ28|GJB 2294-1995|热轧|GB/T 702-2008</t>
        </is>
      </c>
      <c r="E468" s="8" t="inlineStr">
        <is>
          <t>物资名称 热轧航空用不锈圆钢;物资简称 圆钢;牌号 1Cr18Ni9Ti;直径 Φ28;技术标准号 GJB 2294-1995;加工工艺 热轧;热处理工艺 ;特殊要求 ;规格标准号 GB/T 702-2008</t>
        </is>
      </c>
      <c r="F468" s="4" t="inlineStr">
        <is>
          <t>千克</t>
        </is>
      </c>
    </row>
    <row r="469" s="21">
      <c r="A469" s="8" t="inlineStr">
        <is>
          <t>100201</t>
        </is>
      </c>
      <c r="B469" s="8" t="inlineStr">
        <is>
          <t>圆钢</t>
        </is>
      </c>
      <c r="C469" s="8" t="inlineStr">
        <is>
          <t>600993500</t>
        </is>
      </c>
      <c r="D469" s="8" t="inlineStr">
        <is>
          <t>热轧不锈圆钢|圆钢|Y1Cr18Ni9|Φ30|GB 1220-1992|热轧|GB/T 702-2008</t>
        </is>
      </c>
      <c r="E469" s="8" t="inlineStr">
        <is>
          <t>物资名称 热轧不锈圆钢;物资简称 圆钢;牌号 Y1Cr18Ni9;直径 Φ30;技术标准号 GB 1220-1992;加工工艺 热轧;热处理工艺 ;特殊要求 ;规格标准号 GB/T 702-2008</t>
        </is>
      </c>
      <c r="F469" s="4" t="inlineStr">
        <is>
          <t>千克</t>
        </is>
      </c>
    </row>
    <row r="470" s="21">
      <c r="A470" s="8" t="inlineStr">
        <is>
          <t>100201</t>
        </is>
      </c>
      <c r="B470" s="8" t="inlineStr">
        <is>
          <t>圆钢</t>
        </is>
      </c>
      <c r="C470" s="8" t="inlineStr">
        <is>
          <t>600992800</t>
        </is>
      </c>
      <c r="D470" s="8" t="inlineStr">
        <is>
          <t>热轧航空用不锈圆钢|圆钢|Y2Cr13Ni2|Φ28|GJB 2294-95|热轧|GB/T 702-2008</t>
        </is>
      </c>
      <c r="E470" s="8" t="inlineStr">
        <is>
          <t>物资名称 热轧航空用不锈圆钢;物资简称 圆钢;牌号 Y2Cr13Ni2;直径 Φ28;技术标准号 GJB 2294-95;加工工艺 热轧;热处理工艺 ;特殊要求 ;规格标准号 GB/T 702-2008</t>
        </is>
      </c>
      <c r="F470" s="4" t="inlineStr">
        <is>
          <t>千克</t>
        </is>
      </c>
    </row>
    <row r="471" s="21">
      <c r="A471" s="8" t="inlineStr">
        <is>
          <t>100201</t>
        </is>
      </c>
      <c r="B471" s="8" t="inlineStr">
        <is>
          <t>圆钢</t>
        </is>
      </c>
      <c r="C471" s="8" t="inlineStr">
        <is>
          <t>600992700</t>
        </is>
      </c>
      <c r="D471" s="8" t="inlineStr">
        <is>
          <t>热轧航空用不锈圆钢|圆钢|Y2Cr13Ni2|Φ7|GJB 2294-1995|热轧|GB/T 702-2008</t>
        </is>
      </c>
      <c r="E471" s="8" t="inlineStr">
        <is>
          <t>物资名称 热轧航空用不锈圆钢;物资简称 圆钢;牌号 Y2Cr13Ni2;直径 Φ7;技术标准号 GJB 2294-1995;加工工艺 热轧;热处理工艺 ;特殊要求 ;规格标准号 GB/T 702-2008</t>
        </is>
      </c>
      <c r="F471" s="4" t="inlineStr">
        <is>
          <t>千克</t>
        </is>
      </c>
    </row>
    <row r="472" s="21">
      <c r="A472" s="8" t="inlineStr">
        <is>
          <t>100201</t>
        </is>
      </c>
      <c r="B472" s="8" t="inlineStr">
        <is>
          <t>圆钢</t>
        </is>
      </c>
      <c r="C472" s="8" t="inlineStr">
        <is>
          <t>600992600</t>
        </is>
      </c>
      <c r="D472" s="8" t="inlineStr">
        <is>
          <t>热轧航空用不锈圆钢|圆钢|Y2Cr13Ni2|Φ12|GJB 2294-1995|热轧|GB/T 702-2008</t>
        </is>
      </c>
      <c r="E472" s="8" t="inlineStr">
        <is>
          <t>物资名称 热轧航空用不锈圆钢;物资简称 圆钢;牌号 Y2Cr13Ni2;直径 Φ12;技术标准号 GJB 2294-1995;加工工艺 热轧;热处理工艺 ;特殊要求 ;规格标准号 GB/T 702-2008</t>
        </is>
      </c>
      <c r="F472" s="4" t="inlineStr">
        <is>
          <t>千克</t>
        </is>
      </c>
    </row>
    <row r="473" s="21">
      <c r="A473" s="8" t="inlineStr">
        <is>
          <t>100201</t>
        </is>
      </c>
      <c r="B473" s="8" t="inlineStr">
        <is>
          <t>圆钢</t>
        </is>
      </c>
      <c r="C473" s="8" t="inlineStr">
        <is>
          <t>600992500</t>
        </is>
      </c>
      <c r="D473" s="8" t="inlineStr">
        <is>
          <t>热轧航空用不锈圆钢|圆钢|Y2Cr13Ni2|Φ6|GJB 2294-1995|热轧|GB/T 702-2008</t>
        </is>
      </c>
      <c r="E473" s="8" t="inlineStr">
        <is>
          <t>物资名称 热轧航空用不锈圆钢;物资简称 圆钢;牌号 Y2Cr13Ni2;直径 Φ6;技术标准号 GJB 2294-1995;加工工艺 热轧;热处理工艺 ;特殊要求 ;规格标准号 GB/T 702-2008</t>
        </is>
      </c>
      <c r="F473" s="4" t="inlineStr">
        <is>
          <t>千克</t>
        </is>
      </c>
    </row>
    <row r="474" s="21">
      <c r="A474" s="8" t="inlineStr">
        <is>
          <t>100201</t>
        </is>
      </c>
      <c r="B474" s="8" t="inlineStr">
        <is>
          <t>圆钢</t>
        </is>
      </c>
      <c r="C474" s="8" t="inlineStr">
        <is>
          <t>600992400</t>
        </is>
      </c>
      <c r="D474" s="8" t="inlineStr">
        <is>
          <t>热轧航空用不锈圆钢|圆钢|Y2Cr13Ni2|Φ18|GJB 2294-1995|GB/T 702-2008</t>
        </is>
      </c>
      <c r="E474" s="8" t="inlineStr">
        <is>
          <t>物资名称 热轧航空用不锈圆钢;物资简称 圆钢;牌号 Y2Cr13Ni2;直径 Φ18;技术标准号 GJB 2294-1995;加工工艺 ;热处理工艺 ;特殊要求 ;规格标准号 GB/T 702-2008</t>
        </is>
      </c>
      <c r="F474" s="4" t="inlineStr">
        <is>
          <t>千克</t>
        </is>
      </c>
    </row>
    <row r="475" s="21">
      <c r="A475" s="8" t="inlineStr">
        <is>
          <t>100201</t>
        </is>
      </c>
      <c r="B475" s="8" t="inlineStr">
        <is>
          <t>圆钢</t>
        </is>
      </c>
      <c r="C475" s="8" t="inlineStr">
        <is>
          <t>600992300</t>
        </is>
      </c>
      <c r="D475" s="8" t="inlineStr">
        <is>
          <t>热轧航空用不锈圆钢|圆钢|Y2Cr13Ni2|Φ16|GJB 2294-1995|GB/T 702-2008</t>
        </is>
      </c>
      <c r="E475" s="8" t="inlineStr">
        <is>
          <t>物资名称 热轧航空用不锈圆钢;物资简称 圆钢;牌号 Y2Cr13Ni2;直径 Φ16;技术标准号 GJB 2294-1995;加工工艺 ;热处理工艺 ;特殊要求 ;规格标准号 GB/T 702-2008</t>
        </is>
      </c>
      <c r="F475" s="4" t="inlineStr">
        <is>
          <t>千克</t>
        </is>
      </c>
    </row>
    <row r="476" s="21">
      <c r="A476" s="8" t="inlineStr">
        <is>
          <t>100201</t>
        </is>
      </c>
      <c r="B476" s="8" t="inlineStr">
        <is>
          <t>圆钢</t>
        </is>
      </c>
      <c r="C476" s="8" t="inlineStr">
        <is>
          <t>600992200</t>
        </is>
      </c>
      <c r="D476" s="8" t="inlineStr">
        <is>
          <t>热轧航空用不锈圆钢|圆钢|Y2Cr13Ni2|Φ11|GJB 2294-1995|GB/T 702-2008</t>
        </is>
      </c>
      <c r="E476" s="8" t="inlineStr">
        <is>
          <t>物资名称 热轧航空用不锈圆钢;物资简称 圆钢;牌号 Y2Cr13Ni2;直径 Φ11;技术标准号 GJB 2294-1995;加工工艺 ;热处理工艺 ;特殊要求 ;规格标准号 GB/T 702-2008</t>
        </is>
      </c>
      <c r="F476" s="4" t="inlineStr">
        <is>
          <t>千克</t>
        </is>
      </c>
    </row>
    <row r="477" s="21">
      <c r="A477" s="8" t="inlineStr">
        <is>
          <t>100201</t>
        </is>
      </c>
      <c r="B477" s="8" t="inlineStr">
        <is>
          <t>圆钢</t>
        </is>
      </c>
      <c r="C477" s="8" t="inlineStr">
        <is>
          <t>600992100</t>
        </is>
      </c>
      <c r="D477" s="8" t="inlineStr">
        <is>
          <t>热轧航空用不锈圆钢|圆钢|Y2Cr13Ni2|Φ35|GJB 2294-1995|GB/T 702-2008</t>
        </is>
      </c>
      <c r="E477" s="8" t="inlineStr">
        <is>
          <t>物资名称 热轧航空用不锈圆钢;物资简称 圆钢;牌号 Y2Cr13Ni2;直径 Φ35;技术标准号 GJB 2294-1995;加工工艺 ;热处理工艺 ;特殊要求 ;规格标准号 GB/T 702-2008</t>
        </is>
      </c>
      <c r="F477" s="4" t="inlineStr">
        <is>
          <t>千克</t>
        </is>
      </c>
    </row>
    <row r="478" s="21">
      <c r="A478" s="8" t="inlineStr">
        <is>
          <t>100201</t>
        </is>
      </c>
      <c r="B478" s="8" t="inlineStr">
        <is>
          <t>圆钢</t>
        </is>
      </c>
      <c r="C478" s="8" t="inlineStr">
        <is>
          <t>600992000</t>
        </is>
      </c>
      <c r="D478" s="8" t="inlineStr">
        <is>
          <t>热轧航空用不锈圆钢|圆钢|Y2Cr13Ni2|Φ9|GJB 2294-1995|热轧|GB/T 702-2008</t>
        </is>
      </c>
      <c r="E478" s="8" t="inlineStr">
        <is>
          <t>物资名称 热轧航空用不锈圆钢;物资简称 圆钢;牌号 Y2Cr13Ni2;直径 Φ9;技术标准号 GJB 2294-1995;加工工艺 热轧;热处理工艺 ;特殊要求 ;规格标准号 GB/T 702-2008</t>
        </is>
      </c>
      <c r="F478" s="4" t="inlineStr">
        <is>
          <t>千克</t>
        </is>
      </c>
    </row>
    <row r="479" s="21">
      <c r="A479" s="8" t="inlineStr">
        <is>
          <t>100201</t>
        </is>
      </c>
      <c r="B479" s="8" t="inlineStr">
        <is>
          <t>圆钢</t>
        </is>
      </c>
      <c r="C479" s="8" t="inlineStr">
        <is>
          <t>600991900</t>
        </is>
      </c>
      <c r="D479" s="8" t="inlineStr">
        <is>
          <t>热轧航空用不锈圆钢|圆钢|Y2Cr13Ni2|Φ5|GJB 2294-1995|热轧|GB/T 702-2008</t>
        </is>
      </c>
      <c r="E479" s="8" t="inlineStr">
        <is>
          <t>物资名称 热轧航空用不锈圆钢;物资简称 圆钢;牌号 Y2Cr13Ni2;直径 Φ5;技术标准号 GJB 2294-1995;加工工艺 热轧;热处理工艺 ;特殊要求 ;规格标准号 GB/T 702-2008</t>
        </is>
      </c>
      <c r="F479" s="4" t="inlineStr">
        <is>
          <t>千克</t>
        </is>
      </c>
    </row>
    <row r="480" s="21">
      <c r="A480" s="8" t="inlineStr">
        <is>
          <t>100201</t>
        </is>
      </c>
      <c r="B480" s="8" t="inlineStr">
        <is>
          <t>圆钢</t>
        </is>
      </c>
      <c r="C480" s="8" t="inlineStr">
        <is>
          <t>600991800</t>
        </is>
      </c>
      <c r="D480" s="8" t="inlineStr">
        <is>
          <t>热轧高碳铬轴承圆钢|圆钢|GCr15|Φ8|GB/T 18254-2002|热轧|GB/T 702-2008</t>
        </is>
      </c>
      <c r="E480" s="8" t="inlineStr">
        <is>
          <t>物资名称 热轧高碳铬轴承圆钢;物资简称 圆钢;牌号 GCr15;直径 Φ8;技术标准号 GB/T 18254-2002;加工工艺 热轧;热处理工艺 ;特殊要求 ;规格标准号 GB/T 702-2008</t>
        </is>
      </c>
      <c r="F480" s="4" t="inlineStr">
        <is>
          <t>千克</t>
        </is>
      </c>
    </row>
    <row r="481" s="21">
      <c r="A481" s="8" t="inlineStr">
        <is>
          <t>100201</t>
        </is>
      </c>
      <c r="B481" s="8" t="inlineStr">
        <is>
          <t>圆钢</t>
        </is>
      </c>
      <c r="C481" s="8" t="inlineStr">
        <is>
          <t>600988700</t>
        </is>
      </c>
      <c r="D481" s="8" t="inlineStr">
        <is>
          <t>热轧不锈圆钢|圆钢|1Cr18Ni9Ti|Φ52|GB 1220-1992|热轧|GB/T 702-2008</t>
        </is>
      </c>
      <c r="E481" s="8" t="inlineStr">
        <is>
          <t>物资名称 热轧不锈圆钢;物资简称 圆钢;牌号 1Cr18Ni9Ti;直径 Φ52;技术标准号 GB 1220-1992;加工工艺 热轧;热处理工艺 ;特殊要求 ;规格标准号 GB/T 702-2008</t>
        </is>
      </c>
      <c r="F481" s="4" t="inlineStr">
        <is>
          <t>千克</t>
        </is>
      </c>
    </row>
    <row r="482" s="21">
      <c r="A482" s="8" t="inlineStr">
        <is>
          <t>100201</t>
        </is>
      </c>
      <c r="B482" s="8" t="inlineStr">
        <is>
          <t>圆钢</t>
        </is>
      </c>
      <c r="C482" s="8" t="inlineStr">
        <is>
          <t>600988600</t>
        </is>
      </c>
      <c r="D482" s="8" t="inlineStr">
        <is>
          <t>热轧不锈圆钢|圆钢|1Cr18Ni9Ti|Φ78|GB 1220-1992|热轧|GB/T 702-2008</t>
        </is>
      </c>
      <c r="E482" s="8" t="inlineStr">
        <is>
          <t>物资名称 热轧不锈圆钢;物资简称 圆钢;牌号 1Cr18Ni9Ti;直径 Φ78;技术标准号 GB 1220-1992;加工工艺 热轧;热处理工艺 ;特殊要求 ;规格标准号 GB/T 702-2008</t>
        </is>
      </c>
      <c r="F482" s="4" t="inlineStr">
        <is>
          <t>千克</t>
        </is>
      </c>
    </row>
    <row r="483" s="21">
      <c r="A483" s="8" t="inlineStr">
        <is>
          <t>100201</t>
        </is>
      </c>
      <c r="B483" s="8" t="inlineStr">
        <is>
          <t>圆钢</t>
        </is>
      </c>
      <c r="C483" s="8" t="inlineStr">
        <is>
          <t>600988500</t>
        </is>
      </c>
      <c r="D483" s="8" t="inlineStr">
        <is>
          <t>热轧不锈圆钢|圆钢|1Cr18Ni9Ti|Φ33|GB 1220-1992|热轧|GB/T 702-2008</t>
        </is>
      </c>
      <c r="E483" s="8" t="inlineStr">
        <is>
          <t>物资名称 热轧不锈圆钢;物资简称 圆钢;牌号 1Cr18Ni9Ti;直径 Φ33;技术标准号 GB 1220-1992;加工工艺 热轧;热处理工艺 ;特殊要求 ;规格标准号 GB/T 702-2008</t>
        </is>
      </c>
      <c r="F483" s="4" t="inlineStr">
        <is>
          <t>千克</t>
        </is>
      </c>
    </row>
    <row r="484" s="21">
      <c r="A484" s="8" t="inlineStr">
        <is>
          <t>100201</t>
        </is>
      </c>
      <c r="B484" s="8" t="inlineStr">
        <is>
          <t>圆钢</t>
        </is>
      </c>
      <c r="C484" s="8" t="inlineStr">
        <is>
          <t>600988400</t>
        </is>
      </c>
      <c r="D484" s="8" t="inlineStr">
        <is>
          <t>热轧不锈圆钢|圆钢|1Cr18Ni9Ti|Φ48|GB 1220-1992|热轧|GB/T 702-2008</t>
        </is>
      </c>
      <c r="E484" s="8" t="inlineStr">
        <is>
          <t>物资名称 热轧不锈圆钢;物资简称 圆钢;牌号 1Cr18Ni9Ti;直径 Φ48;技术标准号 GB 1220-1992;加工工艺 热轧;热处理工艺 ;特殊要求 ;规格标准号 GB/T 702-2008</t>
        </is>
      </c>
      <c r="F484" s="4" t="inlineStr">
        <is>
          <t>千克</t>
        </is>
      </c>
    </row>
    <row r="485" s="21">
      <c r="A485" s="8" t="inlineStr">
        <is>
          <t>100201</t>
        </is>
      </c>
      <c r="B485" s="8" t="inlineStr">
        <is>
          <t>圆钢</t>
        </is>
      </c>
      <c r="C485" s="8" t="inlineStr">
        <is>
          <t>600988300</t>
        </is>
      </c>
      <c r="D485" s="8" t="inlineStr">
        <is>
          <t>热轧不锈圆钢|圆钢|1Cr18Ni9Ti|Φ45|GB 1220-1992|热轧|GB/T 702-2008</t>
        </is>
      </c>
      <c r="E485" s="8" t="inlineStr">
        <is>
          <t>物资名称 热轧不锈圆钢;物资简称 圆钢;牌号 1Cr18Ni9Ti;直径 Φ45;技术标准号 GB 1220-1992;加工工艺 热轧;热处理工艺 ;特殊要求 ;规格标准号 GB/T 702-2008</t>
        </is>
      </c>
      <c r="F485" s="4" t="inlineStr">
        <is>
          <t>千克</t>
        </is>
      </c>
    </row>
    <row r="486" s="21">
      <c r="A486" s="8" t="inlineStr">
        <is>
          <t>100201</t>
        </is>
      </c>
      <c r="B486" s="8" t="inlineStr">
        <is>
          <t>圆钢</t>
        </is>
      </c>
      <c r="C486" s="8" t="inlineStr">
        <is>
          <t>600988200</t>
        </is>
      </c>
      <c r="D486" s="8" t="inlineStr">
        <is>
          <t>热轧不锈圆钢|圆钢|1Cr18Ni9Ti|Φ12|GB 1220-1992|热轧|GB/T 702-2008</t>
        </is>
      </c>
      <c r="E486" s="8" t="inlineStr">
        <is>
          <t>物资名称 热轧不锈圆钢;物资简称 圆钢;牌号 1Cr18Ni9Ti;直径 Φ12;技术标准号 GB 1220-1992;加工工艺 热轧;热处理工艺 ;特殊要求 ;规格标准号 GB/T 702-2008</t>
        </is>
      </c>
      <c r="F486" s="4" t="inlineStr">
        <is>
          <t>千克</t>
        </is>
      </c>
    </row>
    <row r="487" s="21">
      <c r="A487" s="8" t="inlineStr">
        <is>
          <t>100201</t>
        </is>
      </c>
      <c r="B487" s="8" t="inlineStr">
        <is>
          <t>圆钢</t>
        </is>
      </c>
      <c r="C487" s="8" t="inlineStr">
        <is>
          <t>600984900</t>
        </is>
      </c>
      <c r="D487" s="8" t="inlineStr">
        <is>
          <t>合金结构圆钢|圆钢|30CrMnSi|Φ14|GB/T 3077-1999</t>
        </is>
      </c>
      <c r="E487" s="8" t="inlineStr">
        <is>
          <t xml:space="preserve">物资名称 合金结构圆钢;物资简称 圆钢;牌号 30CrMnSi;直径 Φ14;技术标准号 GB/T 3077-1999;加工工艺 ;热处理工艺 ;特殊要求 ;规格标准号 </t>
        </is>
      </c>
      <c r="F487" s="4" t="inlineStr">
        <is>
          <t>千克</t>
        </is>
      </c>
    </row>
    <row r="488" s="21">
      <c r="A488" s="8" t="inlineStr">
        <is>
          <t>100201</t>
        </is>
      </c>
      <c r="B488" s="8" t="inlineStr">
        <is>
          <t>圆钢</t>
        </is>
      </c>
      <c r="C488" s="8" t="inlineStr">
        <is>
          <t>600984800</t>
        </is>
      </c>
      <c r="D488" s="8" t="inlineStr">
        <is>
          <t>合金结构圆钢|圆钢|30CrMnSi|Φ22|GB/T 3077-1999</t>
        </is>
      </c>
      <c r="E488" s="8" t="inlineStr">
        <is>
          <t xml:space="preserve">物资名称 合金结构圆钢;物资简称 圆钢;牌号 30CrMnSi;直径 Φ22;技术标准号 GB/T 3077-1999;加工工艺 ;热处理工艺 ;特殊要求 ;规格标准号 </t>
        </is>
      </c>
      <c r="F488" s="4" t="inlineStr">
        <is>
          <t>千克</t>
        </is>
      </c>
    </row>
    <row r="489" s="21">
      <c r="A489" s="8" t="inlineStr">
        <is>
          <t>100201</t>
        </is>
      </c>
      <c r="B489" s="8" t="inlineStr">
        <is>
          <t>圆钢</t>
        </is>
      </c>
      <c r="C489" s="8" t="inlineStr">
        <is>
          <t>600984700</t>
        </is>
      </c>
      <c r="D489" s="8" t="inlineStr">
        <is>
          <t>合金结构圆钢|圆钢|30CrMnSiA|Φ18|GB/T 3078-1994</t>
        </is>
      </c>
      <c r="E489" s="8" t="inlineStr">
        <is>
          <t xml:space="preserve">物资名称 合金结构圆钢;物资简称 圆钢;牌号 30CrMnSiA;直径 Φ18;技术标准号 GB/T 3078-1994;加工工艺 ;热处理工艺 ;特殊要求 ;规格标准号 </t>
        </is>
      </c>
      <c r="F489" s="4" t="inlineStr">
        <is>
          <t>千克</t>
        </is>
      </c>
    </row>
    <row r="490" s="21">
      <c r="A490" s="8" t="inlineStr">
        <is>
          <t>100201</t>
        </is>
      </c>
      <c r="B490" s="8" t="inlineStr">
        <is>
          <t>圆钢</t>
        </is>
      </c>
      <c r="C490" s="8" t="inlineStr">
        <is>
          <t>600984600</t>
        </is>
      </c>
      <c r="D490" s="8" t="inlineStr">
        <is>
          <t>钢棒|圆钢|0Cr18Ni9|Φ65|GB/T 4237-1992</t>
        </is>
      </c>
      <c r="E490" s="8" t="inlineStr">
        <is>
          <t xml:space="preserve">物资名称 钢棒;物资简称 圆钢;牌号 0Cr18Ni9;直径 Φ65;技术标准号 GB/T 4237-1992;加工工艺 ;热处理工艺 ;特殊要求 ;规格标准号 </t>
        </is>
      </c>
      <c r="F490" s="4" t="inlineStr">
        <is>
          <t>千克</t>
        </is>
      </c>
    </row>
    <row r="491" s="21">
      <c r="A491" s="8" t="inlineStr">
        <is>
          <t>100201</t>
        </is>
      </c>
      <c r="B491" s="8" t="inlineStr">
        <is>
          <t>圆钢</t>
        </is>
      </c>
      <c r="C491" s="8" t="inlineStr">
        <is>
          <t>600984500</t>
        </is>
      </c>
      <c r="D491" s="8" t="inlineStr">
        <is>
          <t>热轧航空用不锈圆钢|圆钢|Y2Cr13Ni2|Φ3.5|GJB 2294-1995|热轧</t>
        </is>
      </c>
      <c r="E491" s="8" t="inlineStr">
        <is>
          <t xml:space="preserve">物资名称 热轧航空用不锈圆钢;物资简称 圆钢;牌号 Y2Cr13Ni2;直径 Φ3.5;技术标准号 GJB 2294-1995;加工工艺 热轧;热处理工艺 ;特殊要求 ;规格标准号 </t>
        </is>
      </c>
      <c r="F491" s="4" t="inlineStr">
        <is>
          <t>千克</t>
        </is>
      </c>
    </row>
    <row r="492" s="21">
      <c r="A492" s="8" t="inlineStr">
        <is>
          <t>100201</t>
        </is>
      </c>
      <c r="B492" s="8" t="inlineStr">
        <is>
          <t>圆钢</t>
        </is>
      </c>
      <c r="C492" s="8" t="inlineStr">
        <is>
          <t>600984400</t>
        </is>
      </c>
      <c r="D492" s="8" t="inlineStr">
        <is>
          <t>圆钢|圆钢|Y20|Φ20|GB/T 8731-1988</t>
        </is>
      </c>
      <c r="E492" s="8" t="inlineStr">
        <is>
          <t xml:space="preserve">物资名称 圆钢;物资简称 圆钢;牌号 Y20;直径 Φ20;技术标准号 GB/T 8731-1988;加工工艺 ;热处理工艺 ;特殊要求 ;规格标准号 </t>
        </is>
      </c>
      <c r="F492" s="4" t="inlineStr">
        <is>
          <t>千克</t>
        </is>
      </c>
    </row>
    <row r="493" s="21">
      <c r="A493" s="8" t="inlineStr">
        <is>
          <t>100201</t>
        </is>
      </c>
      <c r="B493" s="8" t="inlineStr">
        <is>
          <t>圆钢</t>
        </is>
      </c>
      <c r="C493" s="8" t="inlineStr">
        <is>
          <t>600984300</t>
        </is>
      </c>
      <c r="D493" s="8" t="inlineStr">
        <is>
          <t>圆钢|钢棒|Y20|Φ14|GB/T 8731-1988</t>
        </is>
      </c>
      <c r="E493" s="8" t="inlineStr">
        <is>
          <t xml:space="preserve">物资名称 圆钢;物资简称 钢棒;牌号 Y20;直径 Φ14;技术标准号 GB/T 8731-1988;加工工艺 ;热处理工艺 ;特殊要求 ;规格标准号 </t>
        </is>
      </c>
      <c r="F493" s="4" t="inlineStr">
        <is>
          <t>千克</t>
        </is>
      </c>
    </row>
    <row r="494" s="21">
      <c r="A494" s="8" t="inlineStr">
        <is>
          <t>100201</t>
        </is>
      </c>
      <c r="B494" s="8" t="inlineStr">
        <is>
          <t>圆钢</t>
        </is>
      </c>
      <c r="C494" s="8" t="inlineStr">
        <is>
          <t>600984200</t>
        </is>
      </c>
      <c r="D494" s="8" t="inlineStr">
        <is>
          <t>圆钢|圆钢|Y20|Φ18|GB/T 8731-1988</t>
        </is>
      </c>
      <c r="E494" s="8" t="inlineStr">
        <is>
          <t xml:space="preserve">物资名称 圆钢;物资简称 圆钢;牌号 Y20;直径 Φ18;技术标准号 GB/T 8731-1988;加工工艺 ;热处理工艺 ;特殊要求 ;规格标准号 </t>
        </is>
      </c>
      <c r="F494" s="4" t="inlineStr">
        <is>
          <t>千克</t>
        </is>
      </c>
    </row>
    <row r="495" s="21">
      <c r="A495" s="8" t="inlineStr">
        <is>
          <t>100201</t>
        </is>
      </c>
      <c r="B495" s="8" t="inlineStr">
        <is>
          <t>圆钢</t>
        </is>
      </c>
      <c r="C495" s="8" t="inlineStr">
        <is>
          <t>600984100</t>
        </is>
      </c>
      <c r="D495" s="8" t="inlineStr">
        <is>
          <t>圆钢|圆钢|Y20|Φ21|GB/T 8731-1988</t>
        </is>
      </c>
      <c r="E495" s="8" t="inlineStr">
        <is>
          <t xml:space="preserve">物资名称 圆钢;物资简称 圆钢;牌号 Y20;直径 Φ21;技术标准号 GB/T 8731-1988;加工工艺 ;热处理工艺 ;特殊要求 ;规格标准号 </t>
        </is>
      </c>
      <c r="F495" s="4" t="inlineStr">
        <is>
          <t>千克</t>
        </is>
      </c>
    </row>
    <row r="496" s="21">
      <c r="A496" s="8" t="inlineStr">
        <is>
          <t>100201</t>
        </is>
      </c>
      <c r="B496" s="8" t="inlineStr">
        <is>
          <t>圆钢</t>
        </is>
      </c>
      <c r="C496" s="8" t="inlineStr">
        <is>
          <t>600984000</t>
        </is>
      </c>
      <c r="D496" s="8" t="inlineStr">
        <is>
          <t>热轧优质碳素结构圆钢|钢棒|45|Φ3|GB/T 699-1999|热轧</t>
        </is>
      </c>
      <c r="E496" s="8" t="inlineStr">
        <is>
          <t xml:space="preserve">物资名称 热轧优质碳素结构圆钢;物资简称 钢棒;牌号 45;直径 Φ3;技术标准号 GB/T 699-1999;加工工艺 热轧;热处理工艺 ;特殊要求 ;规格标准号 </t>
        </is>
      </c>
      <c r="F496" s="4" t="inlineStr">
        <is>
          <t>千克</t>
        </is>
      </c>
    </row>
    <row r="497" s="21">
      <c r="A497" s="8" t="inlineStr">
        <is>
          <t>100201</t>
        </is>
      </c>
      <c r="B497" s="8" t="inlineStr">
        <is>
          <t>圆钢</t>
        </is>
      </c>
      <c r="C497" s="8" t="inlineStr">
        <is>
          <t>600983900</t>
        </is>
      </c>
      <c r="D497" s="8" t="inlineStr">
        <is>
          <t>热轧合金结构圆钢|圆钢|40Cr|Φ290|GB/T 3077-1999|热轧</t>
        </is>
      </c>
      <c r="E497" s="8" t="inlineStr">
        <is>
          <t xml:space="preserve">物资名称 热轧合金结构圆钢;物资简称 圆钢;牌号 40Cr;直径 Φ290;技术标准号 GB/T 3077-1999;加工工艺 热轧;热处理工艺 ;特殊要求 ;规格标准号 </t>
        </is>
      </c>
      <c r="F497" s="4" t="inlineStr">
        <is>
          <t>千克</t>
        </is>
      </c>
    </row>
    <row r="498" s="21">
      <c r="A498" s="8" t="inlineStr">
        <is>
          <t>100201</t>
        </is>
      </c>
      <c r="B498" s="8" t="inlineStr">
        <is>
          <t>圆钢</t>
        </is>
      </c>
      <c r="C498" s="8" t="inlineStr">
        <is>
          <t>600969100</t>
        </is>
      </c>
      <c r="D498" s="8" t="inlineStr">
        <is>
          <t>圆钢|圆钢|30CrMnSiA|GB/T 3077-1999</t>
        </is>
      </c>
      <c r="E498" s="8" t="inlineStr">
        <is>
          <t xml:space="preserve">物资名称 圆钢;物资简称 圆钢;牌号 30CrMnSiA;直径 Φ;技术标准号 GB/T 3077-1999;加工工艺 ;热处理工艺 ;特殊要求 ;规格标准号 </t>
        </is>
      </c>
      <c r="F498" s="4" t="inlineStr">
        <is>
          <t>千克</t>
        </is>
      </c>
    </row>
    <row r="499" s="21">
      <c r="A499" s="8" t="inlineStr">
        <is>
          <t>100201</t>
        </is>
      </c>
      <c r="B499" s="8" t="inlineStr">
        <is>
          <t>圆钢</t>
        </is>
      </c>
      <c r="C499" s="8" t="inlineStr">
        <is>
          <t>600950600</t>
        </is>
      </c>
      <c r="D499" s="8" t="inlineStr">
        <is>
          <t>不锈钢棒|钢棒|2Cr13|GB/T 1220-1992</t>
        </is>
      </c>
      <c r="E499" s="8" t="inlineStr">
        <is>
          <t xml:space="preserve">物资名称 不锈钢棒;物资简称 钢棒;牌号 2Cr13;直径 Φ;技术标准号 GB/T 1220-1992;加工工艺 ;热处理工艺 ;特殊要求 ;规格标准号 </t>
        </is>
      </c>
      <c r="F499" s="4" t="inlineStr">
        <is>
          <t>千克</t>
        </is>
      </c>
    </row>
    <row r="500" s="21">
      <c r="A500" s="8" t="inlineStr">
        <is>
          <t>100201</t>
        </is>
      </c>
      <c r="B500" s="8" t="inlineStr">
        <is>
          <t>圆钢</t>
        </is>
      </c>
      <c r="C500" s="8" t="inlineStr">
        <is>
          <t>600949900</t>
        </is>
      </c>
      <c r="D500" s="8" t="inlineStr">
        <is>
          <t>不锈钢棒|钢棒|不锈钢Y1Cr18Ni9|GB/T 1220-1992</t>
        </is>
      </c>
      <c r="E500" s="8" t="inlineStr">
        <is>
          <t xml:space="preserve">物资名称 不锈钢棒;物资简称 钢棒;牌号 不锈钢Y1Cr18Ni9;直径 Φ;技术标准号 GB/T 1220-1992;加工工艺 ;热处理工艺 ;特殊要求 ;规格标准号 </t>
        </is>
      </c>
      <c r="F500" s="4" t="inlineStr">
        <is>
          <t>千克</t>
        </is>
      </c>
    </row>
    <row r="501" s="21">
      <c r="A501" s="8" t="inlineStr">
        <is>
          <t>100201</t>
        </is>
      </c>
      <c r="B501" s="8" t="inlineStr">
        <is>
          <t>圆钢</t>
        </is>
      </c>
      <c r="C501" s="8" t="inlineStr">
        <is>
          <t>600947500</t>
        </is>
      </c>
      <c r="D501" s="8" t="inlineStr">
        <is>
          <t>热轧优质碳素结构圆钢|圆钢|45|Φ265|GB/T 699-1999|热轧|GB/T 702-2008</t>
        </is>
      </c>
      <c r="E501" s="8" t="inlineStr">
        <is>
          <t>物资名称 热轧优质碳素结构圆钢;物资简称 圆钢;牌号 45;直径 Φ265;技术标准号 GB/T 699-1999;加工工艺 热轧;热处理工艺 ;特殊要求 ;规格标准号 GB/T 702-2008</t>
        </is>
      </c>
      <c r="F501" s="4" t="inlineStr">
        <is>
          <t>千克</t>
        </is>
      </c>
    </row>
    <row r="502" s="21">
      <c r="A502" s="8" t="inlineStr">
        <is>
          <t>100201</t>
        </is>
      </c>
      <c r="B502" s="8" t="inlineStr">
        <is>
          <t>圆钢</t>
        </is>
      </c>
      <c r="C502" s="8" t="inlineStr">
        <is>
          <t>600947400</t>
        </is>
      </c>
      <c r="D502" s="8" t="inlineStr">
        <is>
          <t>热轧不锈圆钢|圆钢|40Cr13|Φ15|GB/T 1220-2007|热轧|GB/T 702-2008</t>
        </is>
      </c>
      <c r="E502" s="8" t="inlineStr">
        <is>
          <t>物资名称 热轧不锈圆钢;物资简称 圆钢;牌号 40Cr13;直径 Φ15;技术标准号 GB/T 1220-2007;加工工艺 热轧;热处理工艺 ;特殊要求 ;规格标准号 GB/T 702-2008</t>
        </is>
      </c>
      <c r="F502" s="4" t="inlineStr">
        <is>
          <t>千克</t>
        </is>
      </c>
    </row>
    <row r="503" s="21">
      <c r="A503" s="8" t="inlineStr">
        <is>
          <t>100201</t>
        </is>
      </c>
      <c r="B503" s="8" t="inlineStr">
        <is>
          <t>圆钢</t>
        </is>
      </c>
      <c r="C503" s="8" t="inlineStr">
        <is>
          <t>600947300</t>
        </is>
      </c>
      <c r="D503" s="8" t="inlineStr">
        <is>
          <t>热轧合金结构圆钢|圆钢|30CrMnSiA|Φ70|GB/T 3077-1999|热轧|GB/T 702-2008</t>
        </is>
      </c>
      <c r="E503" s="8" t="inlineStr">
        <is>
          <t>物资名称 热轧合金结构圆钢;物资简称 圆钢;牌号 30CrMnSiA;直径 Φ70;技术标准号 GB/T 3077-1999;加工工艺 热轧;热处理工艺 ;特殊要求 ;规格标准号 GB/T 702-2008</t>
        </is>
      </c>
      <c r="F503" s="4" t="inlineStr">
        <is>
          <t>千克</t>
        </is>
      </c>
    </row>
    <row r="504" s="21">
      <c r="A504" s="8" t="inlineStr">
        <is>
          <t>100201</t>
        </is>
      </c>
      <c r="B504" s="8" t="inlineStr">
        <is>
          <t>圆钢</t>
        </is>
      </c>
      <c r="C504" s="8" t="inlineStr">
        <is>
          <t>600947200</t>
        </is>
      </c>
      <c r="D504" s="8" t="inlineStr">
        <is>
          <t>热轧合金结构圆钢|圆钢|30CrMnSiA|Φ30|GB/T 3077-1999|热轧|GB/T 702-2008</t>
        </is>
      </c>
      <c r="E504" s="8" t="inlineStr">
        <is>
          <t>物资名称 热轧合金结构圆钢;物资简称 圆钢;牌号 30CrMnSiA;直径 Φ30;技术标准号 GB/T 3077-1999;加工工艺 热轧;热处理工艺 ;特殊要求 ;规格标准号 GB/T 702-2008</t>
        </is>
      </c>
      <c r="F504" s="4" t="inlineStr">
        <is>
          <t>千克</t>
        </is>
      </c>
    </row>
    <row r="505" s="21">
      <c r="A505" s="8" t="inlineStr">
        <is>
          <t>100201</t>
        </is>
      </c>
      <c r="B505" s="8" t="inlineStr">
        <is>
          <t>圆钢</t>
        </is>
      </c>
      <c r="C505" s="8" t="inlineStr">
        <is>
          <t>600947100</t>
        </is>
      </c>
      <c r="D505" s="8" t="inlineStr">
        <is>
          <t>热轧不锈圆钢|钢棒|1Cr17Ni2|Φ8|GB/T 1220-1992|GB/T 702-2008</t>
        </is>
      </c>
      <c r="E505" s="8" t="inlineStr">
        <is>
          <t>物资名称 热轧不锈圆钢;物资简称 钢棒;牌号 1Cr17Ni2;直径 Φ8;技术标准号 GB/T 1220-1992;加工工艺 ;热处理工艺 ;特殊要求 ;规格标准号 GB/T 702-2008</t>
        </is>
      </c>
      <c r="F505" s="4" t="inlineStr">
        <is>
          <t>千克</t>
        </is>
      </c>
    </row>
    <row r="506" s="21">
      <c r="A506" s="8" t="inlineStr">
        <is>
          <t>100201</t>
        </is>
      </c>
      <c r="B506" s="8" t="inlineStr">
        <is>
          <t>圆钢</t>
        </is>
      </c>
      <c r="C506" s="8" t="inlineStr">
        <is>
          <t>600940600</t>
        </is>
      </c>
      <c r="D506" s="8" t="inlineStr">
        <is>
          <t>圆钢|圆钢|45|Φ13|GB/T 699-1999|GB/T 702-1986</t>
        </is>
      </c>
      <c r="E506" s="8" t="inlineStr">
        <is>
          <t>物资名称 圆钢;物资简称 圆钢;牌号 45;直径 Φ13;技术标准号 GB/T 699-1999;加工工艺 ;热处理工艺 ;特殊要求 ;规格标准号 GB/T 702-1986</t>
        </is>
      </c>
      <c r="F506" s="4" t="inlineStr">
        <is>
          <t>千克</t>
        </is>
      </c>
    </row>
    <row r="507" s="21">
      <c r="A507" s="8" t="inlineStr">
        <is>
          <t>100201</t>
        </is>
      </c>
      <c r="B507" s="8" t="inlineStr">
        <is>
          <t>圆钢</t>
        </is>
      </c>
      <c r="C507" s="8" t="inlineStr">
        <is>
          <t>600940500</t>
        </is>
      </c>
      <c r="D507" s="8" t="inlineStr">
        <is>
          <t>圆钢|圆钢|45|Φ7|GB/T 699-1999|GB/T 702-1986</t>
        </is>
      </c>
      <c r="E507" s="8" t="inlineStr">
        <is>
          <t>物资名称 圆钢;物资简称 圆钢;牌号 45;直径 Φ7;技术标准号 GB/T 699-1999;加工工艺 ;热处理工艺 ;特殊要求 ;规格标准号 GB/T 702-1986</t>
        </is>
      </c>
      <c r="F507" s="4" t="inlineStr">
        <is>
          <t>千克</t>
        </is>
      </c>
    </row>
    <row r="508" s="21">
      <c r="A508" s="8" t="inlineStr">
        <is>
          <t>100201</t>
        </is>
      </c>
      <c r="B508" s="8" t="inlineStr">
        <is>
          <t>圆钢</t>
        </is>
      </c>
      <c r="C508" s="8" t="inlineStr">
        <is>
          <t>600924800</t>
        </is>
      </c>
      <c r="D508" s="8" t="inlineStr">
        <is>
          <t>六角钢|六角钢|30CrMnSi|GB/T 3077-1999</t>
        </is>
      </c>
      <c r="E508" s="8" t="inlineStr">
        <is>
          <t xml:space="preserve">物资名称 六角钢;物资简称 六角钢;牌号 30CrMnSi;直径 Φ;技术标准号 GB/T 3077-1999;加工工艺 ;热处理工艺 ;特殊要求 ;规格标准号 </t>
        </is>
      </c>
      <c r="F508" s="4" t="inlineStr">
        <is>
          <t>千克</t>
        </is>
      </c>
    </row>
    <row r="509" s="21">
      <c r="A509" s="8" t="inlineStr">
        <is>
          <t>100201</t>
        </is>
      </c>
      <c r="B509" s="8" t="inlineStr">
        <is>
          <t>圆钢</t>
        </is>
      </c>
      <c r="C509" s="8" t="inlineStr">
        <is>
          <t>600917700</t>
        </is>
      </c>
      <c r="D509" s="8" t="inlineStr">
        <is>
          <t>圆钢|圆钢|20|GB/T 699-1999</t>
        </is>
      </c>
      <c r="E509" s="8" t="inlineStr">
        <is>
          <t xml:space="preserve">物资名称 圆钢;物资简称 圆钢;牌号 20;直径 Φ;技术标准号 GB/T 699-1999;加工工艺 ;热处理工艺 ;特殊要求 ;规格标准号 </t>
        </is>
      </c>
      <c r="F509" s="4" t="inlineStr">
        <is>
          <t>千克</t>
        </is>
      </c>
    </row>
    <row r="510" s="21">
      <c r="A510" s="8" t="inlineStr">
        <is>
          <t>100201</t>
        </is>
      </c>
      <c r="B510" s="8" t="inlineStr">
        <is>
          <t>圆钢</t>
        </is>
      </c>
      <c r="C510" s="8" t="inlineStr">
        <is>
          <t>600917600</t>
        </is>
      </c>
      <c r="D510" s="8" t="inlineStr">
        <is>
          <t>圆钢|圆钢|30CrMnSiA|GB/T 3078-1994</t>
        </is>
      </c>
      <c r="E510" s="8" t="inlineStr">
        <is>
          <t xml:space="preserve">物资名称 圆钢;物资简称 圆钢;牌号 30CrMnSiA;直径 Φ;技术标准号 GB/T 3078-1994;加工工艺 ;热处理工艺 ;特殊要求 ;规格标准号 </t>
        </is>
      </c>
      <c r="F510" s="4" t="inlineStr">
        <is>
          <t>千克</t>
        </is>
      </c>
    </row>
    <row r="511" s="21">
      <c r="A511" s="8" t="inlineStr">
        <is>
          <t>100201</t>
        </is>
      </c>
      <c r="B511" s="8" t="inlineStr">
        <is>
          <t>圆钢</t>
        </is>
      </c>
      <c r="C511" s="8" t="inlineStr">
        <is>
          <t>600913400</t>
        </is>
      </c>
      <c r="D511" s="8" t="inlineStr">
        <is>
          <t>棒|棒|Y2Cr13Ni2|Φ25|GB/T 2294-95</t>
        </is>
      </c>
      <c r="E511" s="8" t="inlineStr">
        <is>
          <t xml:space="preserve">物资名称 棒;物资简称 棒;牌号 Y2Cr13Ni2;直径 Φ25;技术标准号 GB/T 2294-95;加工工艺 ;热处理工艺 ;特殊要求 ;规格标准号 </t>
        </is>
      </c>
      <c r="F511" s="4" t="inlineStr">
        <is>
          <t>千克</t>
        </is>
      </c>
    </row>
    <row r="512" s="21">
      <c r="A512" s="8" t="inlineStr">
        <is>
          <t>100201</t>
        </is>
      </c>
      <c r="B512" s="8" t="inlineStr">
        <is>
          <t>圆钢</t>
        </is>
      </c>
      <c r="C512" s="8" t="inlineStr">
        <is>
          <t>600910000</t>
        </is>
      </c>
      <c r="D512" s="8" t="inlineStr">
        <is>
          <t>圆钢|圆钢|45|GB/T 699-1999</t>
        </is>
      </c>
      <c r="E512" s="8" t="inlineStr">
        <is>
          <t xml:space="preserve">物资名称 圆钢;物资简称 圆钢;牌号 45;直径 Φ;技术标准号 GB/T 699-1999;加工工艺 ;热处理工艺 ;特殊要求 ;规格标准号 </t>
        </is>
      </c>
      <c r="F512" s="4" t="inlineStr">
        <is>
          <t>千克</t>
        </is>
      </c>
    </row>
    <row r="513" s="21">
      <c r="A513" s="8" t="inlineStr">
        <is>
          <t>100201</t>
        </is>
      </c>
      <c r="B513" s="8" t="inlineStr">
        <is>
          <t>圆钢</t>
        </is>
      </c>
      <c r="C513" s="8" t="inlineStr">
        <is>
          <t>600909400</t>
        </is>
      </c>
      <c r="D513" s="8" t="inlineStr">
        <is>
          <t>圆钢|圆钢|Y20|GB/T 8731-1988</t>
        </is>
      </c>
      <c r="E513" s="8" t="inlineStr">
        <is>
          <t xml:space="preserve">物资名称 圆钢;物资简称 圆钢;牌号 Y20;直径 Φ;技术标准号 GB/T 8731-1988;加工工艺 ;热处理工艺 ;特殊要求 ;规格标准号 </t>
        </is>
      </c>
      <c r="F513" s="4" t="inlineStr">
        <is>
          <t>千克</t>
        </is>
      </c>
    </row>
    <row r="514" s="21">
      <c r="A514" s="8" t="inlineStr">
        <is>
          <t>100201</t>
        </is>
      </c>
      <c r="B514" s="8" t="inlineStr">
        <is>
          <t>圆钢</t>
        </is>
      </c>
      <c r="C514" s="8" t="inlineStr">
        <is>
          <t>600909200</t>
        </is>
      </c>
      <c r="D514" s="8" t="inlineStr">
        <is>
          <t>圆钢|圆钢|Y2Cr13Ni2|GJB 2294-95</t>
        </is>
      </c>
      <c r="E514" s="8" t="inlineStr">
        <is>
          <t xml:space="preserve">物资名称 圆钢;物资简称 圆钢;牌号 Y2Cr13Ni2;直径 Φ;技术标准号 GJB 2294-95;加工工艺 ;热处理工艺 ;特殊要求 ;规格标准号 </t>
        </is>
      </c>
      <c r="F514" s="4" t="inlineStr">
        <is>
          <t>千克</t>
        </is>
      </c>
    </row>
    <row r="515" s="21">
      <c r="A515" s="8" t="inlineStr">
        <is>
          <t>100201</t>
        </is>
      </c>
      <c r="B515" s="8" t="inlineStr">
        <is>
          <t>圆钢</t>
        </is>
      </c>
      <c r="C515" s="8" t="inlineStr">
        <is>
          <t>600908800</t>
        </is>
      </c>
      <c r="D515" s="8" t="inlineStr">
        <is>
          <t>圆钢|圆钢|Y2Cr13Ni2|GJB 2294-1995</t>
        </is>
      </c>
      <c r="E515" s="8" t="inlineStr">
        <is>
          <t xml:space="preserve">物资名称 圆钢;物资简称 圆钢;牌号 Y2Cr13Ni2;直径 Φ;技术标准号 GJB 2294-1995;加工工艺 ;热处理工艺 ;特殊要求 ;规格标准号 </t>
        </is>
      </c>
      <c r="F515" s="4" t="inlineStr">
        <is>
          <t>千克</t>
        </is>
      </c>
    </row>
    <row r="516" s="21">
      <c r="A516" s="8" t="inlineStr">
        <is>
          <t>100201</t>
        </is>
      </c>
      <c r="B516" s="8" t="inlineStr">
        <is>
          <t>圆钢</t>
        </is>
      </c>
      <c r="C516" s="8" t="inlineStr">
        <is>
          <t>600901000</t>
        </is>
      </c>
      <c r="D516" s="8" t="inlineStr">
        <is>
          <t>热轧合金结构圆钢|圆钢|30CrMnSiA|GB/T 3077-1999|热轧|GB/T 702-2008</t>
        </is>
      </c>
      <c r="E516" s="8" t="inlineStr">
        <is>
          <t>物资名称 热轧合金结构圆钢;物资简称 圆钢;牌号 30CrMnSiA;直径 Φ;技术标准号 GB/T 3077-1999;加工工艺 热轧;热处理工艺 ;特殊要求 ;规格标准号 GB/T 702-2008</t>
        </is>
      </c>
      <c r="F516" s="4" t="inlineStr">
        <is>
          <t>千克</t>
        </is>
      </c>
    </row>
    <row r="517" s="21">
      <c r="A517" s="8" t="inlineStr">
        <is>
          <t>100201</t>
        </is>
      </c>
      <c r="B517" s="8" t="inlineStr">
        <is>
          <t>圆钢</t>
        </is>
      </c>
      <c r="C517" s="8" t="inlineStr">
        <is>
          <t>600894600</t>
        </is>
      </c>
      <c r="D517" s="8" t="inlineStr">
        <is>
          <t>合金结构圆钢|圆钢|30CrMnSi|Φ48|GB/T 3077-1999</t>
        </is>
      </c>
      <c r="E517" s="8" t="inlineStr">
        <is>
          <t xml:space="preserve">物资名称 合金结构圆钢;物资简称 圆钢;牌号 30CrMnSi;直径 Φ48;技术标准号 GB/T 3077-1999;加工工艺 ;热处理工艺 ;特殊要求 ;规格标准号 </t>
        </is>
      </c>
      <c r="F517" s="4" t="inlineStr">
        <is>
          <t>千克</t>
        </is>
      </c>
    </row>
    <row r="518" s="21">
      <c r="A518" s="8" t="inlineStr">
        <is>
          <t>100201</t>
        </is>
      </c>
      <c r="B518" s="8" t="inlineStr">
        <is>
          <t>圆钢</t>
        </is>
      </c>
      <c r="C518" s="8" t="inlineStr">
        <is>
          <t>600891400</t>
        </is>
      </c>
      <c r="D518" s="8" t="inlineStr">
        <is>
          <t>热轧合金结构圆钢|圆钢|35CrMnSiA|Φ70|GB/T 3077-1999|热轧|退火|GB/T 702-2008</t>
        </is>
      </c>
      <c r="E518" s="8" t="inlineStr">
        <is>
          <t>物资名称 热轧合金结构圆钢;物资简称 圆钢;牌号 35CrMnSiA;直径 Φ70;技术标准号 GB/T 3077-1999;加工工艺 热轧;热处理工艺 退火;特殊要求 ;规格标准号 GB/T 702-2008</t>
        </is>
      </c>
      <c r="F518" s="4" t="inlineStr">
        <is>
          <t>千克</t>
        </is>
      </c>
    </row>
    <row r="519" s="21">
      <c r="A519" s="8" t="inlineStr">
        <is>
          <t>100201</t>
        </is>
      </c>
      <c r="B519" s="8" t="inlineStr">
        <is>
          <t>圆钢</t>
        </is>
      </c>
      <c r="C519" s="8" t="inlineStr">
        <is>
          <t>600844200</t>
        </is>
      </c>
      <c r="D519" s="8" t="inlineStr">
        <is>
          <t>热轧不锈圆钢|圆钢|1Cr17Ni2|GB 1220-1992|GB/T702-2008</t>
        </is>
      </c>
      <c r="E519" s="8" t="inlineStr">
        <is>
          <t>物资名称 热轧不锈圆钢;物资简称 圆钢;牌号 1Cr17Ni2;直径 Φ;技术标准号 GB 1220-1992;加工工艺 ;热处理工艺 ;特殊要求 ;规格标准号 GB/T702-2008</t>
        </is>
      </c>
      <c r="F519" s="4" t="inlineStr">
        <is>
          <t>千克</t>
        </is>
      </c>
    </row>
    <row r="520" s="21">
      <c r="A520" s="8" t="inlineStr">
        <is>
          <t>100201</t>
        </is>
      </c>
      <c r="B520" s="8" t="inlineStr">
        <is>
          <t>圆钢</t>
        </is>
      </c>
      <c r="C520" s="8" t="inlineStr">
        <is>
          <t>600844100</t>
        </is>
      </c>
      <c r="D520" s="8" t="inlineStr">
        <is>
          <t>热轧不锈圆钢|圆钢|1Cr17Ni2|Φ6|GB 1220-1992|GB/T 702-2008</t>
        </is>
      </c>
      <c r="E520" s="8" t="inlineStr">
        <is>
          <t>物资名称 热轧不锈圆钢;物资简称 圆钢;牌号 1Cr17Ni2;直径 Φ6;技术标准号 GB 1220-1992;加工工艺 ;热处理工艺 ;特殊要求 ;规格标准号 GB/T 702-2008</t>
        </is>
      </c>
      <c r="F520" s="4" t="inlineStr">
        <is>
          <t>千克</t>
        </is>
      </c>
    </row>
    <row r="521" s="21">
      <c r="A521" s="8" t="inlineStr">
        <is>
          <t>100201</t>
        </is>
      </c>
      <c r="B521" s="8" t="inlineStr">
        <is>
          <t>圆钢</t>
        </is>
      </c>
      <c r="C521" s="8" t="inlineStr">
        <is>
          <t>600843300</t>
        </is>
      </c>
      <c r="D521" s="8" t="inlineStr">
        <is>
          <t>冷拉优质碳素结构圆钢|圆钢|20|Φ18|GB/T 3078-2008|冷拉|允许偏差级别12|GB/T 905-1994</t>
        </is>
      </c>
      <c r="E521" s="8" t="inlineStr">
        <is>
          <t>物资名称 冷拉优质碳素结构圆钢;物资简称 圆钢;牌号 20;直径 Φ18;技术标准号 GB/T 3078-2008;加工工艺 冷拉;热处理工艺 ;特殊要求 允许偏差级别12;规格标准号 GB/T 905-1994</t>
        </is>
      </c>
      <c r="F521" s="4" t="inlineStr">
        <is>
          <t>千克</t>
        </is>
      </c>
    </row>
    <row r="522" s="21">
      <c r="A522" s="8" t="inlineStr">
        <is>
          <t>100201</t>
        </is>
      </c>
      <c r="B522" s="8" t="inlineStr">
        <is>
          <t>圆钢</t>
        </is>
      </c>
      <c r="C522" s="8" t="inlineStr">
        <is>
          <t>600843200</t>
        </is>
      </c>
      <c r="D522" s="8" t="inlineStr">
        <is>
          <t>冷拉优质碳素结构圆钢|圆钢|20|Φ4.5|GB/T 3078-2008|冷拉|允许偏差级别12|GB/T 905-1994</t>
        </is>
      </c>
      <c r="E522" s="8" t="inlineStr">
        <is>
          <t>物资名称 冷拉优质碳素结构圆钢;物资简称 圆钢;牌号 20;直径 Φ4.5;技术标准号 GB/T 3078-2008;加工工艺 冷拉;热处理工艺 ;特殊要求 允许偏差级别12;规格标准号 GB/T 905-1994</t>
        </is>
      </c>
      <c r="F522" s="4" t="inlineStr">
        <is>
          <t>千克</t>
        </is>
      </c>
    </row>
    <row r="523" s="21">
      <c r="A523" s="8" t="inlineStr">
        <is>
          <t>100201</t>
        </is>
      </c>
      <c r="B523" s="8" t="inlineStr">
        <is>
          <t>圆钢</t>
        </is>
      </c>
      <c r="C523" s="8" t="inlineStr">
        <is>
          <t>600843000</t>
        </is>
      </c>
      <c r="D523" s="8" t="inlineStr">
        <is>
          <t>航空用不锈钢棒|不锈钢棒|1Cr17Ni2|GJB 2294-1995</t>
        </is>
      </c>
      <c r="E523" s="8" t="inlineStr">
        <is>
          <t xml:space="preserve">物资名称 航空用不锈钢棒;物资简称 不锈钢棒;牌号 1Cr17Ni2;直径 Φ;技术标准号 GJB 2294-1995;加工工艺 ;热处理工艺 ;特殊要求 ;规格标准号 </t>
        </is>
      </c>
      <c r="F523" s="4" t="inlineStr">
        <is>
          <t>千克</t>
        </is>
      </c>
    </row>
    <row r="524" s="21">
      <c r="A524" s="8" t="inlineStr">
        <is>
          <t>100201</t>
        </is>
      </c>
      <c r="B524" s="8" t="inlineStr">
        <is>
          <t>圆钢</t>
        </is>
      </c>
      <c r="C524" s="8" t="inlineStr">
        <is>
          <t>600842900</t>
        </is>
      </c>
      <c r="D524" s="8" t="inlineStr">
        <is>
          <t>航空用优质结构圆钢|圆钢|38CrMoAlA|GJB 1951-1994</t>
        </is>
      </c>
      <c r="E524" s="8" t="inlineStr">
        <is>
          <t xml:space="preserve">物资名称 航空用优质结构圆钢;物资简称 圆钢;牌号 38CrMoAlA;直径 Φ;技术标准号 GJB 1951-1994;加工工艺 ;热处理工艺 ;特殊要求 ;规格标准号 </t>
        </is>
      </c>
      <c r="F524" s="4" t="inlineStr">
        <is>
          <t>千克</t>
        </is>
      </c>
    </row>
    <row r="525" s="21">
      <c r="A525" s="8" t="inlineStr">
        <is>
          <t>100201</t>
        </is>
      </c>
      <c r="B525" s="8" t="inlineStr">
        <is>
          <t>圆钢</t>
        </is>
      </c>
      <c r="C525" s="8" t="inlineStr">
        <is>
          <t>600842700</t>
        </is>
      </c>
      <c r="D525" s="8" t="inlineStr">
        <is>
          <t>航空用优质结构圆钢|圆钢|38CrMoAlA|Φ50|GJB 1951-1994|GB/T 702-2008</t>
        </is>
      </c>
      <c r="E525" s="8" t="inlineStr">
        <is>
          <t>物资名称 航空用优质结构圆钢;物资简称 圆钢;牌号 38CrMoAlA;直径 Φ50;技术标准号 GJB 1951-1994;加工工艺 ;热处理工艺 ;特殊要求 ;规格标准号 GB/T 702-2008</t>
        </is>
      </c>
      <c r="F525" s="4" t="inlineStr">
        <is>
          <t>千克</t>
        </is>
      </c>
    </row>
    <row r="526" s="21">
      <c r="A526" s="8" t="inlineStr">
        <is>
          <t>100201</t>
        </is>
      </c>
      <c r="B526" s="8" t="inlineStr">
        <is>
          <t>圆钢</t>
        </is>
      </c>
      <c r="C526" s="8" t="inlineStr">
        <is>
          <t>600842600</t>
        </is>
      </c>
      <c r="D526" s="8" t="inlineStr">
        <is>
          <t>航空用优质结构圆钢|圆钢|38CrMoAlA|Φ110|GJB 1951-1994|GB/T 702-2008</t>
        </is>
      </c>
      <c r="E526" s="8" t="inlineStr">
        <is>
          <t>物资名称 航空用优质结构圆钢;物资简称 圆钢;牌号 38CrMoAlA;直径 Φ110;技术标准号 GJB 1951-1994;加工工艺 ;热处理工艺 ;特殊要求 ;规格标准号 GB/T 702-2008</t>
        </is>
      </c>
      <c r="F526" s="4" t="inlineStr">
        <is>
          <t>千克</t>
        </is>
      </c>
    </row>
    <row r="527" s="21">
      <c r="A527" s="8" t="inlineStr">
        <is>
          <t>100201</t>
        </is>
      </c>
      <c r="B527" s="8" t="inlineStr">
        <is>
          <t>圆钢</t>
        </is>
      </c>
      <c r="C527" s="8" t="inlineStr">
        <is>
          <t>600837600</t>
        </is>
      </c>
      <c r="D527" s="8" t="inlineStr">
        <is>
          <t>热轧不锈圆钢|圆钢|1Cr17Ni2|Φ6|GB/T1220-1992|GB/T702-2008</t>
        </is>
      </c>
      <c r="E527" s="8" t="inlineStr">
        <is>
          <t>物资名称 热轧不锈圆钢;物资简称 圆钢;牌号 1Cr17Ni2;直径 Φ6;技术标准号 GB/T1220-1992;加工工艺 ;热处理工艺 ;特殊要求 ;规格标准号 GB/T702-2008</t>
        </is>
      </c>
      <c r="F527" s="4" t="inlineStr">
        <is>
          <t>千克</t>
        </is>
      </c>
    </row>
    <row r="528" s="21">
      <c r="A528" s="8" t="inlineStr">
        <is>
          <t>100201</t>
        </is>
      </c>
      <c r="B528" s="8" t="inlineStr">
        <is>
          <t>圆钢</t>
        </is>
      </c>
      <c r="C528" s="8" t="inlineStr">
        <is>
          <t>600837500</t>
        </is>
      </c>
      <c r="D528" s="8" t="inlineStr">
        <is>
          <t>热轧弹簧圆钢|圆钢|60Si2MnA|Φ6|GB/T1222-2007|GB/T702-2008</t>
        </is>
      </c>
      <c r="E528" s="8" t="inlineStr">
        <is>
          <t>物资名称 热轧弹簧圆钢;物资简称 圆钢;牌号 60Si2MnA;直径 Φ6;技术标准号 GB/T1222-2007;加工工艺 ;热处理工艺 ;特殊要求 ;规格标准号 GB/T702-2008</t>
        </is>
      </c>
      <c r="F528" s="4" t="inlineStr">
        <is>
          <t>千克</t>
        </is>
      </c>
    </row>
    <row r="529" s="21">
      <c r="A529" s="8" t="inlineStr">
        <is>
          <t>100201</t>
        </is>
      </c>
      <c r="B529" s="8" t="inlineStr">
        <is>
          <t>圆钢</t>
        </is>
      </c>
      <c r="C529" s="8" t="inlineStr">
        <is>
          <t>600823700</t>
        </is>
      </c>
      <c r="D529" s="8" t="inlineStr">
        <is>
          <t>热轧合金结构圆钢|圆钢|30CrMnSiA|Φ10|GB/T 3077-1999|GB/T 702-2008</t>
        </is>
      </c>
      <c r="E529" s="8" t="inlineStr">
        <is>
          <t>物资名称 热轧合金结构圆钢;物资简称 圆钢;牌号 30CrMnSiA;直径 Φ10;技术标准号 GB/T 3077-1999;加工工艺 ;热处理工艺 ;特殊要求 ;规格标准号 GB/T 702-2008</t>
        </is>
      </c>
      <c r="F529" s="4" t="inlineStr">
        <is>
          <t>千克</t>
        </is>
      </c>
    </row>
    <row r="530" s="21">
      <c r="A530" s="8" t="inlineStr">
        <is>
          <t>100201</t>
        </is>
      </c>
      <c r="B530" s="8" t="inlineStr">
        <is>
          <t>圆钢</t>
        </is>
      </c>
      <c r="C530" s="8" t="inlineStr">
        <is>
          <t>600823600</t>
        </is>
      </c>
      <c r="D530" s="8" t="inlineStr">
        <is>
          <t>热轧优质碳素结构圆钢|圆钢|45|Φ17|GB/T 699-1999|热轧|GB/T 702-2008</t>
        </is>
      </c>
      <c r="E530" s="8" t="inlineStr">
        <is>
          <t>物资名称 热轧优质碳素结构圆钢;物资简称 圆钢;牌号 45;直径 Φ17;技术标准号 GB/T 699-1999;加工工艺 热轧;热处理工艺 ;特殊要求 ;规格标准号 GB/T 702-2008</t>
        </is>
      </c>
      <c r="F530" s="4" t="inlineStr">
        <is>
          <t>千克</t>
        </is>
      </c>
    </row>
    <row r="531" s="21">
      <c r="A531" s="8" t="inlineStr">
        <is>
          <t>100201</t>
        </is>
      </c>
      <c r="B531" s="8" t="inlineStr">
        <is>
          <t>圆钢</t>
        </is>
      </c>
      <c r="C531" s="8" t="inlineStr">
        <is>
          <t>600823500</t>
        </is>
      </c>
      <c r="D531" s="8" t="inlineStr">
        <is>
          <t>热轧优质碳素结构圆钢|圆钢|45|Φ9|GB/T 699-1999|热轧|GB/T 702-2008</t>
        </is>
      </c>
      <c r="E531" s="8" t="inlineStr">
        <is>
          <t>物资名称 热轧优质碳素结构圆钢;物资简称 圆钢;牌号 45;直径 Φ9;技术标准号 GB/T 699-1999;加工工艺 热轧;热处理工艺 ;特殊要求 ;规格标准号 GB/T 702-2008</t>
        </is>
      </c>
      <c r="F531" s="4" t="inlineStr">
        <is>
          <t>千克</t>
        </is>
      </c>
    </row>
    <row r="532" s="21">
      <c r="A532" s="8" t="inlineStr">
        <is>
          <t>100201</t>
        </is>
      </c>
      <c r="B532" s="8" t="inlineStr">
        <is>
          <t>圆钢</t>
        </is>
      </c>
      <c r="C532" s="8" t="inlineStr">
        <is>
          <t>600823400</t>
        </is>
      </c>
      <c r="D532" s="8" t="inlineStr">
        <is>
          <t>热轧合金结构圆钢|圆钢|30CrMnSiA|Φ48|GB/T 3077-1999|热轧|GB/T 702-2008</t>
        </is>
      </c>
      <c r="E532" s="8" t="inlineStr">
        <is>
          <t>物资名称 热轧合金结构圆钢;物资简称 圆钢;牌号 30CrMnSiA;直径 Φ48;技术标准号 GB/T 3077-1999;加工工艺 热轧;热处理工艺 ;特殊要求 ;规格标准号 GB/T 702-2008</t>
        </is>
      </c>
      <c r="F532" s="4" t="inlineStr">
        <is>
          <t>千克</t>
        </is>
      </c>
    </row>
    <row r="533" s="21">
      <c r="A533" s="8" t="inlineStr">
        <is>
          <t>100201</t>
        </is>
      </c>
      <c r="B533" s="8" t="inlineStr">
        <is>
          <t>圆钢</t>
        </is>
      </c>
      <c r="C533" s="8" t="inlineStr">
        <is>
          <t>600624900</t>
        </is>
      </c>
      <c r="D533" s="8" t="inlineStr">
        <is>
          <t>航空用不锈钢棒|钢棒|1Cr18Ni9Ti|GJB 2294-1995</t>
        </is>
      </c>
      <c r="E533" s="8" t="inlineStr">
        <is>
          <t xml:space="preserve">物资名称 航空用不锈钢棒;物资简称 钢棒;牌号 1Cr18Ni9Ti;直径 Φ;技术标准号 GJB 2294-1995;加工工艺 ;热处理工艺 ;特殊要求 ;规格标准号 </t>
        </is>
      </c>
      <c r="F533" s="4" t="inlineStr">
        <is>
          <t>千克</t>
        </is>
      </c>
    </row>
    <row r="534" s="21">
      <c r="A534" s="8" t="inlineStr">
        <is>
          <t>100201</t>
        </is>
      </c>
      <c r="B534" s="8" t="inlineStr">
        <is>
          <t>圆钢</t>
        </is>
      </c>
      <c r="C534" s="8" t="inlineStr">
        <is>
          <t>600624800</t>
        </is>
      </c>
      <c r="D534" s="8" t="inlineStr">
        <is>
          <t>热轧航空用不锈圆钢|圆钢|1Cr18Ni9Ti|GJB 2294-1995|GB/T 702-2008</t>
        </is>
      </c>
      <c r="E534" s="8" t="inlineStr">
        <is>
          <t>物资名称 热轧航空用不锈圆钢;物资简称 圆钢;牌号 1Cr18Ni9Ti;直径 Φ;技术标准号 GJB 2294-1995;加工工艺 ;热处理工艺 ;特殊要求 ;规格标准号 GB/T 702-2008</t>
        </is>
      </c>
      <c r="F534" s="4" t="inlineStr">
        <is>
          <t>千克</t>
        </is>
      </c>
    </row>
    <row r="535" s="21">
      <c r="A535" s="8" t="inlineStr">
        <is>
          <t>100201</t>
        </is>
      </c>
      <c r="B535" s="8" t="inlineStr">
        <is>
          <t>圆钢</t>
        </is>
      </c>
      <c r="C535" s="8" t="inlineStr">
        <is>
          <t>600624700</t>
        </is>
      </c>
      <c r="D535" s="8" t="inlineStr">
        <is>
          <t>热轧航空用不锈圆钢|圆钢|1Cr18Ni9Ti|Φ170|GJB 2294-1995|热轧|GB/T 702-2008</t>
        </is>
      </c>
      <c r="E535" s="8" t="inlineStr">
        <is>
          <t>物资名称 热轧航空用不锈圆钢;物资简称 圆钢;牌号 1Cr18Ni9Ti;直径 Φ170;技术标准号 GJB 2294-1995;加工工艺 热轧;热处理工艺 ;特殊要求 ;规格标准号 GB/T 702-2008</t>
        </is>
      </c>
      <c r="F535" s="4" t="inlineStr">
        <is>
          <t>千克</t>
        </is>
      </c>
    </row>
    <row r="536" s="21">
      <c r="A536" s="8" t="inlineStr">
        <is>
          <t>100201</t>
        </is>
      </c>
      <c r="B536" s="8" t="inlineStr">
        <is>
          <t>圆钢</t>
        </is>
      </c>
      <c r="C536" s="8" t="inlineStr">
        <is>
          <t>600624600</t>
        </is>
      </c>
      <c r="D536" s="8" t="inlineStr">
        <is>
          <t>热轧不锈圆钢|圆钢|1Cr18Ni9Ti|GB 1220-1992|GB/T 702-2008</t>
        </is>
      </c>
      <c r="E536" s="8" t="inlineStr">
        <is>
          <t>物资名称 热轧不锈圆钢;物资简称 圆钢;牌号 1Cr18Ni9Ti;直径 Φ;技术标准号 GB 1220-1992;加工工艺 ;热处理工艺 ;特殊要求 ;规格标准号 GB/T 702-2008</t>
        </is>
      </c>
      <c r="F536" s="4" t="inlineStr">
        <is>
          <t>千克</t>
        </is>
      </c>
    </row>
    <row r="537" s="21">
      <c r="A537" s="8" t="inlineStr">
        <is>
          <t>100201</t>
        </is>
      </c>
      <c r="B537" s="8" t="inlineStr">
        <is>
          <t>圆钢</t>
        </is>
      </c>
      <c r="C537" s="8" t="inlineStr">
        <is>
          <t>600624500</t>
        </is>
      </c>
      <c r="D537" s="8" t="inlineStr">
        <is>
          <t>热轧不锈圆钢|圆钢|1Cr18Ni9Ti|Φ10|GB 1220-1992|热轧|GB/T 702-2008</t>
        </is>
      </c>
      <c r="E537" s="8" t="inlineStr">
        <is>
          <t>物资名称 热轧不锈圆钢;物资简称 圆钢;牌号 1Cr18Ni9Ti;直径 Φ10;技术标准号 GB 1220-1992;加工工艺 热轧;热处理工艺 ;特殊要求 ;规格标准号 GB/T 702-2008</t>
        </is>
      </c>
      <c r="F537" s="4" t="inlineStr">
        <is>
          <t>千克</t>
        </is>
      </c>
    </row>
    <row r="538" s="21">
      <c r="A538" s="8" t="inlineStr">
        <is>
          <t>100201</t>
        </is>
      </c>
      <c r="B538" s="8" t="inlineStr">
        <is>
          <t>圆钢</t>
        </is>
      </c>
      <c r="C538" s="8" t="inlineStr">
        <is>
          <t>600624400</t>
        </is>
      </c>
      <c r="D538" s="8" t="inlineStr">
        <is>
          <t>热轧不锈圆钢|圆钢|1Cr18Ni9Ti|Φ13|GB 1220-1992|热轧|GB/T 702-2008</t>
        </is>
      </c>
      <c r="E538" s="8" t="inlineStr">
        <is>
          <t>物资名称 热轧不锈圆钢;物资简称 圆钢;牌号 1Cr18Ni9Ti;直径 Φ13;技术标准号 GB 1220-1992;加工工艺 热轧;热处理工艺 ;特殊要求 ;规格标准号 GB/T 702-2008</t>
        </is>
      </c>
      <c r="F538" s="4" t="inlineStr">
        <is>
          <t>千克</t>
        </is>
      </c>
    </row>
    <row r="539" s="21">
      <c r="A539" s="8" t="inlineStr">
        <is>
          <t>100201</t>
        </is>
      </c>
      <c r="B539" s="8" t="inlineStr">
        <is>
          <t>圆钢</t>
        </is>
      </c>
      <c r="C539" s="8" t="inlineStr">
        <is>
          <t>600624300</t>
        </is>
      </c>
      <c r="D539" s="8" t="inlineStr">
        <is>
          <t>热轧不锈圆钢|圆钢|1Cr18Ni9Ti|Φ14|GB 1220-1992|热轧|GB/T 702-2008</t>
        </is>
      </c>
      <c r="E539" s="8" t="inlineStr">
        <is>
          <t>物资名称 热轧不锈圆钢;物资简称 圆钢;牌号 1Cr18Ni9Ti;直径 Φ14;技术标准号 GB 1220-1992;加工工艺 热轧;热处理工艺 ;特殊要求 ;规格标准号 GB/T 702-2008</t>
        </is>
      </c>
      <c r="F539" s="4" t="inlineStr">
        <is>
          <t>千克</t>
        </is>
      </c>
    </row>
    <row r="540" s="21">
      <c r="A540" s="8" t="inlineStr">
        <is>
          <t>100201</t>
        </is>
      </c>
      <c r="B540" s="8" t="inlineStr">
        <is>
          <t>圆钢</t>
        </is>
      </c>
      <c r="C540" s="8" t="inlineStr">
        <is>
          <t>600624200</t>
        </is>
      </c>
      <c r="D540" s="8" t="inlineStr">
        <is>
          <t>热轧不锈圆钢|圆钢|1Cr18Ni9Ti|Φ16|GB 1220-1992|热轧|GB/T 702-2008</t>
        </is>
      </c>
      <c r="E540" s="8" t="inlineStr">
        <is>
          <t>物资名称 热轧不锈圆钢;物资简称 圆钢;牌号 1Cr18Ni9Ti;直径 Φ16;技术标准号 GB 1220-1992;加工工艺 热轧;热处理工艺 ;特殊要求 ;规格标准号 GB/T 702-2008</t>
        </is>
      </c>
      <c r="F540" s="4" t="inlineStr">
        <is>
          <t>千克</t>
        </is>
      </c>
    </row>
    <row r="541" s="21">
      <c r="A541" s="8" t="inlineStr">
        <is>
          <t>100201</t>
        </is>
      </c>
      <c r="B541" s="8" t="inlineStr">
        <is>
          <t>圆钢</t>
        </is>
      </c>
      <c r="C541" s="8" t="inlineStr">
        <is>
          <t>600624100</t>
        </is>
      </c>
      <c r="D541" s="8" t="inlineStr">
        <is>
          <t>热轧不锈圆钢|圆钢|1Cr18Ni9Ti|Φ18|GB 1220-1992|热轧|GB/T 702-2008</t>
        </is>
      </c>
      <c r="E541" s="8" t="inlineStr">
        <is>
          <t>物资名称 热轧不锈圆钢;物资简称 圆钢;牌号 1Cr18Ni9Ti;直径 Φ18;技术标准号 GB 1220-1992;加工工艺 热轧;热处理工艺 ;特殊要求 ;规格标准号 GB/T 702-2008</t>
        </is>
      </c>
      <c r="F541" s="4" t="inlineStr">
        <is>
          <t>千克</t>
        </is>
      </c>
    </row>
    <row r="542" s="21">
      <c r="A542" s="8" t="inlineStr">
        <is>
          <t>100201</t>
        </is>
      </c>
      <c r="B542" s="8" t="inlineStr">
        <is>
          <t>圆钢</t>
        </is>
      </c>
      <c r="C542" s="8" t="inlineStr">
        <is>
          <t>600624000</t>
        </is>
      </c>
      <c r="D542" s="8" t="inlineStr">
        <is>
          <t>热轧不锈圆钢|圆钢|1Cr18Ni9Ti|Φ20|GB 1220-1992|热轧|GB/T 702-2008</t>
        </is>
      </c>
      <c r="E542" s="8" t="inlineStr">
        <is>
          <t>物资名称 热轧不锈圆钢;物资简称 圆钢;牌号 1Cr18Ni9Ti;直径 Φ20;技术标准号 GB 1220-1992;加工工艺 热轧;热处理工艺 ;特殊要求 ;规格标准号 GB/T 702-2008</t>
        </is>
      </c>
      <c r="F542" s="4" t="inlineStr">
        <is>
          <t>千克</t>
        </is>
      </c>
    </row>
    <row r="543" s="21">
      <c r="A543" s="8" t="inlineStr">
        <is>
          <t>100201</t>
        </is>
      </c>
      <c r="B543" s="8" t="inlineStr">
        <is>
          <t>圆钢</t>
        </is>
      </c>
      <c r="C543" s="8" t="inlineStr">
        <is>
          <t>600623900</t>
        </is>
      </c>
      <c r="D543" s="8" t="inlineStr">
        <is>
          <t>热轧不锈圆钢|圆钢|1Cr18Ni9Ti|Φ25|GB 1220-1992|热轧|GB/T 702-2008</t>
        </is>
      </c>
      <c r="E543" s="8" t="inlineStr">
        <is>
          <t>物资名称 热轧不锈圆钢;物资简称 圆钢;牌号 1Cr18Ni9Ti;直径 Φ25;技术标准号 GB 1220-1992;加工工艺 热轧;热处理工艺 ;特殊要求 ;规格标准号 GB/T 702-2008</t>
        </is>
      </c>
      <c r="F543" s="4" t="inlineStr">
        <is>
          <t>千克</t>
        </is>
      </c>
    </row>
    <row r="544" s="21">
      <c r="A544" s="8" t="inlineStr">
        <is>
          <t>100201</t>
        </is>
      </c>
      <c r="B544" s="8" t="inlineStr">
        <is>
          <t>圆钢</t>
        </is>
      </c>
      <c r="C544" s="8" t="inlineStr">
        <is>
          <t>600623800</t>
        </is>
      </c>
      <c r="D544" s="8" t="inlineStr">
        <is>
          <t>热轧不锈圆钢|圆钢|1Cr18Ni9Ti|Φ28|GB 1220-1992|热轧|GB/T 702-2008</t>
        </is>
      </c>
      <c r="E544" s="8" t="inlineStr">
        <is>
          <t>物资名称 热轧不锈圆钢;物资简称 圆钢;牌号 1Cr18Ni9Ti;直径 Φ28;技术标准号 GB 1220-1992;加工工艺 热轧;热处理工艺 ;特殊要求 ;规格标准号 GB/T 702-2008</t>
        </is>
      </c>
      <c r="F544" s="4" t="inlineStr">
        <is>
          <t>千克</t>
        </is>
      </c>
    </row>
    <row r="545" s="21">
      <c r="A545" s="8" t="inlineStr">
        <is>
          <t>100201</t>
        </is>
      </c>
      <c r="B545" s="8" t="inlineStr">
        <is>
          <t>圆钢</t>
        </is>
      </c>
      <c r="C545" s="8" t="inlineStr">
        <is>
          <t>600623700</t>
        </is>
      </c>
      <c r="D545" s="8" t="inlineStr">
        <is>
          <t>热轧不锈圆钢|圆钢|1Cr18Ni9Ti|Φ30|GB 1220-1992|热轧|GB/T 702-2008</t>
        </is>
      </c>
      <c r="E545" s="8" t="inlineStr">
        <is>
          <t>物资名称 热轧不锈圆钢;物资简称 圆钢;牌号 1Cr18Ni9Ti;直径 Φ30;技术标准号 GB 1220-1992;加工工艺 热轧;热处理工艺 ;特殊要求 ;规格标准号 GB/T 702-2008</t>
        </is>
      </c>
      <c r="F545" s="4" t="inlineStr">
        <is>
          <t>千克</t>
        </is>
      </c>
    </row>
    <row r="546" s="21">
      <c r="A546" s="8" t="inlineStr">
        <is>
          <t>100201</t>
        </is>
      </c>
      <c r="B546" s="8" t="inlineStr">
        <is>
          <t>圆钢</t>
        </is>
      </c>
      <c r="C546" s="8" t="inlineStr">
        <is>
          <t>600623600</t>
        </is>
      </c>
      <c r="D546" s="8" t="inlineStr">
        <is>
          <t>热轧不锈圆钢|圆钢|1Cr18Ni9Ti|Φ35|GB 1220-1992|热轧|GB/T 702-2008</t>
        </is>
      </c>
      <c r="E546" s="8" t="inlineStr">
        <is>
          <t>物资名称 热轧不锈圆钢;物资简称 圆钢;牌号 1Cr18Ni9Ti;直径 Φ35;技术标准号 GB 1220-1992;加工工艺 热轧;热处理工艺 ;特殊要求 ;规格标准号 GB/T 702-2008</t>
        </is>
      </c>
      <c r="F546" s="4" t="inlineStr">
        <is>
          <t>千克</t>
        </is>
      </c>
    </row>
    <row r="547" s="21">
      <c r="A547" s="8" t="inlineStr">
        <is>
          <t>100201</t>
        </is>
      </c>
      <c r="B547" s="8" t="inlineStr">
        <is>
          <t>圆钢</t>
        </is>
      </c>
      <c r="C547" s="8" t="inlineStr">
        <is>
          <t>600623500</t>
        </is>
      </c>
      <c r="D547" s="8" t="inlineStr">
        <is>
          <t>热轧不锈圆钢|圆钢|1Cr18Ni9Ti|Φ38|GB 1220-1992|热轧|GB/T 702-2008</t>
        </is>
      </c>
      <c r="E547" s="8" t="inlineStr">
        <is>
          <t>物资名称 热轧不锈圆钢;物资简称 圆钢;牌号 1Cr18Ni9Ti;直径 Φ38;技术标准号 GB 1220-1992;加工工艺 热轧;热处理工艺 ;特殊要求 ;规格标准号 GB/T 702-2008</t>
        </is>
      </c>
      <c r="F547" s="4" t="inlineStr">
        <is>
          <t>千克</t>
        </is>
      </c>
    </row>
    <row r="548" s="21">
      <c r="A548" s="8" t="inlineStr">
        <is>
          <t>100201</t>
        </is>
      </c>
      <c r="B548" s="8" t="inlineStr">
        <is>
          <t>圆钢</t>
        </is>
      </c>
      <c r="C548" s="8" t="inlineStr">
        <is>
          <t>600623400</t>
        </is>
      </c>
      <c r="D548" s="8" t="inlineStr">
        <is>
          <t>热轧不锈圆钢|圆钢|1Cr18Ni9Ti|Φ40|GB 1220-1992|热轧|GB/T 702-2008</t>
        </is>
      </c>
      <c r="E548" s="8" t="inlineStr">
        <is>
          <t>物资名称 热轧不锈圆钢;物资简称 圆钢;牌号 1Cr18Ni9Ti;直径 Φ40;技术标准号 GB 1220-1992;加工工艺 热轧;热处理工艺 ;特殊要求 ;规格标准号 GB/T 702-2008</t>
        </is>
      </c>
      <c r="F548" s="4" t="inlineStr">
        <is>
          <t>千克</t>
        </is>
      </c>
    </row>
    <row r="549" s="21">
      <c r="A549" s="8" t="inlineStr">
        <is>
          <t>100201</t>
        </is>
      </c>
      <c r="B549" s="8" t="inlineStr">
        <is>
          <t>圆钢</t>
        </is>
      </c>
      <c r="C549" s="8" t="inlineStr">
        <is>
          <t>600623300</t>
        </is>
      </c>
      <c r="D549" s="8" t="inlineStr">
        <is>
          <t>热轧不锈圆钢|圆钢|1Cr18Ni9Ti|Φ50|GB 1220-1992|热轧|GB/T 702-2008</t>
        </is>
      </c>
      <c r="E549" s="8" t="inlineStr">
        <is>
          <t>物资名称 热轧不锈圆钢;物资简称 圆钢;牌号 1Cr18Ni9Ti;直径 Φ50;技术标准号 GB 1220-1992;加工工艺 热轧;热处理工艺 ;特殊要求 ;规格标准号 GB/T 702-2008</t>
        </is>
      </c>
      <c r="F549" s="4" t="inlineStr">
        <is>
          <t>千克</t>
        </is>
      </c>
    </row>
    <row r="550" s="21">
      <c r="A550" s="8" t="inlineStr">
        <is>
          <t>100201</t>
        </is>
      </c>
      <c r="B550" s="8" t="inlineStr">
        <is>
          <t>圆钢</t>
        </is>
      </c>
      <c r="C550" s="8" t="inlineStr">
        <is>
          <t>600623200</t>
        </is>
      </c>
      <c r="D550" s="8" t="inlineStr">
        <is>
          <t>热轧不锈圆钢|圆钢|1Cr18Ni9Ti|Φ55|GB 1220-1992|热轧|GB/T 702-2008</t>
        </is>
      </c>
      <c r="E550" s="8" t="inlineStr">
        <is>
          <t>物资名称 热轧不锈圆钢;物资简称 圆钢;牌号 1Cr18Ni9Ti;直径 Φ55;技术标准号 GB 1220-1992;加工工艺 热轧;热处理工艺 ;特殊要求 ;规格标准号 GB/T 702-2008</t>
        </is>
      </c>
      <c r="F550" s="4" t="inlineStr">
        <is>
          <t>千克</t>
        </is>
      </c>
    </row>
    <row r="551" s="21">
      <c r="A551" s="8" t="inlineStr">
        <is>
          <t>100201</t>
        </is>
      </c>
      <c r="B551" s="8" t="inlineStr">
        <is>
          <t>圆钢</t>
        </is>
      </c>
      <c r="C551" s="8" t="inlineStr">
        <is>
          <t>600623100</t>
        </is>
      </c>
      <c r="D551" s="8" t="inlineStr">
        <is>
          <t>热轧不锈圆钢|圆钢|1Cr18Ni9Ti|Φ60|GB 1220-1992|热轧|GB/T 702-2008</t>
        </is>
      </c>
      <c r="E551" s="8" t="inlineStr">
        <is>
          <t>物资名称 热轧不锈圆钢;物资简称 圆钢;牌号 1Cr18Ni9Ti;直径 Φ60;技术标准号 GB 1220-1992;加工工艺 热轧;热处理工艺 ;特殊要求 ;规格标准号 GB/T 702-2008</t>
        </is>
      </c>
      <c r="F551" s="4" t="inlineStr">
        <is>
          <t>千克</t>
        </is>
      </c>
    </row>
    <row r="552" s="21">
      <c r="A552" s="8" t="inlineStr">
        <is>
          <t>100201</t>
        </is>
      </c>
      <c r="B552" s="8" t="inlineStr">
        <is>
          <t>圆钢</t>
        </is>
      </c>
      <c r="C552" s="8" t="inlineStr">
        <is>
          <t>600623000</t>
        </is>
      </c>
      <c r="D552" s="8" t="inlineStr">
        <is>
          <t>热轧不锈圆钢|圆钢|1Cr18Ni9Ti|Φ70|GB 1220-1992|热轧|GB/T 702-2008</t>
        </is>
      </c>
      <c r="E552" s="8" t="inlineStr">
        <is>
          <t>物资名称 热轧不锈圆钢;物资简称 圆钢;牌号 1Cr18Ni9Ti;直径 Φ70;技术标准号 GB 1220-1992;加工工艺 热轧;热处理工艺 ;特殊要求 ;规格标准号 GB/T 702-2008</t>
        </is>
      </c>
      <c r="F552" s="4" t="inlineStr">
        <is>
          <t>千克</t>
        </is>
      </c>
    </row>
    <row r="553" s="21">
      <c r="A553" s="8" t="inlineStr">
        <is>
          <t>100201</t>
        </is>
      </c>
      <c r="B553" s="8" t="inlineStr">
        <is>
          <t>圆钢</t>
        </is>
      </c>
      <c r="C553" s="8" t="inlineStr">
        <is>
          <t>600622900</t>
        </is>
      </c>
      <c r="D553" s="8" t="inlineStr">
        <is>
          <t>热轧不锈圆钢|圆钢|1Cr18Ni9Ti|Φ75|GB 1220-1992|热轧|GB/T 702-2008</t>
        </is>
      </c>
      <c r="E553" s="8" t="inlineStr">
        <is>
          <t>物资名称 热轧不锈圆钢;物资简称 圆钢;牌号 1Cr18Ni9Ti;直径 Φ75;技术标准号 GB 1220-1992;加工工艺 热轧;热处理工艺 ;特殊要求 ;规格标准号 GB/T 702-2008</t>
        </is>
      </c>
      <c r="F553" s="4" t="inlineStr">
        <is>
          <t>千克</t>
        </is>
      </c>
    </row>
    <row r="554" s="21">
      <c r="A554" s="8" t="inlineStr">
        <is>
          <t>100201</t>
        </is>
      </c>
      <c r="B554" s="8" t="inlineStr">
        <is>
          <t>圆钢</t>
        </is>
      </c>
      <c r="C554" s="8" t="inlineStr">
        <is>
          <t>600622800</t>
        </is>
      </c>
      <c r="D554" s="8" t="inlineStr">
        <is>
          <t>热轧不锈圆钢|圆钢|1Cr18Ni9Ti|Φ80|GB 1220-1992|热轧|GB/T 702-2008</t>
        </is>
      </c>
      <c r="E554" s="8" t="inlineStr">
        <is>
          <t>物资名称 热轧不锈圆钢;物资简称 圆钢;牌号 1Cr18Ni9Ti;直径 Φ80;技术标准号 GB 1220-1992;加工工艺 热轧;热处理工艺 ;特殊要求 ;规格标准号 GB/T 702-2008</t>
        </is>
      </c>
      <c r="F554" s="4" t="inlineStr">
        <is>
          <t>千克</t>
        </is>
      </c>
    </row>
    <row r="555" s="21">
      <c r="A555" s="8" t="inlineStr">
        <is>
          <t>100201</t>
        </is>
      </c>
      <c r="B555" s="8" t="inlineStr">
        <is>
          <t>圆钢</t>
        </is>
      </c>
      <c r="C555" s="8" t="inlineStr">
        <is>
          <t>600622700</t>
        </is>
      </c>
      <c r="D555" s="8" t="inlineStr">
        <is>
          <t>热轧不锈圆钢|圆钢|1Cr18Ni9Ti|Φ85|GB 1220-1992|热轧|GB/T 702-2008</t>
        </is>
      </c>
      <c r="E555" s="8" t="inlineStr">
        <is>
          <t>物资名称 热轧不锈圆钢;物资简称 圆钢;牌号 1Cr18Ni9Ti;直径 Φ85;技术标准号 GB 1220-1992;加工工艺 热轧;热处理工艺 ;特殊要求 ;规格标准号 GB/T 702-2008</t>
        </is>
      </c>
      <c r="F555" s="4" t="inlineStr">
        <is>
          <t>千克</t>
        </is>
      </c>
    </row>
    <row r="556" s="21">
      <c r="A556" s="8" t="inlineStr">
        <is>
          <t>100201</t>
        </is>
      </c>
      <c r="B556" s="8" t="inlineStr">
        <is>
          <t>圆钢</t>
        </is>
      </c>
      <c r="C556" s="8" t="inlineStr">
        <is>
          <t>600622600</t>
        </is>
      </c>
      <c r="D556" s="8" t="inlineStr">
        <is>
          <t>热轧不锈圆钢|圆钢|1Cr18Ni9Ti|Φ90|GB 1220-1992|热轧|GB/T 702-2008</t>
        </is>
      </c>
      <c r="E556" s="8" t="inlineStr">
        <is>
          <t>物资名称 热轧不锈圆钢;物资简称 圆钢;牌号 1Cr18Ni9Ti;直径 Φ90;技术标准号 GB 1220-1992;加工工艺 热轧;热处理工艺 ;特殊要求 ;规格标准号 GB/T 702-2008</t>
        </is>
      </c>
      <c r="F556" s="4" t="inlineStr">
        <is>
          <t>千克</t>
        </is>
      </c>
    </row>
    <row r="557" s="21">
      <c r="A557" s="8" t="inlineStr">
        <is>
          <t>100201</t>
        </is>
      </c>
      <c r="B557" s="8" t="inlineStr">
        <is>
          <t>圆钢</t>
        </is>
      </c>
      <c r="C557" s="8" t="inlineStr">
        <is>
          <t>600622500</t>
        </is>
      </c>
      <c r="D557" s="8" t="inlineStr">
        <is>
          <t>热轧不锈圆钢|圆钢|1Cr18Ni9Ti|Φ100|GB 1220-1992|热轧|GB/T 702-2008</t>
        </is>
      </c>
      <c r="E557" s="8" t="inlineStr">
        <is>
          <t>物资名称 热轧不锈圆钢;物资简称 圆钢;牌号 1Cr18Ni9Ti;直径 Φ100;技术标准号 GB 1220-1992;加工工艺 热轧;热处理工艺 ;特殊要求 ;规格标准号 GB/T 702-2008</t>
        </is>
      </c>
      <c r="F557" s="4" t="inlineStr">
        <is>
          <t>千克</t>
        </is>
      </c>
    </row>
    <row r="558" s="21">
      <c r="A558" s="8" t="inlineStr">
        <is>
          <t>100201</t>
        </is>
      </c>
      <c r="B558" s="8" t="inlineStr">
        <is>
          <t>圆钢</t>
        </is>
      </c>
      <c r="C558" s="8" t="inlineStr">
        <is>
          <t>600622400</t>
        </is>
      </c>
      <c r="D558" s="8" t="inlineStr">
        <is>
          <t>热轧不锈圆钢|圆钢|1Cr18Ni9Ti|Φ130|GB 1220-1992|热轧|GB/T 702-2008</t>
        </is>
      </c>
      <c r="E558" s="8" t="inlineStr">
        <is>
          <t>物资名称 热轧不锈圆钢;物资简称 圆钢;牌号 1Cr18Ni9Ti;直径 Φ130;技术标准号 GB 1220-1992;加工工艺 热轧;热处理工艺 ;特殊要求 ;规格标准号 GB/T 702-2008</t>
        </is>
      </c>
      <c r="F558" s="4" t="inlineStr">
        <is>
          <t>千克</t>
        </is>
      </c>
    </row>
    <row r="559" s="21">
      <c r="A559" s="8" t="inlineStr">
        <is>
          <t>100201</t>
        </is>
      </c>
      <c r="B559" s="8" t="inlineStr">
        <is>
          <t>圆钢</t>
        </is>
      </c>
      <c r="C559" s="8" t="inlineStr">
        <is>
          <t>600622300</t>
        </is>
      </c>
      <c r="D559" s="8" t="inlineStr">
        <is>
          <t>热轧不锈圆钢|圆钢|1Cr18Ni9Ti|Φ170|GB 1220-1992|热轧|GB/T 702-2008</t>
        </is>
      </c>
      <c r="E559" s="8" t="inlineStr">
        <is>
          <t>物资名称 热轧不锈圆钢;物资简称 圆钢;牌号 1Cr18Ni9Ti;直径 Φ170;技术标准号 GB 1220-1992;加工工艺 热轧;热处理工艺 ;特殊要求 ;规格标准号 GB/T 702-2008</t>
        </is>
      </c>
      <c r="F559" s="4" t="inlineStr">
        <is>
          <t>千克</t>
        </is>
      </c>
    </row>
    <row r="560" s="21">
      <c r="A560" s="8" t="inlineStr">
        <is>
          <t>100201</t>
        </is>
      </c>
      <c r="B560" s="8" t="inlineStr">
        <is>
          <t>圆钢</t>
        </is>
      </c>
      <c r="C560" s="8" t="inlineStr">
        <is>
          <t>600622200</t>
        </is>
      </c>
      <c r="D560" s="8" t="inlineStr">
        <is>
          <t>锻制不锈圆钢|圆钢|1Cr18Ni9Ti|Φ220|GB 1220-1992|锻造|GB/T 908-2008</t>
        </is>
      </c>
      <c r="E560" s="8" t="inlineStr">
        <is>
          <t>物资名称 锻制不锈圆钢;物资简称 圆钢;牌号 1Cr18Ni9Ti;直径 Φ220;技术标准号 GB 1220-1992;加工工艺 锻造;热处理工艺 ;特殊要求 ;规格标准号 GB/T 908-2008</t>
        </is>
      </c>
      <c r="F560" s="4" t="inlineStr">
        <is>
          <t>千克</t>
        </is>
      </c>
    </row>
    <row r="561" s="21">
      <c r="A561" s="8" t="inlineStr">
        <is>
          <t>100201</t>
        </is>
      </c>
      <c r="B561" s="8" t="inlineStr">
        <is>
          <t>圆钢</t>
        </is>
      </c>
      <c r="C561" s="8" t="inlineStr">
        <is>
          <t>600622100</t>
        </is>
      </c>
      <c r="D561" s="8" t="inlineStr">
        <is>
          <t>不锈钢棒|钢棒|14Cr17Ni2|GB/T 1220-2007</t>
        </is>
      </c>
      <c r="E561" s="8" t="inlineStr">
        <is>
          <t xml:space="preserve">物资名称 不锈钢棒;物资简称 钢棒;牌号 14Cr17Ni2;直径 Φ;技术标准号 GB/T 1220-2007;加工工艺 ;热处理工艺 ;特殊要求 ;规格标准号 </t>
        </is>
      </c>
      <c r="F561" s="4" t="inlineStr">
        <is>
          <t>千克</t>
        </is>
      </c>
    </row>
    <row r="562" s="21">
      <c r="A562" s="8" t="inlineStr">
        <is>
          <t>100201</t>
        </is>
      </c>
      <c r="B562" s="8" t="inlineStr">
        <is>
          <t>圆钢</t>
        </is>
      </c>
      <c r="C562" s="8" t="inlineStr">
        <is>
          <t>600622000</t>
        </is>
      </c>
      <c r="D562" s="8" t="inlineStr">
        <is>
          <t>热轧不锈圆钢|圆钢|14Cr17Ni2|GB/T 1220-2007|热轧|GB/T 702-2008</t>
        </is>
      </c>
      <c r="E562" s="8" t="inlineStr">
        <is>
          <t>物资名称 热轧不锈圆钢;物资简称 圆钢;牌号 14Cr17Ni2;直径 Φ;技术标准号 GB/T 1220-2007;加工工艺 热轧;热处理工艺 ;特殊要求 ;规格标准号 GB/T 702-2008</t>
        </is>
      </c>
      <c r="F562" s="4" t="inlineStr">
        <is>
          <t>千克</t>
        </is>
      </c>
    </row>
    <row r="563" s="21">
      <c r="A563" s="8" t="inlineStr">
        <is>
          <t>100201</t>
        </is>
      </c>
      <c r="B563" s="8" t="inlineStr">
        <is>
          <t>圆钢</t>
        </is>
      </c>
      <c r="C563" s="8" t="inlineStr">
        <is>
          <t>600621900</t>
        </is>
      </c>
      <c r="D563" s="8" t="inlineStr">
        <is>
          <t>热轧不锈圆钢|圆钢|14Cr17Ni2|Φ8|GB/T 1220-2007|热轧|GB/T 702-2008</t>
        </is>
      </c>
      <c r="E563" s="8" t="inlineStr">
        <is>
          <t>物资名称 热轧不锈圆钢;物资简称 圆钢;牌号 14Cr17Ni2;直径 Φ8;技术标准号 GB/T 1220-2007;加工工艺 热轧;热处理工艺 ;特殊要求 ;规格标准号 GB/T 702-2008</t>
        </is>
      </c>
      <c r="F563" s="4" t="inlineStr">
        <is>
          <t>千克</t>
        </is>
      </c>
    </row>
    <row r="564" s="21">
      <c r="A564" s="8" t="inlineStr">
        <is>
          <t>100201</t>
        </is>
      </c>
      <c r="B564" s="8" t="inlineStr">
        <is>
          <t>圆钢</t>
        </is>
      </c>
      <c r="C564" s="8" t="inlineStr">
        <is>
          <t>600621800</t>
        </is>
      </c>
      <c r="D564" s="8" t="inlineStr">
        <is>
          <t>热轧不锈圆钢|圆钢|14Cr17Ni2|Φ14|GB/T 1220-2007|热轧|GB/T 702-2008</t>
        </is>
      </c>
      <c r="E564" s="8" t="inlineStr">
        <is>
          <t>物资名称 热轧不锈圆钢;物资简称 圆钢;牌号 14Cr17Ni2;直径 Φ14;技术标准号 GB/T 1220-2007;加工工艺 热轧;热处理工艺 ;特殊要求 ;规格标准号 GB/T 702-2008</t>
        </is>
      </c>
      <c r="F564" s="4" t="inlineStr">
        <is>
          <t>千克</t>
        </is>
      </c>
    </row>
    <row r="565" s="21">
      <c r="A565" s="8" t="inlineStr">
        <is>
          <t>100201</t>
        </is>
      </c>
      <c r="B565" s="8" t="inlineStr">
        <is>
          <t>圆钢</t>
        </is>
      </c>
      <c r="C565" s="8" t="inlineStr">
        <is>
          <t>600621700</t>
        </is>
      </c>
      <c r="D565" s="8" t="inlineStr">
        <is>
          <t>热轧不锈圆钢|圆钢|14Cr17Ni2|Φ16|GB/T 1220-2007|热轧|GB/T 702-2008</t>
        </is>
      </c>
      <c r="E565" s="8" t="inlineStr">
        <is>
          <t>物资名称 热轧不锈圆钢;物资简称 圆钢;牌号 14Cr17Ni2;直径 Φ16;技术标准号 GB/T 1220-2007;加工工艺 热轧;热处理工艺 ;特殊要求 ;规格标准号 GB/T 702-2008</t>
        </is>
      </c>
      <c r="F565" s="4" t="inlineStr">
        <is>
          <t>千克</t>
        </is>
      </c>
    </row>
    <row r="566" s="21">
      <c r="A566" s="8" t="inlineStr">
        <is>
          <t>100201</t>
        </is>
      </c>
      <c r="B566" s="8" t="inlineStr">
        <is>
          <t>圆钢</t>
        </is>
      </c>
      <c r="C566" s="8" t="inlineStr">
        <is>
          <t>600621600</t>
        </is>
      </c>
      <c r="D566" s="8" t="inlineStr">
        <is>
          <t>热轧不锈圆钢|圆钢|14Cr17Ni2|Φ18|GB/T 1220-2007|热轧|GB/T 702-2008</t>
        </is>
      </c>
      <c r="E566" s="8" t="inlineStr">
        <is>
          <t>物资名称 热轧不锈圆钢;物资简称 圆钢;牌号 14Cr17Ni2;直径 Φ18;技术标准号 GB/T 1220-2007;加工工艺 热轧;热处理工艺 ;特殊要求 ;规格标准号 GB/T 702-2008</t>
        </is>
      </c>
      <c r="F566" s="4" t="inlineStr">
        <is>
          <t>千克</t>
        </is>
      </c>
    </row>
    <row r="567" s="21">
      <c r="A567" s="8" t="inlineStr">
        <is>
          <t>100201</t>
        </is>
      </c>
      <c r="B567" s="8" t="inlineStr">
        <is>
          <t>圆钢</t>
        </is>
      </c>
      <c r="C567" s="8" t="inlineStr">
        <is>
          <t>600621500</t>
        </is>
      </c>
      <c r="D567" s="8" t="inlineStr">
        <is>
          <t>热轧不锈圆钢|圆钢|14Cr17Ni2|Φ20|GB/T 1220-2007|热轧|GB/T 702-2008</t>
        </is>
      </c>
      <c r="E567" s="8" t="inlineStr">
        <is>
          <t>物资名称 热轧不锈圆钢;物资简称 圆钢;牌号 14Cr17Ni2;直径 Φ20;技术标准号 GB/T 1220-2007;加工工艺 热轧;热处理工艺 ;特殊要求 ;规格标准号 GB/T 702-2008</t>
        </is>
      </c>
      <c r="F567" s="4" t="inlineStr">
        <is>
          <t>千克</t>
        </is>
      </c>
    </row>
    <row r="568" s="21">
      <c r="A568" s="8" t="inlineStr">
        <is>
          <t>100201</t>
        </is>
      </c>
      <c r="B568" s="8" t="inlineStr">
        <is>
          <t>圆钢</t>
        </is>
      </c>
      <c r="C568" s="8" t="inlineStr">
        <is>
          <t>600621400</t>
        </is>
      </c>
      <c r="D568" s="8" t="inlineStr">
        <is>
          <t>热轧不锈圆钢|圆钢|14Cr17Ni2|Φ22|GB/T 1220-2007|热轧|GB/T 702-2008</t>
        </is>
      </c>
      <c r="E568" s="8" t="inlineStr">
        <is>
          <t>物资名称 热轧不锈圆钢;物资简称 圆钢;牌号 14Cr17Ni2;直径 Φ22;技术标准号 GB/T 1220-2007;加工工艺 热轧;热处理工艺 ;特殊要求 ;规格标准号 GB/T 702-2008</t>
        </is>
      </c>
      <c r="F568" s="4" t="inlineStr">
        <is>
          <t>千克</t>
        </is>
      </c>
    </row>
    <row r="569" s="21">
      <c r="A569" s="8" t="inlineStr">
        <is>
          <t>100201</t>
        </is>
      </c>
      <c r="B569" s="8" t="inlineStr">
        <is>
          <t>圆钢</t>
        </is>
      </c>
      <c r="C569" s="8" t="inlineStr">
        <is>
          <t>600621300</t>
        </is>
      </c>
      <c r="D569" s="8" t="inlineStr">
        <is>
          <t>热轧不锈圆钢|圆钢|14Cr17Ni2|Φ30|GB/T 1220-2007|热轧|GB/T 702-2008</t>
        </is>
      </c>
      <c r="E569" s="8" t="inlineStr">
        <is>
          <t>物资名称 热轧不锈圆钢;物资简称 圆钢;牌号 14Cr17Ni2;直径 Φ30;技术标准号 GB/T 1220-2007;加工工艺 热轧;热处理工艺 ;特殊要求 ;规格标准号 GB/T 702-2008</t>
        </is>
      </c>
      <c r="F569" s="4" t="inlineStr">
        <is>
          <t>千克</t>
        </is>
      </c>
    </row>
    <row r="570" s="21">
      <c r="A570" s="8" t="inlineStr">
        <is>
          <t>100201</t>
        </is>
      </c>
      <c r="B570" s="8" t="inlineStr">
        <is>
          <t>圆钢</t>
        </is>
      </c>
      <c r="C570" s="8" t="inlineStr">
        <is>
          <t>600621200</t>
        </is>
      </c>
      <c r="D570" s="8" t="inlineStr">
        <is>
          <t>热轧不锈圆钢|圆钢|14Cr17Ni2|Φ35|GB/T 1220-2007|热轧|GB/T 702-2008</t>
        </is>
      </c>
      <c r="E570" s="8" t="inlineStr">
        <is>
          <t>物资名称 热轧不锈圆钢;物资简称 圆钢;牌号 14Cr17Ni2;直径 Φ35;技术标准号 GB/T 1220-2007;加工工艺 热轧;热处理工艺 ;特殊要求 ;规格标准号 GB/T 702-2008</t>
        </is>
      </c>
      <c r="F570" s="4" t="inlineStr">
        <is>
          <t>千克</t>
        </is>
      </c>
    </row>
    <row r="571" s="21">
      <c r="A571" s="8" t="inlineStr">
        <is>
          <t>100201</t>
        </is>
      </c>
      <c r="B571" s="8" t="inlineStr">
        <is>
          <t>圆钢</t>
        </is>
      </c>
      <c r="C571" s="8" t="inlineStr">
        <is>
          <t>600621100</t>
        </is>
      </c>
      <c r="D571" s="8" t="inlineStr">
        <is>
          <t>热轧不锈圆钢|圆钢|14Cr17Ni2|Φ40|GB/T 1220-2007|热轧|GB/T 702-2008</t>
        </is>
      </c>
      <c r="E571" s="8" t="inlineStr">
        <is>
          <t>物资名称 热轧不锈圆钢;物资简称 圆钢;牌号 14Cr17Ni2;直径 Φ40;技术标准号 GB/T 1220-2007;加工工艺 热轧;热处理工艺 ;特殊要求 ;规格标准号 GB/T 702-2008</t>
        </is>
      </c>
      <c r="F571" s="4" t="inlineStr">
        <is>
          <t>千克</t>
        </is>
      </c>
    </row>
    <row r="572" s="21">
      <c r="A572" s="8" t="inlineStr">
        <is>
          <t>100201</t>
        </is>
      </c>
      <c r="B572" s="8" t="inlineStr">
        <is>
          <t>圆钢</t>
        </is>
      </c>
      <c r="C572" s="8" t="inlineStr">
        <is>
          <t>600621000</t>
        </is>
      </c>
      <c r="D572" s="8" t="inlineStr">
        <is>
          <t>热轧不锈圆钢|圆钢|14Cr17Ni2|Φ45|GB/T 1220-2007|热轧|GB/T 702-2008</t>
        </is>
      </c>
      <c r="E572" s="8" t="inlineStr">
        <is>
          <t>物资名称 热轧不锈圆钢;物资简称 圆钢;牌号 14Cr17Ni2;直径 Φ45;技术标准号 GB/T 1220-2007;加工工艺 热轧;热处理工艺 ;特殊要求 ;规格标准号 GB/T 702-2008</t>
        </is>
      </c>
      <c r="F572" s="4" t="inlineStr">
        <is>
          <t>千克</t>
        </is>
      </c>
    </row>
    <row r="573" s="21">
      <c r="A573" s="8" t="inlineStr">
        <is>
          <t>100201</t>
        </is>
      </c>
      <c r="B573" s="8" t="inlineStr">
        <is>
          <t>圆钢</t>
        </is>
      </c>
      <c r="C573" s="8" t="inlineStr">
        <is>
          <t>600620900</t>
        </is>
      </c>
      <c r="D573" s="8" t="inlineStr">
        <is>
          <t>不锈钢棒|钢棒|20Cr13|GB/T 1220-2007</t>
        </is>
      </c>
      <c r="E573" s="8" t="inlineStr">
        <is>
          <t xml:space="preserve">物资名称 不锈钢棒;物资简称 钢棒;牌号 20Cr13;直径 Φ;技术标准号 GB/T 1220-2007;加工工艺 ;热处理工艺 ;特殊要求 ;规格标准号 </t>
        </is>
      </c>
      <c r="F573" s="4" t="inlineStr">
        <is>
          <t>千克</t>
        </is>
      </c>
    </row>
    <row r="574" s="21">
      <c r="A574" s="8" t="inlineStr">
        <is>
          <t>100201</t>
        </is>
      </c>
      <c r="B574" s="8" t="inlineStr">
        <is>
          <t>圆钢</t>
        </is>
      </c>
      <c r="C574" s="8" t="inlineStr">
        <is>
          <t>600620800</t>
        </is>
      </c>
      <c r="D574" s="8" t="inlineStr">
        <is>
          <t>热轧不锈圆钢|圆钢|20Cr13|GB/T 1220-2007|GB/T 702-2008</t>
        </is>
      </c>
      <c r="E574" s="8" t="inlineStr">
        <is>
          <t>物资名称 热轧不锈圆钢;物资简称 圆钢;牌号 20Cr13;直径 Φ;技术标准号 GB/T 1220-2007;加工工艺 ;热处理工艺 ;特殊要求 ;规格标准号 GB/T 702-2008</t>
        </is>
      </c>
      <c r="F574" s="4" t="inlineStr">
        <is>
          <t>千克</t>
        </is>
      </c>
    </row>
    <row r="575" s="21">
      <c r="A575" s="8" t="inlineStr">
        <is>
          <t>100201</t>
        </is>
      </c>
      <c r="B575" s="8" t="inlineStr">
        <is>
          <t>圆钢</t>
        </is>
      </c>
      <c r="C575" s="8" t="inlineStr">
        <is>
          <t>600620700</t>
        </is>
      </c>
      <c r="D575" s="8" t="inlineStr">
        <is>
          <t>热轧不锈圆钢|圆钢|20Cr13|Φ9|GB/T 1220-2007|热轧|GB/T 702-2008</t>
        </is>
      </c>
      <c r="E575" s="8" t="inlineStr">
        <is>
          <t>物资名称 热轧不锈圆钢;物资简称 圆钢;牌号 20Cr13;直径 Φ9;技术标准号 GB/T 1220-2007;加工工艺 热轧;热处理工艺 ;特殊要求 ;规格标准号 GB/T 702-2008</t>
        </is>
      </c>
      <c r="F575" s="4" t="inlineStr">
        <is>
          <t>千克</t>
        </is>
      </c>
    </row>
    <row r="576" s="21">
      <c r="A576" s="8" t="inlineStr">
        <is>
          <t>100201</t>
        </is>
      </c>
      <c r="B576" s="8" t="inlineStr">
        <is>
          <t>圆钢</t>
        </is>
      </c>
      <c r="C576" s="8" t="inlineStr">
        <is>
          <t>600620600</t>
        </is>
      </c>
      <c r="D576" s="8" t="inlineStr">
        <is>
          <t>热轧不锈圆钢|圆钢|20Cr13|Φ10|GB/T 1220-2007|热轧|GB/T 702-2008</t>
        </is>
      </c>
      <c r="E576" s="8" t="inlineStr">
        <is>
          <t>物资名称 热轧不锈圆钢;物资简称 圆钢;牌号 20Cr13;直径 Φ10;技术标准号 GB/T 1220-2007;加工工艺 热轧;热处理工艺 ;特殊要求 ;规格标准号 GB/T 702-2008</t>
        </is>
      </c>
      <c r="F576" s="4" t="inlineStr">
        <is>
          <t>千克</t>
        </is>
      </c>
    </row>
    <row r="577" s="21">
      <c r="A577" s="8" t="inlineStr">
        <is>
          <t>100201</t>
        </is>
      </c>
      <c r="B577" s="8" t="inlineStr">
        <is>
          <t>圆钢</t>
        </is>
      </c>
      <c r="C577" s="8" t="inlineStr">
        <is>
          <t>600620500</t>
        </is>
      </c>
      <c r="D577" s="8" t="inlineStr">
        <is>
          <t>热轧不锈圆钢|圆钢|20Cr13|Φ12|GB/T 1220-2007|热轧|GB/T 702-2008</t>
        </is>
      </c>
      <c r="E577" s="8" t="inlineStr">
        <is>
          <t>物资名称 热轧不锈圆钢;物资简称 圆钢;牌号 20Cr13;直径 Φ12;技术标准号 GB/T 1220-2007;加工工艺 热轧;热处理工艺 ;特殊要求 ;规格标准号 GB/T 702-2008</t>
        </is>
      </c>
      <c r="F577" s="4" t="inlineStr">
        <is>
          <t>千克</t>
        </is>
      </c>
    </row>
    <row r="578" s="21">
      <c r="A578" s="8" t="inlineStr">
        <is>
          <t>100201</t>
        </is>
      </c>
      <c r="B578" s="8" t="inlineStr">
        <is>
          <t>圆钢</t>
        </is>
      </c>
      <c r="C578" s="8" t="inlineStr">
        <is>
          <t>600620400</t>
        </is>
      </c>
      <c r="D578" s="8" t="inlineStr">
        <is>
          <t>热轧不锈圆钢|圆钢|20Cr13|Φ14|GB/T 1220-2007|热轧|GB/T 702-2008</t>
        </is>
      </c>
      <c r="E578" s="8" t="inlineStr">
        <is>
          <t>物资名称 热轧不锈圆钢;物资简称 圆钢;牌号 20Cr13;直径 Φ14;技术标准号 GB/T 1220-2007;加工工艺 热轧;热处理工艺 ;特殊要求 ;规格标准号 GB/T 702-2008</t>
        </is>
      </c>
      <c r="F578" s="4" t="inlineStr">
        <is>
          <t>千克</t>
        </is>
      </c>
    </row>
    <row r="579" s="21">
      <c r="A579" s="8" t="inlineStr">
        <is>
          <t>100201</t>
        </is>
      </c>
      <c r="B579" s="8" t="inlineStr">
        <is>
          <t>圆钢</t>
        </is>
      </c>
      <c r="C579" s="8" t="inlineStr">
        <is>
          <t>600620300</t>
        </is>
      </c>
      <c r="D579" s="8" t="inlineStr">
        <is>
          <t>热轧不锈圆钢|圆钢|20Cr13|Φ16|GB/T 1220-2007|热轧|GB/T 702-2008</t>
        </is>
      </c>
      <c r="E579" s="8" t="inlineStr">
        <is>
          <t>物资名称 热轧不锈圆钢;物资简称 圆钢;牌号 20Cr13;直径 Φ16;技术标准号 GB/T 1220-2007;加工工艺 热轧;热处理工艺 ;特殊要求 ;规格标准号 GB/T 702-2008</t>
        </is>
      </c>
      <c r="F579" s="4" t="inlineStr">
        <is>
          <t>千克</t>
        </is>
      </c>
    </row>
    <row r="580" s="21">
      <c r="A580" s="8" t="inlineStr">
        <is>
          <t>100201</t>
        </is>
      </c>
      <c r="B580" s="8" t="inlineStr">
        <is>
          <t>圆钢</t>
        </is>
      </c>
      <c r="C580" s="8" t="inlineStr">
        <is>
          <t>600620200</t>
        </is>
      </c>
      <c r="D580" s="8" t="inlineStr">
        <is>
          <t>热轧不锈圆钢|圆钢|20Cr13|Φ18|GB/T 1220-2007|热轧|GB/T 702-2008</t>
        </is>
      </c>
      <c r="E580" s="8" t="inlineStr">
        <is>
          <t>物资名称 热轧不锈圆钢;物资简称 圆钢;牌号 20Cr13;直径 Φ18;技术标准号 GB/T 1220-2007;加工工艺 热轧;热处理工艺 ;特殊要求 ;规格标准号 GB/T 702-2008</t>
        </is>
      </c>
      <c r="F580" s="4" t="inlineStr">
        <is>
          <t>千克</t>
        </is>
      </c>
    </row>
    <row r="581" s="21">
      <c r="A581" s="8" t="inlineStr">
        <is>
          <t>100201</t>
        </is>
      </c>
      <c r="B581" s="8" t="inlineStr">
        <is>
          <t>圆钢</t>
        </is>
      </c>
      <c r="C581" s="8" t="inlineStr">
        <is>
          <t>600620100</t>
        </is>
      </c>
      <c r="D581" s="8" t="inlineStr">
        <is>
          <t>热轧不锈圆钢|圆钢|20Cr13|Φ20|GB/T 1220-2007|热轧|GB/T 702-2008</t>
        </is>
      </c>
      <c r="E581" s="8" t="inlineStr">
        <is>
          <t>物资名称 热轧不锈圆钢;物资简称 圆钢;牌号 20Cr13;直径 Φ20;技术标准号 GB/T 1220-2007;加工工艺 热轧;热处理工艺 ;特殊要求 ;规格标准号 GB/T 702-2008</t>
        </is>
      </c>
      <c r="F581" s="4" t="inlineStr">
        <is>
          <t>千克</t>
        </is>
      </c>
    </row>
    <row r="582" s="21">
      <c r="A582" s="8" t="inlineStr">
        <is>
          <t>100201</t>
        </is>
      </c>
      <c r="B582" s="8" t="inlineStr">
        <is>
          <t>圆钢</t>
        </is>
      </c>
      <c r="C582" s="8" t="inlineStr">
        <is>
          <t>600620000</t>
        </is>
      </c>
      <c r="D582" s="8" t="inlineStr">
        <is>
          <t>热轧不锈圆钢|圆钢|20Cr13|Φ22|GB/T 1220-2007|热轧|GB/T 702-2008</t>
        </is>
      </c>
      <c r="E582" s="8" t="inlineStr">
        <is>
          <t>物资名称 热轧不锈圆钢;物资简称 圆钢;牌号 20Cr13;直径 Φ22;技术标准号 GB/T 1220-2007;加工工艺 热轧;热处理工艺 ;特殊要求 ;规格标准号 GB/T 702-2008</t>
        </is>
      </c>
      <c r="F582" s="4" t="inlineStr">
        <is>
          <t>千克</t>
        </is>
      </c>
    </row>
    <row r="583" s="21">
      <c r="A583" s="8" t="inlineStr">
        <is>
          <t>100201</t>
        </is>
      </c>
      <c r="B583" s="8" t="inlineStr">
        <is>
          <t>圆钢</t>
        </is>
      </c>
      <c r="C583" s="8" t="inlineStr">
        <is>
          <t>600619900</t>
        </is>
      </c>
      <c r="D583" s="8" t="inlineStr">
        <is>
          <t>热轧不锈圆钢|圆钢|20Cr13|Φ25|GB/T 1220-2007|热轧|GB/T 702-2008</t>
        </is>
      </c>
      <c r="E583" s="8" t="inlineStr">
        <is>
          <t>物资名称 热轧不锈圆钢;物资简称 圆钢;牌号 20Cr13;直径 Φ25;技术标准号 GB/T 1220-2007;加工工艺 热轧;热处理工艺 ;特殊要求 ;规格标准号 GB/T 702-2008</t>
        </is>
      </c>
      <c r="F583" s="4" t="inlineStr">
        <is>
          <t>千克</t>
        </is>
      </c>
    </row>
    <row r="584" s="21">
      <c r="A584" s="8" t="inlineStr">
        <is>
          <t>100201</t>
        </is>
      </c>
      <c r="B584" s="8" t="inlineStr">
        <is>
          <t>圆钢</t>
        </is>
      </c>
      <c r="C584" s="8" t="inlineStr">
        <is>
          <t>600619800</t>
        </is>
      </c>
      <c r="D584" s="8" t="inlineStr">
        <is>
          <t>热轧不锈圆钢|圆钢|20Cr13|Φ28|GB/T 1220-2007|热轧|GB/T 702-2008</t>
        </is>
      </c>
      <c r="E584" s="8" t="inlineStr">
        <is>
          <t>物资名称 热轧不锈圆钢;物资简称 圆钢;牌号 20Cr13;直径 Φ28;技术标准号 GB/T 1220-2007;加工工艺 热轧;热处理工艺 ;特殊要求 ;规格标准号 GB/T 702-2008</t>
        </is>
      </c>
      <c r="F584" s="4" t="inlineStr">
        <is>
          <t>千克</t>
        </is>
      </c>
    </row>
    <row r="585" s="21">
      <c r="A585" s="8" t="inlineStr">
        <is>
          <t>100201</t>
        </is>
      </c>
      <c r="B585" s="8" t="inlineStr">
        <is>
          <t>圆钢</t>
        </is>
      </c>
      <c r="C585" s="8" t="inlineStr">
        <is>
          <t>600619700</t>
        </is>
      </c>
      <c r="D585" s="8" t="inlineStr">
        <is>
          <t>热轧不锈圆钢|圆钢|20Cr13|Φ32|GB/T 1220-2007|热轧|GB/T 702-2008</t>
        </is>
      </c>
      <c r="E585" s="8" t="inlineStr">
        <is>
          <t>物资名称 热轧不锈圆钢;物资简称 圆钢;牌号 20Cr13;直径 Φ32;技术标准号 GB/T 1220-2007;加工工艺 热轧;热处理工艺 ;特殊要求 ;规格标准号 GB/T 702-2008</t>
        </is>
      </c>
      <c r="F585" s="4" t="inlineStr">
        <is>
          <t>千克</t>
        </is>
      </c>
    </row>
    <row r="586" s="21">
      <c r="A586" s="8" t="inlineStr">
        <is>
          <t>100201</t>
        </is>
      </c>
      <c r="B586" s="8" t="inlineStr">
        <is>
          <t>圆钢</t>
        </is>
      </c>
      <c r="C586" s="8" t="inlineStr">
        <is>
          <t>600619600</t>
        </is>
      </c>
      <c r="D586" s="8" t="inlineStr">
        <is>
          <t>热轧不锈圆钢|圆钢|20Cr13|Φ35|GB/T 1220-2007|热轧|GB/T 702-2008</t>
        </is>
      </c>
      <c r="E586" s="8" t="inlineStr">
        <is>
          <t>物资名称 热轧不锈圆钢;物资简称 圆钢;牌号 20Cr13;直径 Φ35;技术标准号 GB/T 1220-2007;加工工艺 热轧;热处理工艺 ;特殊要求 ;规格标准号 GB/T 702-2008</t>
        </is>
      </c>
      <c r="F586" s="4" t="inlineStr">
        <is>
          <t>千克</t>
        </is>
      </c>
    </row>
    <row r="587" s="21">
      <c r="A587" s="8" t="inlineStr">
        <is>
          <t>100201</t>
        </is>
      </c>
      <c r="B587" s="8" t="inlineStr">
        <is>
          <t>圆钢</t>
        </is>
      </c>
      <c r="C587" s="8" t="inlineStr">
        <is>
          <t>600619500</t>
        </is>
      </c>
      <c r="D587" s="8" t="inlineStr">
        <is>
          <t>热轧不锈圆钢|圆钢|20Cr13|Φ36|GB/T 1220-2007|热轧|GB/T 702-2008</t>
        </is>
      </c>
      <c r="E587" s="8" t="inlineStr">
        <is>
          <t>物资名称 热轧不锈圆钢;物资简称 圆钢;牌号 20Cr13;直径 Φ36;技术标准号 GB/T 1220-2007;加工工艺 热轧;热处理工艺 ;特殊要求 ;规格标准号 GB/T 702-2008</t>
        </is>
      </c>
      <c r="F587" s="4" t="inlineStr">
        <is>
          <t>千克</t>
        </is>
      </c>
    </row>
    <row r="588" s="21">
      <c r="A588" s="8" t="inlineStr">
        <is>
          <t>100201</t>
        </is>
      </c>
      <c r="B588" s="8" t="inlineStr">
        <is>
          <t>圆钢</t>
        </is>
      </c>
      <c r="C588" s="8" t="inlineStr">
        <is>
          <t>600619400</t>
        </is>
      </c>
      <c r="D588" s="8" t="inlineStr">
        <is>
          <t>热轧不锈圆钢|圆钢|20Cr13|Φ42|GB/T 1220-2007|热轧|GB/T 702-2008</t>
        </is>
      </c>
      <c r="E588" s="8" t="inlineStr">
        <is>
          <t>物资名称 热轧不锈圆钢;物资简称 圆钢;牌号 20Cr13;直径 Φ42;技术标准号 GB/T 1220-2007;加工工艺 热轧;热处理工艺 ;特殊要求 ;规格标准号 GB/T 702-2008</t>
        </is>
      </c>
      <c r="F588" s="4" t="inlineStr">
        <is>
          <t>千克</t>
        </is>
      </c>
    </row>
    <row r="589" s="21">
      <c r="A589" s="8" t="inlineStr">
        <is>
          <t>100201</t>
        </is>
      </c>
      <c r="B589" s="8" t="inlineStr">
        <is>
          <t>圆钢</t>
        </is>
      </c>
      <c r="C589" s="8" t="inlineStr">
        <is>
          <t>600619300</t>
        </is>
      </c>
      <c r="D589" s="8" t="inlineStr">
        <is>
          <t>热轧不锈圆钢|圆钢|20Cr13|Φ45|GB/T 1220-2007|热轧|GB/T 702-2008</t>
        </is>
      </c>
      <c r="E589" s="8" t="inlineStr">
        <is>
          <t>物资名称 热轧不锈圆钢;物资简称 圆钢;牌号 20Cr13;直径 Φ45;技术标准号 GB/T 1220-2007;加工工艺 热轧;热处理工艺 ;特殊要求 ;规格标准号 GB/T 702-2008</t>
        </is>
      </c>
      <c r="F589" s="4" t="inlineStr">
        <is>
          <t>千克</t>
        </is>
      </c>
    </row>
    <row r="590" s="21">
      <c r="A590" s="8" t="inlineStr">
        <is>
          <t>100201</t>
        </is>
      </c>
      <c r="B590" s="8" t="inlineStr">
        <is>
          <t>圆钢</t>
        </is>
      </c>
      <c r="C590" s="8" t="inlineStr">
        <is>
          <t>600619200</t>
        </is>
      </c>
      <c r="D590" s="8" t="inlineStr">
        <is>
          <t>热轧不锈圆钢|圆钢|20Cr13|Φ50|GB/T 1220-2007|热轧|GB/T 702-2008</t>
        </is>
      </c>
      <c r="E590" s="8" t="inlineStr">
        <is>
          <t>物资名称 热轧不锈圆钢;物资简称 圆钢;牌号 20Cr13;直径 Φ50;技术标准号 GB/T 1220-2007;加工工艺 热轧;热处理工艺 ;特殊要求 ;规格标准号 GB/T 702-2008</t>
        </is>
      </c>
      <c r="F590" s="4" t="inlineStr">
        <is>
          <t>千克</t>
        </is>
      </c>
    </row>
    <row r="591" s="21">
      <c r="A591" s="8" t="inlineStr">
        <is>
          <t>100201</t>
        </is>
      </c>
      <c r="B591" s="8" t="inlineStr">
        <is>
          <t>圆钢</t>
        </is>
      </c>
      <c r="C591" s="8" t="inlineStr">
        <is>
          <t>600619100</t>
        </is>
      </c>
      <c r="D591" s="8" t="inlineStr">
        <is>
          <t>热轧不锈圆钢|圆钢|20Cr13|Φ55|GB/T 1220-2007|热轧|GB/T 702-2008</t>
        </is>
      </c>
      <c r="E591" s="8" t="inlineStr">
        <is>
          <t>物资名称 热轧不锈圆钢;物资简称 圆钢;牌号 20Cr13;直径 Φ55;技术标准号 GB/T 1220-2007;加工工艺 热轧;热处理工艺 ;特殊要求 ;规格标准号 GB/T 702-2008</t>
        </is>
      </c>
      <c r="F591" s="4" t="inlineStr">
        <is>
          <t>千克</t>
        </is>
      </c>
    </row>
    <row r="592" s="21">
      <c r="A592" s="8" t="inlineStr">
        <is>
          <t>100201</t>
        </is>
      </c>
      <c r="B592" s="8" t="inlineStr">
        <is>
          <t>圆钢</t>
        </is>
      </c>
      <c r="C592" s="8" t="inlineStr">
        <is>
          <t>600619000</t>
        </is>
      </c>
      <c r="D592" s="8" t="inlineStr">
        <is>
          <t>热轧不锈圆钢|圆钢|20Cr13|Φ60|GB/T 1220-2007|热轧|GB/T 702-2008</t>
        </is>
      </c>
      <c r="E592" s="8" t="inlineStr">
        <is>
          <t>物资名称 热轧不锈圆钢;物资简称 圆钢;牌号 20Cr13;直径 Φ60;技术标准号 GB/T 1220-2007;加工工艺 热轧;热处理工艺 ;特殊要求 ;规格标准号 GB/T 702-2008</t>
        </is>
      </c>
      <c r="F592" s="4" t="inlineStr">
        <is>
          <t>千克</t>
        </is>
      </c>
    </row>
    <row r="593" s="21">
      <c r="A593" s="8" t="inlineStr">
        <is>
          <t>100201</t>
        </is>
      </c>
      <c r="B593" s="8" t="inlineStr">
        <is>
          <t>圆钢</t>
        </is>
      </c>
      <c r="C593" s="8" t="inlineStr">
        <is>
          <t>600618900</t>
        </is>
      </c>
      <c r="D593" s="8" t="inlineStr">
        <is>
          <t>热轧不锈圆钢|圆钢|20Cr13|Φ65|GB/T 1220-2007|热轧|GB/T 702-2008</t>
        </is>
      </c>
      <c r="E593" s="8" t="inlineStr">
        <is>
          <t>物资名称 热轧不锈圆钢;物资简称 圆钢;牌号 20Cr13;直径 Φ65;技术标准号 GB/T 1220-2007;加工工艺 热轧;热处理工艺 ;特殊要求 ;规格标准号 GB/T 702-2008</t>
        </is>
      </c>
      <c r="F593" s="4" t="inlineStr">
        <is>
          <t>千克</t>
        </is>
      </c>
    </row>
    <row r="594" s="21">
      <c r="A594" s="8" t="inlineStr">
        <is>
          <t>100201</t>
        </is>
      </c>
      <c r="B594" s="8" t="inlineStr">
        <is>
          <t>圆钢</t>
        </is>
      </c>
      <c r="C594" s="8" t="inlineStr">
        <is>
          <t>600618800</t>
        </is>
      </c>
      <c r="D594" s="8" t="inlineStr">
        <is>
          <t>热轧不锈圆钢|圆钢|20Cr13|Φ70|GB/T 1220-2007|热轧|GB/T 702-2008</t>
        </is>
      </c>
      <c r="E594" s="8" t="inlineStr">
        <is>
          <t>物资名称 热轧不锈圆钢;物资简称 圆钢;牌号 20Cr13;直径 Φ70;技术标准号 GB/T 1220-2007;加工工艺 热轧;热处理工艺 ;特殊要求 ;规格标准号 GB/T 702-2008</t>
        </is>
      </c>
      <c r="F594" s="4" t="inlineStr">
        <is>
          <t>千克</t>
        </is>
      </c>
    </row>
    <row r="595" s="21">
      <c r="A595" s="8" t="inlineStr">
        <is>
          <t>100201</t>
        </is>
      </c>
      <c r="B595" s="8" t="inlineStr">
        <is>
          <t>圆钢</t>
        </is>
      </c>
      <c r="C595" s="8" t="inlineStr">
        <is>
          <t>600618700</t>
        </is>
      </c>
      <c r="D595" s="8" t="inlineStr">
        <is>
          <t>热轧不锈圆钢|圆钢|20Cr13|Φ75|GB/T 1220-2007|热轧|GB/T 702-2008</t>
        </is>
      </c>
      <c r="E595" s="8" t="inlineStr">
        <is>
          <t>物资名称 热轧不锈圆钢;物资简称 圆钢;牌号 20Cr13;直径 Φ75;技术标准号 GB/T 1220-2007;加工工艺 热轧;热处理工艺 ;特殊要求 ;规格标准号 GB/T 702-2008</t>
        </is>
      </c>
      <c r="F595" s="4" t="inlineStr">
        <is>
          <t>千克</t>
        </is>
      </c>
    </row>
    <row r="596" s="21">
      <c r="A596" s="8" t="inlineStr">
        <is>
          <t>100201</t>
        </is>
      </c>
      <c r="B596" s="8" t="inlineStr">
        <is>
          <t>圆钢</t>
        </is>
      </c>
      <c r="C596" s="8" t="inlineStr">
        <is>
          <t>600618600</t>
        </is>
      </c>
      <c r="D596" s="8" t="inlineStr">
        <is>
          <t>热轧不锈圆钢|圆钢|20Cr13|Φ110|GB/T 1220-2007|热轧|GB/T 702-2008</t>
        </is>
      </c>
      <c r="E596" s="8" t="inlineStr">
        <is>
          <t>物资名称 热轧不锈圆钢;物资简称 圆钢;牌号 20Cr13;直径 Φ110;技术标准号 GB/T 1220-2007;加工工艺 热轧;热处理工艺 ;特殊要求 ;规格标准号 GB/T 702-2008</t>
        </is>
      </c>
      <c r="F596" s="4" t="inlineStr">
        <is>
          <t>千克</t>
        </is>
      </c>
    </row>
    <row r="597" s="21">
      <c r="A597" s="8" t="inlineStr">
        <is>
          <t>100201</t>
        </is>
      </c>
      <c r="B597" s="8" t="inlineStr">
        <is>
          <t>圆钢</t>
        </is>
      </c>
      <c r="C597" s="8" t="inlineStr">
        <is>
          <t>600618500</t>
        </is>
      </c>
      <c r="D597" s="8" t="inlineStr">
        <is>
          <t>热轧不锈圆钢|圆钢|20Cr13|Φ150|GB/T 1220-2007|热轧|GB/T 702-2008</t>
        </is>
      </c>
      <c r="E597" s="8" t="inlineStr">
        <is>
          <t>物资名称 热轧不锈圆钢;物资简称 圆钢;牌号 20Cr13;直径 Φ150;技术标准号 GB/T 1220-2007;加工工艺 热轧;热处理工艺 ;特殊要求 ;规格标准号 GB/T 702-2008</t>
        </is>
      </c>
      <c r="F597" s="4" t="inlineStr">
        <is>
          <t>千克</t>
        </is>
      </c>
    </row>
    <row r="598" s="21">
      <c r="A598" s="8" t="inlineStr">
        <is>
          <t>100201</t>
        </is>
      </c>
      <c r="B598" s="8" t="inlineStr">
        <is>
          <t>圆钢</t>
        </is>
      </c>
      <c r="C598" s="8" t="inlineStr">
        <is>
          <t>600618400</t>
        </is>
      </c>
      <c r="D598" s="8" t="inlineStr">
        <is>
          <t>热轧不锈圆钢|圆钢|20Cr13|Φ180|GB/T 1220-2007|热轧|GB/T 702-2008</t>
        </is>
      </c>
      <c r="E598" s="8" t="inlineStr">
        <is>
          <t>物资名称 热轧不锈圆钢;物资简称 圆钢;牌号 20Cr13;直径 Φ180;技术标准号 GB/T 1220-2007;加工工艺 热轧;热处理工艺 ;特殊要求 ;规格标准号 GB/T 702-2008</t>
        </is>
      </c>
      <c r="F598" s="4" t="inlineStr">
        <is>
          <t>千克</t>
        </is>
      </c>
    </row>
    <row r="599" s="21">
      <c r="A599" s="8" t="inlineStr">
        <is>
          <t>100201</t>
        </is>
      </c>
      <c r="B599" s="8" t="inlineStr">
        <is>
          <t>圆钢</t>
        </is>
      </c>
      <c r="C599" s="8" t="inlineStr">
        <is>
          <t>600618300</t>
        </is>
      </c>
      <c r="D599" s="8" t="inlineStr">
        <is>
          <t>不锈钢棒|钢棒|40Cr13|GB/T 1220-2007</t>
        </is>
      </c>
      <c r="E599" s="8" t="inlineStr">
        <is>
          <t xml:space="preserve">物资名称 不锈钢棒;物资简称 钢棒;牌号 40Cr13;直径 Φ;技术标准号 GB/T 1220-2007;加工工艺 ;热处理工艺 ;特殊要求 ;规格标准号 </t>
        </is>
      </c>
      <c r="F599" s="4" t="inlineStr">
        <is>
          <t>千克</t>
        </is>
      </c>
    </row>
    <row r="600" s="21">
      <c r="A600" s="8" t="inlineStr">
        <is>
          <t>100201</t>
        </is>
      </c>
      <c r="B600" s="8" t="inlineStr">
        <is>
          <t>圆钢</t>
        </is>
      </c>
      <c r="C600" s="8" t="inlineStr">
        <is>
          <t>600618200</t>
        </is>
      </c>
      <c r="D600" s="8" t="inlineStr">
        <is>
          <t>热轧不锈圆钢|圆钢|40Cr13|GB/T 1220-2007|GB/T 702-2008</t>
        </is>
      </c>
      <c r="E600" s="8" t="inlineStr">
        <is>
          <t>物资名称 热轧不锈圆钢;物资简称 圆钢;牌号 40Cr13;直径 Φ;技术标准号 GB/T 1220-2007;加工工艺 ;热处理工艺 ;特殊要求 ;规格标准号 GB/T 702-2008</t>
        </is>
      </c>
      <c r="F600" s="4" t="inlineStr">
        <is>
          <t>千克</t>
        </is>
      </c>
    </row>
    <row r="601" s="21">
      <c r="A601" s="8" t="inlineStr">
        <is>
          <t>100201</t>
        </is>
      </c>
      <c r="B601" s="8" t="inlineStr">
        <is>
          <t>圆钢</t>
        </is>
      </c>
      <c r="C601" s="8" t="inlineStr">
        <is>
          <t>600618100</t>
        </is>
      </c>
      <c r="D601" s="8" t="inlineStr">
        <is>
          <t>热轧不锈圆钢|圆钢|40Cr13|Φ35|GB/T 1220-2007|热轧|GB/T 702-2008</t>
        </is>
      </c>
      <c r="E601" s="8" t="inlineStr">
        <is>
          <t>物资名称 热轧不锈圆钢;物资简称 圆钢;牌号 40Cr13;直径 Φ35;技术标准号 GB/T 1220-2007;加工工艺 热轧;热处理工艺 ;特殊要求 ;规格标准号 GB/T 702-2008</t>
        </is>
      </c>
      <c r="F601" s="4" t="inlineStr">
        <is>
          <t>千克</t>
        </is>
      </c>
    </row>
    <row r="602" s="21">
      <c r="A602" s="8" t="inlineStr">
        <is>
          <t>100201</t>
        </is>
      </c>
      <c r="B602" s="8" t="inlineStr">
        <is>
          <t>圆钢</t>
        </is>
      </c>
      <c r="C602" s="8" t="inlineStr">
        <is>
          <t>600618000</t>
        </is>
      </c>
      <c r="D602" s="8" t="inlineStr">
        <is>
          <t>热轧不锈圆钢|圆钢|40Cr13|Φ100|GB/T 1220-2007|热轧|GB/T 702-2008</t>
        </is>
      </c>
      <c r="E602" s="8" t="inlineStr">
        <is>
          <t>物资名称 热轧不锈圆钢;物资简称 圆钢;牌号 40Cr13;直径 Φ100;技术标准号 GB/T 1220-2007;加工工艺 热轧;热处理工艺 ;特殊要求 ;规格标准号 GB/T 702-2008</t>
        </is>
      </c>
      <c r="F602" s="4" t="inlineStr">
        <is>
          <t>千克</t>
        </is>
      </c>
    </row>
    <row r="603" s="21">
      <c r="A603" s="8" t="inlineStr">
        <is>
          <t>100201</t>
        </is>
      </c>
      <c r="B603" s="8" t="inlineStr">
        <is>
          <t>圆钢</t>
        </is>
      </c>
      <c r="C603" s="8" t="inlineStr">
        <is>
          <t>600617900</t>
        </is>
      </c>
      <c r="D603" s="8" t="inlineStr">
        <is>
          <t>热轧弹簧圆钢|圆钢|65Mn|GB/T 1222-2007|GB/T 702-2008</t>
        </is>
      </c>
      <c r="E603" s="8" t="inlineStr">
        <is>
          <t>物资名称 热轧弹簧圆钢;物资简称 圆钢;牌号 65Mn;直径 Φ;技术标准号 GB/T 1222-2007;加工工艺 ;热处理工艺 ;特殊要求 ;规格标准号 GB/T 702-2008</t>
        </is>
      </c>
      <c r="F603" s="4" t="inlineStr">
        <is>
          <t>千克</t>
        </is>
      </c>
    </row>
    <row r="604" s="21">
      <c r="A604" s="8" t="inlineStr">
        <is>
          <t>100201</t>
        </is>
      </c>
      <c r="B604" s="8" t="inlineStr">
        <is>
          <t>圆钢</t>
        </is>
      </c>
      <c r="C604" s="8" t="inlineStr">
        <is>
          <t>600617800</t>
        </is>
      </c>
      <c r="D604" s="8" t="inlineStr">
        <is>
          <t>热轧弹簧圆钢|圆钢|65Mn|Φ25|GB/T 1222-2007|热轧|GB/T 702-2008</t>
        </is>
      </c>
      <c r="E604" s="8" t="inlineStr">
        <is>
          <t>物资名称 热轧弹簧圆钢;物资简称 圆钢;牌号 65Mn;直径 Φ25;技术标准号 GB/T 1222-2007;加工工艺 热轧;热处理工艺 ;特殊要求 ;规格标准号 GB/T 702-2008</t>
        </is>
      </c>
      <c r="F604" s="4" t="inlineStr">
        <is>
          <t>千克</t>
        </is>
      </c>
    </row>
    <row r="605" s="21">
      <c r="A605" s="8" t="inlineStr">
        <is>
          <t>100201</t>
        </is>
      </c>
      <c r="B605" s="8" t="inlineStr">
        <is>
          <t>圆钢</t>
        </is>
      </c>
      <c r="C605" s="8" t="inlineStr">
        <is>
          <t>600617700</t>
        </is>
      </c>
      <c r="D605" s="8" t="inlineStr">
        <is>
          <t>热轧弹簧圆钢|圆钢|65Mn|Φ60|GB/T 1222-2007|热轧|GB/T 702-2008</t>
        </is>
      </c>
      <c r="E605" s="8" t="inlineStr">
        <is>
          <t>物资名称 热轧弹簧圆钢;物资简称 圆钢;牌号 65Mn;直径 Φ60;技术标准号 GB/T 1222-2007;加工工艺 热轧;热处理工艺 ;特殊要求 ;规格标准号 GB/T 702-2008</t>
        </is>
      </c>
      <c r="F605" s="4" t="inlineStr">
        <is>
          <t>千克</t>
        </is>
      </c>
    </row>
    <row r="606" s="21">
      <c r="A606" s="8" t="inlineStr">
        <is>
          <t>100201</t>
        </is>
      </c>
      <c r="B606" s="8" t="inlineStr">
        <is>
          <t>圆钢</t>
        </is>
      </c>
      <c r="C606" s="8" t="inlineStr">
        <is>
          <t>600617600</t>
        </is>
      </c>
      <c r="D606" s="8" t="inlineStr">
        <is>
          <t>热轧弹簧圆钢|圆钢|65Mn|Φ80|GB/T 1222-2007|热轧|GB/T 702-2008</t>
        </is>
      </c>
      <c r="E606" s="8" t="inlineStr">
        <is>
          <t>物资名称 热轧弹簧圆钢;物资简称 圆钢;牌号 65Mn;直径 Φ80;技术标准号 GB/T 1222-2007;加工工艺 热轧;热处理工艺 ;特殊要求 ;规格标准号 GB/T 702-2008</t>
        </is>
      </c>
      <c r="F606" s="4" t="inlineStr">
        <is>
          <t>千克</t>
        </is>
      </c>
    </row>
    <row r="607" s="21">
      <c r="A607" s="8" t="inlineStr">
        <is>
          <t>100201</t>
        </is>
      </c>
      <c r="B607" s="8" t="inlineStr">
        <is>
          <t>圆钢</t>
        </is>
      </c>
      <c r="C607" s="8" t="inlineStr">
        <is>
          <t>600617500</t>
        </is>
      </c>
      <c r="D607" s="8" t="inlineStr">
        <is>
          <t>高碳铬轴承钢棒|钢棒|GCr15|GB/T 18254-2002</t>
        </is>
      </c>
      <c r="E607" s="8" t="inlineStr">
        <is>
          <t xml:space="preserve">物资名称 高碳铬轴承钢棒;物资简称 钢棒;牌号 GCr15;直径 Φ;技术标准号 GB/T 18254-2002;加工工艺 ;热处理工艺 ;特殊要求 ;规格标准号 </t>
        </is>
      </c>
      <c r="F607" s="4" t="inlineStr">
        <is>
          <t>千克</t>
        </is>
      </c>
    </row>
    <row r="608" s="21">
      <c r="A608" s="8" t="inlineStr">
        <is>
          <t>100201</t>
        </is>
      </c>
      <c r="B608" s="8" t="inlineStr">
        <is>
          <t>圆钢</t>
        </is>
      </c>
      <c r="C608" s="8" t="inlineStr">
        <is>
          <t>600617400</t>
        </is>
      </c>
      <c r="D608" s="8" t="inlineStr">
        <is>
          <t>热轧高碳铬轴承圆钢|圆钢|GCr15|GB/T 18254-2002|热轧|GB/T 702-2008</t>
        </is>
      </c>
      <c r="E608" s="8" t="inlineStr">
        <is>
          <t>物资名称 热轧高碳铬轴承圆钢;物资简称 圆钢;牌号 GCr15;直径 Φ;技术标准号 GB/T 18254-2002;加工工艺 热轧;热处理工艺 ;特殊要求 ;规格标准号 GB/T 702-2008</t>
        </is>
      </c>
      <c r="F608" s="4" t="inlineStr">
        <is>
          <t>千克</t>
        </is>
      </c>
    </row>
    <row r="609" s="21">
      <c r="A609" s="8" t="inlineStr">
        <is>
          <t>100201</t>
        </is>
      </c>
      <c r="B609" s="8" t="inlineStr">
        <is>
          <t>圆钢</t>
        </is>
      </c>
      <c r="C609" s="8" t="inlineStr">
        <is>
          <t>600617300</t>
        </is>
      </c>
      <c r="D609" s="8" t="inlineStr">
        <is>
          <t>热轧高碳铬轴承圆钢|圆钢|GCr15|Φ14|GB/T 18254-2002|热轧|GB/T 702-2008</t>
        </is>
      </c>
      <c r="E609" s="8" t="inlineStr">
        <is>
          <t>物资名称 热轧高碳铬轴承圆钢;物资简称 圆钢;牌号 GCr15;直径 Φ14;技术标准号 GB/T 18254-2002;加工工艺 热轧;热处理工艺 ;特殊要求 ;规格标准号 GB/T 702-2008</t>
        </is>
      </c>
      <c r="F609" s="4" t="inlineStr">
        <is>
          <t>千克</t>
        </is>
      </c>
    </row>
    <row r="610" s="21">
      <c r="A610" s="8" t="inlineStr">
        <is>
          <t>100201</t>
        </is>
      </c>
      <c r="B610" s="8" t="inlineStr">
        <is>
          <t>圆钢</t>
        </is>
      </c>
      <c r="C610" s="8" t="inlineStr">
        <is>
          <t>600617200</t>
        </is>
      </c>
      <c r="D610" s="8" t="inlineStr">
        <is>
          <t>热轧高碳铬轴承圆钢|圆钢|GCr15|Φ15|GB/T 18254-2002|热轧|GB/T 702-2008</t>
        </is>
      </c>
      <c r="E610" s="8" t="inlineStr">
        <is>
          <t>物资名称 热轧高碳铬轴承圆钢;物资简称 圆钢;牌号 GCr15;直径 Φ15;技术标准号 GB/T 18254-2002;加工工艺 热轧;热处理工艺 ;特殊要求 ;规格标准号 GB/T 702-2008</t>
        </is>
      </c>
      <c r="F610" s="4" t="inlineStr">
        <is>
          <t>千克</t>
        </is>
      </c>
    </row>
    <row r="611" s="21">
      <c r="A611" s="8" t="inlineStr">
        <is>
          <t>100201</t>
        </is>
      </c>
      <c r="B611" s="8" t="inlineStr">
        <is>
          <t>圆钢</t>
        </is>
      </c>
      <c r="C611" s="8" t="inlineStr">
        <is>
          <t>600617100</t>
        </is>
      </c>
      <c r="D611" s="8" t="inlineStr">
        <is>
          <t>热轧高碳铬轴承圆钢|圆钢|GCr15|Φ25|GB/T 18254-2002|热轧|GB/T 702-2008</t>
        </is>
      </c>
      <c r="E611" s="8" t="inlineStr">
        <is>
          <t>物资名称 热轧高碳铬轴承圆钢;物资简称 圆钢;牌号 GCr15;直径 Φ25;技术标准号 GB/T 18254-2002;加工工艺 热轧;热处理工艺 ;特殊要求 ;规格标准号 GB/T 702-2008</t>
        </is>
      </c>
      <c r="F611" s="4" t="inlineStr">
        <is>
          <t>千克</t>
        </is>
      </c>
    </row>
    <row r="612" s="21">
      <c r="A612" s="8" t="inlineStr">
        <is>
          <t>100201</t>
        </is>
      </c>
      <c r="B612" s="8" t="inlineStr">
        <is>
          <t>圆钢</t>
        </is>
      </c>
      <c r="C612" s="8" t="inlineStr">
        <is>
          <t>600617000</t>
        </is>
      </c>
      <c r="D612" s="8" t="inlineStr">
        <is>
          <t>热轧高碳铬轴承圆钢|圆钢|GCr15|Φ30|GB/T 18254-2002|热轧|GB/T 702-2008</t>
        </is>
      </c>
      <c r="E612" s="8" t="inlineStr">
        <is>
          <t>物资名称 热轧高碳铬轴承圆钢;物资简称 圆钢;牌号 GCr15;直径 Φ30;技术标准号 GB/T 18254-2002;加工工艺 热轧;热处理工艺 ;特殊要求 ;规格标准号 GB/T 702-2008</t>
        </is>
      </c>
      <c r="F612" s="4" t="inlineStr">
        <is>
          <t>千克</t>
        </is>
      </c>
    </row>
    <row r="613" s="21">
      <c r="A613" s="8" t="inlineStr">
        <is>
          <t>100201</t>
        </is>
      </c>
      <c r="B613" s="8" t="inlineStr">
        <is>
          <t>圆钢</t>
        </is>
      </c>
      <c r="C613" s="8" t="inlineStr">
        <is>
          <t>600616900</t>
        </is>
      </c>
      <c r="D613" s="8" t="inlineStr">
        <is>
          <t>热轧高碳铬轴承圆钢|圆钢|GCr15|Φ35|GB/T 18254-2002|热轧|GB/T 702-2008</t>
        </is>
      </c>
      <c r="E613" s="8" t="inlineStr">
        <is>
          <t>物资名称 热轧高碳铬轴承圆钢;物资简称 圆钢;牌号 GCr15;直径 Φ35;技术标准号 GB/T 18254-2002;加工工艺 热轧;热处理工艺 ;特殊要求 ;规格标准号 GB/T 702-2008</t>
        </is>
      </c>
      <c r="F613" s="4" t="inlineStr">
        <is>
          <t>千克</t>
        </is>
      </c>
    </row>
    <row r="614" s="21">
      <c r="A614" s="8" t="inlineStr">
        <is>
          <t>100201</t>
        </is>
      </c>
      <c r="B614" s="8" t="inlineStr">
        <is>
          <t>圆钢</t>
        </is>
      </c>
      <c r="C614" s="8" t="inlineStr">
        <is>
          <t>600616800</t>
        </is>
      </c>
      <c r="D614" s="8" t="inlineStr">
        <is>
          <t>热轧高碳铬轴承圆钢|圆钢|GCr15|Φ40|GB/T 18254-2002|热轧|GB/T 702-2008</t>
        </is>
      </c>
      <c r="E614" s="8" t="inlineStr">
        <is>
          <t>物资名称 热轧高碳铬轴承圆钢;物资简称 圆钢;牌号 GCr15;直径 Φ40;技术标准号 GB/T 18254-2002;加工工艺 热轧;热处理工艺 ;特殊要求 ;规格标准号 GB/T 702-2008</t>
        </is>
      </c>
      <c r="F614" s="4" t="inlineStr">
        <is>
          <t>千克</t>
        </is>
      </c>
    </row>
    <row r="615" s="21">
      <c r="A615" s="8" t="inlineStr">
        <is>
          <t>100201</t>
        </is>
      </c>
      <c r="B615" s="8" t="inlineStr">
        <is>
          <t>圆钢</t>
        </is>
      </c>
      <c r="C615" s="8" t="inlineStr">
        <is>
          <t>600616700</t>
        </is>
      </c>
      <c r="D615" s="8" t="inlineStr">
        <is>
          <t>热轧高碳铬轴承圆钢|圆钢|GCr15|Φ50|GB/T 18254-2002|热轧|GB/T 702-2008</t>
        </is>
      </c>
      <c r="E615" s="8" t="inlineStr">
        <is>
          <t>物资名称 热轧高碳铬轴承圆钢;物资简称 圆钢;牌号 GCr15;直径 Φ50;技术标准号 GB/T 18254-2002;加工工艺 热轧;热处理工艺 ;特殊要求 ;规格标准号 GB/T 702-2008</t>
        </is>
      </c>
      <c r="F615" s="4" t="inlineStr">
        <is>
          <t>千克</t>
        </is>
      </c>
    </row>
    <row r="616" s="21">
      <c r="A616" s="8" t="inlineStr">
        <is>
          <t>100201</t>
        </is>
      </c>
      <c r="B616" s="8" t="inlineStr">
        <is>
          <t>圆钢</t>
        </is>
      </c>
      <c r="C616" s="8" t="inlineStr">
        <is>
          <t>600616600</t>
        </is>
      </c>
      <c r="D616" s="8" t="inlineStr">
        <is>
          <t>热轧高碳铬轴承圆钢|圆钢|GCr15|Φ70|GB/T 18254-2002|热轧|GB/T 702-2008</t>
        </is>
      </c>
      <c r="E616" s="8" t="inlineStr">
        <is>
          <t>物资名称 热轧高碳铬轴承圆钢;物资简称 圆钢;牌号 GCr15;直径 Φ70;技术标准号 GB/T 18254-2002;加工工艺 热轧;热处理工艺 ;特殊要求 ;规格标准号 GB/T 702-2008</t>
        </is>
      </c>
      <c r="F616" s="4" t="inlineStr">
        <is>
          <t>千克</t>
        </is>
      </c>
    </row>
    <row r="617" s="21">
      <c r="A617" s="8" t="inlineStr">
        <is>
          <t>100201</t>
        </is>
      </c>
      <c r="B617" s="8" t="inlineStr">
        <is>
          <t>圆钢</t>
        </is>
      </c>
      <c r="C617" s="8" t="inlineStr">
        <is>
          <t>600616500</t>
        </is>
      </c>
      <c r="D617" s="8" t="inlineStr">
        <is>
          <t>热轧高碳铬轴承圆钢|圆钢|GCr15|Φ80|GB/T 18254-2002|热轧|GB/T 702-2008</t>
        </is>
      </c>
      <c r="E617" s="8" t="inlineStr">
        <is>
          <t>物资名称 热轧高碳铬轴承圆钢;物资简称 圆钢;牌号 GCr15;直径 Φ80;技术标准号 GB/T 18254-2002;加工工艺 热轧;热处理工艺 ;特殊要求 ;规格标准号 GB/T 702-2008</t>
        </is>
      </c>
      <c r="F617" s="4" t="inlineStr">
        <is>
          <t>千克</t>
        </is>
      </c>
    </row>
    <row r="618" s="21">
      <c r="A618" s="8" t="inlineStr">
        <is>
          <t>100201</t>
        </is>
      </c>
      <c r="B618" s="8" t="inlineStr">
        <is>
          <t>圆钢</t>
        </is>
      </c>
      <c r="C618" s="8" t="inlineStr">
        <is>
          <t>600616400</t>
        </is>
      </c>
      <c r="D618" s="8" t="inlineStr">
        <is>
          <t>热轧高碳铬轴承圆钢|圆钢|GCr15|Φ90|GB/T 18254-2002|热轧|GB/T 702-2008</t>
        </is>
      </c>
      <c r="E618" s="8" t="inlineStr">
        <is>
          <t>物资名称 热轧高碳铬轴承圆钢;物资简称 圆钢;牌号 GCr15;直径 Φ90;技术标准号 GB/T 18254-2002;加工工艺 热轧;热处理工艺 ;特殊要求 ;规格标准号 GB/T 702-2008</t>
        </is>
      </c>
      <c r="F618" s="4" t="inlineStr">
        <is>
          <t>千克</t>
        </is>
      </c>
    </row>
    <row r="619" s="21">
      <c r="A619" s="8" t="inlineStr">
        <is>
          <t>100201</t>
        </is>
      </c>
      <c r="B619" s="8" t="inlineStr">
        <is>
          <t>圆钢</t>
        </is>
      </c>
      <c r="C619" s="8" t="inlineStr">
        <is>
          <t>600616300</t>
        </is>
      </c>
      <c r="D619" s="8" t="inlineStr">
        <is>
          <t>热轧高碳铬轴承圆钢|圆钢|GCr15|Φ120|GB/T 18254-2002|热轧|GB/T 702-2008</t>
        </is>
      </c>
      <c r="E619" s="8" t="inlineStr">
        <is>
          <t>物资名称 热轧高碳铬轴承圆钢;物资简称 圆钢;牌号 GCr15;直径 Φ120;技术标准号 GB/T 18254-2002;加工工艺 热轧;热处理工艺 ;特殊要求 ;规格标准号 GB/T 702-2008</t>
        </is>
      </c>
      <c r="F619" s="4" t="inlineStr">
        <is>
          <t>千克</t>
        </is>
      </c>
    </row>
    <row r="620" s="21">
      <c r="A620" s="8" t="inlineStr">
        <is>
          <t>100201</t>
        </is>
      </c>
      <c r="B620" s="8" t="inlineStr">
        <is>
          <t>圆钢</t>
        </is>
      </c>
      <c r="C620" s="8" t="inlineStr">
        <is>
          <t>600616200</t>
        </is>
      </c>
      <c r="D620" s="8" t="inlineStr">
        <is>
          <t>热轧合金结构圆钢|圆钢|30CrMnSiA|GB/T 3077-1999|GB/T 702-2008</t>
        </is>
      </c>
      <c r="E620" s="8" t="inlineStr">
        <is>
          <t>物资名称 热轧合金结构圆钢;物资简称 圆钢;牌号 30CrMnSiA;直径 Φ;技术标准号 GB/T 3077-1999;加工工艺 ;热处理工艺 ;特殊要求 ;规格标准号 GB/T 702-2008</t>
        </is>
      </c>
      <c r="F620" s="4" t="inlineStr">
        <is>
          <t>千克</t>
        </is>
      </c>
    </row>
    <row r="621" s="21">
      <c r="A621" s="8" t="inlineStr">
        <is>
          <t>100201</t>
        </is>
      </c>
      <c r="B621" s="8" t="inlineStr">
        <is>
          <t>圆钢</t>
        </is>
      </c>
      <c r="C621" s="8" t="inlineStr">
        <is>
          <t>600616100</t>
        </is>
      </c>
      <c r="D621" s="8" t="inlineStr">
        <is>
          <t>锻造合金结构圆钢|圆钢|30CrMnSiA|Φ190|GB/T 3077-1999|锻造|退火|GB/T 908-2008</t>
        </is>
      </c>
      <c r="E621" s="8" t="inlineStr">
        <is>
          <t>物资名称 锻造合金结构圆钢;物资简称 圆钢;牌号 30CrMnSiA;直径 Φ190;技术标准号 GB/T 3077-1999;加工工艺 锻造;热处理工艺 退火;特殊要求 ;规格标准号 GB/T 908-2008</t>
        </is>
      </c>
      <c r="F621" s="4" t="inlineStr">
        <is>
          <t>千克</t>
        </is>
      </c>
    </row>
    <row r="622" s="21">
      <c r="A622" s="8" t="inlineStr">
        <is>
          <t>100201</t>
        </is>
      </c>
      <c r="B622" s="8" t="inlineStr">
        <is>
          <t>圆钢</t>
        </is>
      </c>
      <c r="C622" s="8" t="inlineStr">
        <is>
          <t>600616000</t>
        </is>
      </c>
      <c r="D622" s="8" t="inlineStr">
        <is>
          <t>热轧合金结构圆钢|圆钢|30CrMnSiA|Φ12|GB/T 3077-1999|热轧|GB/T 702-2008</t>
        </is>
      </c>
      <c r="E622" s="8" t="inlineStr">
        <is>
          <t>物资名称 热轧合金结构圆钢;物资简称 圆钢;牌号 30CrMnSiA;直径 Φ12;技术标准号 GB/T 3077-1999;加工工艺 热轧;热处理工艺 ;特殊要求 ;规格标准号 GB/T 702-2008</t>
        </is>
      </c>
      <c r="F622" s="4" t="inlineStr">
        <is>
          <t>千克</t>
        </is>
      </c>
    </row>
    <row r="623" s="21">
      <c r="A623" s="8" t="inlineStr">
        <is>
          <t>100201</t>
        </is>
      </c>
      <c r="B623" s="8" t="inlineStr">
        <is>
          <t>圆钢</t>
        </is>
      </c>
      <c r="C623" s="8" t="inlineStr">
        <is>
          <t>600615900</t>
        </is>
      </c>
      <c r="D623" s="8" t="inlineStr">
        <is>
          <t>热轧合金结构圆钢|圆钢|30CrMnSiA|Φ14|GB/T 3077-1999|热轧|GB/T 702-2008</t>
        </is>
      </c>
      <c r="E623" s="8" t="inlineStr">
        <is>
          <t>物资名称 热轧合金结构圆钢;物资简称 圆钢;牌号 30CrMnSiA;直径 Φ14;技术标准号 GB/T 3077-1999;加工工艺 热轧;热处理工艺 ;特殊要求 ;规格标准号 GB/T 702-2008</t>
        </is>
      </c>
      <c r="F623" s="4" t="inlineStr">
        <is>
          <t>千克</t>
        </is>
      </c>
    </row>
    <row r="624" s="21">
      <c r="A624" s="8" t="inlineStr">
        <is>
          <t>100201</t>
        </is>
      </c>
      <c r="B624" s="8" t="inlineStr">
        <is>
          <t>圆钢</t>
        </is>
      </c>
      <c r="C624" s="8" t="inlineStr">
        <is>
          <t>600615800</t>
        </is>
      </c>
      <c r="D624" s="8" t="inlineStr">
        <is>
          <t>热轧合金结构圆钢|圆钢|30CrMnSiA|Φ18|GB/T 3077-1999|热轧|GB/T 702-2008</t>
        </is>
      </c>
      <c r="E624" s="8" t="inlineStr">
        <is>
          <t>物资名称 热轧合金结构圆钢;物资简称 圆钢;牌号 30CrMnSiA;直径 Φ18;技术标准号 GB/T 3077-1999;加工工艺 热轧;热处理工艺 ;特殊要求 ;规格标准号 GB/T 702-2008</t>
        </is>
      </c>
      <c r="F624" s="4" t="inlineStr">
        <is>
          <t>千克</t>
        </is>
      </c>
    </row>
    <row r="625" s="21">
      <c r="A625" s="8" t="inlineStr">
        <is>
          <t>100201</t>
        </is>
      </c>
      <c r="B625" s="8" t="inlineStr">
        <is>
          <t>圆钢</t>
        </is>
      </c>
      <c r="C625" s="8" t="inlineStr">
        <is>
          <t>600615700</t>
        </is>
      </c>
      <c r="D625" s="8" t="inlineStr">
        <is>
          <t>热轧合金结构圆钢|圆钢|30CrMnSiA|Φ20|GB/T 3077-1999|热轧|GB/T 702-2008</t>
        </is>
      </c>
      <c r="E625" s="8" t="inlineStr">
        <is>
          <t>物资名称 热轧合金结构圆钢;物资简称 圆钢;牌号 30CrMnSiA;直径 Φ20;技术标准号 GB/T 3077-1999;加工工艺 热轧;热处理工艺 ;特殊要求 ;规格标准号 GB/T 702-2008</t>
        </is>
      </c>
      <c r="F625" s="4" t="inlineStr">
        <is>
          <t>千克</t>
        </is>
      </c>
    </row>
    <row r="626" s="21">
      <c r="A626" s="8" t="inlineStr">
        <is>
          <t>100201</t>
        </is>
      </c>
      <c r="B626" s="8" t="inlineStr">
        <is>
          <t>圆钢</t>
        </is>
      </c>
      <c r="C626" s="8" t="inlineStr">
        <is>
          <t>600615600</t>
        </is>
      </c>
      <c r="D626" s="8" t="inlineStr">
        <is>
          <t>热轧合金结构圆钢|圆钢|30CrMnSiA|Φ22|GB/T 3077-1999|热轧|GB/T 702-2008</t>
        </is>
      </c>
      <c r="E626" s="8" t="inlineStr">
        <is>
          <t>物资名称 热轧合金结构圆钢;物资简称 圆钢;牌号 30CrMnSiA;直径 Φ22;技术标准号 GB/T 3077-1999;加工工艺 热轧;热处理工艺 ;特殊要求 ;规格标准号 GB/T 702-2008</t>
        </is>
      </c>
      <c r="F626" s="4" t="inlineStr">
        <is>
          <t>千克</t>
        </is>
      </c>
    </row>
    <row r="627" s="21">
      <c r="A627" s="8" t="inlineStr">
        <is>
          <t>100201</t>
        </is>
      </c>
      <c r="B627" s="8" t="inlineStr">
        <is>
          <t>圆钢</t>
        </is>
      </c>
      <c r="C627" s="8" t="inlineStr">
        <is>
          <t>600615500</t>
        </is>
      </c>
      <c r="D627" s="8" t="inlineStr">
        <is>
          <t>热轧合金结构圆钢|圆钢|30CrMnSiA|Φ32|GB/T 3077-1999|热轧|GB/T 702-2008</t>
        </is>
      </c>
      <c r="E627" s="8" t="inlineStr">
        <is>
          <t>物资名称 热轧合金结构圆钢;物资简称 圆钢;牌号 30CrMnSiA;直径 Φ32;技术标准号 GB/T 3077-1999;加工工艺 热轧;热处理工艺 ;特殊要求 ;规格标准号 GB/T 702-2008</t>
        </is>
      </c>
      <c r="F627" s="4" t="inlineStr">
        <is>
          <t>千克</t>
        </is>
      </c>
    </row>
    <row r="628" s="21">
      <c r="A628" s="8" t="inlineStr">
        <is>
          <t>100201</t>
        </is>
      </c>
      <c r="B628" s="8" t="inlineStr">
        <is>
          <t>圆钢</t>
        </is>
      </c>
      <c r="C628" s="8" t="inlineStr">
        <is>
          <t>600615400</t>
        </is>
      </c>
      <c r="D628" s="8" t="inlineStr">
        <is>
          <t>热轧合金结构圆钢|圆钢|30CrMnSiA|Φ34|GB/T 3077-1999|热轧|GB/T 702-2008</t>
        </is>
      </c>
      <c r="E628" s="8" t="inlineStr">
        <is>
          <t>物资名称 热轧合金结构圆钢;物资简称 圆钢;牌号 30CrMnSiA;直径 Φ34;技术标准号 GB/T 3077-1999;加工工艺 热轧;热处理工艺 ;特殊要求 ;规格标准号 GB/T 702-2008</t>
        </is>
      </c>
      <c r="F628" s="4" t="inlineStr">
        <is>
          <t>千克</t>
        </is>
      </c>
    </row>
    <row r="629" s="21">
      <c r="A629" s="8" t="inlineStr">
        <is>
          <t>100201</t>
        </is>
      </c>
      <c r="B629" s="8" t="inlineStr">
        <is>
          <t>圆钢</t>
        </is>
      </c>
      <c r="C629" s="8" t="inlineStr">
        <is>
          <t>600615300</t>
        </is>
      </c>
      <c r="D629" s="8" t="inlineStr">
        <is>
          <t>热轧合金结构圆钢|圆钢|30CrMnSiA|Φ40|GB/T 3077-1999|热轧|GB/T 702-2008</t>
        </is>
      </c>
      <c r="E629" s="8" t="inlineStr">
        <is>
          <t>物资名称 热轧合金结构圆钢;物资简称 圆钢;牌号 30CrMnSiA;直径 Φ40;技术标准号 GB/T 3077-1999;加工工艺 热轧;热处理工艺 ;特殊要求 ;规格标准号 GB/T 702-2008</t>
        </is>
      </c>
      <c r="F629" s="4" t="inlineStr">
        <is>
          <t>千克</t>
        </is>
      </c>
    </row>
    <row r="630" s="21">
      <c r="A630" s="8" t="inlineStr">
        <is>
          <t>100201</t>
        </is>
      </c>
      <c r="B630" s="8" t="inlineStr">
        <is>
          <t>圆钢</t>
        </is>
      </c>
      <c r="C630" s="8" t="inlineStr">
        <is>
          <t>600615200</t>
        </is>
      </c>
      <c r="D630" s="8" t="inlineStr">
        <is>
          <t>热轧合金结构圆钢|圆钢|30CrMnSiA|Φ45|GB/T 3077-1999|热轧|GB/T 702-2008</t>
        </is>
      </c>
      <c r="E630" s="8" t="inlineStr">
        <is>
          <t>物资名称 热轧合金结构圆钢;物资简称 圆钢;牌号 30CrMnSiA;直径 Φ45;技术标准号 GB/T 3077-1999;加工工艺 热轧;热处理工艺 ;特殊要求 ;规格标准号 GB/T 702-2008</t>
        </is>
      </c>
      <c r="F630" s="4" t="inlineStr">
        <is>
          <t>千克</t>
        </is>
      </c>
    </row>
    <row r="631" s="21">
      <c r="A631" s="8" t="inlineStr">
        <is>
          <t>100201</t>
        </is>
      </c>
      <c r="B631" s="8" t="inlineStr">
        <is>
          <t>圆钢</t>
        </is>
      </c>
      <c r="C631" s="8" t="inlineStr">
        <is>
          <t>600615100</t>
        </is>
      </c>
      <c r="D631" s="8" t="inlineStr">
        <is>
          <t>热轧合金结构圆钢|圆钢|30CrMnSiA|Φ50|GB/T 3077-1999|热轧|GB/T 702-2008</t>
        </is>
      </c>
      <c r="E631" s="8" t="inlineStr">
        <is>
          <t>物资名称 热轧合金结构圆钢;物资简称 圆钢;牌号 30CrMnSiA;直径 Φ50;技术标准号 GB/T 3077-1999;加工工艺 热轧;热处理工艺 ;特殊要求 ;规格标准号 GB/T 702-2008</t>
        </is>
      </c>
      <c r="F631" s="4" t="inlineStr">
        <is>
          <t>千克</t>
        </is>
      </c>
    </row>
    <row r="632" s="21">
      <c r="A632" s="8" t="inlineStr">
        <is>
          <t>100201</t>
        </is>
      </c>
      <c r="B632" s="8" t="inlineStr">
        <is>
          <t>圆钢</t>
        </is>
      </c>
      <c r="C632" s="8" t="inlineStr">
        <is>
          <t>600615000</t>
        </is>
      </c>
      <c r="D632" s="8" t="inlineStr">
        <is>
          <t>热轧合金结构圆钢|圆钢|30CrMnSiA|Φ60|GB/T 3077-1999|热轧|GB/T 702-2008</t>
        </is>
      </c>
      <c r="E632" s="8" t="inlineStr">
        <is>
          <t>物资名称 热轧合金结构圆钢;物资简称 圆钢;牌号 30CrMnSiA;直径 Φ60;技术标准号 GB/T 3077-1999;加工工艺 热轧;热处理工艺 ;特殊要求 ;规格标准号 GB/T 702-2008</t>
        </is>
      </c>
      <c r="F632" s="4" t="inlineStr">
        <is>
          <t>千克</t>
        </is>
      </c>
    </row>
    <row r="633" s="21">
      <c r="A633" s="8" t="inlineStr">
        <is>
          <t>100201</t>
        </is>
      </c>
      <c r="B633" s="8" t="inlineStr">
        <is>
          <t>圆钢</t>
        </is>
      </c>
      <c r="C633" s="8" t="inlineStr">
        <is>
          <t>600614900</t>
        </is>
      </c>
      <c r="D633" s="8" t="inlineStr">
        <is>
          <t>热轧合金结构圆钢|圆钢|30CrMnSiA|Φ80|GB/T 3077-1999|热轧|GB/T 702-2008</t>
        </is>
      </c>
      <c r="E633" s="8" t="inlineStr">
        <is>
          <t>物资名称 热轧合金结构圆钢;物资简称 圆钢;牌号 30CrMnSiA;直径 Φ80;技术标准号 GB/T 3077-1999;加工工艺 热轧;热处理工艺 ;特殊要求 ;规格标准号 GB/T 702-2008</t>
        </is>
      </c>
      <c r="F633" s="4" t="inlineStr">
        <is>
          <t>千克</t>
        </is>
      </c>
    </row>
    <row r="634" s="21">
      <c r="A634" s="8" t="inlineStr">
        <is>
          <t>100201</t>
        </is>
      </c>
      <c r="B634" s="8" t="inlineStr">
        <is>
          <t>圆钢</t>
        </is>
      </c>
      <c r="C634" s="8" t="inlineStr">
        <is>
          <t>600614800</t>
        </is>
      </c>
      <c r="D634" s="8" t="inlineStr">
        <is>
          <t>热轧合金结构圆钢|圆钢|30CrMnSiA|Φ95|GB/T 3077-1999|热轧|GB/T 702-2008</t>
        </is>
      </c>
      <c r="E634" s="8" t="inlineStr">
        <is>
          <t>物资名称 热轧合金结构圆钢;物资简称 圆钢;牌号 30CrMnSiA;直径 Φ95;技术标准号 GB/T 3077-1999;加工工艺 热轧;热处理工艺 ;特殊要求 ;规格标准号 GB/T 702-2008</t>
        </is>
      </c>
      <c r="F634" s="4" t="inlineStr">
        <is>
          <t>千克</t>
        </is>
      </c>
    </row>
    <row r="635" s="21">
      <c r="A635" s="8" t="inlineStr">
        <is>
          <t>100201</t>
        </is>
      </c>
      <c r="B635" s="8" t="inlineStr">
        <is>
          <t>圆钢</t>
        </is>
      </c>
      <c r="C635" s="8" t="inlineStr">
        <is>
          <t>600614700</t>
        </is>
      </c>
      <c r="D635" s="8" t="inlineStr">
        <is>
          <t>热轧合金结构圆钢|圆钢|30CrMnSiA|Φ130|GB/T 3077-1999|热轧|GB/T 702-2008</t>
        </is>
      </c>
      <c r="E635" s="8" t="inlineStr">
        <is>
          <t>物资名称 热轧合金结构圆钢;物资简称 圆钢;牌号 30CrMnSiA;直径 Φ130;技术标准号 GB/T 3077-1999;加工工艺 热轧;热处理工艺 ;特殊要求 ;规格标准号 GB/T 702-2008</t>
        </is>
      </c>
      <c r="F635" s="4" t="inlineStr">
        <is>
          <t>千克</t>
        </is>
      </c>
    </row>
    <row r="636" s="21">
      <c r="A636" s="8" t="inlineStr">
        <is>
          <t>100201</t>
        </is>
      </c>
      <c r="B636" s="8" t="inlineStr">
        <is>
          <t>圆钢</t>
        </is>
      </c>
      <c r="C636" s="8" t="inlineStr">
        <is>
          <t>600614600</t>
        </is>
      </c>
      <c r="D636" s="8" t="inlineStr">
        <is>
          <t>热轧合金结构圆钢|圆钢|30CrMnSiA|Φ190|GB/T 3077-1999|热轧|GB/T 702-2008</t>
        </is>
      </c>
      <c r="E636" s="8" t="inlineStr">
        <is>
          <t>物资名称 热轧合金结构圆钢;物资简称 圆钢;牌号 30CrMnSiA;直径 Φ190;技术标准号 GB/T 3077-1999;加工工艺 热轧;热处理工艺 ;特殊要求 ;规格标准号 GB/T 702-2008</t>
        </is>
      </c>
      <c r="F636" s="4" t="inlineStr">
        <is>
          <t>千克</t>
        </is>
      </c>
    </row>
    <row r="637" s="21">
      <c r="A637" s="8" t="inlineStr">
        <is>
          <t>100201</t>
        </is>
      </c>
      <c r="B637" s="8" t="inlineStr">
        <is>
          <t>圆钢</t>
        </is>
      </c>
      <c r="C637" s="8" t="inlineStr">
        <is>
          <t>600614500</t>
        </is>
      </c>
      <c r="D637" s="8" t="inlineStr">
        <is>
          <t>热轧合金结构圆钢|圆钢|38CrMoAl|GB/T 3077-1999|GB/T 702-2008</t>
        </is>
      </c>
      <c r="E637" s="8" t="inlineStr">
        <is>
          <t>物资名称 热轧合金结构圆钢;物资简称 圆钢;牌号 38CrMoAl;直径 Φ;技术标准号 GB/T 3077-1999;加工工艺 ;热处理工艺 ;特殊要求 ;规格标准号 GB/T 702-2008</t>
        </is>
      </c>
      <c r="F637" s="4" t="inlineStr">
        <is>
          <t>千克</t>
        </is>
      </c>
    </row>
    <row r="638" s="21">
      <c r="A638" s="8" t="inlineStr">
        <is>
          <t>100201</t>
        </is>
      </c>
      <c r="B638" s="8" t="inlineStr">
        <is>
          <t>圆钢</t>
        </is>
      </c>
      <c r="C638" s="8" t="inlineStr">
        <is>
          <t>600614400</t>
        </is>
      </c>
      <c r="D638" s="8" t="inlineStr">
        <is>
          <t>热轧合金结构圆钢|圆钢|38CrMoAl|Φ40|GB/T 3077-1999|热轧|GB/T 702-2008</t>
        </is>
      </c>
      <c r="E638" s="8" t="inlineStr">
        <is>
          <t>物资名称 热轧合金结构圆钢;物资简称 圆钢;牌号 38CrMoAl;直径 Φ40;技术标准号 GB/T 3077-1999;加工工艺 热轧;热处理工艺 ;特殊要求 ;规格标准号 GB/T 702-2008</t>
        </is>
      </c>
      <c r="F638" s="4" t="inlineStr">
        <is>
          <t>千克</t>
        </is>
      </c>
    </row>
    <row r="639" s="21">
      <c r="A639" s="8" t="inlineStr">
        <is>
          <t>100201</t>
        </is>
      </c>
      <c r="B639" s="8" t="inlineStr">
        <is>
          <t>圆钢</t>
        </is>
      </c>
      <c r="C639" s="8" t="inlineStr">
        <is>
          <t>600614300</t>
        </is>
      </c>
      <c r="D639" s="8" t="inlineStr">
        <is>
          <t>热轧合金结构圆钢|圆钢|38CrMoAl|Φ50|GB/T 3077-1999|热轧|退火|GB/T 702-2008</t>
        </is>
      </c>
      <c r="E639" s="8" t="inlineStr">
        <is>
          <t>物资名称 热轧合金结构圆钢;物资简称 圆钢;牌号 38CrMoAl;直径 Φ50;技术标准号 GB/T 3077-1999;加工工艺 热轧;热处理工艺 退火;特殊要求 ;规格标准号 GB/T 702-2008</t>
        </is>
      </c>
      <c r="F639" s="4" t="inlineStr">
        <is>
          <t>千克</t>
        </is>
      </c>
    </row>
    <row r="640" s="21">
      <c r="A640" s="8" t="inlineStr">
        <is>
          <t>100201</t>
        </is>
      </c>
      <c r="B640" s="8" t="inlineStr">
        <is>
          <t>圆钢</t>
        </is>
      </c>
      <c r="C640" s="8" t="inlineStr">
        <is>
          <t>600614200</t>
        </is>
      </c>
      <c r="D640" s="8" t="inlineStr">
        <is>
          <t>热轧合金结构圆钢|圆钢|38CrMoAl|Φ75|GB/T 3077-1999|热轧|GB/T 702-2008</t>
        </is>
      </c>
      <c r="E640" s="8" t="inlineStr">
        <is>
          <t>物资名称 热轧合金结构圆钢;物资简称 圆钢;牌号 38CrMoAl;直径 Φ75;技术标准号 GB/T 3077-1999;加工工艺 热轧;热处理工艺 ;特殊要求 ;规格标准号 GB/T 702-2008</t>
        </is>
      </c>
      <c r="F640" s="4" t="inlineStr">
        <is>
          <t>千克</t>
        </is>
      </c>
    </row>
    <row r="641" s="21">
      <c r="A641" s="8" t="inlineStr">
        <is>
          <t>100201</t>
        </is>
      </c>
      <c r="B641" s="8" t="inlineStr">
        <is>
          <t>圆钢</t>
        </is>
      </c>
      <c r="C641" s="8" t="inlineStr">
        <is>
          <t>600614100</t>
        </is>
      </c>
      <c r="D641" s="8" t="inlineStr">
        <is>
          <t>合金结构圆钢|圆钢|40Cr|GB/T 3077-1999</t>
        </is>
      </c>
      <c r="E641" s="8" t="inlineStr">
        <is>
          <t xml:space="preserve">物资名称 合金结构圆钢;物资简称 圆钢;牌号 40Cr;直径 Φ;技术标准号 GB/T 3077-1999;加工工艺 ;热处理工艺 ;特殊要求 ;规格标准号 </t>
        </is>
      </c>
      <c r="F641" s="4" t="inlineStr">
        <is>
          <t>千克</t>
        </is>
      </c>
    </row>
    <row r="642" s="21">
      <c r="A642" s="8" t="inlineStr">
        <is>
          <t>100201</t>
        </is>
      </c>
      <c r="B642" s="8" t="inlineStr">
        <is>
          <t>圆钢</t>
        </is>
      </c>
      <c r="C642" s="8" t="inlineStr">
        <is>
          <t>600614000</t>
        </is>
      </c>
      <c r="D642" s="8" t="inlineStr">
        <is>
          <t>锻造合金结构圆钢|圆钢|40Cr|Φ260|GB/T 3077-1999|锻造|GB/T 908-2008</t>
        </is>
      </c>
      <c r="E642" s="8" t="inlineStr">
        <is>
          <t>物资名称 锻造合金结构圆钢;物资简称 圆钢;牌号 40Cr;直径 Φ260;技术标准号 GB/T 3077-1999;加工工艺 锻造;热处理工艺 ;特殊要求 ;规格标准号 GB/T 908-2008</t>
        </is>
      </c>
      <c r="F642" s="4" t="inlineStr">
        <is>
          <t>千克</t>
        </is>
      </c>
    </row>
    <row r="643" s="21">
      <c r="A643" s="8" t="inlineStr">
        <is>
          <t>100201</t>
        </is>
      </c>
      <c r="B643" s="8" t="inlineStr">
        <is>
          <t>圆钢</t>
        </is>
      </c>
      <c r="C643" s="8" t="inlineStr">
        <is>
          <t>600613900</t>
        </is>
      </c>
      <c r="D643" s="8" t="inlineStr">
        <is>
          <t>热轧合金结构圆钢|圆钢|40Cr|Φ6|GB/T 3077-1999|热轧|GB/T 702-2008</t>
        </is>
      </c>
      <c r="E643" s="8" t="inlineStr">
        <is>
          <t>物资名称 热轧合金结构圆钢;物资简称 圆钢;牌号 40Cr;直径 Φ6;技术标准号 GB/T 3077-1999;加工工艺 热轧;热处理工艺 ;特殊要求 ;规格标准号 GB/T 702-2008</t>
        </is>
      </c>
      <c r="F643" s="4" t="inlineStr">
        <is>
          <t>千克</t>
        </is>
      </c>
    </row>
    <row r="644" s="21">
      <c r="A644" s="8" t="inlineStr">
        <is>
          <t>100201</t>
        </is>
      </c>
      <c r="B644" s="8" t="inlineStr">
        <is>
          <t>圆钢</t>
        </is>
      </c>
      <c r="C644" s="8" t="inlineStr">
        <is>
          <t>600613800</t>
        </is>
      </c>
      <c r="D644" s="8" t="inlineStr">
        <is>
          <t>热轧合金结构圆钢|圆钢|40Cr|Φ8|GB/T 3077-1999|热轧|GB/T 702-2008</t>
        </is>
      </c>
      <c r="E644" s="8" t="inlineStr">
        <is>
          <t>物资名称 热轧合金结构圆钢;物资简称 圆钢;牌号 40Cr;直径 Φ8;技术标准号 GB/T 3077-1999;加工工艺 热轧;热处理工艺 ;特殊要求 ;规格标准号 GB/T 702-2008</t>
        </is>
      </c>
      <c r="F644" s="4" t="inlineStr">
        <is>
          <t>千克</t>
        </is>
      </c>
    </row>
    <row r="645" s="21">
      <c r="A645" s="8" t="inlineStr">
        <is>
          <t>100201</t>
        </is>
      </c>
      <c r="B645" s="8" t="inlineStr">
        <is>
          <t>圆钢</t>
        </is>
      </c>
      <c r="C645" s="8" t="inlineStr">
        <is>
          <t>600613700</t>
        </is>
      </c>
      <c r="D645" s="8" t="inlineStr">
        <is>
          <t>热轧合金结构圆钢|圆钢|40Cr|Φ10|GB/T 3077-1999|热轧|GB/T 702-2008</t>
        </is>
      </c>
      <c r="E645" s="8" t="inlineStr">
        <is>
          <t>物资名称 热轧合金结构圆钢;物资简称 圆钢;牌号 40Cr;直径 Φ10;技术标准号 GB/T 3077-1999;加工工艺 热轧;热处理工艺 ;特殊要求 ;规格标准号 GB/T 702-2008</t>
        </is>
      </c>
      <c r="F645" s="4" t="inlineStr">
        <is>
          <t>千克</t>
        </is>
      </c>
    </row>
    <row r="646" s="21">
      <c r="A646" s="8" t="inlineStr">
        <is>
          <t>100201</t>
        </is>
      </c>
      <c r="B646" s="8" t="inlineStr">
        <is>
          <t>圆钢</t>
        </is>
      </c>
      <c r="C646" s="8" t="inlineStr">
        <is>
          <t>600613600</t>
        </is>
      </c>
      <c r="D646" s="8" t="inlineStr">
        <is>
          <t>热轧合金结构圆钢|圆钢|40Cr|Φ14|GB/T 3077-1999|热轧|GB/T 702-2008</t>
        </is>
      </c>
      <c r="E646" s="8" t="inlineStr">
        <is>
          <t>物资名称 热轧合金结构圆钢;物资简称 圆钢;牌号 40Cr;直径 Φ14;技术标准号 GB/T 3077-1999;加工工艺 热轧;热处理工艺 ;特殊要求 ;规格标准号 GB/T 702-2008</t>
        </is>
      </c>
      <c r="F646" s="4" t="inlineStr">
        <is>
          <t>千克</t>
        </is>
      </c>
    </row>
    <row r="647" s="21">
      <c r="A647" s="8" t="inlineStr">
        <is>
          <t>100201</t>
        </is>
      </c>
      <c r="B647" s="8" t="inlineStr">
        <is>
          <t>圆钢</t>
        </is>
      </c>
      <c r="C647" s="8" t="inlineStr">
        <is>
          <t>600613500</t>
        </is>
      </c>
      <c r="D647" s="8" t="inlineStr">
        <is>
          <t>热轧合金结构圆钢|圆钢|40Cr|Φ20|GB/T 3077-1999|热轧|GB/T 702-2008</t>
        </is>
      </c>
      <c r="E647" s="8" t="inlineStr">
        <is>
          <t>物资名称 热轧合金结构圆钢;物资简称 圆钢;牌号 40Cr;直径 Φ20;技术标准号 GB/T 3077-1999;加工工艺 热轧;热处理工艺 ;特殊要求 ;规格标准号 GB/T 702-2008</t>
        </is>
      </c>
      <c r="F647" s="4" t="inlineStr">
        <is>
          <t>千克</t>
        </is>
      </c>
    </row>
    <row r="648" s="21">
      <c r="A648" s="8" t="inlineStr">
        <is>
          <t>100201</t>
        </is>
      </c>
      <c r="B648" s="8" t="inlineStr">
        <is>
          <t>圆钢</t>
        </is>
      </c>
      <c r="C648" s="8" t="inlineStr">
        <is>
          <t>600613400</t>
        </is>
      </c>
      <c r="D648" s="8" t="inlineStr">
        <is>
          <t>热轧合金结构圆钢|圆钢|40Cr|Φ25|GB/T 3077-1999|热轧|GB/T 702-2008</t>
        </is>
      </c>
      <c r="E648" s="8" t="inlineStr">
        <is>
          <t>物资名称 热轧合金结构圆钢;物资简称 圆钢;牌号 40Cr;直径 Φ25;技术标准号 GB/T 3077-1999;加工工艺 热轧;热处理工艺 ;特殊要求 ;规格标准号 GB/T 702-2008</t>
        </is>
      </c>
      <c r="F648" s="4" t="inlineStr">
        <is>
          <t>千克</t>
        </is>
      </c>
    </row>
    <row r="649" s="21">
      <c r="A649" s="8" t="inlineStr">
        <is>
          <t>100201</t>
        </is>
      </c>
      <c r="B649" s="8" t="inlineStr">
        <is>
          <t>圆钢</t>
        </is>
      </c>
      <c r="C649" s="8" t="inlineStr">
        <is>
          <t>600613300</t>
        </is>
      </c>
      <c r="D649" s="8" t="inlineStr">
        <is>
          <t>热轧合金结构圆钢|圆钢|40Cr|Φ30|GB/T 3077-1999|热轧|GB/T 702-2008</t>
        </is>
      </c>
      <c r="E649" s="8" t="inlineStr">
        <is>
          <t>物资名称 热轧合金结构圆钢;物资简称 圆钢;牌号 40Cr;直径 Φ30;技术标准号 GB/T 3077-1999;加工工艺 热轧;热处理工艺 ;特殊要求 ;规格标准号 GB/T 702-2008</t>
        </is>
      </c>
      <c r="F649" s="4" t="inlineStr">
        <is>
          <t>千克</t>
        </is>
      </c>
    </row>
    <row r="650" s="21">
      <c r="A650" s="8" t="inlineStr">
        <is>
          <t>100201</t>
        </is>
      </c>
      <c r="B650" s="8" t="inlineStr">
        <is>
          <t>圆钢</t>
        </is>
      </c>
      <c r="C650" s="8" t="inlineStr">
        <is>
          <t>600613200</t>
        </is>
      </c>
      <c r="D650" s="8" t="inlineStr">
        <is>
          <t>热轧合金结构圆钢|圆钢|40Cr|Φ32|GB/T 3077-1999|热轧|GB/T 702-2008</t>
        </is>
      </c>
      <c r="E650" s="8" t="inlineStr">
        <is>
          <t>物资名称 热轧合金结构圆钢;物资简称 圆钢;牌号 40Cr;直径 Φ32;技术标准号 GB/T 3077-1999;加工工艺 热轧;热处理工艺 ;特殊要求 ;规格标准号 GB/T 702-2008</t>
        </is>
      </c>
      <c r="F650" s="4" t="inlineStr">
        <is>
          <t>千克</t>
        </is>
      </c>
    </row>
    <row r="651" s="21">
      <c r="A651" s="8" t="inlineStr">
        <is>
          <t>100201</t>
        </is>
      </c>
      <c r="B651" s="8" t="inlineStr">
        <is>
          <t>圆钢</t>
        </is>
      </c>
      <c r="C651" s="8" t="inlineStr">
        <is>
          <t>600613100</t>
        </is>
      </c>
      <c r="D651" s="8" t="inlineStr">
        <is>
          <t>热轧合金结构圆钢|圆钢|40Cr|Φ35|GB/T 3077-1999|热轧|GB/T 702-2008</t>
        </is>
      </c>
      <c r="E651" s="8" t="inlineStr">
        <is>
          <t>物资名称 热轧合金结构圆钢;物资简称 圆钢;牌号 40Cr;直径 Φ35;技术标准号 GB/T 3077-1999;加工工艺 热轧;热处理工艺 ;特殊要求 ;规格标准号 GB/T 702-2008</t>
        </is>
      </c>
      <c r="F651" s="4" t="inlineStr">
        <is>
          <t>千克</t>
        </is>
      </c>
    </row>
    <row r="652" s="21">
      <c r="A652" s="8" t="inlineStr">
        <is>
          <t>100201</t>
        </is>
      </c>
      <c r="B652" s="8" t="inlineStr">
        <is>
          <t>圆钢</t>
        </is>
      </c>
      <c r="C652" s="8" t="inlineStr">
        <is>
          <t>600613000</t>
        </is>
      </c>
      <c r="D652" s="8" t="inlineStr">
        <is>
          <t>热轧合金结构圆钢|圆钢|40Cr|Φ60|GB/T 3077-1999|热轧|GB/T 702-2008</t>
        </is>
      </c>
      <c r="E652" s="8" t="inlineStr">
        <is>
          <t>物资名称 热轧合金结构圆钢;物资简称 圆钢;牌号 40Cr;直径 Φ60;技术标准号 GB/T 3077-1999;加工工艺 热轧;热处理工艺 ;特殊要求 ;规格标准号 GB/T 702-2008</t>
        </is>
      </c>
      <c r="F652" s="4" t="inlineStr">
        <is>
          <t>千克</t>
        </is>
      </c>
    </row>
    <row r="653" s="21">
      <c r="A653" s="8" t="inlineStr">
        <is>
          <t>100201</t>
        </is>
      </c>
      <c r="B653" s="8" t="inlineStr">
        <is>
          <t>圆钢</t>
        </is>
      </c>
      <c r="C653" s="8" t="inlineStr">
        <is>
          <t>600612900</t>
        </is>
      </c>
      <c r="D653" s="8" t="inlineStr">
        <is>
          <t>热轧合金结构圆钢|圆钢|40Cr|Φ70|GB/T 3077-1999|热轧|GB/T 702-2008</t>
        </is>
      </c>
      <c r="E653" s="8" t="inlineStr">
        <is>
          <t>物资名称 热轧合金结构圆钢;物资简称 圆钢;牌号 40Cr;直径 Φ70;技术标准号 GB/T 3077-1999;加工工艺 热轧;热处理工艺 ;特殊要求 ;规格标准号 GB/T 702-2008</t>
        </is>
      </c>
      <c r="F653" s="4" t="inlineStr">
        <is>
          <t>千克</t>
        </is>
      </c>
    </row>
    <row r="654" s="21">
      <c r="A654" s="8" t="inlineStr">
        <is>
          <t>100201</t>
        </is>
      </c>
      <c r="B654" s="8" t="inlineStr">
        <is>
          <t>圆钢</t>
        </is>
      </c>
      <c r="C654" s="8" t="inlineStr">
        <is>
          <t>600612800</t>
        </is>
      </c>
      <c r="D654" s="8" t="inlineStr">
        <is>
          <t>热轧合金结构圆钢|圆钢|40Cr|Φ75|GB/T 3077-1999|热轧|GB/T 702-2008</t>
        </is>
      </c>
      <c r="E654" s="8" t="inlineStr">
        <is>
          <t>物资名称 热轧合金结构圆钢;物资简称 圆钢;牌号 40Cr;直径 Φ75;技术标准号 GB/T 3077-1999;加工工艺 热轧;热处理工艺 ;特殊要求 ;规格标准号 GB/T 702-2008</t>
        </is>
      </c>
      <c r="F654" s="4" t="inlineStr">
        <is>
          <t>千克</t>
        </is>
      </c>
    </row>
    <row r="655" s="21">
      <c r="A655" s="8" t="inlineStr">
        <is>
          <t>100201</t>
        </is>
      </c>
      <c r="B655" s="8" t="inlineStr">
        <is>
          <t>圆钢</t>
        </is>
      </c>
      <c r="C655" s="8" t="inlineStr">
        <is>
          <t>600612700</t>
        </is>
      </c>
      <c r="D655" s="8" t="inlineStr">
        <is>
          <t>热轧合金结构圆钢|圆钢|40Cr|Φ90|GB/T 3077-1999|热轧|GB/T 702-2008</t>
        </is>
      </c>
      <c r="E655" s="8" t="inlineStr">
        <is>
          <t>物资名称 热轧合金结构圆钢;物资简称 圆钢;牌号 40Cr;直径 Φ90;技术标准号 GB/T 3077-1999;加工工艺 热轧;热处理工艺 ;特殊要求 ;规格标准号 GB/T 702-2008</t>
        </is>
      </c>
      <c r="F655" s="4" t="inlineStr">
        <is>
          <t>千克</t>
        </is>
      </c>
    </row>
    <row r="656" s="21">
      <c r="A656" s="8" t="inlineStr">
        <is>
          <t>100201</t>
        </is>
      </c>
      <c r="B656" s="8" t="inlineStr">
        <is>
          <t>圆钢</t>
        </is>
      </c>
      <c r="C656" s="8" t="inlineStr">
        <is>
          <t>600612600</t>
        </is>
      </c>
      <c r="D656" s="8" t="inlineStr">
        <is>
          <t>热轧合金结构圆钢|圆钢|40Cr|Φ90|GB/T 3077-1999|热轧|退火|GB/T 702-2008</t>
        </is>
      </c>
      <c r="E656" s="8" t="inlineStr">
        <is>
          <t>物资名称 热轧合金结构圆钢;物资简称 圆钢;牌号 40Cr;直径 Φ90;技术标准号 GB/T 3077-1999;加工工艺 热轧;热处理工艺 退火;特殊要求 ;规格标准号 GB/T 702-2008</t>
        </is>
      </c>
      <c r="F656" s="4" t="inlineStr">
        <is>
          <t>千克</t>
        </is>
      </c>
    </row>
    <row r="657" s="21">
      <c r="A657" s="8" t="inlineStr">
        <is>
          <t>100201</t>
        </is>
      </c>
      <c r="B657" s="8" t="inlineStr">
        <is>
          <t>圆钢</t>
        </is>
      </c>
      <c r="C657" s="8" t="inlineStr">
        <is>
          <t>600612500</t>
        </is>
      </c>
      <c r="D657" s="8" t="inlineStr">
        <is>
          <t>热轧合金结构圆钢|圆钢|40Cr|Φ100|GB/T 3077-1999|热轧|GB/T 702-2008</t>
        </is>
      </c>
      <c r="E657" s="8" t="inlineStr">
        <is>
          <t>物资名称 热轧合金结构圆钢;物资简称 圆钢;牌号 40Cr;直径 Φ100;技术标准号 GB/T 3077-1999;加工工艺 热轧;热处理工艺 ;特殊要求 ;规格标准号 GB/T 702-2008</t>
        </is>
      </c>
      <c r="F657" s="4" t="inlineStr">
        <is>
          <t>千克</t>
        </is>
      </c>
    </row>
    <row r="658" s="21">
      <c r="A658" s="8" t="inlineStr">
        <is>
          <t>100201</t>
        </is>
      </c>
      <c r="B658" s="8" t="inlineStr">
        <is>
          <t>圆钢</t>
        </is>
      </c>
      <c r="C658" s="8" t="inlineStr">
        <is>
          <t>600612400</t>
        </is>
      </c>
      <c r="D658" s="8" t="inlineStr">
        <is>
          <t>热轧合金结构圆钢|圆钢|40Cr|Φ100|GB/T 3077-1999|热轧|退火|GB/T 702-2008</t>
        </is>
      </c>
      <c r="E658" s="8" t="inlineStr">
        <is>
          <t>物资名称 热轧合金结构圆钢;物资简称 圆钢;牌号 40Cr;直径 Φ100;技术标准号 GB/T 3077-1999;加工工艺 热轧;热处理工艺 退火;特殊要求 ;规格标准号 GB/T 702-2008</t>
        </is>
      </c>
      <c r="F658" s="4" t="inlineStr">
        <is>
          <t>千克</t>
        </is>
      </c>
    </row>
    <row r="659" s="21">
      <c r="A659" s="8" t="inlineStr">
        <is>
          <t>100201</t>
        </is>
      </c>
      <c r="B659" s="8" t="inlineStr">
        <is>
          <t>圆钢</t>
        </is>
      </c>
      <c r="C659" s="8" t="inlineStr">
        <is>
          <t>600612300</t>
        </is>
      </c>
      <c r="D659" s="8" t="inlineStr">
        <is>
          <t>热轧合金结构圆钢|圆钢|40Cr|Φ120|GB/T 3077-1999|热轧|GB/T 702-2008</t>
        </is>
      </c>
      <c r="E659" s="8" t="inlineStr">
        <is>
          <t>物资名称 热轧合金结构圆钢;物资简称 圆钢;牌号 40Cr;直径 Φ120;技术标准号 GB/T 3077-1999;加工工艺 热轧;热处理工艺 ;特殊要求 ;规格标准号 GB/T 702-2008</t>
        </is>
      </c>
      <c r="F659" s="4" t="inlineStr">
        <is>
          <t>千克</t>
        </is>
      </c>
    </row>
    <row r="660" s="21">
      <c r="A660" s="8" t="inlineStr">
        <is>
          <t>100201</t>
        </is>
      </c>
      <c r="B660" s="8" t="inlineStr">
        <is>
          <t>圆钢</t>
        </is>
      </c>
      <c r="C660" s="8" t="inlineStr">
        <is>
          <t>600612200</t>
        </is>
      </c>
      <c r="D660" s="8" t="inlineStr">
        <is>
          <t>热轧合金结构圆钢|圆钢|40Cr|Φ130|GB/T 3077-1999|热轧|GB/T 702-2008</t>
        </is>
      </c>
      <c r="E660" s="8" t="inlineStr">
        <is>
          <t>物资名称 热轧合金结构圆钢;物资简称 圆钢;牌号 40Cr;直径 Φ130;技术标准号 GB/T 3077-1999;加工工艺 热轧;热处理工艺 ;特殊要求 ;规格标准号 GB/T 702-2008</t>
        </is>
      </c>
      <c r="F660" s="4" t="inlineStr">
        <is>
          <t>千克</t>
        </is>
      </c>
    </row>
    <row r="661" s="21">
      <c r="A661" s="8" t="inlineStr">
        <is>
          <t>100201</t>
        </is>
      </c>
      <c r="B661" s="8" t="inlineStr">
        <is>
          <t>圆钢</t>
        </is>
      </c>
      <c r="C661" s="8" t="inlineStr">
        <is>
          <t>600612100</t>
        </is>
      </c>
      <c r="D661" s="8" t="inlineStr">
        <is>
          <t>热轧合金结构圆钢|圆钢|40Cr|Φ140|GB/T 3077-1999|热轧|GB/T 702-2008</t>
        </is>
      </c>
      <c r="E661" s="8" t="inlineStr">
        <is>
          <t>物资名称 热轧合金结构圆钢;物资简称 圆钢;牌号 40Cr;直径 Φ140;技术标准号 GB/T 3077-1999;加工工艺 热轧;热处理工艺 ;特殊要求 ;规格标准号 GB/T 702-2008</t>
        </is>
      </c>
      <c r="F661" s="4" t="inlineStr">
        <is>
          <t>千克</t>
        </is>
      </c>
    </row>
    <row r="662" s="21">
      <c r="A662" s="8" t="inlineStr">
        <is>
          <t>100201</t>
        </is>
      </c>
      <c r="B662" s="8" t="inlineStr">
        <is>
          <t>圆钢</t>
        </is>
      </c>
      <c r="C662" s="8" t="inlineStr">
        <is>
          <t>600612000</t>
        </is>
      </c>
      <c r="D662" s="8" t="inlineStr">
        <is>
          <t>热轧合金结构圆钢|圆钢|40Cr|Φ150|GB/T 3077-1999|热轧|GB/T 702-2008</t>
        </is>
      </c>
      <c r="E662" s="8" t="inlineStr">
        <is>
          <t>物资名称 热轧合金结构圆钢;物资简称 圆钢;牌号 40Cr;直径 Φ150;技术标准号 GB/T 3077-1999;加工工艺 热轧;热处理工艺 ;特殊要求 ;规格标准号 GB/T 702-2008</t>
        </is>
      </c>
      <c r="F662" s="4" t="inlineStr">
        <is>
          <t>千克</t>
        </is>
      </c>
    </row>
    <row r="663" s="21">
      <c r="A663" s="8" t="inlineStr">
        <is>
          <t>100201</t>
        </is>
      </c>
      <c r="B663" s="8" t="inlineStr">
        <is>
          <t>圆钢</t>
        </is>
      </c>
      <c r="C663" s="8" t="inlineStr">
        <is>
          <t>600611900</t>
        </is>
      </c>
      <c r="D663" s="8" t="inlineStr">
        <is>
          <t>热轧合金结构圆钢|圆钢|40Cr|Φ150|GB/T 3077-1999|热轧|退火|GB/T 702-2008</t>
        </is>
      </c>
      <c r="E663" s="8" t="inlineStr">
        <is>
          <t>物资名称 热轧合金结构圆钢;物资简称 圆钢;牌号 40Cr;直径 Φ150;技术标准号 GB/T 3077-1999;加工工艺 热轧;热处理工艺 退火;特殊要求 ;规格标准号 GB/T 702-2008</t>
        </is>
      </c>
      <c r="F663" s="4" t="inlineStr">
        <is>
          <t>千克</t>
        </is>
      </c>
    </row>
    <row r="664" s="21">
      <c r="A664" s="8" t="inlineStr">
        <is>
          <t>100201</t>
        </is>
      </c>
      <c r="B664" s="8" t="inlineStr">
        <is>
          <t>圆钢</t>
        </is>
      </c>
      <c r="C664" s="8" t="inlineStr">
        <is>
          <t>600611800</t>
        </is>
      </c>
      <c r="D664" s="8" t="inlineStr">
        <is>
          <t>热轧合金结构圆钢|圆钢|40Cr|Φ160|GB/T 3077-1999|热轧|GB/T 702-2008</t>
        </is>
      </c>
      <c r="E664" s="8" t="inlineStr">
        <is>
          <t>物资名称 热轧合金结构圆钢;物资简称 圆钢;牌号 40Cr;直径 Φ160;技术标准号 GB/T 3077-1999;加工工艺 热轧;热处理工艺 ;特殊要求 ;规格标准号 GB/T 702-2008</t>
        </is>
      </c>
      <c r="F664" s="4" t="inlineStr">
        <is>
          <t>千克</t>
        </is>
      </c>
    </row>
    <row r="665" s="21">
      <c r="A665" s="8" t="inlineStr">
        <is>
          <t>100201</t>
        </is>
      </c>
      <c r="B665" s="8" t="inlineStr">
        <is>
          <t>圆钢</t>
        </is>
      </c>
      <c r="C665" s="8" t="inlineStr">
        <is>
          <t>600611700</t>
        </is>
      </c>
      <c r="D665" s="8" t="inlineStr">
        <is>
          <t>热轧合金结构圆钢|圆钢|40Cr|Φ170|GB/T 3077-1999|热轧|GB/T 702-2008</t>
        </is>
      </c>
      <c r="E665" s="8" t="inlineStr">
        <is>
          <t>物资名称 热轧合金结构圆钢;物资简称 圆钢;牌号 40Cr;直径 Φ170;技术标准号 GB/T 3077-1999;加工工艺 热轧;热处理工艺 ;特殊要求 ;规格标准号 GB/T 702-2008</t>
        </is>
      </c>
      <c r="F665" s="4" t="inlineStr">
        <is>
          <t>千克</t>
        </is>
      </c>
    </row>
    <row r="666" s="21">
      <c r="A666" s="8" t="inlineStr">
        <is>
          <t>100201</t>
        </is>
      </c>
      <c r="B666" s="8" t="inlineStr">
        <is>
          <t>圆钢</t>
        </is>
      </c>
      <c r="C666" s="8" t="inlineStr">
        <is>
          <t>600611600</t>
        </is>
      </c>
      <c r="D666" s="8" t="inlineStr">
        <is>
          <t>热轧合金结构圆钢|圆钢|40Cr|Φ180|GB/T 3077-1999|热轧|GB/T 702-2008</t>
        </is>
      </c>
      <c r="E666" s="8" t="inlineStr">
        <is>
          <t>物资名称 热轧合金结构圆钢;物资简称 圆钢;牌号 40Cr;直径 Φ180;技术标准号 GB/T 3077-1999;加工工艺 热轧;热处理工艺 ;特殊要求 ;规格标准号 GB/T 702-2008</t>
        </is>
      </c>
      <c r="F666" s="4" t="inlineStr">
        <is>
          <t>千克</t>
        </is>
      </c>
    </row>
    <row r="667" s="21">
      <c r="A667" s="8" t="inlineStr">
        <is>
          <t>100201</t>
        </is>
      </c>
      <c r="B667" s="8" t="inlineStr">
        <is>
          <t>圆钢</t>
        </is>
      </c>
      <c r="C667" s="8" t="inlineStr">
        <is>
          <t>600611500</t>
        </is>
      </c>
      <c r="D667" s="8" t="inlineStr">
        <is>
          <t>热轧合金结构圆钢|圆钢|40Cr|Φ270|GB/T 3077-1999|热轧|GB/T 702-2008</t>
        </is>
      </c>
      <c r="E667" s="8" t="inlineStr">
        <is>
          <t>物资名称 热轧合金结构圆钢;物资简称 圆钢;牌号 40Cr;直径 Φ270;技术标准号 GB/T 3077-1999;加工工艺 热轧;热处理工艺 ;特殊要求 ;规格标准号 GB/T 702-2008</t>
        </is>
      </c>
      <c r="F667" s="4" t="inlineStr">
        <is>
          <t>千克</t>
        </is>
      </c>
    </row>
    <row r="668" s="21">
      <c r="A668" s="8" t="inlineStr">
        <is>
          <t>100201</t>
        </is>
      </c>
      <c r="B668" s="8" t="inlineStr">
        <is>
          <t>圆钢</t>
        </is>
      </c>
      <c r="C668" s="8" t="inlineStr">
        <is>
          <t>600611400</t>
        </is>
      </c>
      <c r="D668" s="8" t="inlineStr">
        <is>
          <t>冷拉合金结构圆钢|圆钢|40Cr|GB/T 3078-2008|GB/T 905-1994</t>
        </is>
      </c>
      <c r="E668" s="8" t="inlineStr">
        <is>
          <t>物资名称 冷拉合金结构圆钢;物资简称 圆钢;牌号 40Cr;直径 Φ;技术标准号 GB/T 3078-2008;加工工艺 ;热处理工艺 ;特殊要求 ;规格标准号 GB/T 905-1994</t>
        </is>
      </c>
      <c r="F668" s="4" t="inlineStr">
        <is>
          <t>千克</t>
        </is>
      </c>
    </row>
    <row r="669" s="21">
      <c r="A669" s="8" t="inlineStr">
        <is>
          <t>100201</t>
        </is>
      </c>
      <c r="B669" s="8" t="inlineStr">
        <is>
          <t>圆钢</t>
        </is>
      </c>
      <c r="C669" s="8" t="inlineStr">
        <is>
          <t>600611300</t>
        </is>
      </c>
      <c r="D669" s="8" t="inlineStr">
        <is>
          <t>冷拉合金结构圆钢|圆钢|40Cr|Φ14|GB/T 3078-2008|冷拉|GB/T 905-1994</t>
        </is>
      </c>
      <c r="E669" s="8" t="inlineStr">
        <is>
          <t>物资名称 冷拉合金结构圆钢;物资简称 圆钢;牌号 40Cr;直径 Φ14;技术标准号 GB/T 3078-2008;加工工艺 冷拉;热处理工艺 ;特殊要求 ;规格标准号 GB/T 905-1994</t>
        </is>
      </c>
      <c r="F669" s="4" t="inlineStr">
        <is>
          <t>千克</t>
        </is>
      </c>
    </row>
    <row r="670" s="21">
      <c r="A670" s="8" t="inlineStr">
        <is>
          <t>100201</t>
        </is>
      </c>
      <c r="B670" s="8" t="inlineStr">
        <is>
          <t>圆钢</t>
        </is>
      </c>
      <c r="C670" s="8" t="inlineStr">
        <is>
          <t>600611200</t>
        </is>
      </c>
      <c r="D670" s="8" t="inlineStr">
        <is>
          <t>优质碳素结构钢棒|钢棒|10|GB/T 699-1999</t>
        </is>
      </c>
      <c r="E670" s="8" t="inlineStr">
        <is>
          <t xml:space="preserve">物资名称 优质碳素结构钢棒;物资简称 钢棒;牌号 10;直径 Φ;技术标准号 GB/T 699-1999;加工工艺 ;热处理工艺 ;特殊要求 ;规格标准号 </t>
        </is>
      </c>
      <c r="F670" s="4" t="inlineStr">
        <is>
          <t>千克</t>
        </is>
      </c>
    </row>
    <row r="671" s="21">
      <c r="A671" s="8" t="inlineStr">
        <is>
          <t>100201</t>
        </is>
      </c>
      <c r="B671" s="8" t="inlineStr">
        <is>
          <t>圆钢</t>
        </is>
      </c>
      <c r="C671" s="8" t="inlineStr">
        <is>
          <t>600611100</t>
        </is>
      </c>
      <c r="D671" s="8" t="inlineStr">
        <is>
          <t>热轧优质碳素结构圆钢|圆钢|10|GB/T 699-1999|GB/T 702-2008</t>
        </is>
      </c>
      <c r="E671" s="8" t="inlineStr">
        <is>
          <t>物资名称 热轧优质碳素结构圆钢;物资简称 圆钢;牌号 10;直径 Φ;技术标准号 GB/T 699-1999;加工工艺 ;热处理工艺 ;特殊要求 ;规格标准号 GB/T 702-2008</t>
        </is>
      </c>
      <c r="F671" s="4" t="inlineStr">
        <is>
          <t>千克</t>
        </is>
      </c>
    </row>
    <row r="672" s="21">
      <c r="A672" s="8" t="inlineStr">
        <is>
          <t>100201</t>
        </is>
      </c>
      <c r="B672" s="8" t="inlineStr">
        <is>
          <t>圆钢</t>
        </is>
      </c>
      <c r="C672" s="8" t="inlineStr">
        <is>
          <t>600611000</t>
        </is>
      </c>
      <c r="D672" s="8" t="inlineStr">
        <is>
          <t>热轧优质碳素结构圆钢|圆钢|10|Φ20|GB/T 699-1999|热轧|GB/T 702-2008</t>
        </is>
      </c>
      <c r="E672" s="8" t="inlineStr">
        <is>
          <t>物资名称 热轧优质碳素结构圆钢;物资简称 圆钢;牌号 10;直径 Φ20;技术标准号 GB/T 699-1999;加工工艺 热轧;热处理工艺 ;特殊要求 ;规格标准号 GB/T 702-2008</t>
        </is>
      </c>
      <c r="F672" s="4" t="inlineStr">
        <is>
          <t>千克</t>
        </is>
      </c>
    </row>
    <row r="673" s="21">
      <c r="A673" s="8" t="inlineStr">
        <is>
          <t>100201</t>
        </is>
      </c>
      <c r="B673" s="8" t="inlineStr">
        <is>
          <t>圆钢</t>
        </is>
      </c>
      <c r="C673" s="8" t="inlineStr">
        <is>
          <t>600610900</t>
        </is>
      </c>
      <c r="D673" s="8" t="inlineStr">
        <is>
          <t>优质碳素结构钢棒|钢棒|20|GB/T 699-1999</t>
        </is>
      </c>
      <c r="E673" s="8" t="inlineStr">
        <is>
          <t xml:space="preserve">物资名称 优质碳素结构钢棒;物资简称 钢棒;牌号 20;直径 Φ;技术标准号 GB/T 699-1999;加工工艺 ;热处理工艺 ;特殊要求 ;规格标准号 </t>
        </is>
      </c>
      <c r="F673" s="4" t="inlineStr">
        <is>
          <t>千克</t>
        </is>
      </c>
    </row>
    <row r="674" s="21">
      <c r="A674" s="8" t="inlineStr">
        <is>
          <t>100201</t>
        </is>
      </c>
      <c r="B674" s="8" t="inlineStr">
        <is>
          <t>圆钢</t>
        </is>
      </c>
      <c r="C674" s="8" t="inlineStr">
        <is>
          <t>600610800</t>
        </is>
      </c>
      <c r="D674" s="8" t="inlineStr">
        <is>
          <t>热轧优质碳素结构圆钢|圆钢|20|GB/T 699-1999|GB/T 702-2008</t>
        </is>
      </c>
      <c r="E674" s="8" t="inlineStr">
        <is>
          <t>物资名称 热轧优质碳素结构圆钢;物资简称 圆钢;牌号 20;直径 Φ;技术标准号 GB/T 699-1999;加工工艺 ;热处理工艺 ;特殊要求 ;规格标准号 GB/T 702-2008</t>
        </is>
      </c>
      <c r="F674" s="4" t="inlineStr">
        <is>
          <t>千克</t>
        </is>
      </c>
    </row>
    <row r="675" s="21">
      <c r="A675" s="8" t="inlineStr">
        <is>
          <t>100201</t>
        </is>
      </c>
      <c r="B675" s="8" t="inlineStr">
        <is>
          <t>圆钢</t>
        </is>
      </c>
      <c r="C675" s="8" t="inlineStr">
        <is>
          <t>600610700</t>
        </is>
      </c>
      <c r="D675" s="8" t="inlineStr">
        <is>
          <t>热轧优质碳素结构圆钢|圆钢|20|Φ6|GB/T 699-1999|热轧|GB/T 702-2008</t>
        </is>
      </c>
      <c r="E675" s="8" t="inlineStr">
        <is>
          <t>物资名称 热轧优质碳素结构圆钢;物资简称 圆钢;牌号 20;直径 Φ6;技术标准号 GB/T 699-1999;加工工艺 热轧;热处理工艺 ;特殊要求 ;规格标准号 GB/T 702-2008</t>
        </is>
      </c>
      <c r="F675" s="4" t="inlineStr">
        <is>
          <t>千克</t>
        </is>
      </c>
    </row>
    <row r="676" s="21">
      <c r="A676" s="8" t="inlineStr">
        <is>
          <t>100201</t>
        </is>
      </c>
      <c r="B676" s="8" t="inlineStr">
        <is>
          <t>圆钢</t>
        </is>
      </c>
      <c r="C676" s="8" t="inlineStr">
        <is>
          <t>600610600</t>
        </is>
      </c>
      <c r="D676" s="8" t="inlineStr">
        <is>
          <t>热轧优质碳素结构圆钢|圆钢|20|Φ18|GB/T 699-1999|热轧|GB/T 702-2008</t>
        </is>
      </c>
      <c r="E676" s="8" t="inlineStr">
        <is>
          <t>物资名称 热轧优质碳素结构圆钢;物资简称 圆钢;牌号 20;直径 Φ18;技术标准号 GB/T 699-1999;加工工艺 热轧;热处理工艺 ;特殊要求 ;规格标准号 GB/T 702-2008</t>
        </is>
      </c>
      <c r="F676" s="4" t="inlineStr">
        <is>
          <t>千克</t>
        </is>
      </c>
    </row>
    <row r="677" s="21">
      <c r="A677" s="8" t="inlineStr">
        <is>
          <t>100201</t>
        </is>
      </c>
      <c r="B677" s="8" t="inlineStr">
        <is>
          <t>圆钢</t>
        </is>
      </c>
      <c r="C677" s="8" t="inlineStr">
        <is>
          <t>600610500</t>
        </is>
      </c>
      <c r="D677" s="8" t="inlineStr">
        <is>
          <t>热轧优质碳素结构圆钢|圆钢|20|Φ20|GB/T 699-1999|热轧|GB/T 702-2008</t>
        </is>
      </c>
      <c r="E677" s="8" t="inlineStr">
        <is>
          <t>物资名称 热轧优质碳素结构圆钢;物资简称 圆钢;牌号 20;直径 Φ20;技术标准号 GB/T 699-1999;加工工艺 热轧;热处理工艺 ;特殊要求 ;规格标准号 GB/T 702-2008</t>
        </is>
      </c>
      <c r="F677" s="4" t="inlineStr">
        <is>
          <t>千克</t>
        </is>
      </c>
    </row>
    <row r="678" s="21">
      <c r="A678" s="8" t="inlineStr">
        <is>
          <t>100201</t>
        </is>
      </c>
      <c r="B678" s="8" t="inlineStr">
        <is>
          <t>圆钢</t>
        </is>
      </c>
      <c r="C678" s="8" t="inlineStr">
        <is>
          <t>600610400</t>
        </is>
      </c>
      <c r="D678" s="8" t="inlineStr">
        <is>
          <t>热轧优质碳素结构圆钢|圆钢|20|Φ26|GB/T 699-1999|热轧|GB/T 702-2008</t>
        </is>
      </c>
      <c r="E678" s="8" t="inlineStr">
        <is>
          <t>物资名称 热轧优质碳素结构圆钢;物资简称 圆钢;牌号 20;直径 Φ26;技术标准号 GB/T 699-1999;加工工艺 热轧;热处理工艺 ;特殊要求 ;规格标准号 GB/T 702-2008</t>
        </is>
      </c>
      <c r="F678" s="4" t="inlineStr">
        <is>
          <t>千克</t>
        </is>
      </c>
    </row>
    <row r="679" s="21">
      <c r="A679" s="8" t="inlineStr">
        <is>
          <t>100201</t>
        </is>
      </c>
      <c r="B679" s="8" t="inlineStr">
        <is>
          <t>圆钢</t>
        </is>
      </c>
      <c r="C679" s="8" t="inlineStr">
        <is>
          <t>600610300</t>
        </is>
      </c>
      <c r="D679" s="8" t="inlineStr">
        <is>
          <t>热轧优质碳素结构圆钢|圆钢|20|Φ35|GB/T 699-1999|热轧|GB/T 702-2008</t>
        </is>
      </c>
      <c r="E679" s="8" t="inlineStr">
        <is>
          <t>物资名称 热轧优质碳素结构圆钢;物资简称 圆钢;牌号 20;直径 Φ35;技术标准号 GB/T 699-1999;加工工艺 热轧;热处理工艺 ;特殊要求 ;规格标准号 GB/T 702-2008</t>
        </is>
      </c>
      <c r="F679" s="4" t="inlineStr">
        <is>
          <t>千克</t>
        </is>
      </c>
    </row>
    <row r="680" s="21">
      <c r="A680" s="8" t="inlineStr">
        <is>
          <t>100201</t>
        </is>
      </c>
      <c r="B680" s="8" t="inlineStr">
        <is>
          <t>圆钢</t>
        </is>
      </c>
      <c r="C680" s="8" t="inlineStr">
        <is>
          <t>600610200</t>
        </is>
      </c>
      <c r="D680" s="8" t="inlineStr">
        <is>
          <t>热轧优质碳素结构圆钢|圆钢|20|Φ65|GB/T 699-1999|热轧|GB/T 702-2008</t>
        </is>
      </c>
      <c r="E680" s="8" t="inlineStr">
        <is>
          <t>物资名称 热轧优质碳素结构圆钢;物资简称 圆钢;牌号 20;直径 Φ65;技术标准号 GB/T 699-1999;加工工艺 热轧;热处理工艺 ;特殊要求 ;规格标准号 GB/T 702-2008</t>
        </is>
      </c>
      <c r="F680" s="4" t="inlineStr">
        <is>
          <t>千克</t>
        </is>
      </c>
    </row>
    <row r="681" s="21">
      <c r="A681" s="8" t="inlineStr">
        <is>
          <t>100201</t>
        </is>
      </c>
      <c r="B681" s="8" t="inlineStr">
        <is>
          <t>圆钢</t>
        </is>
      </c>
      <c r="C681" s="8" t="inlineStr">
        <is>
          <t>600610100</t>
        </is>
      </c>
      <c r="D681" s="8" t="inlineStr">
        <is>
          <t>热轧优质碳素结构圆钢|圆钢|20|Φ80|GB/T 699-1999|热轧|GB/T 702-2008</t>
        </is>
      </c>
      <c r="E681" s="8" t="inlineStr">
        <is>
          <t>物资名称 热轧优质碳素结构圆钢;物资简称 圆钢;牌号 20;直径 Φ80;技术标准号 GB/T 699-1999;加工工艺 热轧;热处理工艺 ;特殊要求 ;规格标准号 GB/T 702-2008</t>
        </is>
      </c>
      <c r="F681" s="4" t="inlineStr">
        <is>
          <t>千克</t>
        </is>
      </c>
    </row>
    <row r="682" s="21">
      <c r="A682" s="8" t="inlineStr">
        <is>
          <t>100201</t>
        </is>
      </c>
      <c r="B682" s="8" t="inlineStr">
        <is>
          <t>圆钢</t>
        </is>
      </c>
      <c r="C682" s="8" t="inlineStr">
        <is>
          <t>600610000</t>
        </is>
      </c>
      <c r="D682" s="8" t="inlineStr">
        <is>
          <t>热轧优质碳素结构圆钢|圆钢|20|Φ85|GB/T 699-1999|热轧|GB/T 702-2008</t>
        </is>
      </c>
      <c r="E682" s="8" t="inlineStr">
        <is>
          <t>物资名称 热轧优质碳素结构圆钢;物资简称 圆钢;牌号 20;直径 Φ85;技术标准号 GB/T 699-1999;加工工艺 热轧;热处理工艺 ;特殊要求 ;规格标准号 GB/T 702-2008</t>
        </is>
      </c>
      <c r="F682" s="4" t="inlineStr">
        <is>
          <t>千克</t>
        </is>
      </c>
    </row>
    <row r="683" s="21">
      <c r="A683" s="8" t="inlineStr">
        <is>
          <t>100201</t>
        </is>
      </c>
      <c r="B683" s="8" t="inlineStr">
        <is>
          <t>圆钢</t>
        </is>
      </c>
      <c r="C683" s="8" t="inlineStr">
        <is>
          <t>600609900</t>
        </is>
      </c>
      <c r="D683" s="8" t="inlineStr">
        <is>
          <t>冷拉优质碳素结构圆钢|圆钢|45|GB/T 3078-2008|GB/T 905-1994</t>
        </is>
      </c>
      <c r="E683" s="8" t="inlineStr">
        <is>
          <t>物资名称 冷拉优质碳素结构圆钢;物资简称 圆钢;牌号 45;直径 Φ;技术标准号 GB/T 3078-2008;加工工艺 ;热处理工艺 ;特殊要求 ;规格标准号 GB/T 905-1994</t>
        </is>
      </c>
      <c r="F683" s="4" t="inlineStr">
        <is>
          <t>千克</t>
        </is>
      </c>
    </row>
    <row r="684" s="21">
      <c r="A684" s="8" t="inlineStr">
        <is>
          <t>100201</t>
        </is>
      </c>
      <c r="B684" s="8" t="inlineStr">
        <is>
          <t>圆钢</t>
        </is>
      </c>
      <c r="C684" s="8" t="inlineStr">
        <is>
          <t>600609800</t>
        </is>
      </c>
      <c r="D684" s="8" t="inlineStr">
        <is>
          <t>冷拉优质碳素结构圆钢|圆钢|45|Φ12|GB/T 3078-2008|冷拉|GB/T 905-1994</t>
        </is>
      </c>
      <c r="E684" s="8" t="inlineStr">
        <is>
          <t>物资名称 冷拉优质碳素结构圆钢;物资简称 圆钢;牌号 45;直径 Φ12;技术标准号 GB/T 3078-2008;加工工艺 冷拉;热处理工艺 ;特殊要求 ;规格标准号 GB/T 905-1994</t>
        </is>
      </c>
      <c r="F684" s="4" t="inlineStr">
        <is>
          <t>千克</t>
        </is>
      </c>
    </row>
    <row r="685" s="21">
      <c r="A685" s="8" t="inlineStr">
        <is>
          <t>100201</t>
        </is>
      </c>
      <c r="B685" s="8" t="inlineStr">
        <is>
          <t>圆钢</t>
        </is>
      </c>
      <c r="C685" s="8" t="inlineStr">
        <is>
          <t>600609700</t>
        </is>
      </c>
      <c r="D685" s="8" t="inlineStr">
        <is>
          <t>冷拉优质碳素结构圆钢|圆钢|45|Φ13|GB/T 3078-2008|冷拉|GB/T 905-1994</t>
        </is>
      </c>
      <c r="E685" s="8" t="inlineStr">
        <is>
          <t>物资名称 冷拉优质碳素结构圆钢;物资简称 圆钢;牌号 45;直径 Φ13;技术标准号 GB/T 3078-2008;加工工艺 冷拉;热处理工艺 ;特殊要求 ;规格标准号 GB/T 905-1994</t>
        </is>
      </c>
      <c r="F685" s="4" t="inlineStr">
        <is>
          <t>千克</t>
        </is>
      </c>
    </row>
    <row r="686" s="21">
      <c r="A686" s="8" t="inlineStr">
        <is>
          <t>100201</t>
        </is>
      </c>
      <c r="B686" s="8" t="inlineStr">
        <is>
          <t>圆钢</t>
        </is>
      </c>
      <c r="C686" s="8" t="inlineStr">
        <is>
          <t>600609600</t>
        </is>
      </c>
      <c r="D686" s="8" t="inlineStr">
        <is>
          <t>冷拉优质碳素结构圆钢|圆钢|45|Φ16|GB/T 3078-2008|冷拉|GB/T 905-1994</t>
        </is>
      </c>
      <c r="E686" s="8" t="inlineStr">
        <is>
          <t>物资名称 冷拉优质碳素结构圆钢;物资简称 圆钢;牌号 45;直径 Φ16;技术标准号 GB/T 3078-2008;加工工艺 冷拉;热处理工艺 ;特殊要求 ;规格标准号 GB/T 905-1994</t>
        </is>
      </c>
      <c r="F686" s="4" t="inlineStr">
        <is>
          <t>千克</t>
        </is>
      </c>
    </row>
    <row r="687" s="21">
      <c r="A687" s="8" t="inlineStr">
        <is>
          <t>100201</t>
        </is>
      </c>
      <c r="B687" s="8" t="inlineStr">
        <is>
          <t>圆钢</t>
        </is>
      </c>
      <c r="C687" s="8" t="inlineStr">
        <is>
          <t>600609500</t>
        </is>
      </c>
      <c r="D687" s="8" t="inlineStr">
        <is>
          <t>冷拉优质碳素结构圆钢|圆钢|45|Φ20|GB/T 3078-2008|冷拉|GB/T 905-1994</t>
        </is>
      </c>
      <c r="E687" s="8" t="inlineStr">
        <is>
          <t>物资名称 冷拉优质碳素结构圆钢;物资简称 圆钢;牌号 45;直径 Φ20;技术标准号 GB/T 3078-2008;加工工艺 冷拉;热处理工艺 ;特殊要求 ;规格标准号 GB/T 905-1994</t>
        </is>
      </c>
      <c r="F687" s="4" t="inlineStr">
        <is>
          <t>千克</t>
        </is>
      </c>
    </row>
    <row r="688" s="21">
      <c r="A688" s="8" t="inlineStr">
        <is>
          <t>100201</t>
        </is>
      </c>
      <c r="B688" s="8" t="inlineStr">
        <is>
          <t>圆钢</t>
        </is>
      </c>
      <c r="C688" s="8" t="inlineStr">
        <is>
          <t>600609400</t>
        </is>
      </c>
      <c r="D688" s="8" t="inlineStr">
        <is>
          <t>冷拉优质碳素结构圆钢|圆钢|45|Φ26|GB/T 3078-2008|冷拉|GB/T 905-1994</t>
        </is>
      </c>
      <c r="E688" s="8" t="inlineStr">
        <is>
          <t>物资名称 冷拉优质碳素结构圆钢;物资简称 圆钢;牌号 45;直径 Φ26;技术标准号 GB/T 3078-2008;加工工艺 冷拉;热处理工艺 ;特殊要求 ;规格标准号 GB/T 905-1994</t>
        </is>
      </c>
      <c r="F688" s="4" t="inlineStr">
        <is>
          <t>千克</t>
        </is>
      </c>
    </row>
    <row r="689" s="21">
      <c r="A689" s="8" t="inlineStr">
        <is>
          <t>100201</t>
        </is>
      </c>
      <c r="B689" s="8" t="inlineStr">
        <is>
          <t>圆钢</t>
        </is>
      </c>
      <c r="C689" s="8" t="inlineStr">
        <is>
          <t>600609300</t>
        </is>
      </c>
      <c r="D689" s="8" t="inlineStr">
        <is>
          <t>优质碳素结构钢棒|钢棒|45|GB/T 699-1999</t>
        </is>
      </c>
      <c r="E689" s="8" t="inlineStr">
        <is>
          <t xml:space="preserve">物资名称 优质碳素结构钢棒;物资简称 钢棒;牌号 45;直径 Φ;技术标准号 GB/T 699-1999;加工工艺 ;热处理工艺 ;特殊要求 ;规格标准号 </t>
        </is>
      </c>
      <c r="F689" s="4" t="inlineStr">
        <is>
          <t>千克</t>
        </is>
      </c>
    </row>
    <row r="690" s="21">
      <c r="A690" s="8" t="inlineStr">
        <is>
          <t>100201</t>
        </is>
      </c>
      <c r="B690" s="8" t="inlineStr">
        <is>
          <t>圆钢</t>
        </is>
      </c>
      <c r="C690" s="8" t="inlineStr">
        <is>
          <t>600609200</t>
        </is>
      </c>
      <c r="D690" s="8" t="inlineStr">
        <is>
          <t>热轧优质碳素结构圆钢|圆钢|45|Φ8|GB/T 699-1999|热轧|GB/T 702-2008</t>
        </is>
      </c>
      <c r="E690" s="8" t="inlineStr">
        <is>
          <t>物资名称 热轧优质碳素结构圆钢;物资简称 圆钢;牌号 45;直径 Φ8;技术标准号 GB/T 699-1999;加工工艺 热轧;热处理工艺 ;特殊要求 ;规格标准号 GB/T 702-2008</t>
        </is>
      </c>
      <c r="F690" s="4" t="inlineStr">
        <is>
          <t>千克</t>
        </is>
      </c>
    </row>
    <row r="691" s="21">
      <c r="A691" s="8" t="inlineStr">
        <is>
          <t>100201</t>
        </is>
      </c>
      <c r="B691" s="8" t="inlineStr">
        <is>
          <t>圆钢</t>
        </is>
      </c>
      <c r="C691" s="8" t="inlineStr">
        <is>
          <t>600609100</t>
        </is>
      </c>
      <c r="D691" s="8" t="inlineStr">
        <is>
          <t>热轧优质碳素结构圆钢|圆钢|45|Φ10|GB/T 699-1999|热轧|GB/T 702-2008</t>
        </is>
      </c>
      <c r="E691" s="8" t="inlineStr">
        <is>
          <t>物资名称 热轧优质碳素结构圆钢;物资简称 圆钢;牌号 45;直径 Φ10;技术标准号 GB/T 699-1999;加工工艺 热轧;热处理工艺 ;特殊要求 ;规格标准号 GB/T 702-2008</t>
        </is>
      </c>
      <c r="F691" s="4" t="inlineStr">
        <is>
          <t>千克</t>
        </is>
      </c>
    </row>
    <row r="692" s="21">
      <c r="A692" s="8" t="inlineStr">
        <is>
          <t>100201</t>
        </is>
      </c>
      <c r="B692" s="8" t="inlineStr">
        <is>
          <t>圆钢</t>
        </is>
      </c>
      <c r="C692" s="8" t="inlineStr">
        <is>
          <t>600609000</t>
        </is>
      </c>
      <c r="D692" s="8" t="inlineStr">
        <is>
          <t>热轧优质碳素结构圆钢|圆钢|45|Φ12|GB/T 699-1999|热轧|GB/T 702-2008</t>
        </is>
      </c>
      <c r="E692" s="8" t="inlineStr">
        <is>
          <t>物资名称 热轧优质碳素结构圆钢;物资简称 圆钢;牌号 45;直径 Φ12;技术标准号 GB/T 699-1999;加工工艺 热轧;热处理工艺 ;特殊要求 ;规格标准号 GB/T 702-2008</t>
        </is>
      </c>
      <c r="F692" s="4" t="inlineStr">
        <is>
          <t>千克</t>
        </is>
      </c>
    </row>
    <row r="693" s="21">
      <c r="A693" s="8" t="inlineStr">
        <is>
          <t>100201</t>
        </is>
      </c>
      <c r="B693" s="8" t="inlineStr">
        <is>
          <t>圆钢</t>
        </is>
      </c>
      <c r="C693" s="8" t="inlineStr">
        <is>
          <t>600608900</t>
        </is>
      </c>
      <c r="D693" s="8" t="inlineStr">
        <is>
          <t>热轧优质碳素结构圆钢|圆钢|45|Φ15|GB/T 699-1999|热轧|GB/T 702-2008</t>
        </is>
      </c>
      <c r="E693" s="8" t="inlineStr">
        <is>
          <t>物资名称 热轧优质碳素结构圆钢;物资简称 圆钢;牌号 45;直径 Φ15;技术标准号 GB/T 699-1999;加工工艺 热轧;热处理工艺 ;特殊要求 ;规格标准号 GB/T 702-2008</t>
        </is>
      </c>
      <c r="F693" s="4" t="inlineStr">
        <is>
          <t>千克</t>
        </is>
      </c>
    </row>
    <row r="694" s="21">
      <c r="A694" s="8" t="inlineStr">
        <is>
          <t>100201</t>
        </is>
      </c>
      <c r="B694" s="8" t="inlineStr">
        <is>
          <t>圆钢</t>
        </is>
      </c>
      <c r="C694" s="8" t="inlineStr">
        <is>
          <t>600608800</t>
        </is>
      </c>
      <c r="D694" s="8" t="inlineStr">
        <is>
          <t>热轧优质碳素结构圆钢|圆钢|45|Φ16|GB/T 699-1999|热轧|GB/T 702-2008</t>
        </is>
      </c>
      <c r="E694" s="8" t="inlineStr">
        <is>
          <t>物资名称 热轧优质碳素结构圆钢;物资简称 圆钢;牌号 45;直径 Φ16;技术标准号 GB/T 699-1999;加工工艺 热轧;热处理工艺 ;特殊要求 ;规格标准号 GB/T 702-2008</t>
        </is>
      </c>
      <c r="F694" s="4" t="inlineStr">
        <is>
          <t>千克</t>
        </is>
      </c>
    </row>
    <row r="695" s="21">
      <c r="A695" s="8" t="inlineStr">
        <is>
          <t>100201</t>
        </is>
      </c>
      <c r="B695" s="8" t="inlineStr">
        <is>
          <t>圆钢</t>
        </is>
      </c>
      <c r="C695" s="8" t="inlineStr">
        <is>
          <t>600608700</t>
        </is>
      </c>
      <c r="D695" s="8" t="inlineStr">
        <is>
          <t>热轧优质碳素结构圆钢|圆钢|45|Φ18|GB/T 699-1999|热轧|GB/T 702-2008</t>
        </is>
      </c>
      <c r="E695" s="8" t="inlineStr">
        <is>
          <t>物资名称 热轧优质碳素结构圆钢;物资简称 圆钢;牌号 45;直径 Φ18;技术标准号 GB/T 699-1999;加工工艺 热轧;热处理工艺 ;特殊要求 ;规格标准号 GB/T 702-2008</t>
        </is>
      </c>
      <c r="F695" s="4" t="inlineStr">
        <is>
          <t>千克</t>
        </is>
      </c>
    </row>
    <row r="696" s="21">
      <c r="A696" s="8" t="inlineStr">
        <is>
          <t>100201</t>
        </is>
      </c>
      <c r="B696" s="8" t="inlineStr">
        <is>
          <t>圆钢</t>
        </is>
      </c>
      <c r="C696" s="8" t="inlineStr">
        <is>
          <t>600608600</t>
        </is>
      </c>
      <c r="D696" s="8" t="inlineStr">
        <is>
          <t>热轧优质碳素结构圆钢|圆钢|45|Φ20|GB/T 699-1999|热轧|GB/T 702-2008</t>
        </is>
      </c>
      <c r="E696" s="8" t="inlineStr">
        <is>
          <t>物资名称 热轧优质碳素结构圆钢;物资简称 圆钢;牌号 45;直径 Φ20;技术标准号 GB/T 699-1999;加工工艺 热轧;热处理工艺 ;特殊要求 ;规格标准号 GB/T 702-2008</t>
        </is>
      </c>
      <c r="F696" s="4" t="inlineStr">
        <is>
          <t>千克</t>
        </is>
      </c>
    </row>
    <row r="697" s="21">
      <c r="A697" s="8" t="inlineStr">
        <is>
          <t>100201</t>
        </is>
      </c>
      <c r="B697" s="8" t="inlineStr">
        <is>
          <t>圆钢</t>
        </is>
      </c>
      <c r="C697" s="8" t="inlineStr">
        <is>
          <t>600608500</t>
        </is>
      </c>
      <c r="D697" s="8" t="inlineStr">
        <is>
          <t>热轧优质碳素结构圆钢|圆钢|45|Φ22|GB/T 699-1999|热轧|GB/T 702-2008</t>
        </is>
      </c>
      <c r="E697" s="8" t="inlineStr">
        <is>
          <t>物资名称 热轧优质碳素结构圆钢;物资简称 圆钢;牌号 45;直径 Φ22;技术标准号 GB/T 699-1999;加工工艺 热轧;热处理工艺 ;特殊要求 ;规格标准号 GB/T 702-2008</t>
        </is>
      </c>
      <c r="F697" s="4" t="inlineStr">
        <is>
          <t>千克</t>
        </is>
      </c>
    </row>
    <row r="698" s="21">
      <c r="A698" s="8" t="inlineStr">
        <is>
          <t>100201</t>
        </is>
      </c>
      <c r="B698" s="8" t="inlineStr">
        <is>
          <t>圆钢</t>
        </is>
      </c>
      <c r="C698" s="8" t="inlineStr">
        <is>
          <t>600608400</t>
        </is>
      </c>
      <c r="D698" s="8" t="inlineStr">
        <is>
          <t>热轧优质碳素结构圆钢|圆钢|45|Φ30|GB/T 699-1999|热轧|GB/T 702-2008</t>
        </is>
      </c>
      <c r="E698" s="8" t="inlineStr">
        <is>
          <t>物资名称 热轧优质碳素结构圆钢;物资简称 圆钢;牌号 45;直径 Φ30;技术标准号 GB/T 699-1999;加工工艺 热轧;热处理工艺 ;特殊要求 ;规格标准号 GB/T 702-2008</t>
        </is>
      </c>
      <c r="F698" s="4" t="inlineStr">
        <is>
          <t>千克</t>
        </is>
      </c>
    </row>
    <row r="699" s="21">
      <c r="A699" s="8" t="inlineStr">
        <is>
          <t>100201</t>
        </is>
      </c>
      <c r="B699" s="8" t="inlineStr">
        <is>
          <t>圆钢</t>
        </is>
      </c>
      <c r="C699" s="8" t="inlineStr">
        <is>
          <t>600608300</t>
        </is>
      </c>
      <c r="D699" s="8" t="inlineStr">
        <is>
          <t>热轧优质碳素结构圆钢|圆钢|45|Φ35|GB/T 699-1999|热轧|GB/T 702-2008</t>
        </is>
      </c>
      <c r="E699" s="8" t="inlineStr">
        <is>
          <t>物资名称 热轧优质碳素结构圆钢;物资简称 圆钢;牌号 45;直径 Φ35;技术标准号 GB/T 699-1999;加工工艺 热轧;热处理工艺 ;特殊要求 ;规格标准号 GB/T 702-2008</t>
        </is>
      </c>
      <c r="F699" s="4" t="inlineStr">
        <is>
          <t>千克</t>
        </is>
      </c>
    </row>
    <row r="700" s="21">
      <c r="A700" s="8" t="inlineStr">
        <is>
          <t>100201</t>
        </is>
      </c>
      <c r="B700" s="8" t="inlineStr">
        <is>
          <t>圆钢</t>
        </is>
      </c>
      <c r="C700" s="8" t="inlineStr">
        <is>
          <t>600608200</t>
        </is>
      </c>
      <c r="D700" s="8" t="inlineStr">
        <is>
          <t>热轧优质碳素结构圆钢|圆钢|45|Φ40|GB/T 699-1999|热轧|GB/T 702-2008</t>
        </is>
      </c>
      <c r="E700" s="8" t="inlineStr">
        <is>
          <t>物资名称 热轧优质碳素结构圆钢;物资简称 圆钢;牌号 45;直径 Φ40;技术标准号 GB/T 699-1999;加工工艺 热轧;热处理工艺 ;特殊要求 ;规格标准号 GB/T 702-2008</t>
        </is>
      </c>
      <c r="F700" s="4" t="inlineStr">
        <is>
          <t>千克</t>
        </is>
      </c>
    </row>
    <row r="701" s="21">
      <c r="A701" s="8" t="inlineStr">
        <is>
          <t>100201</t>
        </is>
      </c>
      <c r="B701" s="8" t="inlineStr">
        <is>
          <t>圆钢</t>
        </is>
      </c>
      <c r="C701" s="8" t="inlineStr">
        <is>
          <t>600608100</t>
        </is>
      </c>
      <c r="D701" s="8" t="inlineStr">
        <is>
          <t>热轧优质碳素结构圆钢|圆钢|45|Φ42|GB/T 699-1999|热轧|GB/T 702-2008</t>
        </is>
      </c>
      <c r="E701" s="8" t="inlineStr">
        <is>
          <t>物资名称 热轧优质碳素结构圆钢;物资简称 圆钢;牌号 45;直径 Φ42;技术标准号 GB/T 699-1999;加工工艺 热轧;热处理工艺 ;特殊要求 ;规格标准号 GB/T 702-2008</t>
        </is>
      </c>
      <c r="F701" s="4" t="inlineStr">
        <is>
          <t>千克</t>
        </is>
      </c>
    </row>
    <row r="702" s="21">
      <c r="A702" s="8" t="inlineStr">
        <is>
          <t>100201</t>
        </is>
      </c>
      <c r="B702" s="8" t="inlineStr">
        <is>
          <t>圆钢</t>
        </is>
      </c>
      <c r="C702" s="8" t="inlineStr">
        <is>
          <t>600608000</t>
        </is>
      </c>
      <c r="D702" s="8" t="inlineStr">
        <is>
          <t>热轧优质碳素结构圆钢|圆钢|45|Φ55|GB/T 699-1999|热轧|GB/T 702-2008</t>
        </is>
      </c>
      <c r="E702" s="8" t="inlineStr">
        <is>
          <t>物资名称 热轧优质碳素结构圆钢;物资简称 圆钢;牌号 45;直径 Φ55;技术标准号 GB/T 699-1999;加工工艺 热轧;热处理工艺 ;特殊要求 ;规格标准号 GB/T 702-2008</t>
        </is>
      </c>
      <c r="F702" s="4" t="inlineStr">
        <is>
          <t>千克</t>
        </is>
      </c>
    </row>
    <row r="703" s="21">
      <c r="A703" s="8" t="inlineStr">
        <is>
          <t>100201</t>
        </is>
      </c>
      <c r="B703" s="8" t="inlineStr">
        <is>
          <t>圆钢</t>
        </is>
      </c>
      <c r="C703" s="8" t="inlineStr">
        <is>
          <t>600607900</t>
        </is>
      </c>
      <c r="D703" s="8" t="inlineStr">
        <is>
          <t>热轧优质碳素结构圆钢|圆钢|45|Φ80|GB/T 699-1999|热轧|GB/T 702-2008</t>
        </is>
      </c>
      <c r="E703" s="8" t="inlineStr">
        <is>
          <t>物资名称 热轧优质碳素结构圆钢;物资简称 圆钢;牌号 45;直径 Φ80;技术标准号 GB/T 699-1999;加工工艺 热轧;热处理工艺 ;特殊要求 ;规格标准号 GB/T 702-2008</t>
        </is>
      </c>
      <c r="F703" s="4" t="inlineStr">
        <is>
          <t>千克</t>
        </is>
      </c>
    </row>
    <row r="704" s="21">
      <c r="A704" s="8" t="inlineStr">
        <is>
          <t>100201</t>
        </is>
      </c>
      <c r="B704" s="8" t="inlineStr">
        <is>
          <t>圆钢</t>
        </is>
      </c>
      <c r="C704" s="8" t="inlineStr">
        <is>
          <t>600607800</t>
        </is>
      </c>
      <c r="D704" s="8" t="inlineStr">
        <is>
          <t>热轧优质碳素结构圆钢|圆钢|45|Φ100|GB/T 699-1999|热轧|GB/T 702-2008</t>
        </is>
      </c>
      <c r="E704" s="8" t="inlineStr">
        <is>
          <t>物资名称 热轧优质碳素结构圆钢;物资简称 圆钢;牌号 45;直径 Φ100;技术标准号 GB/T 699-1999;加工工艺 热轧;热处理工艺 ;特殊要求 ;规格标准号 GB/T 702-2008</t>
        </is>
      </c>
      <c r="F704" s="4" t="inlineStr">
        <is>
          <t>千克</t>
        </is>
      </c>
    </row>
    <row r="705" s="21">
      <c r="A705" s="8" t="inlineStr">
        <is>
          <t>100201</t>
        </is>
      </c>
      <c r="B705" s="8" t="inlineStr">
        <is>
          <t>圆钢</t>
        </is>
      </c>
      <c r="C705" s="8" t="inlineStr">
        <is>
          <t>600607700</t>
        </is>
      </c>
      <c r="D705" s="8" t="inlineStr">
        <is>
          <t>热轧优质碳素结构圆钢|圆钢|45|Φ110|GB/T 699-1999|热轧|GB/T 702-2008</t>
        </is>
      </c>
      <c r="E705" s="8" t="inlineStr">
        <is>
          <t>物资名称 热轧优质碳素结构圆钢;物资简称 圆钢;牌号 45;直径 Φ110;技术标准号 GB/T 699-1999;加工工艺 热轧;热处理工艺 ;特殊要求 ;规格标准号 GB/T 702-2008</t>
        </is>
      </c>
      <c r="F705" s="4" t="inlineStr">
        <is>
          <t>千克</t>
        </is>
      </c>
    </row>
    <row r="706" s="21">
      <c r="A706" s="8" t="inlineStr">
        <is>
          <t>100201</t>
        </is>
      </c>
      <c r="B706" s="8" t="inlineStr">
        <is>
          <t>圆钢</t>
        </is>
      </c>
      <c r="C706" s="8" t="inlineStr">
        <is>
          <t>600607600</t>
        </is>
      </c>
      <c r="D706" s="8" t="inlineStr">
        <is>
          <t>热轧优质碳素结构圆钢|圆钢|45|Φ140|GB/T 699-1999|热轧|GB/T 702-2008</t>
        </is>
      </c>
      <c r="E706" s="8" t="inlineStr">
        <is>
          <t>物资名称 热轧优质碳素结构圆钢;物资简称 圆钢;牌号 45;直径 Φ140;技术标准号 GB/T 699-1999;加工工艺 热轧;热处理工艺 ;特殊要求 ;规格标准号 GB/T 702-2008</t>
        </is>
      </c>
      <c r="F706" s="4" t="inlineStr">
        <is>
          <t>千克</t>
        </is>
      </c>
    </row>
    <row r="707" s="21">
      <c r="A707" s="8" t="inlineStr">
        <is>
          <t>100201</t>
        </is>
      </c>
      <c r="B707" s="8" t="inlineStr">
        <is>
          <t>圆钢</t>
        </is>
      </c>
      <c r="C707" s="8" t="inlineStr">
        <is>
          <t>600607500</t>
        </is>
      </c>
      <c r="D707" s="8" t="inlineStr">
        <is>
          <t>热轧优质碳素结构圆钢|圆钢|45|Φ150|GB/T 699-1999|热轧|GB/T 702-2008</t>
        </is>
      </c>
      <c r="E707" s="8" t="inlineStr">
        <is>
          <t>物资名称 热轧优质碳素结构圆钢;物资简称 圆钢;牌号 45;直径 Φ150;技术标准号 GB/T 699-1999;加工工艺 热轧;热处理工艺 ;特殊要求 ;规格标准号 GB/T 702-2008</t>
        </is>
      </c>
      <c r="F707" s="4" t="inlineStr">
        <is>
          <t>千克</t>
        </is>
      </c>
    </row>
    <row r="708" s="21">
      <c r="A708" s="8" t="inlineStr">
        <is>
          <t>100201</t>
        </is>
      </c>
      <c r="B708" s="8" t="inlineStr">
        <is>
          <t>圆钢</t>
        </is>
      </c>
      <c r="C708" s="8" t="inlineStr">
        <is>
          <t>600607400</t>
        </is>
      </c>
      <c r="D708" s="8" t="inlineStr">
        <is>
          <t>热轧优质碳素结构圆钢|圆钢|45|Φ170|GB/T 699-1999|热轧|GB/T 702-2008</t>
        </is>
      </c>
      <c r="E708" s="8" t="inlineStr">
        <is>
          <t>物资名称 热轧优质碳素结构圆钢;物资简称 圆钢;牌号 45;直径 Φ170;技术标准号 GB/T 699-1999;加工工艺 热轧;热处理工艺 ;特殊要求 ;规格标准号 GB/T 702-2008</t>
        </is>
      </c>
      <c r="F708" s="4" t="inlineStr">
        <is>
          <t>千克</t>
        </is>
      </c>
    </row>
    <row r="709" s="21">
      <c r="A709" s="8" t="inlineStr">
        <is>
          <t>100201</t>
        </is>
      </c>
      <c r="B709" s="8" t="inlineStr">
        <is>
          <t>圆钢</t>
        </is>
      </c>
      <c r="C709" s="8" t="inlineStr">
        <is>
          <t>600607300</t>
        </is>
      </c>
      <c r="D709" s="8" t="inlineStr">
        <is>
          <t>热轧优质碳素结构圆钢|圆钢|45|Φ210|GB/T 699-1999|热轧|GB/T 702-2008</t>
        </is>
      </c>
      <c r="E709" s="8" t="inlineStr">
        <is>
          <t>物资名称 热轧优质碳素结构圆钢;物资简称 圆钢;牌号 45;直径 Φ210;技术标准号 GB/T 699-1999;加工工艺 热轧;热处理工艺 ;特殊要求 ;规格标准号 GB/T 702-2008</t>
        </is>
      </c>
      <c r="F709" s="4" t="inlineStr">
        <is>
          <t>千克</t>
        </is>
      </c>
    </row>
    <row r="710" s="21">
      <c r="A710" s="8" t="inlineStr">
        <is>
          <t>100201</t>
        </is>
      </c>
      <c r="B710" s="8" t="inlineStr">
        <is>
          <t>圆钢</t>
        </is>
      </c>
      <c r="C710" s="8" t="inlineStr">
        <is>
          <t>600607200</t>
        </is>
      </c>
      <c r="D710" s="8" t="inlineStr">
        <is>
          <t>热轧优质碳素结构圆钢|圆钢|45|Φ280|GB/T 699-1999|热轧|GB/T 702-2008</t>
        </is>
      </c>
      <c r="E710" s="8" t="inlineStr">
        <is>
          <t>物资名称 热轧优质碳素结构圆钢;物资简称 圆钢;牌号 45;直径 Φ280;技术标准号 GB/T 699-1999;加工工艺 热轧;热处理工艺 ;特殊要求 ;规格标准号 GB/T 702-2008</t>
        </is>
      </c>
      <c r="F710" s="4" t="inlineStr">
        <is>
          <t>千克</t>
        </is>
      </c>
    </row>
    <row r="711" s="21">
      <c r="A711" s="8" t="inlineStr">
        <is>
          <t>100201</t>
        </is>
      </c>
      <c r="B711" s="8" t="inlineStr">
        <is>
          <t>圆钢</t>
        </is>
      </c>
      <c r="C711" s="8" t="inlineStr">
        <is>
          <t>600607100</t>
        </is>
      </c>
      <c r="D711" s="8" t="inlineStr">
        <is>
          <t>热轧易切削结构圆钢|圆钢|Y20|GB/T 8731-2008|GB/T 702-2008</t>
        </is>
      </c>
      <c r="E711" s="8" t="inlineStr">
        <is>
          <t>物资名称 热轧易切削结构圆钢;物资简称 圆钢;牌号 Y20;直径 Φ;技术标准号 GB/T 8731-2008;加工工艺 ;热处理工艺 ;特殊要求 ;规格标准号 GB/T 702-2008</t>
        </is>
      </c>
      <c r="F711" s="4" t="inlineStr">
        <is>
          <t>千克</t>
        </is>
      </c>
    </row>
    <row r="712" s="21">
      <c r="A712" s="8" t="inlineStr">
        <is>
          <t>100201</t>
        </is>
      </c>
      <c r="B712" s="8" t="inlineStr">
        <is>
          <t>圆钢</t>
        </is>
      </c>
      <c r="C712" s="8" t="inlineStr">
        <is>
          <t>600607000</t>
        </is>
      </c>
      <c r="D712" s="8" t="inlineStr">
        <is>
          <t>热轧易切削结构圆钢|圆钢|Y20|Φ10|GB/T 8731-2008|热轧|GB/T 702-2008</t>
        </is>
      </c>
      <c r="E712" s="8" t="inlineStr">
        <is>
          <t>物资名称 热轧易切削结构圆钢;物资简称 圆钢;牌号 Y20;直径 Φ10;技术标准号 GB/T 8731-2008;加工工艺 热轧;热处理工艺 ;特殊要求 ;规格标准号 GB/T 702-2008</t>
        </is>
      </c>
      <c r="F712" s="4" t="inlineStr">
        <is>
          <t>千克</t>
        </is>
      </c>
    </row>
    <row r="713" s="21">
      <c r="A713" s="8" t="inlineStr">
        <is>
          <t>100201</t>
        </is>
      </c>
      <c r="B713" s="8" t="inlineStr">
        <is>
          <t>圆钢</t>
        </is>
      </c>
      <c r="C713" s="8" t="inlineStr">
        <is>
          <t>600606900</t>
        </is>
      </c>
      <c r="D713" s="8" t="inlineStr">
        <is>
          <t>热轧易切削结构圆钢|圆钢|Y20|Φ18|GB/T 8731-2008|热轧|GB/T 702-2008</t>
        </is>
      </c>
      <c r="E713" s="8" t="inlineStr">
        <is>
          <t>物资名称 热轧易切削结构圆钢;物资简称 圆钢;牌号 Y20;直径 Φ18;技术标准号 GB/T 8731-2008;加工工艺 热轧;热处理工艺 ;特殊要求 ;规格标准号 GB/T 702-2008</t>
        </is>
      </c>
      <c r="F713" s="4" t="inlineStr">
        <is>
          <t>千克</t>
        </is>
      </c>
    </row>
    <row r="714" s="21">
      <c r="A714" s="8" t="inlineStr">
        <is>
          <t>100201</t>
        </is>
      </c>
      <c r="B714" s="8" t="inlineStr">
        <is>
          <t>圆钢</t>
        </is>
      </c>
      <c r="C714" s="8" t="inlineStr">
        <is>
          <t>600606800</t>
        </is>
      </c>
      <c r="D714" s="8" t="inlineStr">
        <is>
          <t>航空用不锈钢棒|钢棒|Y2Cr13Ni2|GJB 2294-1995</t>
        </is>
      </c>
      <c r="E714" s="8" t="inlineStr">
        <is>
          <t xml:space="preserve">物资名称 航空用不锈钢棒;物资简称 钢棒;牌号 Y2Cr13Ni2;直径 Φ;技术标准号 GJB 2294-1995;加工工艺 ;热处理工艺 ;特殊要求 ;规格标准号 </t>
        </is>
      </c>
      <c r="F714" s="4" t="inlineStr">
        <is>
          <t>千克</t>
        </is>
      </c>
    </row>
    <row r="715" s="21">
      <c r="A715" s="8" t="inlineStr">
        <is>
          <t>100201</t>
        </is>
      </c>
      <c r="B715" s="8" t="inlineStr">
        <is>
          <t>圆钢</t>
        </is>
      </c>
      <c r="C715" s="8" t="inlineStr">
        <is>
          <t>600606700</t>
        </is>
      </c>
      <c r="D715" s="8" t="inlineStr">
        <is>
          <t>热轧航空用不锈圆钢|圆钢|Y2Cr13Ni2|GJB 2294-1995|热轧|GB/T 702-2008</t>
        </is>
      </c>
      <c r="E715" s="8" t="inlineStr">
        <is>
          <t>物资名称 热轧航空用不锈圆钢;物资简称 圆钢;牌号 Y2Cr13Ni2;直径 Φ;技术标准号 GJB 2294-1995;加工工艺 热轧;热处理工艺 ;特殊要求 ;规格标准号 GB/T 702-2008</t>
        </is>
      </c>
      <c r="F715" s="4" t="inlineStr">
        <is>
          <t>千克</t>
        </is>
      </c>
    </row>
    <row r="716" s="21">
      <c r="A716" s="8" t="inlineStr">
        <is>
          <t>100201</t>
        </is>
      </c>
      <c r="B716" s="8" t="inlineStr">
        <is>
          <t>圆钢</t>
        </is>
      </c>
      <c r="C716" s="8" t="inlineStr">
        <is>
          <t>600606600</t>
        </is>
      </c>
      <c r="D716" s="8" t="inlineStr">
        <is>
          <t>热轧航空用不锈圆钢|圆钢|Y2Cr13Ni2|Φ10|GJB 2294-1995|热轧|GB/T 702-2008</t>
        </is>
      </c>
      <c r="E716" s="8" t="inlineStr">
        <is>
          <t>物资名称 热轧航空用不锈圆钢;物资简称 圆钢;牌号 Y2Cr13Ni2;直径 Φ10;技术标准号 GJB 2294-1995;加工工艺 热轧;热处理工艺 ;特殊要求 ;规格标准号 GB/T 702-2008</t>
        </is>
      </c>
      <c r="F716" s="4" t="inlineStr">
        <is>
          <t>千克</t>
        </is>
      </c>
    </row>
    <row r="717" s="21">
      <c r="A717" s="8" t="inlineStr">
        <is>
          <t>100201</t>
        </is>
      </c>
      <c r="B717" s="8" t="inlineStr">
        <is>
          <t>圆钢</t>
        </is>
      </c>
      <c r="C717" s="8" t="inlineStr">
        <is>
          <t>600606500</t>
        </is>
      </c>
      <c r="D717" s="8" t="inlineStr">
        <is>
          <t>热轧航空用不锈圆钢|圆钢|Y2Cr13Ni2|Φ12|GJB 2294-1995|热轧|退火|GB/T 702-2008</t>
        </is>
      </c>
      <c r="E717" s="8" t="inlineStr">
        <is>
          <t>物资名称 热轧航空用不锈圆钢;物资简称 圆钢;牌号 Y2Cr13Ni2;直径 Φ12;技术标准号 GJB 2294-1995;加工工艺 热轧;热处理工艺 退火;特殊要求 ;规格标准号 GB/T 702-2008</t>
        </is>
      </c>
      <c r="F717" s="4" t="inlineStr">
        <is>
          <t>千克</t>
        </is>
      </c>
    </row>
    <row r="718" s="21">
      <c r="A718" s="8" t="inlineStr">
        <is>
          <t>100201</t>
        </is>
      </c>
      <c r="B718" s="8" t="inlineStr">
        <is>
          <t>圆钢</t>
        </is>
      </c>
      <c r="C718" s="8" t="inlineStr">
        <is>
          <t>600606400</t>
        </is>
      </c>
      <c r="D718" s="8" t="inlineStr">
        <is>
          <t>热轧航空用不锈圆钢|圆钢|Y2Cr13Ni2|Φ14|GJB 2294-1995|热轧|退火|GB/T 702-2008</t>
        </is>
      </c>
      <c r="E718" s="8" t="inlineStr">
        <is>
          <t>物资名称 热轧航空用不锈圆钢;物资简称 圆钢;牌号 Y2Cr13Ni2;直径 Φ14;技术标准号 GJB 2294-1995;加工工艺 热轧;热处理工艺 退火;特殊要求 ;规格标准号 GB/T 702-2008</t>
        </is>
      </c>
      <c r="F718" s="4" t="inlineStr">
        <is>
          <t>千克</t>
        </is>
      </c>
    </row>
    <row r="719" s="21">
      <c r="A719" s="8" t="inlineStr">
        <is>
          <t>100201</t>
        </is>
      </c>
      <c r="B719" s="8" t="inlineStr">
        <is>
          <t>圆钢</t>
        </is>
      </c>
      <c r="C719" s="8" t="inlineStr">
        <is>
          <t>600606300</t>
        </is>
      </c>
      <c r="D719" s="8" t="inlineStr">
        <is>
          <t>热轧航空用不锈圆钢|圆钢|Y2Cr13Ni2|Φ16|GJB 2294-1995|热轧|GB/T 702-2008</t>
        </is>
      </c>
      <c r="E719" s="8" t="inlineStr">
        <is>
          <t>物资名称 热轧航空用不锈圆钢;物资简称 圆钢;牌号 Y2Cr13Ni2;直径 Φ16;技术标准号 GJB 2294-1995;加工工艺 热轧;热处理工艺 ;特殊要求 ;规格标准号 GB/T 702-2008</t>
        </is>
      </c>
      <c r="F719" s="4" t="inlineStr">
        <is>
          <t>千克</t>
        </is>
      </c>
    </row>
    <row r="720" s="21">
      <c r="A720" s="8" t="inlineStr">
        <is>
          <t>100201</t>
        </is>
      </c>
      <c r="B720" s="8" t="inlineStr">
        <is>
          <t>圆钢</t>
        </is>
      </c>
      <c r="C720" s="8" t="inlineStr">
        <is>
          <t>600606200</t>
        </is>
      </c>
      <c r="D720" s="8" t="inlineStr">
        <is>
          <t>热轧航空用不锈圆钢|圆钢|Y2Cr13Ni2|Φ18|GJB 2294-1995|热轧|退火|GB/T 702-2008</t>
        </is>
      </c>
      <c r="E720" s="8" t="inlineStr">
        <is>
          <t>物资名称 热轧航空用不锈圆钢;物资简称 圆钢;牌号 Y2Cr13Ni2;直径 Φ18;技术标准号 GJB 2294-1995;加工工艺 热轧;热处理工艺 退火;特殊要求 ;规格标准号 GB/T 702-2008</t>
        </is>
      </c>
      <c r="F720" s="4" t="inlineStr">
        <is>
          <t>千克</t>
        </is>
      </c>
    </row>
    <row r="721" s="21">
      <c r="A721" s="8" t="inlineStr">
        <is>
          <t>100201</t>
        </is>
      </c>
      <c r="B721" s="8" t="inlineStr">
        <is>
          <t>圆钢</t>
        </is>
      </c>
      <c r="C721" s="8" t="inlineStr">
        <is>
          <t>600606100</t>
        </is>
      </c>
      <c r="D721" s="8" t="inlineStr">
        <is>
          <t>热轧航空用不锈圆钢|圆钢|Y2Cr13Ni2|Φ20|GJB 2294-1995|热轧|GB/T 702-2008</t>
        </is>
      </c>
      <c r="E721" s="8" t="inlineStr">
        <is>
          <t>物资名称 热轧航空用不锈圆钢;物资简称 圆钢;牌号 Y2Cr13Ni2;直径 Φ20;技术标准号 GJB 2294-1995;加工工艺 热轧;热处理工艺 ;特殊要求 ;规格标准号 GB/T 702-2008</t>
        </is>
      </c>
      <c r="F721" s="4" t="inlineStr">
        <is>
          <t>千克</t>
        </is>
      </c>
    </row>
    <row r="722" s="21">
      <c r="A722" s="8" t="inlineStr">
        <is>
          <t>100201</t>
        </is>
      </c>
      <c r="B722" s="8" t="inlineStr">
        <is>
          <t>圆钢</t>
        </is>
      </c>
      <c r="C722" s="8" t="inlineStr">
        <is>
          <t>600606000</t>
        </is>
      </c>
      <c r="D722" s="8" t="inlineStr">
        <is>
          <t>热轧航空用不锈圆钢|圆钢|Y2Cr13Ni2|Φ22|GJB 2294-1995|热轧|GB/T 702-2008</t>
        </is>
      </c>
      <c r="E722" s="8" t="inlineStr">
        <is>
          <t>物资名称 热轧航空用不锈圆钢;物资简称 圆钢;牌号 Y2Cr13Ni2;直径 Φ22;技术标准号 GJB 2294-1995;加工工艺 热轧;热处理工艺 ;特殊要求 ;规格标准号 GB/T 702-2008</t>
        </is>
      </c>
      <c r="F722" s="4" t="inlineStr">
        <is>
          <t>千克</t>
        </is>
      </c>
    </row>
    <row r="723" s="21">
      <c r="A723" s="8" t="inlineStr">
        <is>
          <t>100201</t>
        </is>
      </c>
      <c r="B723" s="8" t="inlineStr">
        <is>
          <t>圆钢</t>
        </is>
      </c>
      <c r="C723" s="8" t="inlineStr">
        <is>
          <t>600605900</t>
        </is>
      </c>
      <c r="D723" s="8" t="inlineStr">
        <is>
          <t>热轧航空用不锈圆钢|圆钢|Y2Cr13Ni2|Φ24|GJB 2294-1995|热轧|GB/T 702-2008</t>
        </is>
      </c>
      <c r="E723" s="8" t="inlineStr">
        <is>
          <t>物资名称 热轧航空用不锈圆钢;物资简称 圆钢;牌号 Y2Cr13Ni2;直径 Φ24;技术标准号 GJB 2294-1995;加工工艺 热轧;热处理工艺 ;特殊要求 ;规格标准号 GB/T 702-2008</t>
        </is>
      </c>
      <c r="F723" s="4" t="inlineStr">
        <is>
          <t>千克</t>
        </is>
      </c>
    </row>
    <row r="724" s="21">
      <c r="A724" s="8" t="inlineStr">
        <is>
          <t>100201</t>
        </is>
      </c>
      <c r="B724" s="8" t="inlineStr">
        <is>
          <t>圆钢</t>
        </is>
      </c>
      <c r="C724" s="8" t="inlineStr">
        <is>
          <t>600605800</t>
        </is>
      </c>
      <c r="D724" s="8" t="inlineStr">
        <is>
          <t>热轧航空用不锈圆钢|圆钢|Y2Cr13Ni2|Φ25|GJB 2294-1995|热轧|GB/T 702-2008</t>
        </is>
      </c>
      <c r="E724" s="8" t="inlineStr">
        <is>
          <t>物资名称 热轧航空用不锈圆钢;物资简称 圆钢;牌号 Y2Cr13Ni2;直径 Φ25;技术标准号 GJB 2294-1995;加工工艺 热轧;热处理工艺 ;特殊要求 ;规格标准号 GB/T 702-2008</t>
        </is>
      </c>
      <c r="F724" s="4" t="inlineStr">
        <is>
          <t>千克</t>
        </is>
      </c>
    </row>
    <row r="725" s="21">
      <c r="A725" s="8" t="inlineStr">
        <is>
          <t>100201</t>
        </is>
      </c>
      <c r="B725" s="8" t="inlineStr">
        <is>
          <t>圆钢</t>
        </is>
      </c>
      <c r="C725" s="8" t="inlineStr">
        <is>
          <t>600605700</t>
        </is>
      </c>
      <c r="D725" s="8" t="inlineStr">
        <is>
          <t>热轧航空用不锈圆钢|圆钢|Y2Cr13Ni2|Φ28|GJB 2294-1995|热轧|GB/T 702-2008</t>
        </is>
      </c>
      <c r="E725" s="8" t="inlineStr">
        <is>
          <t>物资名称 热轧航空用不锈圆钢;物资简称 圆钢;牌号 Y2Cr13Ni2;直径 Φ28;技术标准号 GJB 2294-1995;加工工艺 热轧;热处理工艺 ;特殊要求 ;规格标准号 GB/T 702-2008</t>
        </is>
      </c>
      <c r="F725" s="4" t="inlineStr">
        <is>
          <t>千克</t>
        </is>
      </c>
    </row>
    <row r="726" s="21">
      <c r="A726" s="8" t="inlineStr">
        <is>
          <t>100201</t>
        </is>
      </c>
      <c r="B726" s="8" t="inlineStr">
        <is>
          <t>圆钢</t>
        </is>
      </c>
      <c r="C726" s="8" t="inlineStr">
        <is>
          <t>600605600</t>
        </is>
      </c>
      <c r="D726" s="8" t="inlineStr">
        <is>
          <t>热轧航空用不锈圆钢|圆钢|Y2Cr13Ni2|Φ30|GJB 2294-1995|热轧|GB/T 702-2008</t>
        </is>
      </c>
      <c r="E726" s="8" t="inlineStr">
        <is>
          <t>物资名称 热轧航空用不锈圆钢;物资简称 圆钢;牌号 Y2Cr13Ni2;直径 Φ30;技术标准号 GJB 2294-1995;加工工艺 热轧;热处理工艺 ;特殊要求 ;规格标准号 GB/T 702-2008</t>
        </is>
      </c>
      <c r="F726" s="4" t="inlineStr">
        <is>
          <t>千克</t>
        </is>
      </c>
    </row>
    <row r="727" s="21">
      <c r="A727" s="8" t="inlineStr">
        <is>
          <t>100201</t>
        </is>
      </c>
      <c r="B727" s="8" t="inlineStr">
        <is>
          <t>圆钢</t>
        </is>
      </c>
      <c r="C727" s="8" t="inlineStr">
        <is>
          <t>600605500</t>
        </is>
      </c>
      <c r="D727" s="8" t="inlineStr">
        <is>
          <t>热轧航空用不锈圆钢|圆钢|Y2Cr13Ni2|Φ32|GJB 2294-1995|热轧|GB/T 702-2008</t>
        </is>
      </c>
      <c r="E727" s="8" t="inlineStr">
        <is>
          <t>物资名称 热轧航空用不锈圆钢;物资简称 圆钢;牌号 Y2Cr13Ni2;直径 Φ32;技术标准号 GJB 2294-1995;加工工艺 热轧;热处理工艺 ;特殊要求 ;规格标准号 GB/T 702-2008</t>
        </is>
      </c>
      <c r="F727" s="4" t="inlineStr">
        <is>
          <t>千克</t>
        </is>
      </c>
    </row>
    <row r="728" s="21">
      <c r="A728" s="8" t="inlineStr">
        <is>
          <t>100201</t>
        </is>
      </c>
      <c r="B728" s="8" t="inlineStr">
        <is>
          <t>圆钢</t>
        </is>
      </c>
      <c r="C728" s="8" t="inlineStr">
        <is>
          <t>600605400</t>
        </is>
      </c>
      <c r="D728" s="8" t="inlineStr">
        <is>
          <t>热轧航空用不锈圆钢|圆钢|Y2Cr13Ni2|Φ35|GJB 2294-1995|热轧|退火|GB/T 702-2008</t>
        </is>
      </c>
      <c r="E728" s="8" t="inlineStr">
        <is>
          <t>物资名称 热轧航空用不锈圆钢;物资简称 圆钢;牌号 Y2Cr13Ni2;直径 Φ35;技术标准号 GJB 2294-1995;加工工艺 热轧;热处理工艺 退火;特殊要求 ;规格标准号 GB/T 702-2008</t>
        </is>
      </c>
      <c r="F728" s="4" t="inlineStr">
        <is>
          <t>千克</t>
        </is>
      </c>
    </row>
    <row r="729" s="21">
      <c r="A729" s="8" t="inlineStr">
        <is>
          <t>100201</t>
        </is>
      </c>
      <c r="B729" s="8" t="inlineStr">
        <is>
          <t>圆钢</t>
        </is>
      </c>
      <c r="C729" s="8" t="inlineStr">
        <is>
          <t>600605300</t>
        </is>
      </c>
      <c r="D729" s="8" t="inlineStr">
        <is>
          <t>热轧航空用不锈圆钢|圆钢|Y2Cr13Ni2|Φ42|GJB 2294-1995|热轧|退火|GB/T 702-2008</t>
        </is>
      </c>
      <c r="E729" s="8" t="inlineStr">
        <is>
          <t>物资名称 热轧航空用不锈圆钢;物资简称 圆钢;牌号 Y2Cr13Ni2;直径 Φ42;技术标准号 GJB 2294-1995;加工工艺 热轧;热处理工艺 退火;特殊要求 ;规格标准号 GB/T 702-2008</t>
        </is>
      </c>
      <c r="F729" s="4" t="inlineStr">
        <is>
          <t>千克</t>
        </is>
      </c>
    </row>
    <row r="730" s="21">
      <c r="A730" s="8" t="inlineStr">
        <is>
          <t>100201</t>
        </is>
      </c>
      <c r="B730" s="8" t="inlineStr">
        <is>
          <t>圆钢</t>
        </is>
      </c>
      <c r="C730" s="8" t="inlineStr">
        <is>
          <t>600605200</t>
        </is>
      </c>
      <c r="D730" s="8" t="inlineStr">
        <is>
          <t>热轧航空用不锈圆钢|圆钢|Y2Cr13Ni2|Φ42|GJB 2294-1995|热轧|GB/T 702-2008</t>
        </is>
      </c>
      <c r="E730" s="8" t="inlineStr">
        <is>
          <t>物资名称 热轧航空用不锈圆钢;物资简称 圆钢;牌号 Y2Cr13Ni2;直径 Φ42;技术标准号 GJB 2294-1995;加工工艺 热轧;热处理工艺 ;特殊要求 ;规格标准号 GB/T 702-2008</t>
        </is>
      </c>
      <c r="F730" s="4" t="inlineStr">
        <is>
          <t>千克</t>
        </is>
      </c>
    </row>
    <row r="731" s="21">
      <c r="A731" s="8" t="inlineStr">
        <is>
          <t>100201</t>
        </is>
      </c>
      <c r="B731" s="8" t="inlineStr">
        <is>
          <t>圆钢</t>
        </is>
      </c>
      <c r="C731" s="8" t="inlineStr">
        <is>
          <t>600605100</t>
        </is>
      </c>
      <c r="D731" s="8" t="inlineStr">
        <is>
          <t>热轧航空用不锈圆钢|圆钢|Y2Cr13Ni2|Φ45|GJB 2294-1995|热轧|GB/T 702-2008</t>
        </is>
      </c>
      <c r="E731" s="8" t="inlineStr">
        <is>
          <t>物资名称 热轧航空用不锈圆钢;物资简称 圆钢;牌号 Y2Cr13Ni2;直径 Φ45;技术标准号 GJB 2294-1995;加工工艺 热轧;热处理工艺 ;特殊要求 ;规格标准号 GB/T 702-2008</t>
        </is>
      </c>
      <c r="F731" s="4" t="inlineStr">
        <is>
          <t>千克</t>
        </is>
      </c>
    </row>
    <row r="732" s="21">
      <c r="A732" s="8" t="inlineStr">
        <is>
          <t>100201</t>
        </is>
      </c>
      <c r="B732" s="8" t="inlineStr">
        <is>
          <t>圆钢</t>
        </is>
      </c>
      <c r="C732" s="8" t="inlineStr">
        <is>
          <t>600605000</t>
        </is>
      </c>
      <c r="D732" s="8" t="inlineStr">
        <is>
          <t>热轧航空用不锈圆钢|圆钢|Y2Cr13Ni2|Φ150|GJB 2294-1995|热轧|GB/T 702-2008</t>
        </is>
      </c>
      <c r="E732" s="8" t="inlineStr">
        <is>
          <t>物资名称 热轧航空用不锈圆钢;物资简称 圆钢;牌号 Y2Cr13Ni2;直径 Φ150;技术标准号 GJB 2294-1995;加工工艺 热轧;热处理工艺 ;特殊要求 ;规格标准号 GB/T 702-2008</t>
        </is>
      </c>
      <c r="F732" s="4" t="inlineStr">
        <is>
          <t>千克</t>
        </is>
      </c>
    </row>
    <row r="733" s="21">
      <c r="A733" s="8" t="inlineStr">
        <is>
          <t>100201</t>
        </is>
      </c>
      <c r="B733" s="8" t="inlineStr">
        <is>
          <t>圆钢</t>
        </is>
      </c>
      <c r="C733" s="8" t="inlineStr">
        <is>
          <t>600603200</t>
        </is>
      </c>
      <c r="D733" s="8" t="inlineStr">
        <is>
          <t>不锈钢棒|钢棒|Y12Cr18Ni9|GB/T 1220-2007</t>
        </is>
      </c>
      <c r="E733" s="8" t="inlineStr">
        <is>
          <t xml:space="preserve">物资名称 不锈钢棒;物资简称 钢棒;牌号 Y12Cr18Ni9;直径 Φ;技术标准号 GB/T 1220-2007;加工工艺 ;热处理工艺 ;特殊要求 ;规格标准号 </t>
        </is>
      </c>
      <c r="F733" s="4" t="inlineStr">
        <is>
          <t>千克</t>
        </is>
      </c>
    </row>
    <row r="734" s="21">
      <c r="A734" s="8" t="inlineStr">
        <is>
          <t>100201</t>
        </is>
      </c>
      <c r="B734" s="8" t="inlineStr">
        <is>
          <t>圆钢</t>
        </is>
      </c>
      <c r="C734" s="8" t="inlineStr">
        <is>
          <t>600603100</t>
        </is>
      </c>
      <c r="D734" s="8" t="inlineStr">
        <is>
          <t>热轧不锈圆钢|圆钢|Y12Cr18Ni9|GB/T 1220-2007|GB/T 702-2008</t>
        </is>
      </c>
      <c r="E734" s="8" t="inlineStr">
        <is>
          <t>物资名称 热轧不锈圆钢;物资简称 圆钢;牌号 Y12Cr18Ni9;直径 Φ;技术标准号 GB/T 1220-2007;加工工艺 ;热处理工艺 ;特殊要求 ;规格标准号 GB/T 702-2008</t>
        </is>
      </c>
      <c r="F734" s="4" t="inlineStr">
        <is>
          <t>千克</t>
        </is>
      </c>
    </row>
    <row r="735" s="21">
      <c r="A735" s="8" t="inlineStr">
        <is>
          <t>100201</t>
        </is>
      </c>
      <c r="B735" s="8" t="inlineStr">
        <is>
          <t>圆钢</t>
        </is>
      </c>
      <c r="C735" s="8" t="inlineStr">
        <is>
          <t>600603000</t>
        </is>
      </c>
      <c r="D735" s="8" t="inlineStr">
        <is>
          <t>热轧不锈圆钢|圆钢|Y12Cr18Ni9|Φ50|GB/T 1220-2007|热轧|GB/T 702-2008</t>
        </is>
      </c>
      <c r="E735" s="8" t="inlineStr">
        <is>
          <t>物资名称 热轧不锈圆钢;物资简称 圆钢;牌号 Y12Cr18Ni9;直径 Φ50;技术标准号 GB/T 1220-2007;加工工艺 热轧;热处理工艺 ;特殊要求 ;规格标准号 GB/T 702-2008</t>
        </is>
      </c>
      <c r="F735" s="4" t="inlineStr">
        <is>
          <t>千克</t>
        </is>
      </c>
    </row>
    <row r="736" s="21">
      <c r="A736" s="8" t="inlineStr">
        <is>
          <t>100201</t>
        </is>
      </c>
      <c r="B736" s="8" t="inlineStr">
        <is>
          <t>圆钢</t>
        </is>
      </c>
      <c r="C736" s="8" t="inlineStr">
        <is>
          <t>600602900</t>
        </is>
      </c>
      <c r="D736" s="8" t="inlineStr">
        <is>
          <t>热轧不锈圆钢|圆钢|Y12Cr18Ni9|Φ55|GB/T 1220-2007|热轧|GB/T 702-2008</t>
        </is>
      </c>
      <c r="E736" s="8" t="inlineStr">
        <is>
          <t>物资名称 热轧不锈圆钢;物资简称 圆钢;牌号 Y12Cr18Ni9;直径 Φ55;技术标准号 GB/T 1220-2007;加工工艺 热轧;热处理工艺 ;特殊要求 ;规格标准号 GB/T 702-2008</t>
        </is>
      </c>
      <c r="F736" s="4" t="inlineStr">
        <is>
          <t>千克</t>
        </is>
      </c>
    </row>
    <row r="737" s="21">
      <c r="A737" s="8" t="inlineStr">
        <is>
          <t>100201</t>
        </is>
      </c>
      <c r="B737" s="8" t="inlineStr">
        <is>
          <t>圆钢</t>
        </is>
      </c>
      <c r="C737" s="8" t="inlineStr">
        <is>
          <t>600602800</t>
        </is>
      </c>
      <c r="D737" s="8" t="inlineStr">
        <is>
          <t>热轧不锈圆钢|圆钢|Y12Cr18Ni9|Φ65|GB/T 1220-2007|热轧|GB/T 702-2008</t>
        </is>
      </c>
      <c r="E737" s="8" t="inlineStr">
        <is>
          <t>物资名称 热轧不锈圆钢;物资简称 圆钢;牌号 Y12Cr18Ni9;直径 Φ65;技术标准号 GB/T 1220-2007;加工工艺 热轧;热处理工艺 ;特殊要求 ;规格标准号 GB/T 702-2008</t>
        </is>
      </c>
      <c r="F737" s="4" t="inlineStr">
        <is>
          <t>千克</t>
        </is>
      </c>
    </row>
    <row r="738" s="21">
      <c r="A738" s="8" t="inlineStr">
        <is>
          <t>100201</t>
        </is>
      </c>
      <c r="B738" s="8" t="inlineStr">
        <is>
          <t>圆钢</t>
        </is>
      </c>
      <c r="C738" s="8" t="inlineStr">
        <is>
          <t>600602700</t>
        </is>
      </c>
      <c r="D738" s="8" t="inlineStr">
        <is>
          <t>热轧不锈圆钢|圆钢|Y12Cr18Ni9|Φ85|GB/T 1220-2007|热轧|GB/T 702-2008</t>
        </is>
      </c>
      <c r="E738" s="8" t="inlineStr">
        <is>
          <t>物资名称 热轧不锈圆钢;物资简称 圆钢;牌号 Y12Cr18Ni9;直径 Φ85;技术标准号 GB/T 1220-2007;加工工艺 热轧;热处理工艺 ;特殊要求 ;规格标准号 GB/T 702-2008</t>
        </is>
      </c>
      <c r="F738" s="4" t="inlineStr">
        <is>
          <t>千克</t>
        </is>
      </c>
    </row>
    <row r="739" s="21">
      <c r="A739" s="8" t="inlineStr">
        <is>
          <t>100201</t>
        </is>
      </c>
      <c r="B739" s="8" t="inlineStr">
        <is>
          <t>圆钢</t>
        </is>
      </c>
      <c r="C739" s="8" t="inlineStr">
        <is>
          <t>600602600</t>
        </is>
      </c>
      <c r="D739" s="8" t="inlineStr">
        <is>
          <t>热轧不锈圆钢|圆钢|Y12Cr18Ni9|Φ90|GB/T 1220-2007|热轧|GB/T 702-2008</t>
        </is>
      </c>
      <c r="E739" s="8" t="inlineStr">
        <is>
          <t>物资名称 热轧不锈圆钢;物资简称 圆钢;牌号 Y12Cr18Ni9;直径 Φ90;技术标准号 GB/T 1220-2007;加工工艺 热轧;热处理工艺 ;特殊要求 ;规格标准号 GB/T 702-2008</t>
        </is>
      </c>
      <c r="F739" s="4" t="inlineStr">
        <is>
          <t>千克</t>
        </is>
      </c>
    </row>
    <row r="740" s="21">
      <c r="A740" s="8" t="inlineStr">
        <is>
          <t>100201</t>
        </is>
      </c>
      <c r="B740" s="8" t="inlineStr">
        <is>
          <t>圆钢</t>
        </is>
      </c>
      <c r="C740" s="8" t="inlineStr">
        <is>
          <t>600602500</t>
        </is>
      </c>
      <c r="D740" s="8" t="inlineStr">
        <is>
          <t>热轧不锈圆钢|圆钢|Y12Cr18Ni9|Φ160|GB/T 1220-2007|热轧|GB/T 702-2008</t>
        </is>
      </c>
      <c r="E740" s="8" t="inlineStr">
        <is>
          <t>物资名称 热轧不锈圆钢;物资简称 圆钢;牌号 Y12Cr18Ni9;直径 Φ160;技术标准号 GB/T 1220-2007;加工工艺 热轧;热处理工艺 ;特殊要求 ;规格标准号 GB/T 702-2008</t>
        </is>
      </c>
      <c r="F740" s="4" t="inlineStr">
        <is>
          <t>千克</t>
        </is>
      </c>
    </row>
    <row r="741" s="21">
      <c r="A741" s="8" t="inlineStr">
        <is>
          <t>100201</t>
        </is>
      </c>
      <c r="B741" s="8" t="inlineStr">
        <is>
          <t>圆钢</t>
        </is>
      </c>
      <c r="C741" s="8" t="inlineStr">
        <is>
          <t>600602400</t>
        </is>
      </c>
      <c r="D741" s="8" t="inlineStr">
        <is>
          <t>合金结构钢棒|钢棒|12CrNi2|GB/T 3077-1999</t>
        </is>
      </c>
      <c r="E741" s="8" t="inlineStr">
        <is>
          <t xml:space="preserve">物资名称 合金结构钢棒;物资简称 钢棒;牌号 12CrNi2;直径 Φ;技术标准号 GB/T 3077-1999;加工工艺 ;热处理工艺 ;特殊要求 ;规格标准号 </t>
        </is>
      </c>
      <c r="F741" s="4" t="inlineStr">
        <is>
          <t>千克</t>
        </is>
      </c>
    </row>
    <row r="742" s="21">
      <c r="A742" s="8" t="inlineStr">
        <is>
          <t>100201</t>
        </is>
      </c>
      <c r="B742" s="8" t="inlineStr">
        <is>
          <t>圆钢</t>
        </is>
      </c>
      <c r="C742" s="8" t="inlineStr">
        <is>
          <t>600602300</t>
        </is>
      </c>
      <c r="D742" s="8" t="inlineStr">
        <is>
          <t>热轧低膨胀铁镍合金圆钢|圆钢|4J36|YB/T 5241-2005|GB/T 14985-2007</t>
        </is>
      </c>
      <c r="E742" s="8" t="inlineStr">
        <is>
          <t>物资名称 热轧低膨胀铁镍合金圆钢;物资简称 圆钢;牌号 4J36;直径 Φ;技术标准号 YB/T 5241-2005;加工工艺 ;热处理工艺 ;特殊要求 ;规格标准号 GB/T 14985-2007</t>
        </is>
      </c>
      <c r="F742" s="4" t="inlineStr">
        <is>
          <t>千克</t>
        </is>
      </c>
    </row>
    <row r="743" s="21">
      <c r="A743" s="8" t="inlineStr">
        <is>
          <t>100201</t>
        </is>
      </c>
      <c r="B743" s="8" t="inlineStr">
        <is>
          <t>圆钢</t>
        </is>
      </c>
      <c r="C743" s="8" t="inlineStr">
        <is>
          <t>600602200</t>
        </is>
      </c>
      <c r="D743" s="8" t="inlineStr">
        <is>
          <t>热轧低膨胀铁镍合金圆钢|圆钢|4J36|Φ140|YB/T 5241-2005|热轧|GB/T 14985-2007</t>
        </is>
      </c>
      <c r="E743" s="8" t="inlineStr">
        <is>
          <t>物资名称 热轧低膨胀铁镍合金圆钢;物资简称 圆钢;牌号 4J36;直径 Φ140;技术标准号 YB/T 5241-2005;加工工艺 热轧;热处理工艺 ;特殊要求 ;规格标准号 GB/T 14985-2007</t>
        </is>
      </c>
      <c r="F743" s="4" t="inlineStr">
        <is>
          <t>千克</t>
        </is>
      </c>
    </row>
    <row r="744" s="21">
      <c r="A744" s="8" t="inlineStr">
        <is>
          <t>100201</t>
        </is>
      </c>
      <c r="B744" s="8" t="inlineStr">
        <is>
          <t>圆钢</t>
        </is>
      </c>
      <c r="C744" s="8" t="inlineStr">
        <is>
          <t>600602100</t>
        </is>
      </c>
      <c r="D744" s="8" t="inlineStr">
        <is>
          <t>热轧低膨胀铁镍合金圆钢|圆钢|4J36|Φ185|YB/T 5241-2005|热轧|GB/T 14985-2007</t>
        </is>
      </c>
      <c r="E744" s="8" t="inlineStr">
        <is>
          <t>物资名称 热轧低膨胀铁镍合金圆钢;物资简称 圆钢;牌号 4J36;直径 Φ185;技术标准号 YB/T 5241-2005;加工工艺 热轧;热处理工艺 ;特殊要求 ;规格标准号 GB/T 14985-2007</t>
        </is>
      </c>
      <c r="F744" s="4" t="inlineStr">
        <is>
          <t>千克</t>
        </is>
      </c>
    </row>
    <row r="745" s="21">
      <c r="A745" s="8" t="inlineStr">
        <is>
          <t>100201</t>
        </is>
      </c>
      <c r="B745" s="8" t="inlineStr">
        <is>
          <t>圆钢</t>
        </is>
      </c>
      <c r="C745" s="8" t="inlineStr">
        <is>
          <t>600602000</t>
        </is>
      </c>
      <c r="D745" s="8" t="inlineStr">
        <is>
          <t>热轧低膨胀铁镍合金圆钢|圆钢|4J36|Φ200|YB/T 5241-2005|热轧|GB/T 14985-2007</t>
        </is>
      </c>
      <c r="E745" s="8" t="inlineStr">
        <is>
          <t>物资名称 热轧低膨胀铁镍合金圆钢;物资简称 圆钢;牌号 4J36;直径 Φ200;技术标准号 YB/T 5241-2005;加工工艺 热轧;热处理工艺 ;特殊要求 ;规格标准号 GB/T 14985-2007</t>
        </is>
      </c>
      <c r="F745" s="4" t="inlineStr">
        <is>
          <t>千克</t>
        </is>
      </c>
    </row>
    <row r="746" s="21">
      <c r="A746" s="8" t="inlineStr">
        <is>
          <t>100201</t>
        </is>
      </c>
      <c r="B746" s="8" t="inlineStr">
        <is>
          <t>圆钢</t>
        </is>
      </c>
      <c r="C746" s="8" t="inlineStr">
        <is>
          <t>600601900</t>
        </is>
      </c>
      <c r="D746" s="8" t="inlineStr">
        <is>
          <t>热轧低膨胀铁镍合金圆钢|圆钢|4J36|Φ235|YB/T 5241-2005|热轧|GB/T 14985-2007</t>
        </is>
      </c>
      <c r="E746" s="8" t="inlineStr">
        <is>
          <t>物资名称 热轧低膨胀铁镍合金圆钢;物资简称 圆钢;牌号 4J36;直径 Φ235;技术标准号 YB/T 5241-2005;加工工艺 热轧;热处理工艺 ;特殊要求 ;规格标准号 GB/T 14985-2007</t>
        </is>
      </c>
      <c r="F746" s="4" t="inlineStr">
        <is>
          <t>千克</t>
        </is>
      </c>
    </row>
    <row r="747" s="21">
      <c r="A747" s="8" t="inlineStr">
        <is>
          <t>100201</t>
        </is>
      </c>
      <c r="B747" s="8" t="inlineStr">
        <is>
          <t>圆钢</t>
        </is>
      </c>
      <c r="C747" s="8" t="inlineStr">
        <is>
          <t>600601800</t>
        </is>
      </c>
      <c r="D747" s="8" t="inlineStr">
        <is>
          <t>不锈钢棒|钢棒|06Cr19Ni10|GB/T 1220-2007</t>
        </is>
      </c>
      <c r="E747" s="8" t="inlineStr">
        <is>
          <t xml:space="preserve">物资名称 不锈钢棒;物资简称 钢棒;牌号 06Cr19Ni10;直径 Φ;技术标准号 GB/T 1220-2007;加工工艺 ;热处理工艺 ;特殊要求 ;规格标准号 </t>
        </is>
      </c>
      <c r="F747" s="4" t="inlineStr">
        <is>
          <t>千克</t>
        </is>
      </c>
    </row>
    <row r="748" s="21">
      <c r="A748" s="8" t="inlineStr">
        <is>
          <t>100201</t>
        </is>
      </c>
      <c r="B748" s="8" t="inlineStr">
        <is>
          <t>圆钢</t>
        </is>
      </c>
      <c r="C748" s="8" t="inlineStr">
        <is>
          <t>600601700</t>
        </is>
      </c>
      <c r="D748" s="8" t="inlineStr">
        <is>
          <t>热轧不锈圆钢|圆钢|06Cr19Ni10|GB/T 1220-2007|GB/T 702-2008</t>
        </is>
      </c>
      <c r="E748" s="8" t="inlineStr">
        <is>
          <t>物资名称 热轧不锈圆钢;物资简称 圆钢;牌号 06Cr19Ni10;直径 Φ;技术标准号 GB/T 1220-2007;加工工艺 ;热处理工艺 ;特殊要求 ;规格标准号 GB/T 702-2008</t>
        </is>
      </c>
      <c r="F748" s="4" t="inlineStr">
        <is>
          <t>千克</t>
        </is>
      </c>
    </row>
    <row r="749" s="21">
      <c r="A749" s="8" t="inlineStr">
        <is>
          <t>100201</t>
        </is>
      </c>
      <c r="B749" s="8" t="inlineStr">
        <is>
          <t>圆钢</t>
        </is>
      </c>
      <c r="C749" s="8" t="inlineStr">
        <is>
          <t>600601600</t>
        </is>
      </c>
      <c r="D749" s="8" t="inlineStr">
        <is>
          <t>热轧不锈圆钢|圆钢|06Cr19Ni10|Φ65|GB/T 1220-2007|热轧|固溶|GB/T 702-2008</t>
        </is>
      </c>
      <c r="E749" s="8" t="inlineStr">
        <is>
          <t>物资名称 热轧不锈圆钢;物资简称 圆钢;牌号 06Cr19Ni10;直径 Φ65;技术标准号 GB/T 1220-2007;加工工艺 热轧;热处理工艺 固溶;特殊要求 ;规格标准号 GB/T 702-2008</t>
        </is>
      </c>
      <c r="F749" s="4" t="inlineStr">
        <is>
          <t>千克</t>
        </is>
      </c>
    </row>
    <row r="750" s="21">
      <c r="A750" s="8" t="inlineStr">
        <is>
          <t>100201</t>
        </is>
      </c>
      <c r="B750" s="8" t="inlineStr">
        <is>
          <t>圆钢</t>
        </is>
      </c>
      <c r="C750" s="8" t="inlineStr">
        <is>
          <t>600601500</t>
        </is>
      </c>
      <c r="D750" s="8" t="inlineStr">
        <is>
          <t>不锈钢棒|钢棒|12Cr13|GB/T 1220-2007</t>
        </is>
      </c>
      <c r="E750" s="8" t="inlineStr">
        <is>
          <t xml:space="preserve">物资名称 不锈钢棒;物资简称 钢棒;牌号 12Cr13;直径 Φ;技术标准号 GB/T 1220-2007;加工工艺 ;热处理工艺 ;特殊要求 ;规格标准号 </t>
        </is>
      </c>
      <c r="F750" s="4" t="inlineStr">
        <is>
          <t>千克</t>
        </is>
      </c>
    </row>
    <row r="751" s="21">
      <c r="A751" s="8" t="inlineStr">
        <is>
          <t>100201</t>
        </is>
      </c>
      <c r="B751" s="8" t="inlineStr">
        <is>
          <t>圆钢</t>
        </is>
      </c>
      <c r="C751" s="8" t="inlineStr">
        <is>
          <t>600601400</t>
        </is>
      </c>
      <c r="D751" s="8" t="inlineStr">
        <is>
          <t>热轧不锈圆钢|圆钢|12Cr13|GB/T 1220-2007|GB/T 702-2008</t>
        </is>
      </c>
      <c r="E751" s="8" t="inlineStr">
        <is>
          <t>物资名称 热轧不锈圆钢;物资简称 圆钢;牌号 12Cr13;直径 Φ;技术标准号 GB/T 1220-2007;加工工艺 ;热处理工艺 ;特殊要求 ;规格标准号 GB/T 702-2008</t>
        </is>
      </c>
      <c r="F751" s="4" t="inlineStr">
        <is>
          <t>千克</t>
        </is>
      </c>
    </row>
    <row r="752" s="21">
      <c r="A752" s="8" t="inlineStr">
        <is>
          <t>100201</t>
        </is>
      </c>
      <c r="B752" s="8" t="inlineStr">
        <is>
          <t>圆钢</t>
        </is>
      </c>
      <c r="C752" s="8" t="inlineStr">
        <is>
          <t>600601300</t>
        </is>
      </c>
      <c r="D752" s="8" t="inlineStr">
        <is>
          <t>热轧不锈圆钢|圆钢|12Cr13|Φ75|GB/T 1220-2007|热轧|退火|GB/T 702-2008</t>
        </is>
      </c>
      <c r="E752" s="8" t="inlineStr">
        <is>
          <t>物资名称 热轧不锈圆钢;物资简称 圆钢;牌号 12Cr13;直径 Φ75;技术标准号 GB/T 1220-2007;加工工艺 热轧;热处理工艺 退火;特殊要求 ;规格标准号 GB/T 702-2008</t>
        </is>
      </c>
      <c r="F752" s="4" t="inlineStr">
        <is>
          <t>千克</t>
        </is>
      </c>
    </row>
    <row r="753" s="21">
      <c r="A753" s="8" t="inlineStr">
        <is>
          <t>100201</t>
        </is>
      </c>
      <c r="B753" s="8" t="inlineStr">
        <is>
          <t>圆钢</t>
        </is>
      </c>
      <c r="C753" s="8" t="inlineStr">
        <is>
          <t>600601200</t>
        </is>
      </c>
      <c r="D753" s="8" t="inlineStr">
        <is>
          <t>热轧弹簧圆钢|圆钢|60Si2MnA|GB/T 1222-2007|GB/T 702-2008</t>
        </is>
      </c>
      <c r="E753" s="8" t="inlineStr">
        <is>
          <t>物资名称 热轧弹簧圆钢;物资简称 圆钢;牌号 60Si2MnA;直径 Φ;技术标准号 GB/T 1222-2007;加工工艺 ;热处理工艺 ;特殊要求 ;规格标准号 GB/T 702-2008</t>
        </is>
      </c>
      <c r="F753" s="4" t="inlineStr">
        <is>
          <t>千克</t>
        </is>
      </c>
    </row>
    <row r="754" s="21">
      <c r="A754" s="8" t="inlineStr">
        <is>
          <t>100201</t>
        </is>
      </c>
      <c r="B754" s="8" t="inlineStr">
        <is>
          <t>圆钢</t>
        </is>
      </c>
      <c r="C754" s="8" t="inlineStr">
        <is>
          <t>600601100</t>
        </is>
      </c>
      <c r="D754" s="8" t="inlineStr">
        <is>
          <t>热轧弹簧圆钢|圆钢|60Si2MnA|Φ45|GB/T 1222-2007|热轧|GB/T 702-2008</t>
        </is>
      </c>
      <c r="E754" s="8" t="inlineStr">
        <is>
          <t>物资名称 热轧弹簧圆钢;物资简称 圆钢;牌号 60Si2MnA;直径 Φ45;技术标准号 GB/T 1222-2007;加工工艺 热轧;热处理工艺 ;特殊要求 ;规格标准号 GB/T 702-2008</t>
        </is>
      </c>
      <c r="F754" s="4" t="inlineStr">
        <is>
          <t>千克</t>
        </is>
      </c>
    </row>
    <row r="755" s="21">
      <c r="A755" s="8" t="inlineStr">
        <is>
          <t>100201</t>
        </is>
      </c>
      <c r="B755" s="8" t="inlineStr">
        <is>
          <t>圆钢</t>
        </is>
      </c>
      <c r="C755" s="8" t="inlineStr">
        <is>
          <t>600601000</t>
        </is>
      </c>
      <c r="D755" s="8" t="inlineStr">
        <is>
          <t>热轧合金工具圆钢|圆钢|Cr12MoV|GB/T 1299-2000|GB/T 702-2008</t>
        </is>
      </c>
      <c r="E755" s="8" t="inlineStr">
        <is>
          <t>物资名称 热轧合金工具圆钢;物资简称 圆钢;牌号 Cr12MoV;直径 Φ;技术标准号 GB/T 1299-2000;加工工艺 ;热处理工艺 ;特殊要求 ;规格标准号 GB/T 702-2008</t>
        </is>
      </c>
      <c r="F755" s="4" t="inlineStr">
        <is>
          <t>千克</t>
        </is>
      </c>
    </row>
    <row r="756" s="21">
      <c r="A756" s="8" t="inlineStr">
        <is>
          <t>100201</t>
        </is>
      </c>
      <c r="B756" s="8" t="inlineStr">
        <is>
          <t>圆钢</t>
        </is>
      </c>
      <c r="C756" s="8" t="inlineStr">
        <is>
          <t>600600900</t>
        </is>
      </c>
      <c r="D756" s="8" t="inlineStr">
        <is>
          <t>热轧合金工具圆钢|圆钢|Cr12MoV|Φ35|GB/T 1299-2000|热轧|退火|GB/T 702-2008</t>
        </is>
      </c>
      <c r="E756" s="8" t="inlineStr">
        <is>
          <t>物资名称 热轧合金工具圆钢;物资简称 圆钢;牌号 Cr12MoV;直径 Φ35;技术标准号 GB/T 1299-2000;加工工艺 热轧;热处理工艺 退火;特殊要求 ;规格标准号 GB/T 702-2008</t>
        </is>
      </c>
      <c r="F756" s="4" t="inlineStr">
        <is>
          <t>千克</t>
        </is>
      </c>
    </row>
    <row r="757" s="21">
      <c r="A757" s="8" t="inlineStr">
        <is>
          <t>100201</t>
        </is>
      </c>
      <c r="B757" s="8" t="inlineStr">
        <is>
          <t>圆钢</t>
        </is>
      </c>
      <c r="C757" s="8" t="inlineStr">
        <is>
          <t>600600800</t>
        </is>
      </c>
      <c r="D757" s="8" t="inlineStr">
        <is>
          <t>热轧合金结构圆钢|圆钢|30CrNi3|GB/T 3077-1999|热轧|GB/T 702-2008</t>
        </is>
      </c>
      <c r="E757" s="8" t="inlineStr">
        <is>
          <t>物资名称 热轧合金结构圆钢;物资简称 圆钢;牌号 30CrNi3;直径 Φ;技术标准号 GB/T 3077-1999;加工工艺 热轧;热处理工艺 ;特殊要求 ;规格标准号 GB/T 702-2008</t>
        </is>
      </c>
      <c r="F757" s="4" t="inlineStr">
        <is>
          <t>千克</t>
        </is>
      </c>
    </row>
    <row r="758" s="21">
      <c r="A758" s="8" t="inlineStr">
        <is>
          <t>100201</t>
        </is>
      </c>
      <c r="B758" s="8" t="inlineStr">
        <is>
          <t>圆钢</t>
        </is>
      </c>
      <c r="C758" s="8" t="inlineStr">
        <is>
          <t>600600700</t>
        </is>
      </c>
      <c r="D758" s="8" t="inlineStr">
        <is>
          <t>热轧合金结构圆钢|圆钢|30CrNi3|Φ20|GB/T 3077-1999|热轧|GB/T 702-2008</t>
        </is>
      </c>
      <c r="E758" s="8" t="inlineStr">
        <is>
          <t>物资名称 热轧合金结构圆钢;物资简称 圆钢;牌号 30CrNi3;直径 Φ20;技术标准号 GB/T 3077-1999;加工工艺 热轧;热处理工艺 ;特殊要求 ;规格标准号 GB/T 702-2008</t>
        </is>
      </c>
      <c r="F758" s="4" t="inlineStr">
        <is>
          <t>千克</t>
        </is>
      </c>
    </row>
    <row r="759" s="21">
      <c r="A759" s="8" t="inlineStr">
        <is>
          <t>100201</t>
        </is>
      </c>
      <c r="B759" s="8" t="inlineStr">
        <is>
          <t>圆钢</t>
        </is>
      </c>
      <c r="C759" s="8" t="inlineStr">
        <is>
          <t>600600600</t>
        </is>
      </c>
      <c r="D759" s="8" t="inlineStr">
        <is>
          <t>热轧合金结构圆钢|圆钢|35CrMnSiA|GB/T 3077-1999|GB/T 702-2008</t>
        </is>
      </c>
      <c r="E759" s="8" t="inlineStr">
        <is>
          <t>物资名称 热轧合金结构圆钢;物资简称 圆钢;牌号 35CrMnSiA;直径 Φ;技术标准号 GB/T 3077-1999;加工工艺 ;热处理工艺 ;特殊要求 ;规格标准号 GB/T 702-2008</t>
        </is>
      </c>
      <c r="F759" s="4" t="inlineStr">
        <is>
          <t>千克</t>
        </is>
      </c>
    </row>
    <row r="760" s="21">
      <c r="A760" s="8" t="inlineStr">
        <is>
          <t>100201</t>
        </is>
      </c>
      <c r="B760" s="8" t="inlineStr">
        <is>
          <t>圆钢</t>
        </is>
      </c>
      <c r="C760" s="8" t="inlineStr">
        <is>
          <t>600600500</t>
        </is>
      </c>
      <c r="D760" s="8" t="inlineStr">
        <is>
          <t>热轧合金结构圆钢|圆钢|35CrMnSiA|Φ80|GB/T 3077-1999|热轧|退火|GB/T 702-2008</t>
        </is>
      </c>
      <c r="E760" s="8" t="inlineStr">
        <is>
          <t>物资名称 热轧合金结构圆钢;物资简称 圆钢;牌号 35CrMnSiA;直径 Φ80;技术标准号 GB/T 3077-1999;加工工艺 热轧;热处理工艺 退火;特殊要求 ;规格标准号 GB/T 702-2008</t>
        </is>
      </c>
      <c r="F760" s="4" t="inlineStr">
        <is>
          <t>千克</t>
        </is>
      </c>
    </row>
    <row r="761" s="21">
      <c r="A761" s="8" t="inlineStr">
        <is>
          <t>100201</t>
        </is>
      </c>
      <c r="B761" s="8" t="inlineStr">
        <is>
          <t>圆钢</t>
        </is>
      </c>
      <c r="C761" s="8" t="inlineStr">
        <is>
          <t>600600400</t>
        </is>
      </c>
      <c r="D761" s="8" t="inlineStr">
        <is>
          <t>热轧圆钢|圆钢|Q235A|GB/T 700-2006|GB/T 702-2008</t>
        </is>
      </c>
      <c r="E761" s="8" t="inlineStr">
        <is>
          <t>物资名称 热轧圆钢;物资简称 圆钢;牌号 Q235A;直径 Φ;技术标准号 GB/T 700-2006;加工工艺 ;热处理工艺 ;特殊要求 ;规格标准号 GB/T 702-2008</t>
        </is>
      </c>
      <c r="F761" s="4" t="inlineStr">
        <is>
          <t>千克</t>
        </is>
      </c>
    </row>
    <row r="762" s="21">
      <c r="A762" s="8" t="inlineStr">
        <is>
          <t>100201</t>
        </is>
      </c>
      <c r="B762" s="8" t="inlineStr">
        <is>
          <t>圆钢</t>
        </is>
      </c>
      <c r="C762" s="8" t="inlineStr">
        <is>
          <t>600600300</t>
        </is>
      </c>
      <c r="D762" s="8" t="inlineStr">
        <is>
          <t>热轧圆钢|圆钢|Q235A|Φ10|GB/T 700-2006|热轧|GB/T 702-2008</t>
        </is>
      </c>
      <c r="E762" s="8" t="inlineStr">
        <is>
          <t>物资名称 热轧圆钢;物资简称 圆钢;牌号 Q235A;直径 Φ10;技术标准号 GB/T 700-2006;加工工艺 热轧;热处理工艺 ;特殊要求 ;规格标准号 GB/T 702-2008</t>
        </is>
      </c>
      <c r="F762" s="4" t="inlineStr">
        <is>
          <t>千克</t>
        </is>
      </c>
    </row>
    <row r="763" s="21">
      <c r="A763" s="8" t="inlineStr">
        <is>
          <t>100201</t>
        </is>
      </c>
      <c r="B763" s="8" t="inlineStr">
        <is>
          <t>圆钢</t>
        </is>
      </c>
      <c r="C763" s="8" t="inlineStr">
        <is>
          <t>600600200</t>
        </is>
      </c>
      <c r="D763" s="8" t="inlineStr">
        <is>
          <t>合金结构圆钢|圆钢|30CrMnSi|GB/T 3077-1999</t>
        </is>
      </c>
      <c r="E763" s="8" t="inlineStr">
        <is>
          <t xml:space="preserve">物资名称 合金结构圆钢;物资简称 圆钢;牌号 30CrMnSi;直径 Φ;技术标准号 GB/T 3077-1999;加工工艺 ;热处理工艺 ;特殊要求 ;规格标准号 </t>
        </is>
      </c>
      <c r="F763" s="4" t="inlineStr">
        <is>
          <t>千克</t>
        </is>
      </c>
    </row>
    <row r="764" s="21">
      <c r="A764" s="8" t="inlineStr">
        <is>
          <t>100206</t>
        </is>
      </c>
      <c r="B764" s="8" t="inlineStr">
        <is>
          <t>角钢</t>
        </is>
      </c>
      <c r="C764" s="8" t="inlineStr">
        <is>
          <t>602383700</t>
        </is>
      </c>
      <c r="D764" s="8" t="inlineStr">
        <is>
          <t>热轧角钢|角钢|Q235A|∠80×80×6|GB/T 700-2006|热轧|GB/T 706-2016</t>
        </is>
      </c>
      <c r="E764" s="8" t="inlineStr">
        <is>
          <t>物资名称 热轧角钢;物资简称 角钢;牌号 Q235A;长边宽 ∠80;短边宽 80;厚度 6;技术标准号 GB/T 700-2006;加工工艺 热轧;热处理工艺 ;特殊要求 ;规格标准号 GB/T 706-2016</t>
        </is>
      </c>
      <c r="F764" s="4" t="inlineStr">
        <is>
          <t>千克</t>
        </is>
      </c>
    </row>
    <row r="765" s="21">
      <c r="A765" s="8" t="inlineStr">
        <is>
          <t>100206</t>
        </is>
      </c>
      <c r="B765" s="8" t="inlineStr">
        <is>
          <t>角钢</t>
        </is>
      </c>
      <c r="C765" s="8" t="inlineStr">
        <is>
          <t>602366600</t>
        </is>
      </c>
      <c r="D765" s="8" t="inlineStr">
        <is>
          <t>热轧角钢|角钢|Q235A|∠90×90×8|GB/T 700-2006|热轧|GB/T 706-2016</t>
        </is>
      </c>
      <c r="E765" s="8" t="inlineStr">
        <is>
          <t>物资名称 热轧角钢;物资简称 角钢;牌号 Q235A;长边宽 ∠90;短边宽 90;厚度 8;技术标准号 GB/T 700-2006;加工工艺 热轧;热处理工艺 ;特殊要求 ;规格标准号 GB/T 706-2016</t>
        </is>
      </c>
      <c r="F765" s="4" t="inlineStr">
        <is>
          <t>千克</t>
        </is>
      </c>
    </row>
    <row r="766" s="21">
      <c r="A766" s="8" t="inlineStr">
        <is>
          <t>100206</t>
        </is>
      </c>
      <c r="B766" s="8" t="inlineStr">
        <is>
          <t>角钢</t>
        </is>
      </c>
      <c r="C766" s="8" t="inlineStr">
        <is>
          <t>600999600</t>
        </is>
      </c>
      <c r="D766" s="8" t="inlineStr">
        <is>
          <t>热轧角钢|角钢|Q235|∠125×80×8|GB/T 700-2006|热轧|GB/T 706-2008</t>
        </is>
      </c>
      <c r="E766" s="8" t="inlineStr">
        <is>
          <t>物资名称 热轧角钢;物资简称 角钢;牌号 Q235;长边宽 ∠125;短边宽 80;厚度 8;技术标准号 GB/T 700-2006;加工工艺 热轧;热处理工艺 ;特殊要求 ;规格标准号 GB/T 706-2008</t>
        </is>
      </c>
      <c r="F766" s="4" t="inlineStr">
        <is>
          <t>千克</t>
        </is>
      </c>
    </row>
    <row r="767" s="21">
      <c r="A767" s="8" t="inlineStr">
        <is>
          <t>100206</t>
        </is>
      </c>
      <c r="B767" s="8" t="inlineStr">
        <is>
          <t>角钢</t>
        </is>
      </c>
      <c r="C767" s="8" t="inlineStr">
        <is>
          <t>600626000</t>
        </is>
      </c>
      <c r="D767" s="8" t="inlineStr">
        <is>
          <t>热轧角钢|角钢|Q235A|GB/T 700-2006|GB/T 706-2008</t>
        </is>
      </c>
      <c r="E767" s="8" t="inlineStr">
        <is>
          <t>物资名称 热轧角钢;物资简称 角钢;牌号 Q235A;长边宽 ∠;短边宽 ;厚度 ;技术标准号 GB/T 700-2006;加工工艺 ;热处理工艺 ;特殊要求 ;规格标准号 GB/T 706-2008</t>
        </is>
      </c>
      <c r="F767" s="4" t="inlineStr">
        <is>
          <t>千克</t>
        </is>
      </c>
    </row>
    <row r="768" s="21">
      <c r="A768" s="8" t="inlineStr">
        <is>
          <t>100206</t>
        </is>
      </c>
      <c r="B768" s="8" t="inlineStr">
        <is>
          <t>角钢</t>
        </is>
      </c>
      <c r="C768" s="8" t="inlineStr">
        <is>
          <t>600625900</t>
        </is>
      </c>
      <c r="D768" s="8" t="inlineStr">
        <is>
          <t>热轧角钢|角钢|Q235A|∠20×20×2|GB/T 700-2006|GB/T 706-2008</t>
        </is>
      </c>
      <c r="E768" s="8" t="inlineStr">
        <is>
          <t>物资名称 热轧角钢;物资简称 角钢;牌号 Q235A;长边宽 ∠20;短边宽 20;厚度 2;技术标准号 GB/T 700-2006;加工工艺 ;热处理工艺 ;特殊要求 ;规格标准号 GB/T 706-2008</t>
        </is>
      </c>
      <c r="F768" s="4" t="inlineStr">
        <is>
          <t>千克</t>
        </is>
      </c>
    </row>
    <row r="769" s="21">
      <c r="A769" s="8" t="inlineStr">
        <is>
          <t>100206</t>
        </is>
      </c>
      <c r="B769" s="8" t="inlineStr">
        <is>
          <t>角钢</t>
        </is>
      </c>
      <c r="C769" s="8" t="inlineStr">
        <is>
          <t>600625800</t>
        </is>
      </c>
      <c r="D769" s="8" t="inlineStr">
        <is>
          <t>热轧角钢|角钢|Q235A|∠25×25×3|GB/T 700-2006|GB/T 706-2008</t>
        </is>
      </c>
      <c r="E769" s="8" t="inlineStr">
        <is>
          <t>物资名称 热轧角钢;物资简称 角钢;牌号 Q235A;长边宽 ∠25;短边宽 25;厚度 3;技术标准号 GB/T 700-2006;加工工艺 ;热处理工艺 ;特殊要求 ;规格标准号 GB/T 706-2008</t>
        </is>
      </c>
      <c r="F769" s="4" t="inlineStr">
        <is>
          <t>千克</t>
        </is>
      </c>
    </row>
    <row r="770" s="21">
      <c r="A770" s="8" t="inlineStr">
        <is>
          <t>100206</t>
        </is>
      </c>
      <c r="B770" s="8" t="inlineStr">
        <is>
          <t>角钢</t>
        </is>
      </c>
      <c r="C770" s="8" t="inlineStr">
        <is>
          <t>600625700</t>
        </is>
      </c>
      <c r="D770" s="8" t="inlineStr">
        <is>
          <t>热轧角钢|角钢|Q235A|∠25×25×2|GB/T 700-2006|GB/T 706-2008</t>
        </is>
      </c>
      <c r="E770" s="8" t="inlineStr">
        <is>
          <t>物资名称 热轧角钢;物资简称 角钢;牌号 Q235A;长边宽 ∠25;短边宽 25;厚度 2;技术标准号 GB/T 700-2006;加工工艺 ;热处理工艺 ;特殊要求 ;规格标准号 GB/T 706-2008</t>
        </is>
      </c>
      <c r="F770" s="4" t="inlineStr">
        <is>
          <t>千克</t>
        </is>
      </c>
    </row>
    <row r="771" s="21">
      <c r="A771" s="8" t="inlineStr">
        <is>
          <t>100206</t>
        </is>
      </c>
      <c r="B771" s="8" t="inlineStr">
        <is>
          <t>角钢</t>
        </is>
      </c>
      <c r="C771" s="8" t="inlineStr">
        <is>
          <t>600625600</t>
        </is>
      </c>
      <c r="D771" s="8" t="inlineStr">
        <is>
          <t>热轧角钢|角钢|Q235A|∠30×30×4|GB/T 700-2006|GB/T 706-2008</t>
        </is>
      </c>
      <c r="E771" s="8" t="inlineStr">
        <is>
          <t>物资名称 热轧角钢;物资简称 角钢;牌号 Q235A;长边宽 ∠30;短边宽 30;厚度 4;技术标准号 GB/T 700-2006;加工工艺 ;热处理工艺 ;特殊要求 ;规格标准号 GB/T 706-2008</t>
        </is>
      </c>
      <c r="F771" s="4" t="inlineStr">
        <is>
          <t>千克</t>
        </is>
      </c>
    </row>
    <row r="772" s="21">
      <c r="A772" s="8" t="inlineStr">
        <is>
          <t>100206</t>
        </is>
      </c>
      <c r="B772" s="8" t="inlineStr">
        <is>
          <t>角钢</t>
        </is>
      </c>
      <c r="C772" s="8" t="inlineStr">
        <is>
          <t>600625500</t>
        </is>
      </c>
      <c r="D772" s="8" t="inlineStr">
        <is>
          <t>热轧角钢|角钢|Q235A|∠30×30×3|GB/T 700-2006|GB/T 706-2008</t>
        </is>
      </c>
      <c r="E772" s="8" t="inlineStr">
        <is>
          <t>物资名称 热轧角钢;物资简称 角钢;牌号 Q235A;长边宽 ∠30;短边宽 30;厚度 3;技术标准号 GB/T 700-2006;加工工艺 ;热处理工艺 ;特殊要求 ;规格标准号 GB/T 706-2008</t>
        </is>
      </c>
      <c r="F772" s="4" t="inlineStr">
        <is>
          <t>千克</t>
        </is>
      </c>
    </row>
    <row r="773" s="21">
      <c r="A773" s="8" t="inlineStr">
        <is>
          <t>100206</t>
        </is>
      </c>
      <c r="B773" s="8" t="inlineStr">
        <is>
          <t>角钢</t>
        </is>
      </c>
      <c r="C773" s="8" t="inlineStr">
        <is>
          <t>600625400</t>
        </is>
      </c>
      <c r="D773" s="8" t="inlineStr">
        <is>
          <t>热轧角钢|角钢|Q235A|∠50×50×5|GB/T 700-2006|GB/T 706-2008</t>
        </is>
      </c>
      <c r="E773" s="8" t="inlineStr">
        <is>
          <t>物资名称 热轧角钢;物资简称 角钢;牌号 Q235A;长边宽 ∠50;短边宽 50;厚度 5;技术标准号 GB/T 700-2006;加工工艺 ;热处理工艺 ;特殊要求 ;规格标准号 GB/T 706-2008</t>
        </is>
      </c>
      <c r="F773" s="4" t="inlineStr">
        <is>
          <t>千克</t>
        </is>
      </c>
    </row>
    <row r="774" s="21">
      <c r="A774" s="8" t="inlineStr">
        <is>
          <t>100206</t>
        </is>
      </c>
      <c r="B774" s="8" t="inlineStr">
        <is>
          <t>角钢</t>
        </is>
      </c>
      <c r="C774" s="8" t="inlineStr">
        <is>
          <t>600625300</t>
        </is>
      </c>
      <c r="D774" s="8" t="inlineStr">
        <is>
          <t>热轧角钢|角钢|Q235A|∠60×60×6|GB/T 700-2006|GB/T 706-2008</t>
        </is>
      </c>
      <c r="E774" s="8" t="inlineStr">
        <is>
          <t>物资名称 热轧角钢;物资简称 角钢;牌号 Q235A;长边宽 ∠60;短边宽 60;厚度 6;技术标准号 GB/T 700-2006;加工工艺 ;热处理工艺 ;特殊要求 ;规格标准号 GB/T 706-2008</t>
        </is>
      </c>
      <c r="F774" s="4" t="inlineStr">
        <is>
          <t>千克</t>
        </is>
      </c>
    </row>
    <row r="775" s="21">
      <c r="A775" s="8" t="inlineStr">
        <is>
          <t>100206</t>
        </is>
      </c>
      <c r="B775" s="8" t="inlineStr">
        <is>
          <t>角钢</t>
        </is>
      </c>
      <c r="C775" s="8" t="inlineStr">
        <is>
          <t>600625200</t>
        </is>
      </c>
      <c r="D775" s="8" t="inlineStr">
        <is>
          <t>热轧角钢|角钢|Q235A|∠70×70×6|GB/T 700-2006|GB/T 706-2008</t>
        </is>
      </c>
      <c r="E775" s="8" t="inlineStr">
        <is>
          <t>物资名称 热轧角钢;物资简称 角钢;牌号 Q235A;长边宽 ∠70;短边宽 70;厚度 6;技术标准号 GB/T 700-2006;加工工艺 ;热处理工艺 ;特殊要求 ;规格标准号 GB/T 706-2008</t>
        </is>
      </c>
      <c r="F775" s="4" t="inlineStr">
        <is>
          <t>千克</t>
        </is>
      </c>
    </row>
    <row r="776" s="21">
      <c r="A776" s="8" t="inlineStr">
        <is>
          <t>100206</t>
        </is>
      </c>
      <c r="B776" s="8" t="inlineStr">
        <is>
          <t>角钢</t>
        </is>
      </c>
      <c r="C776" s="8" t="inlineStr">
        <is>
          <t>600625100</t>
        </is>
      </c>
      <c r="D776" s="8" t="inlineStr">
        <is>
          <t>热轧角钢|角钢|Q235A|∠75×50×6|GB/T 700-2006|GB/T 706-2008</t>
        </is>
      </c>
      <c r="E776" s="8" t="inlineStr">
        <is>
          <t>物资名称 热轧角钢;物资简称 角钢;牌号 Q235A;长边宽 ∠75;短边宽 50;厚度 6;技术标准号 GB/T 700-2006;加工工艺 ;热处理工艺 ;特殊要求 ;规格标准号 GB/T 706-2008</t>
        </is>
      </c>
      <c r="F776" s="4" t="inlineStr">
        <is>
          <t>千克</t>
        </is>
      </c>
    </row>
    <row r="777" s="21">
      <c r="A777" s="8" t="inlineStr">
        <is>
          <t>100206</t>
        </is>
      </c>
      <c r="B777" s="8" t="inlineStr">
        <is>
          <t>角钢</t>
        </is>
      </c>
      <c r="C777" s="8" t="inlineStr">
        <is>
          <t>600625000</t>
        </is>
      </c>
      <c r="D777" s="8" t="inlineStr">
        <is>
          <t>热轧角钢|角钢|Q235A|∠140×140×10|GB/T 700-2006|GB/T 706-2008</t>
        </is>
      </c>
      <c r="E777" s="8" t="inlineStr">
        <is>
          <t>物资名称 热轧角钢;物资简称 角钢;牌号 Q235A;长边宽 ∠140;短边宽 140;厚度 10;技术标准号 GB/T 700-2006;加工工艺 ;热处理工艺 ;特殊要求 ;规格标准号 GB/T 706-2008</t>
        </is>
      </c>
      <c r="F777" s="4" t="inlineStr">
        <is>
          <t>千克</t>
        </is>
      </c>
    </row>
    <row r="778" s="21">
      <c r="A778" s="8" t="inlineStr">
        <is>
          <t>100301</t>
        </is>
      </c>
      <c r="B778" s="8" t="inlineStr">
        <is>
          <t>无缝钢管</t>
        </is>
      </c>
      <c r="C778" s="8" t="inlineStr">
        <is>
          <t>603523400</t>
        </is>
      </c>
      <c r="D778" s="8" t="inlineStr">
        <is>
          <t>结构用热轧优质碳素结构无缝钢管|钢管|45|Φ145×25|GB/T 8162-2018|热轧|GB/T 17395-2024</t>
        </is>
      </c>
      <c r="E778" s="8" t="inlineStr">
        <is>
          <t>物资名称 结构用热轧优质碳素结构无缝钢管;物资简称 钢管;牌号 45;外径 Φ145;壁厚 25;技术标准号 GB/T 8162-2018;加工工艺 热轧;热处理工艺 ;特殊要求 ;规格标准号 GB/T 17395-2024</t>
        </is>
      </c>
      <c r="F778" s="4" t="inlineStr">
        <is>
          <t>千克</t>
        </is>
      </c>
    </row>
    <row r="779" s="21">
      <c r="A779" s="8" t="inlineStr">
        <is>
          <t>100301</t>
        </is>
      </c>
      <c r="B779" s="8" t="inlineStr">
        <is>
          <t>无缝钢管</t>
        </is>
      </c>
      <c r="C779" s="8" t="inlineStr">
        <is>
          <t>603465900</t>
        </is>
      </c>
      <c r="D779" s="8" t="inlineStr">
        <is>
          <t>输送流体用无缝钢管|不锈钢管|0Cr18Ni9|Φ32×2|GB/T 8163-2018</t>
        </is>
      </c>
      <c r="E779" s="8" t="inlineStr">
        <is>
          <t>物资名称 输送流体用无缝钢管;物资简称 不锈钢管;牌号 0Cr18Ni9;外径 Φ32;壁厚 2;技术标准号 GB/T 8163-2018;加工工艺 ;热处理工艺 ;特殊要求 ;规格标准号</t>
        </is>
      </c>
      <c r="F779" s="4" t="inlineStr">
        <is>
          <t>千克</t>
        </is>
      </c>
    </row>
    <row r="780" s="21">
      <c r="A780" s="8" t="inlineStr">
        <is>
          <t>100301</t>
        </is>
      </c>
      <c r="B780" s="8" t="inlineStr">
        <is>
          <t>无缝钢管</t>
        </is>
      </c>
      <c r="C780" s="8" t="inlineStr">
        <is>
          <t>602290900</t>
        </is>
      </c>
      <c r="D780" s="8" t="inlineStr">
        <is>
          <t>航空用不锈钢无缝钢管|不锈钢管|1Cr18Ni9Ti|Φ32×2|GJB 2296A-2021</t>
        </is>
      </c>
      <c r="E780" s="8" t="inlineStr">
        <is>
          <t xml:space="preserve">物资名称 航空用不锈钢无缝钢管;物资简称 不锈钢管;牌号 1Cr18Ni9Ti;外径 Φ32;壁厚 2;技术标准号 GJB 2296A-2021;加工工艺 ;热处理工艺 ;特殊要求 ;规格标准号 </t>
        </is>
      </c>
      <c r="F780" s="4" t="inlineStr">
        <is>
          <t>千克</t>
        </is>
      </c>
    </row>
    <row r="781" s="21">
      <c r="A781" s="8" t="inlineStr">
        <is>
          <t>100301</t>
        </is>
      </c>
      <c r="B781" s="8" t="inlineStr">
        <is>
          <t>无缝钢管</t>
        </is>
      </c>
      <c r="C781" s="8" t="inlineStr">
        <is>
          <t>602290800</t>
        </is>
      </c>
      <c r="D781" s="8" t="inlineStr">
        <is>
          <t>航空用不锈钢无缝钢管|不锈钢管|1Cr18Ni9Ti|GJB 2296A-2021</t>
        </is>
      </c>
      <c r="E781" s="8" t="inlineStr">
        <is>
          <t xml:space="preserve">物资名称 航空用不锈钢无缝钢管;物资简称 不锈钢管;牌号 1Cr18Ni9Ti;外径 Φ;壁厚 ;技术标准号 GJB 2296A-2021;加工工艺 ;热处理工艺 ;特殊要求 ;规格标准号 </t>
        </is>
      </c>
      <c r="F781" s="4" t="inlineStr">
        <is>
          <t>千克</t>
        </is>
      </c>
    </row>
    <row r="782" s="21">
      <c r="A782" s="8" t="inlineStr">
        <is>
          <t>100301</t>
        </is>
      </c>
      <c r="B782" s="8" t="inlineStr">
        <is>
          <t>无缝钢管</t>
        </is>
      </c>
      <c r="C782" s="8" t="inlineStr">
        <is>
          <t>602288500</t>
        </is>
      </c>
      <c r="D782" s="8" t="inlineStr">
        <is>
          <t>航空用不锈钢无缝钢管|不锈钢管|1Cr18Ni9Ti|Φ4×1|GJB 2296A-2005</t>
        </is>
      </c>
      <c r="E782" s="8" t="inlineStr">
        <is>
          <t xml:space="preserve">物资名称 航空用不锈钢无缝钢管;物资简称 不锈钢管;牌号 1Cr18Ni9Ti;外径 Φ4;壁厚 1;技术标准号 GJB 2296A-2005;加工工艺 ;热处理工艺 ;特殊要求 ;规格标准号 </t>
        </is>
      </c>
      <c r="F782" s="4" t="inlineStr">
        <is>
          <t>千克</t>
        </is>
      </c>
    </row>
    <row r="783" s="21">
      <c r="A783" s="8" t="inlineStr">
        <is>
          <t>100301</t>
        </is>
      </c>
      <c r="B783" s="8" t="inlineStr">
        <is>
          <t>无缝钢管</t>
        </is>
      </c>
      <c r="C783" s="8" t="inlineStr">
        <is>
          <t>602147400</t>
        </is>
      </c>
      <c r="D783" s="8" t="inlineStr">
        <is>
          <t>航空用不锈钢无缝钢管|不锈钢管|1Cr18Ni9Ti|Φ36×2|GJB 2296A-2005</t>
        </is>
      </c>
      <c r="E783" s="8" t="inlineStr">
        <is>
          <t xml:space="preserve">物资名称 航空用不锈钢无缝钢管;物资简称 不锈钢管;牌号 1Cr18Ni9Ti;外径 Φ36;壁厚 2;技术标准号 GJB 2296A-2005;加工工艺 ;热处理工艺 ;特殊要求 ;规格标准号 </t>
        </is>
      </c>
      <c r="F783" s="4" t="inlineStr">
        <is>
          <t>千克</t>
        </is>
      </c>
    </row>
    <row r="784" s="21">
      <c r="A784" s="8" t="inlineStr">
        <is>
          <t>100301</t>
        </is>
      </c>
      <c r="B784" s="8" t="inlineStr">
        <is>
          <t>无缝钢管</t>
        </is>
      </c>
      <c r="C784" s="8" t="inlineStr">
        <is>
          <t>601496300</t>
        </is>
      </c>
      <c r="D784" s="8" t="inlineStr">
        <is>
          <t>钢管|钢管|45|Φ203×50|-</t>
        </is>
      </c>
      <c r="E784" s="8" t="inlineStr">
        <is>
          <t xml:space="preserve">物资名称 钢管;物资简称 钢管;牌号 45;外径 Φ203;壁厚 50;技术标准号 -;加工工艺 ;热处理工艺 ;特殊要求 ;规格标准号 </t>
        </is>
      </c>
      <c r="F784" s="4" t="inlineStr">
        <is>
          <t>千克</t>
        </is>
      </c>
    </row>
    <row r="785" s="21">
      <c r="A785" s="8" t="inlineStr">
        <is>
          <t>100301</t>
        </is>
      </c>
      <c r="B785" s="8" t="inlineStr">
        <is>
          <t>无缝钢管</t>
        </is>
      </c>
      <c r="C785" s="8" t="inlineStr">
        <is>
          <t>601473200</t>
        </is>
      </c>
      <c r="D785" s="8" t="inlineStr">
        <is>
          <t>航空用不锈钢无缝钢管|不锈钢管|1Cr18Ni9Ti|Φ36×3|GJB 2296-1995</t>
        </is>
      </c>
      <c r="E785" s="8" t="inlineStr">
        <is>
          <t xml:space="preserve">物资名称 航空用不锈钢无缝钢管;物资简称 不锈钢管;牌号 1Cr18Ni9Ti;外径 Φ36;壁厚 3;技术标准号 GJB 2296-1995;加工工艺 ;热处理工艺 ;特殊要求 ;规格标准号 </t>
        </is>
      </c>
      <c r="F785" s="4" t="inlineStr">
        <is>
          <t>千克</t>
        </is>
      </c>
    </row>
    <row r="786" s="21">
      <c r="A786" s="8" t="inlineStr">
        <is>
          <t>100301</t>
        </is>
      </c>
      <c r="B786" s="8" t="inlineStr">
        <is>
          <t>无缝钢管</t>
        </is>
      </c>
      <c r="C786" s="8" t="inlineStr">
        <is>
          <t>601454500</t>
        </is>
      </c>
      <c r="D786" s="8" t="inlineStr">
        <is>
          <t>航空用不锈钢无缝钢管|钢管|1Cr18Ni9Ti|Φ45×4|GJB 2296-1995</t>
        </is>
      </c>
      <c r="E786" s="8" t="inlineStr">
        <is>
          <t xml:space="preserve">物资名称 航空用不锈钢无缝钢管;物资简称 钢管;牌号 1Cr18Ni9Ti;外径 Φ45;壁厚 4;技术标准号 GJB 2296-1995;加工工艺 ;热处理工艺 ;特殊要求 ;规格标准号 </t>
        </is>
      </c>
      <c r="F786" s="4" t="inlineStr">
        <is>
          <t>千克</t>
        </is>
      </c>
    </row>
    <row r="787" s="21">
      <c r="A787" s="8" t="inlineStr">
        <is>
          <t>100301</t>
        </is>
      </c>
      <c r="B787" s="8" t="inlineStr">
        <is>
          <t>无缝钢管</t>
        </is>
      </c>
      <c r="C787" s="8" t="inlineStr">
        <is>
          <t>601454400</t>
        </is>
      </c>
      <c r="D787" s="8" t="inlineStr">
        <is>
          <t>航空用不锈钢无缝钢管|钢管|1Cr18Ni9Ti|Φ6×1|GJB 2296-1995</t>
        </is>
      </c>
      <c r="E787" s="8" t="inlineStr">
        <is>
          <t xml:space="preserve">物资名称 航空用不锈钢无缝钢管;物资简称 钢管;牌号 1Cr18Ni9Ti;外径 Φ6;壁厚 1;技术标准号 GJB 2296-1995;加工工艺 ;热处理工艺 ;特殊要求 ;规格标准号 </t>
        </is>
      </c>
      <c r="F787" s="4" t="inlineStr">
        <is>
          <t>千克</t>
        </is>
      </c>
    </row>
    <row r="788" s="21">
      <c r="A788" s="8" t="inlineStr">
        <is>
          <t>100301</t>
        </is>
      </c>
      <c r="B788" s="8" t="inlineStr">
        <is>
          <t>无缝钢管</t>
        </is>
      </c>
      <c r="C788" s="8" t="inlineStr">
        <is>
          <t>601438800</t>
        </is>
      </c>
      <c r="D788" s="8" t="inlineStr">
        <is>
          <t>航空用不锈钢无缝钢管|钢管|1Cr18Ni9Ti|Φ25×2|GJB 2296-1995</t>
        </is>
      </c>
      <c r="E788" s="8" t="inlineStr">
        <is>
          <t xml:space="preserve">物资名称 航空用不锈钢无缝钢管;物资简称 钢管;牌号 1Cr18Ni9Ti;外径 Φ25;壁厚 2;技术标准号 GJB 2296-1995;加工工艺 ;热处理工艺 ;特殊要求 ;规格标准号 </t>
        </is>
      </c>
      <c r="F788" s="4" t="inlineStr">
        <is>
          <t>千克</t>
        </is>
      </c>
    </row>
    <row r="789" s="21">
      <c r="A789" s="8" t="inlineStr">
        <is>
          <t>100301</t>
        </is>
      </c>
      <c r="B789" s="8" t="inlineStr">
        <is>
          <t>无缝钢管</t>
        </is>
      </c>
      <c r="C789" s="8" t="inlineStr">
        <is>
          <t>601438700</t>
        </is>
      </c>
      <c r="D789" s="8" t="inlineStr">
        <is>
          <t>航空用不锈钢无缝钢管|钢管|1Cr18Ni9Ti|Φ32×2|GJB 2296-1995</t>
        </is>
      </c>
      <c r="E789" s="8" t="inlineStr">
        <is>
          <t xml:space="preserve">物资名称 航空用不锈钢无缝钢管;物资简称 钢管;牌号 1Cr18Ni9Ti;外径 Φ32;壁厚 2;技术标准号 GJB 2296-1995;加工工艺 ;热处理工艺 ;特殊要求 ;规格标准号 </t>
        </is>
      </c>
      <c r="F789" s="4" t="inlineStr">
        <is>
          <t>千克</t>
        </is>
      </c>
    </row>
    <row r="790" s="21">
      <c r="A790" s="8" t="inlineStr">
        <is>
          <t>100301</t>
        </is>
      </c>
      <c r="B790" s="8" t="inlineStr">
        <is>
          <t>无缝钢管</t>
        </is>
      </c>
      <c r="C790" s="8" t="inlineStr">
        <is>
          <t>601438600</t>
        </is>
      </c>
      <c r="D790" s="8" t="inlineStr">
        <is>
          <t>航空用不锈钢无缝钢管|钢管|1Cr18Ni9Ti|Φ42×2|GJB 2296-1995</t>
        </is>
      </c>
      <c r="E790" s="8" t="inlineStr">
        <is>
          <t xml:space="preserve">物资名称 航空用不锈钢无缝钢管;物资简称 钢管;牌号 1Cr18Ni9Ti;外径 Φ42;壁厚 2;技术标准号 GJB 2296-1995;加工工艺 ;热处理工艺 ;特殊要求 ;规格标准号 </t>
        </is>
      </c>
      <c r="F790" s="4" t="inlineStr">
        <is>
          <t>千克</t>
        </is>
      </c>
    </row>
    <row r="791" s="21">
      <c r="A791" s="8" t="inlineStr">
        <is>
          <t>100301</t>
        </is>
      </c>
      <c r="B791" s="8" t="inlineStr">
        <is>
          <t>无缝钢管</t>
        </is>
      </c>
      <c r="C791" s="8" t="inlineStr">
        <is>
          <t>601438500</t>
        </is>
      </c>
      <c r="D791" s="8" t="inlineStr">
        <is>
          <t>航空用不锈钢无缝钢管|钢管|1Cr18Ni9Ti|Φ36×2|GJB 2296-1995</t>
        </is>
      </c>
      <c r="E791" s="8" t="inlineStr">
        <is>
          <t xml:space="preserve">物资名称 航空用不锈钢无缝钢管;物资简称 钢管;牌号 1Cr18Ni9Ti;外径 Φ36;壁厚 2;技术标准号 GJB 2296-1995;加工工艺 ;热处理工艺 ;特殊要求 ;规格标准号 </t>
        </is>
      </c>
      <c r="F791" s="4" t="inlineStr">
        <is>
          <t>千克</t>
        </is>
      </c>
    </row>
    <row r="792" s="21">
      <c r="A792" s="8" t="inlineStr">
        <is>
          <t>100301</t>
        </is>
      </c>
      <c r="B792" s="8" t="inlineStr">
        <is>
          <t>无缝钢管</t>
        </is>
      </c>
      <c r="C792" s="8" t="inlineStr">
        <is>
          <t>601329800</t>
        </is>
      </c>
      <c r="D792" s="8" t="inlineStr">
        <is>
          <t>结构用不锈无缝钢管|钢管|1Cr18Ni9Ti|Φ10×1|空</t>
        </is>
      </c>
      <c r="E792" s="8" t="inlineStr">
        <is>
          <t xml:space="preserve">物资名称 结构用不锈无缝钢管;物资简称 钢管;牌号 1Cr18Ni9Ti;外径 Φ10;壁厚 1;技术标准号 空;加工工艺 ;热处理工艺 ;特殊要求 ;规格标准号 </t>
        </is>
      </c>
      <c r="F792" s="4" t="inlineStr">
        <is>
          <t>千克</t>
        </is>
      </c>
    </row>
    <row r="793" s="21">
      <c r="A793" s="8" t="inlineStr">
        <is>
          <t>100301</t>
        </is>
      </c>
      <c r="B793" s="8" t="inlineStr">
        <is>
          <t>无缝钢管</t>
        </is>
      </c>
      <c r="C793" s="8" t="inlineStr">
        <is>
          <t>601329700</t>
        </is>
      </c>
      <c r="D793" s="8" t="inlineStr">
        <is>
          <t>结构用不锈无缝钢管|钢管|1Cr18Ni9Ti|Φ12×1|空</t>
        </is>
      </c>
      <c r="E793" s="8" t="inlineStr">
        <is>
          <t xml:space="preserve">物资名称 结构用不锈无缝钢管;物资简称 钢管;牌号 1Cr18Ni9Ti;外径 Φ12;壁厚 1;技术标准号 空;加工工艺 ;热处理工艺 ;特殊要求 ;规格标准号 </t>
        </is>
      </c>
      <c r="F793" s="4" t="inlineStr">
        <is>
          <t>千克</t>
        </is>
      </c>
    </row>
    <row r="794" s="21">
      <c r="A794" s="8" t="inlineStr">
        <is>
          <t>100301</t>
        </is>
      </c>
      <c r="B794" s="8" t="inlineStr">
        <is>
          <t>无缝钢管</t>
        </is>
      </c>
      <c r="C794" s="8" t="inlineStr">
        <is>
          <t>601329600</t>
        </is>
      </c>
      <c r="D794" s="8" t="inlineStr">
        <is>
          <t>结构用不锈无缝钢管|钢管|1Cr18Ni9Ti|Φ2×0.5|空</t>
        </is>
      </c>
      <c r="E794" s="8" t="inlineStr">
        <is>
          <t xml:space="preserve">物资名称 结构用不锈无缝钢管;物资简称 钢管;牌号 1Cr18Ni9Ti;外径 Φ2;壁厚 0.5;技术标准号 空;加工工艺 ;热处理工艺 ;特殊要求 ;规格标准号 </t>
        </is>
      </c>
      <c r="F794" s="4" t="inlineStr">
        <is>
          <t>千克</t>
        </is>
      </c>
    </row>
    <row r="795" s="21">
      <c r="A795" s="8" t="inlineStr">
        <is>
          <t>100301</t>
        </is>
      </c>
      <c r="B795" s="8" t="inlineStr">
        <is>
          <t>无缝钢管</t>
        </is>
      </c>
      <c r="C795" s="8" t="inlineStr">
        <is>
          <t>601329500</t>
        </is>
      </c>
      <c r="D795" s="8" t="inlineStr">
        <is>
          <t>结构用不锈无缝钢管|钢管|1Cr18Ni9Ti|Φ34×5|空</t>
        </is>
      </c>
      <c r="E795" s="8" t="inlineStr">
        <is>
          <t xml:space="preserve">物资名称 结构用不锈无缝钢管;物资简称 钢管;牌号 1Cr18Ni9Ti;外径 Φ34;壁厚 5;技术标准号 空;加工工艺 ;热处理工艺 ;特殊要求 ;规格标准号 </t>
        </is>
      </c>
      <c r="F795" s="4" t="inlineStr">
        <is>
          <t>千克</t>
        </is>
      </c>
    </row>
    <row r="796" s="21">
      <c r="A796" s="8" t="inlineStr">
        <is>
          <t>100301</t>
        </is>
      </c>
      <c r="B796" s="8" t="inlineStr">
        <is>
          <t>无缝钢管</t>
        </is>
      </c>
      <c r="C796" s="8" t="inlineStr">
        <is>
          <t>601329400</t>
        </is>
      </c>
      <c r="D796" s="8" t="inlineStr">
        <is>
          <t>结构用不锈无缝钢管|钢管|1Cr18Ni9Ti|Φ6×1.5|空</t>
        </is>
      </c>
      <c r="E796" s="8" t="inlineStr">
        <is>
          <t xml:space="preserve">物资名称 结构用不锈无缝钢管;物资简称 钢管;牌号 1Cr18Ni9Ti;外径 Φ6;壁厚 1.5;技术标准号 空;加工工艺 ;热处理工艺 ;特殊要求 ;规格标准号 </t>
        </is>
      </c>
      <c r="F796" s="4" t="inlineStr">
        <is>
          <t>千克</t>
        </is>
      </c>
    </row>
    <row r="797" s="21">
      <c r="A797" s="8" t="inlineStr">
        <is>
          <t>100301</t>
        </is>
      </c>
      <c r="B797" s="8" t="inlineStr">
        <is>
          <t>无缝钢管</t>
        </is>
      </c>
      <c r="C797" s="8" t="inlineStr">
        <is>
          <t>601329300</t>
        </is>
      </c>
      <c r="D797" s="8" t="inlineStr">
        <is>
          <t>结构用不锈无缝钢管|钢管|1Cr18Ni9Ti|Φ6×1|空</t>
        </is>
      </c>
      <c r="E797" s="8" t="inlineStr">
        <is>
          <t xml:space="preserve">物资名称 结构用不锈无缝钢管;物资简称 钢管;牌号 1Cr18Ni9Ti;外径 Φ6;壁厚 1;技术标准号 空;加工工艺 ;热处理工艺 ;特殊要求 ;规格标准号 </t>
        </is>
      </c>
      <c r="F797" s="4" t="inlineStr">
        <is>
          <t>千克</t>
        </is>
      </c>
    </row>
    <row r="798" s="21">
      <c r="A798" s="8" t="inlineStr">
        <is>
          <t>100301</t>
        </is>
      </c>
      <c r="B798" s="8" t="inlineStr">
        <is>
          <t>无缝钢管</t>
        </is>
      </c>
      <c r="C798" s="8" t="inlineStr">
        <is>
          <t>601329200</t>
        </is>
      </c>
      <c r="D798" s="8" t="inlineStr">
        <is>
          <t>结构用不锈无缝钢管|钢管|1Cr18Ni9Ti|Φ8×1|空</t>
        </is>
      </c>
      <c r="E798" s="8" t="inlineStr">
        <is>
          <t xml:space="preserve">物资名称 结构用不锈无缝钢管;物资简称 钢管;牌号 1Cr18Ni9Ti;外径 Φ8;壁厚 1;技术标准号 空;加工工艺 ;热处理工艺 ;特殊要求 ;规格标准号 </t>
        </is>
      </c>
      <c r="F798" s="4" t="inlineStr">
        <is>
          <t>千克</t>
        </is>
      </c>
    </row>
    <row r="799" s="21">
      <c r="A799" s="8" t="inlineStr">
        <is>
          <t>100301</t>
        </is>
      </c>
      <c r="B799" s="8" t="inlineStr">
        <is>
          <t>无缝钢管</t>
        </is>
      </c>
      <c r="C799" s="8" t="inlineStr">
        <is>
          <t>601329100</t>
        </is>
      </c>
      <c r="D799" s="8" t="inlineStr">
        <is>
          <t>优质碳素结构无缝钢管|钢管|45#|Φ219×60|空</t>
        </is>
      </c>
      <c r="E799" s="8" t="inlineStr">
        <is>
          <t xml:space="preserve">物资名称 优质碳素结构无缝钢管;物资简称 钢管;牌号 45#;外径 Φ219;壁厚 60;技术标准号 空;加工工艺 ;热处理工艺 ;特殊要求 ;规格标准号 </t>
        </is>
      </c>
      <c r="F799" s="4" t="inlineStr">
        <is>
          <t>千克</t>
        </is>
      </c>
    </row>
    <row r="800" s="21">
      <c r="A800" s="8" t="inlineStr">
        <is>
          <t>100301</t>
        </is>
      </c>
      <c r="B800" s="8" t="inlineStr">
        <is>
          <t>无缝钢管</t>
        </is>
      </c>
      <c r="C800" s="8" t="inlineStr">
        <is>
          <t>601329000</t>
        </is>
      </c>
      <c r="D800" s="8" t="inlineStr">
        <is>
          <t>优质碳素结构无缝钢管|钢管|45#|Φ232×45|空</t>
        </is>
      </c>
      <c r="E800" s="8" t="inlineStr">
        <is>
          <t xml:space="preserve">物资名称 优质碳素结构无缝钢管;物资简称 钢管;牌号 45#;外径 Φ232;壁厚 45;技术标准号 空;加工工艺 ;热处理工艺 ;特殊要求 ;规格标准号 </t>
        </is>
      </c>
      <c r="F800" s="4" t="inlineStr">
        <is>
          <t>千克</t>
        </is>
      </c>
    </row>
    <row r="801" s="21">
      <c r="A801" s="8" t="inlineStr">
        <is>
          <t>100301</t>
        </is>
      </c>
      <c r="B801" s="8" t="inlineStr">
        <is>
          <t>无缝钢管</t>
        </is>
      </c>
      <c r="C801" s="8" t="inlineStr">
        <is>
          <t>601018300</t>
        </is>
      </c>
      <c r="D801" s="8" t="inlineStr">
        <is>
          <t>结构用热轧优质碳素结构无缝钢管|钢管|45|Φ180×25|GB/T 8162-2008|热轧</t>
        </is>
      </c>
      <c r="E801" s="8" t="inlineStr">
        <is>
          <t>物资名称 结构用热轧优质碳素结构无缝钢管;物资简称 钢管;牌号 45;外径 Φ180;壁厚 25;技术标准号 GB/T 8162-2008;加工工艺 热轧;热处理工艺 ;特殊要求 ;规格标准号 GB/T 17395-2008</t>
        </is>
      </c>
      <c r="F801" s="4" t="inlineStr">
        <is>
          <t>千克</t>
        </is>
      </c>
    </row>
    <row r="802" s="21">
      <c r="A802" s="8" t="inlineStr">
        <is>
          <t>100301</t>
        </is>
      </c>
      <c r="B802" s="8" t="inlineStr">
        <is>
          <t>无缝钢管</t>
        </is>
      </c>
      <c r="C802" s="8" t="inlineStr">
        <is>
          <t>601003500</t>
        </is>
      </c>
      <c r="D802" s="8" t="inlineStr">
        <is>
          <t>航空用不锈钢无缝钢管|不锈钢管|1Cr18Ni9Ti|Φ25×3|GJB 2296-1995</t>
        </is>
      </c>
      <c r="E802" s="8" t="inlineStr">
        <is>
          <t xml:space="preserve">物资名称 航空用不锈钢无缝钢管;物资简称 不锈钢管;牌号 1Cr18Ni9Ti;外径 Φ25;壁厚 3;技术标准号 GJB 2296-1995;加工工艺 ;热处理工艺 ;特殊要求 ;规格标准号 </t>
        </is>
      </c>
      <c r="F802" s="4" t="inlineStr">
        <is>
          <t>千克</t>
        </is>
      </c>
    </row>
    <row r="803" s="21">
      <c r="A803" s="8" t="inlineStr">
        <is>
          <t>100301</t>
        </is>
      </c>
      <c r="B803" s="8" t="inlineStr">
        <is>
          <t>无缝钢管</t>
        </is>
      </c>
      <c r="C803" s="8" t="inlineStr">
        <is>
          <t>601003400</t>
        </is>
      </c>
      <c r="D803" s="8" t="inlineStr">
        <is>
          <t>航空用不锈钢无缝钢管|不锈钢管|1Cr18Ni9Ti|Φ42×3|GJB 2296-1995</t>
        </is>
      </c>
      <c r="E803" s="8" t="inlineStr">
        <is>
          <t xml:space="preserve">物资名称 航空用不锈钢无缝钢管;物资简称 不锈钢管;牌号 1Cr18Ni9Ti;外径 Φ42;壁厚 3;技术标准号 GJB 2296-1995;加工工艺 ;热处理工艺 ;特殊要求 ;规格标准号 </t>
        </is>
      </c>
      <c r="F803" s="4" t="inlineStr">
        <is>
          <t>千克</t>
        </is>
      </c>
    </row>
    <row r="804" s="21">
      <c r="A804" s="8" t="inlineStr">
        <is>
          <t>100301</t>
        </is>
      </c>
      <c r="B804" s="8" t="inlineStr">
        <is>
          <t>无缝钢管</t>
        </is>
      </c>
      <c r="C804" s="8" t="inlineStr">
        <is>
          <t>601003300</t>
        </is>
      </c>
      <c r="D804" s="8" t="inlineStr">
        <is>
          <t>航空用不锈钢无缝钢管|不锈钢管|1Cr18Ni9Ti|Φ32×3|GJB 2296-1995</t>
        </is>
      </c>
      <c r="E804" s="8" t="inlineStr">
        <is>
          <t xml:space="preserve">物资名称 航空用不锈钢无缝钢管;物资简称 不锈钢管;牌号 1Cr18Ni9Ti;外径 Φ32;壁厚 3;技术标准号 GJB 2296-1995;加工工艺 ;热处理工艺 ;特殊要求 ;规格标准号 </t>
        </is>
      </c>
      <c r="F804" s="4" t="inlineStr">
        <is>
          <t>千克</t>
        </is>
      </c>
    </row>
    <row r="805" s="21">
      <c r="A805" s="8" t="inlineStr">
        <is>
          <t>100301</t>
        </is>
      </c>
      <c r="B805" s="8" t="inlineStr">
        <is>
          <t>无缝钢管</t>
        </is>
      </c>
      <c r="C805" s="8" t="inlineStr">
        <is>
          <t>601000900</t>
        </is>
      </c>
      <c r="D805" s="8" t="inlineStr">
        <is>
          <t>结构用热轧优质碳素结构无缝钢管|钢管|45|Φ133×15|GB/T 8162-1999|热轧|退火|GB/T 17395-2008</t>
        </is>
      </c>
      <c r="E805" s="8" t="inlineStr">
        <is>
          <t>物资名称 结构用热轧优质碳素结构无缝钢管;物资简称 钢管;牌号 45;外径 Φ133;壁厚 15;技术标准号 GB/T 8162-1999;加工工艺 热轧;热处理工艺 退火;特殊要求 ;规格标准号 GB/T 17395-2008</t>
        </is>
      </c>
      <c r="F805" s="4" t="inlineStr">
        <is>
          <t>千克</t>
        </is>
      </c>
    </row>
    <row r="806" s="21">
      <c r="A806" s="8" t="inlineStr">
        <is>
          <t>100301</t>
        </is>
      </c>
      <c r="B806" s="8" t="inlineStr">
        <is>
          <t>无缝钢管</t>
        </is>
      </c>
      <c r="C806" s="8" t="inlineStr">
        <is>
          <t>600996600</t>
        </is>
      </c>
      <c r="D806" s="8" t="inlineStr">
        <is>
          <t>航空用不锈钢无缝钢管|不锈钢管|1Cr18Ni9Ti|Φ28×4|GJB 2296-1995</t>
        </is>
      </c>
      <c r="E806" s="8" t="inlineStr">
        <is>
          <t xml:space="preserve">物资名称 航空用不锈钢无缝钢管;物资简称 不锈钢管;牌号 1Cr18Ni9Ti;外径 Φ28;壁厚 4;技术标准号 GJB 2296-1995;加工工艺 ;热处理工艺 ;特殊要求 ;规格标准号 </t>
        </is>
      </c>
      <c r="F806" s="4" t="inlineStr">
        <is>
          <t>千克</t>
        </is>
      </c>
    </row>
    <row r="807" s="21">
      <c r="A807" s="8" t="inlineStr">
        <is>
          <t>100301</t>
        </is>
      </c>
      <c r="B807" s="8" t="inlineStr">
        <is>
          <t>无缝钢管</t>
        </is>
      </c>
      <c r="C807" s="8" t="inlineStr">
        <is>
          <t>600988100</t>
        </is>
      </c>
      <c r="D807" s="8" t="inlineStr">
        <is>
          <t>航空用不锈钢无缝钢管|不锈钢管|1Cr18Ni9Ti|Φ34×3|GJB 2296-1995</t>
        </is>
      </c>
      <c r="E807" s="8" t="inlineStr">
        <is>
          <t xml:space="preserve">物资名称 航空用不锈钢无缝钢管;物资简称 不锈钢管;牌号 1Cr18Ni9Ti;外径 Φ34;壁厚 3;技术标准号 GJB 2296-1995;加工工艺 ;热处理工艺 ;特殊要求 ;规格标准号 </t>
        </is>
      </c>
      <c r="F807" s="4" t="inlineStr">
        <is>
          <t>千克</t>
        </is>
      </c>
    </row>
    <row r="808" s="21">
      <c r="A808" s="8" t="inlineStr">
        <is>
          <t>100301</t>
        </is>
      </c>
      <c r="B808" s="8" t="inlineStr">
        <is>
          <t>无缝钢管</t>
        </is>
      </c>
      <c r="C808" s="8" t="inlineStr">
        <is>
          <t>600988000</t>
        </is>
      </c>
      <c r="D808" s="8" t="inlineStr">
        <is>
          <t>航空用不锈钢无缝钢管|不锈钢管|1Cr18Ni9Ti|Φ27×3|GJB 2296-1995</t>
        </is>
      </c>
      <c r="E808" s="8" t="inlineStr">
        <is>
          <t xml:space="preserve">物资名称 航空用不锈钢无缝钢管;物资简称 不锈钢管;牌号 1Cr18Ni9Ti;外径 Φ27;壁厚 3;技术标准号 GJB 2296-1995;加工工艺 ;热处理工艺 ;特殊要求 ;规格标准号 </t>
        </is>
      </c>
      <c r="F808" s="4" t="inlineStr">
        <is>
          <t>千克</t>
        </is>
      </c>
    </row>
    <row r="809" s="21">
      <c r="A809" s="8" t="inlineStr">
        <is>
          <t>100301</t>
        </is>
      </c>
      <c r="B809" s="8" t="inlineStr">
        <is>
          <t>无缝钢管</t>
        </is>
      </c>
      <c r="C809" s="8" t="inlineStr">
        <is>
          <t>600985500</t>
        </is>
      </c>
      <c r="D809" s="8" t="inlineStr">
        <is>
          <t>结构用热轧优质碳素结构无缝钢管|钢管|45|Φ305×38|GB/T 8162-1999</t>
        </is>
      </c>
      <c r="E809" s="8" t="inlineStr">
        <is>
          <t xml:space="preserve">物资名称 结构用热轧优质碳素结构无缝钢管;物资简称 钢管;牌号 45;外径 Φ305;壁厚 38;技术标准号 GB/T 8162-1999;加工工艺 ;热处理工艺 ;特殊要求 ;规格标准号 </t>
        </is>
      </c>
      <c r="F809" s="4" t="inlineStr">
        <is>
          <t>千克</t>
        </is>
      </c>
    </row>
    <row r="810" s="21">
      <c r="A810" s="8" t="inlineStr">
        <is>
          <t>100301</t>
        </is>
      </c>
      <c r="B810" s="8" t="inlineStr">
        <is>
          <t>无缝钢管</t>
        </is>
      </c>
      <c r="C810" s="8" t="inlineStr">
        <is>
          <t>600985400</t>
        </is>
      </c>
      <c r="D810" s="8" t="inlineStr">
        <is>
          <t>合金结构无缝钢管|钢管|20|Φ80×6|GB/T 699-1999</t>
        </is>
      </c>
      <c r="E810" s="8" t="inlineStr">
        <is>
          <t xml:space="preserve">物资名称 合金结构无缝钢管;物资简称 钢管;牌号 20;外径 Φ80;壁厚 6;技术标准号 GB/T 699-1999;加工工艺 ;热处理工艺 ;特殊要求 ;规格标准号 </t>
        </is>
      </c>
      <c r="F810" s="4" t="inlineStr">
        <is>
          <t>千克</t>
        </is>
      </c>
    </row>
    <row r="811" s="21">
      <c r="A811" s="8" t="inlineStr">
        <is>
          <t>100301</t>
        </is>
      </c>
      <c r="B811" s="8" t="inlineStr">
        <is>
          <t>无缝钢管</t>
        </is>
      </c>
      <c r="C811" s="8" t="inlineStr">
        <is>
          <t>600985300</t>
        </is>
      </c>
      <c r="D811" s="8" t="inlineStr">
        <is>
          <t>结构用热轧优质碳素结构无缝钢管|钢管|20|Φ130×7|GB/T 8162-1999</t>
        </is>
      </c>
      <c r="E811" s="8" t="inlineStr">
        <is>
          <t xml:space="preserve">物资名称 结构用热轧优质碳素结构无缝钢管;物资简称 钢管;牌号 20;外径 Φ130;壁厚 7;技术标准号 GB/T 8162-1999;加工工艺 ;热处理工艺 ;特殊要求 ;规格标准号 </t>
        </is>
      </c>
      <c r="F811" s="4" t="inlineStr">
        <is>
          <t>千克</t>
        </is>
      </c>
    </row>
    <row r="812" s="21">
      <c r="A812" s="8" t="inlineStr">
        <is>
          <t>100301</t>
        </is>
      </c>
      <c r="B812" s="8" t="inlineStr">
        <is>
          <t>无缝钢管</t>
        </is>
      </c>
      <c r="C812" s="8" t="inlineStr">
        <is>
          <t>600985200</t>
        </is>
      </c>
      <c r="D812" s="8" t="inlineStr">
        <is>
          <t>合金结构无缝钢管|钢管|20|Φ36×4|GB/T 699-1999</t>
        </is>
      </c>
      <c r="E812" s="8" t="inlineStr">
        <is>
          <t xml:space="preserve">物资名称 合金结构无缝钢管;物资简称 钢管;牌号 20;外径 Φ36;壁厚 4;技术标准号 GB/T 699-1999;加工工艺 ;热处理工艺 ;特殊要求 ;规格标准号 </t>
        </is>
      </c>
      <c r="F812" s="4" t="inlineStr">
        <is>
          <t>千克</t>
        </is>
      </c>
    </row>
    <row r="813" s="21">
      <c r="A813" s="8" t="inlineStr">
        <is>
          <t>100301</t>
        </is>
      </c>
      <c r="B813" s="8" t="inlineStr">
        <is>
          <t>无缝钢管</t>
        </is>
      </c>
      <c r="C813" s="8" t="inlineStr">
        <is>
          <t>600985100</t>
        </is>
      </c>
      <c r="D813" s="8" t="inlineStr">
        <is>
          <t>合金结构无缝钢管|钢管|20|Φ68×8|GB/T 699-1999</t>
        </is>
      </c>
      <c r="E813" s="8" t="inlineStr">
        <is>
          <t xml:space="preserve">物资名称 合金结构无缝钢管;物资简称 钢管;牌号 20;外径 Φ68;壁厚 8;技术标准号 GB/T 699-1999;加工工艺 ;热处理工艺 ;特殊要求 ;规格标准号 </t>
        </is>
      </c>
      <c r="F813" s="4" t="inlineStr">
        <is>
          <t>千克</t>
        </is>
      </c>
    </row>
    <row r="814" s="21">
      <c r="A814" s="8" t="inlineStr">
        <is>
          <t>100301</t>
        </is>
      </c>
      <c r="B814" s="8" t="inlineStr">
        <is>
          <t>无缝钢管</t>
        </is>
      </c>
      <c r="C814" s="8" t="inlineStr">
        <is>
          <t>600985000</t>
        </is>
      </c>
      <c r="D814" s="8" t="inlineStr">
        <is>
          <t>合金结构无缝钢管|钢管|20|Φ65×5|GB/T 699-1999</t>
        </is>
      </c>
      <c r="E814" s="8" t="inlineStr">
        <is>
          <t xml:space="preserve">物资名称 合金结构无缝钢管;物资简称 钢管;牌号 20;外径 Φ65;壁厚 5;技术标准号 GB/T 699-1999;加工工艺 ;热处理工艺 ;特殊要求 ;规格标准号 </t>
        </is>
      </c>
      <c r="F814" s="4" t="inlineStr">
        <is>
          <t>千克</t>
        </is>
      </c>
    </row>
    <row r="815" s="21">
      <c r="A815" s="8" t="inlineStr">
        <is>
          <t>100301</t>
        </is>
      </c>
      <c r="B815" s="8" t="inlineStr">
        <is>
          <t>无缝钢管</t>
        </is>
      </c>
      <c r="C815" s="8" t="inlineStr">
        <is>
          <t>600947600</t>
        </is>
      </c>
      <c r="D815" s="8" t="inlineStr">
        <is>
          <t>结构用热轧优质碳素结构无缝钢管|钢管|45|Φ205×48|GB/T 8162-2008|热轧|GB/T 17395-2008</t>
        </is>
      </c>
      <c r="E815" s="8" t="inlineStr">
        <is>
          <t>物资名称 结构用热轧优质碳素结构无缝钢管;物资简称 钢管;牌号 45;外径 Φ205;壁厚 48;技术标准号 GB/T 8162-2008;加工工艺 热轧;热处理工艺 ;特殊要求 ;规格标准号 GB/T 17395-2008</t>
        </is>
      </c>
      <c r="F815" s="4" t="inlineStr">
        <is>
          <t>千克</t>
        </is>
      </c>
    </row>
    <row r="816" s="21">
      <c r="A816" s="8" t="inlineStr">
        <is>
          <t>100301</t>
        </is>
      </c>
      <c r="B816" s="8" t="inlineStr">
        <is>
          <t>无缝钢管</t>
        </is>
      </c>
      <c r="C816" s="8" t="inlineStr">
        <is>
          <t>600919400</t>
        </is>
      </c>
      <c r="D816" s="8" t="inlineStr">
        <is>
          <t>钢管|钢管|40Cr|Φ325×28|GB/T 8162-1999</t>
        </is>
      </c>
      <c r="E816" s="8" t="inlineStr">
        <is>
          <t xml:space="preserve">物资名称 钢管;物资简称 钢管;牌号 40Cr;外径 Φ325;壁厚 28;技术标准号 GB/T 8162-1999;加工工艺 ;热处理工艺 ;特殊要求 ;规格标准号 </t>
        </is>
      </c>
      <c r="F816" s="4" t="inlineStr">
        <is>
          <t>千克</t>
        </is>
      </c>
    </row>
    <row r="817" s="21">
      <c r="A817" s="8" t="inlineStr">
        <is>
          <t>100301</t>
        </is>
      </c>
      <c r="B817" s="8" t="inlineStr">
        <is>
          <t>无缝钢管</t>
        </is>
      </c>
      <c r="C817" s="8" t="inlineStr">
        <is>
          <t>600919300</t>
        </is>
      </c>
      <c r="D817" s="8" t="inlineStr">
        <is>
          <t>钢管|钢管|45|GB/T 8162-1999</t>
        </is>
      </c>
      <c r="E817" s="8" t="inlineStr">
        <is>
          <t xml:space="preserve">物资名称 钢管;物资简称 钢管;牌号 45;外径 Φ;壁厚 ;技术标准号 GB/T 8162-1999;加工工艺 ;热处理工艺 ;特殊要求 ;规格标准号 </t>
        </is>
      </c>
      <c r="F817" s="4" t="inlineStr">
        <is>
          <t>千克</t>
        </is>
      </c>
    </row>
    <row r="818" s="21">
      <c r="A818" s="8" t="inlineStr">
        <is>
          <t>100301</t>
        </is>
      </c>
      <c r="B818" s="8" t="inlineStr">
        <is>
          <t>无缝钢管</t>
        </is>
      </c>
      <c r="C818" s="8" t="inlineStr">
        <is>
          <t>600918400</t>
        </is>
      </c>
      <c r="D818" s="8" t="inlineStr">
        <is>
          <t>钢管|钢管|20|GB/T 8162-1999</t>
        </is>
      </c>
      <c r="E818" s="8" t="inlineStr">
        <is>
          <t xml:space="preserve">物资名称 钢管;物资简称 钢管;牌号 20;外径 Φ;壁厚 ;技术标准号 GB/T 8162-1999;加工工艺 ;热处理工艺 ;特殊要求 ;规格标准号 </t>
        </is>
      </c>
      <c r="F818" s="4" t="inlineStr">
        <is>
          <t>千克</t>
        </is>
      </c>
    </row>
    <row r="819" s="21">
      <c r="A819" s="8" t="inlineStr">
        <is>
          <t>100301</t>
        </is>
      </c>
      <c r="B819" s="8" t="inlineStr">
        <is>
          <t>无缝钢管</t>
        </is>
      </c>
      <c r="C819" s="8" t="inlineStr">
        <is>
          <t>600917800</t>
        </is>
      </c>
      <c r="D819" s="8" t="inlineStr">
        <is>
          <t>结构用热轧合金结构无缝钢管|钢管|40Cr|GB/T 8162-1999</t>
        </is>
      </c>
      <c r="E819" s="8" t="inlineStr">
        <is>
          <t xml:space="preserve">物资名称 结构用热轧合金结构无缝钢管;物资简称 钢管;牌号 40Cr;外径 Φ;壁厚 ;技术标准号 GB/T 8162-1999;加工工艺 ;热处理工艺 ;特殊要求 ;规格标准号 </t>
        </is>
      </c>
      <c r="F819" s="4" t="inlineStr">
        <is>
          <t>千克</t>
        </is>
      </c>
    </row>
    <row r="820" s="21">
      <c r="A820" s="8" t="inlineStr">
        <is>
          <t>100301</t>
        </is>
      </c>
      <c r="B820" s="8" t="inlineStr">
        <is>
          <t>无缝钢管</t>
        </is>
      </c>
      <c r="C820" s="8" t="inlineStr">
        <is>
          <t>600901400</t>
        </is>
      </c>
      <c r="D820" s="8" t="inlineStr">
        <is>
          <t>结构用热轧合金结构无缝钢管|钢管|40Cr|Φ315×40|GB/T 8162-2008|热轧|GB/T 17395-2008</t>
        </is>
      </c>
      <c r="E820" s="8" t="inlineStr">
        <is>
          <t>物资名称 结构用热轧合金结构无缝钢管;物资简称 钢管;牌号 40Cr;外径 Φ315;壁厚 40;技术标准号 GB/T 8162-2008;加工工艺 热轧;热处理工艺 ;特殊要求 ;规格标准号 GB/T 17395-2008</t>
        </is>
      </c>
      <c r="F820" s="4" t="inlineStr">
        <is>
          <t>千克</t>
        </is>
      </c>
    </row>
    <row r="821" s="21">
      <c r="A821" s="8" t="inlineStr">
        <is>
          <t>100301</t>
        </is>
      </c>
      <c r="B821" s="8" t="inlineStr">
        <is>
          <t>无缝钢管</t>
        </is>
      </c>
      <c r="C821" s="8" t="inlineStr">
        <is>
          <t>600844300</t>
        </is>
      </c>
      <c r="D821" s="8" t="inlineStr">
        <is>
          <t>航空用不锈钢无缝钢管|不锈钢|1Cr18Ni9Ti|Φ4×1|GJB 2296-1995</t>
        </is>
      </c>
      <c r="E821" s="8" t="inlineStr">
        <is>
          <t xml:space="preserve">物资名称 航空用不锈钢无缝钢管;物资简称 不锈钢;牌号 1Cr18Ni9Ti;外径 Φ4;壁厚 1;技术标准号 GJB 2296-1995;加工工艺 ;热处理工艺 ;特殊要求 ;规格标准号 </t>
        </is>
      </c>
      <c r="F821" s="4" t="inlineStr">
        <is>
          <t>千克</t>
        </is>
      </c>
    </row>
    <row r="822" s="21">
      <c r="A822" s="8" t="inlineStr">
        <is>
          <t>100301</t>
        </is>
      </c>
      <c r="B822" s="8" t="inlineStr">
        <is>
          <t>无缝钢管</t>
        </is>
      </c>
      <c r="C822" s="8" t="inlineStr">
        <is>
          <t>600839700</t>
        </is>
      </c>
      <c r="D822" s="8" t="inlineStr">
        <is>
          <t>航空用不锈钢无缝钢管|不锈钢|1Cr18Ni9Ti|GJB 2296-1995</t>
        </is>
      </c>
      <c r="E822" s="8" t="inlineStr">
        <is>
          <t xml:space="preserve">物资名称 航空用不锈钢无缝钢管;物资简称 不锈钢;牌号 1Cr18Ni9Ti;外径 Φ;壁厚 ;技术标准号 GJB 2296-1995;加工工艺 ;热处理工艺 ;特殊要求 ;规格标准号 </t>
        </is>
      </c>
      <c r="F822" s="4" t="inlineStr">
        <is>
          <t>千克</t>
        </is>
      </c>
    </row>
    <row r="823" s="21">
      <c r="A823" s="8" t="inlineStr">
        <is>
          <t>100301</t>
        </is>
      </c>
      <c r="B823" s="8" t="inlineStr">
        <is>
          <t>无缝钢管</t>
        </is>
      </c>
      <c r="C823" s="8" t="inlineStr">
        <is>
          <t>600823800</t>
        </is>
      </c>
      <c r="D823" s="8" t="inlineStr">
        <is>
          <t>结构用热轧合金结构无缝钢管|钢管|40Cr|Φ273×30|GB/T 8162-1999|热轧|GB/T 17395-2008</t>
        </is>
      </c>
      <c r="E823" s="8" t="inlineStr">
        <is>
          <t>物资名称 结构用热轧合金结构无缝钢管;物资简称 钢管;牌号 40Cr;外径 Φ273;壁厚 30;技术标准号 GB/T 8162-1999;加工工艺 热轧;热处理工艺 ;特殊要求 ;规格标准号 GB/T 17395-2008</t>
        </is>
      </c>
      <c r="F823" s="4" t="inlineStr">
        <is>
          <t>千克</t>
        </is>
      </c>
    </row>
    <row r="824" s="21">
      <c r="A824" s="8" t="inlineStr">
        <is>
          <t>100301</t>
        </is>
      </c>
      <c r="B824" s="8" t="inlineStr">
        <is>
          <t>无缝钢管</t>
        </is>
      </c>
      <c r="C824" s="8" t="inlineStr">
        <is>
          <t>600629800</t>
        </is>
      </c>
      <c r="D824" s="8" t="inlineStr">
        <is>
          <t>结构用热轧优质碳素结构无缝钢管|钢管|20|GB/T 8162-2008|GB/T 17395-2008</t>
        </is>
      </c>
      <c r="E824" s="8" t="inlineStr">
        <is>
          <t>物资名称 结构用热轧优质碳素结构无缝钢管;物资简称 钢管;牌号 20;外径 Φ;壁厚 ;技术标准号 GB/T 8162-2008;加工工艺 ;热处理工艺 ;特殊要求 ;规格标准号 GB/T 17395-2008</t>
        </is>
      </c>
      <c r="F824" s="4" t="inlineStr">
        <is>
          <t>千克</t>
        </is>
      </c>
    </row>
    <row r="825" s="21">
      <c r="A825" s="8" t="inlineStr">
        <is>
          <t>100301</t>
        </is>
      </c>
      <c r="B825" s="8" t="inlineStr">
        <is>
          <t>无缝钢管</t>
        </is>
      </c>
      <c r="C825" s="8" t="inlineStr">
        <is>
          <t>600629700</t>
        </is>
      </c>
      <c r="D825" s="8" t="inlineStr">
        <is>
          <t>结构用热轧优质碳素结构无缝钢管|钢管|20|Φ38×6|GB/T 8162-2008|热轧|GB/T 17395-2008</t>
        </is>
      </c>
      <c r="E825" s="8" t="inlineStr">
        <is>
          <t>物资名称 结构用热轧优质碳素结构无缝钢管;物资简称 钢管;牌号 20;外径 Φ38;壁厚 6;技术标准号 GB/T 8162-2008;加工工艺 热轧;热处理工艺 ;特殊要求 ;规格标准号 GB/T 17395-2008</t>
        </is>
      </c>
      <c r="F825" s="4" t="inlineStr">
        <is>
          <t>千克</t>
        </is>
      </c>
    </row>
    <row r="826" s="21">
      <c r="A826" s="8" t="inlineStr">
        <is>
          <t>100301</t>
        </is>
      </c>
      <c r="B826" s="8" t="inlineStr">
        <is>
          <t>无缝钢管</t>
        </is>
      </c>
      <c r="C826" s="8" t="inlineStr">
        <is>
          <t>600629600</t>
        </is>
      </c>
      <c r="D826" s="8" t="inlineStr">
        <is>
          <t>结构用热轧优质碳素结构无缝钢管|钢管|20|Φ54×8|GB/T 8162-2008|热轧|退火|GB/T 17395-2008</t>
        </is>
      </c>
      <c r="E826" s="8" t="inlineStr">
        <is>
          <t>物资名称 结构用热轧优质碳素结构无缝钢管;物资简称 钢管;牌号 20;外径 Φ54;壁厚 8;技术标准号 GB/T 8162-2008;加工工艺 热轧;热处理工艺 退火;特殊要求 ;规格标准号 GB/T 17395-2008</t>
        </is>
      </c>
      <c r="F826" s="4" t="inlineStr">
        <is>
          <t>千克</t>
        </is>
      </c>
    </row>
    <row r="827" s="21">
      <c r="A827" s="8" t="inlineStr">
        <is>
          <t>100301</t>
        </is>
      </c>
      <c r="B827" s="8" t="inlineStr">
        <is>
          <t>无缝钢管</t>
        </is>
      </c>
      <c r="C827" s="8" t="inlineStr">
        <is>
          <t>600629500</t>
        </is>
      </c>
      <c r="D827" s="8" t="inlineStr">
        <is>
          <t>结构用热轧优质碳素结构无缝钢管|钢管|20|Φ65×5|GB/T 8162-2008|热轧|GB/T 17395-2008</t>
        </is>
      </c>
      <c r="E827" s="8" t="inlineStr">
        <is>
          <t>物资名称 结构用热轧优质碳素结构无缝钢管;物资简称 钢管;牌号 20;外径 Φ65;壁厚 5;技术标准号 GB/T 8162-2008;加工工艺 热轧;热处理工艺 ;特殊要求 ;规格标准号 GB/T 17395-2008</t>
        </is>
      </c>
      <c r="F827" s="4" t="inlineStr">
        <is>
          <t>千克</t>
        </is>
      </c>
    </row>
    <row r="828" s="21">
      <c r="A828" s="8" t="inlineStr">
        <is>
          <t>100301</t>
        </is>
      </c>
      <c r="B828" s="8" t="inlineStr">
        <is>
          <t>无缝钢管</t>
        </is>
      </c>
      <c r="C828" s="8" t="inlineStr">
        <is>
          <t>600629400</t>
        </is>
      </c>
      <c r="D828" s="8" t="inlineStr">
        <is>
          <t>结构用热轧优质碳素结构无缝钢管|钢管|20|Φ68×8|GB/T 8162-2008|热轧|GB/T 17395-2008</t>
        </is>
      </c>
      <c r="E828" s="8" t="inlineStr">
        <is>
          <t>物资名称 结构用热轧优质碳素结构无缝钢管;物资简称 钢管;牌号 20;外径 Φ68;壁厚 8;技术标准号 GB/T 8162-2008;加工工艺 热轧;热处理工艺 ;特殊要求 ;规格标准号 GB/T 17395-2008</t>
        </is>
      </c>
      <c r="F828" s="4" t="inlineStr">
        <is>
          <t>千克</t>
        </is>
      </c>
    </row>
    <row r="829" s="21">
      <c r="A829" s="8" t="inlineStr">
        <is>
          <t>100301</t>
        </is>
      </c>
      <c r="B829" s="8" t="inlineStr">
        <is>
          <t>无缝钢管</t>
        </is>
      </c>
      <c r="C829" s="8" t="inlineStr">
        <is>
          <t>600629300</t>
        </is>
      </c>
      <c r="D829" s="8" t="inlineStr">
        <is>
          <t>结构用热轧优质碳素结构无缝钢管|钢管|20|Φ80×6|GB/T 8162-2008|热轧|GB/T 17395-2008</t>
        </is>
      </c>
      <c r="E829" s="8" t="inlineStr">
        <is>
          <t>物资名称 结构用热轧优质碳素结构无缝钢管;物资简称 钢管;牌号 20;外径 Φ80;壁厚 6;技术标准号 GB/T 8162-2008;加工工艺 热轧;热处理工艺 ;特殊要求 ;规格标准号 GB/T 17395-2008</t>
        </is>
      </c>
      <c r="F829" s="4" t="inlineStr">
        <is>
          <t>千克</t>
        </is>
      </c>
    </row>
    <row r="830" s="21">
      <c r="A830" s="8" t="inlineStr">
        <is>
          <t>100301</t>
        </is>
      </c>
      <c r="B830" s="8" t="inlineStr">
        <is>
          <t>无缝钢管</t>
        </is>
      </c>
      <c r="C830" s="8" t="inlineStr">
        <is>
          <t>600629200</t>
        </is>
      </c>
      <c r="D830" s="8" t="inlineStr">
        <is>
          <t>结构用热轧优质碳素结构无缝钢管|钢管|20|Φ89×10|GB/T 8162-2008|热轧|GB/T 17395-2008</t>
        </is>
      </c>
      <c r="E830" s="8" t="inlineStr">
        <is>
          <t>物资名称 结构用热轧优质碳素结构无缝钢管;物资简称 钢管;牌号 20;外径 Φ89;壁厚 10;技术标准号 GB/T 8162-2008;加工工艺 热轧;热处理工艺 ;特殊要求 ;规格标准号 GB/T 17395-2008</t>
        </is>
      </c>
      <c r="F830" s="4" t="inlineStr">
        <is>
          <t>千克</t>
        </is>
      </c>
    </row>
    <row r="831" s="21">
      <c r="A831" s="8" t="inlineStr">
        <is>
          <t>100301</t>
        </is>
      </c>
      <c r="B831" s="8" t="inlineStr">
        <is>
          <t>无缝钢管</t>
        </is>
      </c>
      <c r="C831" s="8" t="inlineStr">
        <is>
          <t>600629100</t>
        </is>
      </c>
      <c r="D831" s="8" t="inlineStr">
        <is>
          <t>结构用热轧优质碳素结构无缝钢管|钢管|20|Φ130×8|GB/T 8162-2008|热轧|GB/T 17395-2008</t>
        </is>
      </c>
      <c r="E831" s="8" t="inlineStr">
        <is>
          <t>物资名称 结构用热轧优质碳素结构无缝钢管;物资简称 钢管;牌号 20;外径 Φ130;壁厚 8;技术标准号 GB/T 8162-2008;加工工艺 热轧;热处理工艺 ;特殊要求 ;规格标准号 GB/T 17395-2008</t>
        </is>
      </c>
      <c r="F831" s="4" t="inlineStr">
        <is>
          <t>千克</t>
        </is>
      </c>
    </row>
    <row r="832" s="21">
      <c r="A832" s="8" t="inlineStr">
        <is>
          <t>100301</t>
        </is>
      </c>
      <c r="B832" s="8" t="inlineStr">
        <is>
          <t>无缝钢管</t>
        </is>
      </c>
      <c r="C832" s="8" t="inlineStr">
        <is>
          <t>600629000</t>
        </is>
      </c>
      <c r="D832" s="8" t="inlineStr">
        <is>
          <t>结构用热轧优质碳素结构无缝钢管|钢管|20|Φ133×10|GB/T 8162-2008|热轧|GB/T 17395-2008</t>
        </is>
      </c>
      <c r="E832" s="8" t="inlineStr">
        <is>
          <t>物资名称 结构用热轧优质碳素结构无缝钢管;物资简称 钢管;牌号 20;外径 Φ133;壁厚 10;技术标准号 GB/T 8162-2008;加工工艺 热轧;热处理工艺 ;特殊要求 ;规格标准号 GB/T 17395-2008</t>
        </is>
      </c>
      <c r="F832" s="4" t="inlineStr">
        <is>
          <t>千克</t>
        </is>
      </c>
    </row>
    <row r="833" s="21">
      <c r="A833" s="8" t="inlineStr">
        <is>
          <t>100301</t>
        </is>
      </c>
      <c r="B833" s="8" t="inlineStr">
        <is>
          <t>无缝钢管</t>
        </is>
      </c>
      <c r="C833" s="8" t="inlineStr">
        <is>
          <t>600628900</t>
        </is>
      </c>
      <c r="D833" s="8" t="inlineStr">
        <is>
          <t>结构用热轧优质碳素结构无缝钢管|钢管|45|GB/T 8162-2008|GB/T 17395-2008</t>
        </is>
      </c>
      <c r="E833" s="8" t="inlineStr">
        <is>
          <t>物资名称 结构用热轧优质碳素结构无缝钢管;物资简称 钢管;牌号 45;外径 Φ;壁厚 ;技术标准号 GB/T 8162-2008;加工工艺 ;热处理工艺 ;特殊要求 ;规格标准号 GB/T 17395-2008</t>
        </is>
      </c>
      <c r="F833" s="4" t="inlineStr">
        <is>
          <t>千克</t>
        </is>
      </c>
    </row>
    <row r="834" s="21">
      <c r="A834" s="8" t="inlineStr">
        <is>
          <t>100301</t>
        </is>
      </c>
      <c r="B834" s="8" t="inlineStr">
        <is>
          <t>无缝钢管</t>
        </is>
      </c>
      <c r="C834" s="8" t="inlineStr">
        <is>
          <t>600628800</t>
        </is>
      </c>
      <c r="D834" s="8" t="inlineStr">
        <is>
          <t>结构用热轧优质碳素结构无缝钢管|钢管|45|Φ133×16|GB/T 8162-2008|热轧|退火|GB/T 17395-2008</t>
        </is>
      </c>
      <c r="E834" s="8" t="inlineStr">
        <is>
          <t>物资名称 结构用热轧优质碳素结构无缝钢管;物资简称 钢管;牌号 45;外径 Φ133;壁厚 16;技术标准号 GB/T 8162-2008;加工工艺 热轧;热处理工艺 退火;特殊要求 ;规格标准号 GB/T 17395-2008</t>
        </is>
      </c>
      <c r="F834" s="4" t="inlineStr">
        <is>
          <t>千克</t>
        </is>
      </c>
    </row>
    <row r="835" s="21">
      <c r="A835" s="8" t="inlineStr">
        <is>
          <t>100301</t>
        </is>
      </c>
      <c r="B835" s="8" t="inlineStr">
        <is>
          <t>无缝钢管</t>
        </is>
      </c>
      <c r="C835" s="8" t="inlineStr">
        <is>
          <t>600628700</t>
        </is>
      </c>
      <c r="D835" s="8" t="inlineStr">
        <is>
          <t>结构用热轧优质碳素结构无缝钢管|钢管|45|Φ194×35|GB/T 8162-2008|热轧|GB/T 17395-2008</t>
        </is>
      </c>
      <c r="E835" s="8" t="inlineStr">
        <is>
          <t>物资名称 结构用热轧优质碳素结构无缝钢管;物资简称 钢管;牌号 45;外径 Φ194;壁厚 35;技术标准号 GB/T 8162-2008;加工工艺 热轧;热处理工艺 ;特殊要求 ;规格标准号 GB/T 17395-2008</t>
        </is>
      </c>
      <c r="F835" s="4" t="inlineStr">
        <is>
          <t>千克</t>
        </is>
      </c>
    </row>
    <row r="836" s="21">
      <c r="A836" s="8" t="inlineStr">
        <is>
          <t>100301</t>
        </is>
      </c>
      <c r="B836" s="8" t="inlineStr">
        <is>
          <t>无缝钢管</t>
        </is>
      </c>
      <c r="C836" s="8" t="inlineStr">
        <is>
          <t>600628600</t>
        </is>
      </c>
      <c r="D836" s="8" t="inlineStr">
        <is>
          <t>结构用热轧优质碳素结构无缝钢管|钢管|45|Φ195×20|GB/T 8162-2008|热轧|GB/T 17395-2008</t>
        </is>
      </c>
      <c r="E836" s="8" t="inlineStr">
        <is>
          <t>物资名称 结构用热轧优质碳素结构无缝钢管;物资简称 钢管;牌号 45;外径 Φ195;壁厚 20;技术标准号 GB/T 8162-2008;加工工艺 热轧;热处理工艺 ;特殊要求 ;规格标准号 GB/T 17395-2008</t>
        </is>
      </c>
      <c r="F836" s="4" t="inlineStr">
        <is>
          <t>千克</t>
        </is>
      </c>
    </row>
    <row r="837" s="21">
      <c r="A837" s="8" t="inlineStr">
        <is>
          <t>100301</t>
        </is>
      </c>
      <c r="B837" s="8" t="inlineStr">
        <is>
          <t>无缝钢管</t>
        </is>
      </c>
      <c r="C837" s="8" t="inlineStr">
        <is>
          <t>600628500</t>
        </is>
      </c>
      <c r="D837" s="8" t="inlineStr">
        <is>
          <t>结构用热轧优质碳素结构无缝钢管|钢管|45|Φ325×28|GB/T 8162-2008|热轧|GB/T 17395-2008</t>
        </is>
      </c>
      <c r="E837" s="8" t="inlineStr">
        <is>
          <t>物资名称 结构用热轧优质碳素结构无缝钢管;物资简称 钢管;牌号 45;外径 Φ325;壁厚 28;技术标准号 GB/T 8162-2008;加工工艺 热轧;热处理工艺 ;特殊要求 ;规格标准号 GB/T 17395-2008</t>
        </is>
      </c>
      <c r="F837" s="4" t="inlineStr">
        <is>
          <t>千克</t>
        </is>
      </c>
    </row>
    <row r="838" s="21">
      <c r="A838" s="8" t="inlineStr">
        <is>
          <t>100301</t>
        </is>
      </c>
      <c r="B838" s="8" t="inlineStr">
        <is>
          <t>无缝钢管</t>
        </is>
      </c>
      <c r="C838" s="8" t="inlineStr">
        <is>
          <t>600628400</t>
        </is>
      </c>
      <c r="D838" s="8" t="inlineStr">
        <is>
          <t>结构用热轧合金结构无缝钢管|钢管|40Cr|GB/T 8162-2008|GB/T 17395-2008</t>
        </is>
      </c>
      <c r="E838" s="8" t="inlineStr">
        <is>
          <t>物资名称 结构用热轧合金结构无缝钢管;物资简称 钢管;牌号 40Cr;外径 Φ;壁厚 ;技术标准号 GB/T 8162-2008;加工工艺 ;热处理工艺 ;特殊要求 ;规格标准号 GB/T 17395-2008</t>
        </is>
      </c>
      <c r="F838" s="4" t="inlineStr">
        <is>
          <t>千克</t>
        </is>
      </c>
    </row>
    <row r="839" s="21">
      <c r="A839" s="8" t="inlineStr">
        <is>
          <t>100301</t>
        </is>
      </c>
      <c r="B839" s="8" t="inlineStr">
        <is>
          <t>无缝钢管</t>
        </is>
      </c>
      <c r="C839" s="8" t="inlineStr">
        <is>
          <t>600628300</t>
        </is>
      </c>
      <c r="D839" s="8" t="inlineStr">
        <is>
          <t>结构用热轧合金结构无缝钢管|钢管|40Cr|Φ121×13.5|GB/T 8162-2008|热轧|GB/T 17395-2008</t>
        </is>
      </c>
      <c r="E839" s="8" t="inlineStr">
        <is>
          <t>物资名称 结构用热轧合金结构无缝钢管;物资简称 钢管;牌号 40Cr;外径 Φ121;壁厚 13.5;技术标准号 GB/T 8162-2008;加工工艺 热轧;热处理工艺 ;特殊要求 ;规格标准号 GB/T 17395-2008</t>
        </is>
      </c>
      <c r="F839" s="4" t="inlineStr">
        <is>
          <t>千克</t>
        </is>
      </c>
    </row>
    <row r="840" s="21">
      <c r="A840" s="8" t="inlineStr">
        <is>
          <t>100301</t>
        </is>
      </c>
      <c r="B840" s="8" t="inlineStr">
        <is>
          <t>无缝钢管</t>
        </is>
      </c>
      <c r="C840" s="8" t="inlineStr">
        <is>
          <t>600628200</t>
        </is>
      </c>
      <c r="D840" s="8" t="inlineStr">
        <is>
          <t>结构用热轧合金结构无缝钢管|钢管|40Cr|Φ205×38|GB/T 8162-2008|热轧|GB/T 17395-2008</t>
        </is>
      </c>
      <c r="E840" s="8" t="inlineStr">
        <is>
          <t>物资名称 结构用热轧合金结构无缝钢管;物资简称 钢管;牌号 40Cr;外径 Φ205;壁厚 38;技术标准号 GB/T 8162-2008;加工工艺 热轧;热处理工艺 ;特殊要求 ;规格标准号 GB/T 17395-2008</t>
        </is>
      </c>
      <c r="F840" s="4" t="inlineStr">
        <is>
          <t>千克</t>
        </is>
      </c>
    </row>
    <row r="841" s="21">
      <c r="A841" s="8" t="inlineStr">
        <is>
          <t>100301</t>
        </is>
      </c>
      <c r="B841" s="8" t="inlineStr">
        <is>
          <t>无缝钢管</t>
        </is>
      </c>
      <c r="C841" s="8" t="inlineStr">
        <is>
          <t>600628100</t>
        </is>
      </c>
      <c r="D841" s="8" t="inlineStr">
        <is>
          <t>结构用热轧合金结构无缝钢管|钢管|40Cr|Φ273×30|GB/T 8162-2008|热轧|GB/T 17395-2008</t>
        </is>
      </c>
      <c r="E841" s="8" t="inlineStr">
        <is>
          <t>物资名称 结构用热轧合金结构无缝钢管;物资简称 钢管;牌号 40Cr;外径 Φ273;壁厚 30;技术标准号 GB/T 8162-2008;加工工艺 热轧;热处理工艺 ;特殊要求 ;规格标准号 GB/T 17395-2008</t>
        </is>
      </c>
      <c r="F841" s="4" t="inlineStr">
        <is>
          <t>千克</t>
        </is>
      </c>
    </row>
    <row r="842" s="21">
      <c r="A842" s="8" t="inlineStr">
        <is>
          <t>100301</t>
        </is>
      </c>
      <c r="B842" s="8" t="inlineStr">
        <is>
          <t>无缝钢管</t>
        </is>
      </c>
      <c r="C842" s="8" t="inlineStr">
        <is>
          <t>600628000</t>
        </is>
      </c>
      <c r="D842" s="8" t="inlineStr">
        <is>
          <t>结构用热轧合金结构无缝钢管|钢管|40Cr|Φ325×45|GB/T 8162-2008|热轧|GB/T 17395-2008</t>
        </is>
      </c>
      <c r="E842" s="8" t="inlineStr">
        <is>
          <t>物资名称 结构用热轧合金结构无缝钢管;物资简称 钢管;牌号 40Cr;外径 Φ325;壁厚 45;技术标准号 GB/T 8162-2008;加工工艺 热轧;热处理工艺 ;特殊要求 ;规格标准号 GB/T 17395-2008</t>
        </is>
      </c>
      <c r="F842" s="4" t="inlineStr">
        <is>
          <t>千克</t>
        </is>
      </c>
    </row>
    <row r="843" s="21">
      <c r="A843" s="8" t="inlineStr">
        <is>
          <t>100301</t>
        </is>
      </c>
      <c r="B843" s="8" t="inlineStr">
        <is>
          <t>无缝钢管</t>
        </is>
      </c>
      <c r="C843" s="8" t="inlineStr">
        <is>
          <t>600627900</t>
        </is>
      </c>
      <c r="D843" s="8" t="inlineStr">
        <is>
          <t>结构用热轧不锈无缝钢管|钢管|1Cr18Ni9Ti|GB/T 14975-2002</t>
        </is>
      </c>
      <c r="E843" s="8" t="inlineStr">
        <is>
          <t xml:space="preserve">物资名称 结构用热轧不锈无缝钢管;物资简称 钢管;牌号 1Cr18Ni9Ti;外径 Φ;壁厚 ;技术标准号 GB/T 14975-2002;加工工艺 ;热处理工艺 ;特殊要求 ;规格标准号 </t>
        </is>
      </c>
      <c r="F843" s="4" t="inlineStr">
        <is>
          <t>千克</t>
        </is>
      </c>
    </row>
    <row r="844" s="21">
      <c r="A844" s="8" t="inlineStr">
        <is>
          <t>100301</t>
        </is>
      </c>
      <c r="B844" s="8" t="inlineStr">
        <is>
          <t>无缝钢管</t>
        </is>
      </c>
      <c r="C844" s="8" t="inlineStr">
        <is>
          <t>600627800</t>
        </is>
      </c>
      <c r="D844" s="8" t="inlineStr">
        <is>
          <t>结构用热轧不锈无缝钢管|钢管|1Cr18Ni9Ti|Φ2×0.5|GB/T 14975-2002|热轧</t>
        </is>
      </c>
      <c r="E844" s="8" t="inlineStr">
        <is>
          <t xml:space="preserve">物资名称 结构用热轧不锈无缝钢管;物资简称 钢管;牌号 1Cr18Ni9Ti;外径 Φ2;壁厚 0.5;技术标准号 GB/T 14975-2002;加工工艺 热轧;热处理工艺 ;特殊要求 ;规格标准号 </t>
        </is>
      </c>
      <c r="F844" s="4" t="inlineStr">
        <is>
          <t>千克</t>
        </is>
      </c>
    </row>
    <row r="845" s="21">
      <c r="A845" s="8" t="inlineStr">
        <is>
          <t>100301</t>
        </is>
      </c>
      <c r="B845" s="8" t="inlineStr">
        <is>
          <t>无缝钢管</t>
        </is>
      </c>
      <c r="C845" s="8" t="inlineStr">
        <is>
          <t>600627700</t>
        </is>
      </c>
      <c r="D845" s="8" t="inlineStr">
        <is>
          <t>结构用热轧不锈无缝钢管|钢管|1Cr18Ni9Ti|Φ4×1|GB/T 14975-2002|热轧</t>
        </is>
      </c>
      <c r="E845" s="8" t="inlineStr">
        <is>
          <t xml:space="preserve">物资名称 结构用热轧不锈无缝钢管;物资简称 钢管;牌号 1Cr18Ni9Ti;外径 Φ4;壁厚 1;技术标准号 GB/T 14975-2002;加工工艺 热轧;热处理工艺 ;特殊要求 ;规格标准号 </t>
        </is>
      </c>
      <c r="F845" s="4" t="inlineStr">
        <is>
          <t>千克</t>
        </is>
      </c>
    </row>
    <row r="846" s="21">
      <c r="A846" s="8" t="inlineStr">
        <is>
          <t>100301</t>
        </is>
      </c>
      <c r="B846" s="8" t="inlineStr">
        <is>
          <t>无缝钢管</t>
        </is>
      </c>
      <c r="C846" s="8" t="inlineStr">
        <is>
          <t>600627600</t>
        </is>
      </c>
      <c r="D846" s="8" t="inlineStr">
        <is>
          <t>结构用热轧不锈无缝钢管|钢管|1Cr18Ni9Ti|Φ6×1|GB/T 14975-2002|热轧</t>
        </is>
      </c>
      <c r="E846" s="8" t="inlineStr">
        <is>
          <t xml:space="preserve">物资名称 结构用热轧不锈无缝钢管;物资简称 钢管;牌号 1Cr18Ni9Ti;外径 Φ6;壁厚 1;技术标准号 GB/T 14975-2002;加工工艺 热轧;热处理工艺 ;特殊要求 ;规格标准号 </t>
        </is>
      </c>
      <c r="F846" s="4" t="inlineStr">
        <is>
          <t>千克</t>
        </is>
      </c>
    </row>
    <row r="847" s="21">
      <c r="A847" s="8" t="inlineStr">
        <is>
          <t>100301</t>
        </is>
      </c>
      <c r="B847" s="8" t="inlineStr">
        <is>
          <t>无缝钢管</t>
        </is>
      </c>
      <c r="C847" s="8" t="inlineStr">
        <is>
          <t>600627500</t>
        </is>
      </c>
      <c r="D847" s="8" t="inlineStr">
        <is>
          <t>结构用热轧不锈无缝钢管|钢管|1Cr18Ni9Ti|Φ6×1.5|GB/T 14975-2002|热轧</t>
        </is>
      </c>
      <c r="E847" s="8" t="inlineStr">
        <is>
          <t xml:space="preserve">物资名称 结构用热轧不锈无缝钢管;物资简称 钢管;牌号 1Cr18Ni9Ti;外径 Φ6;壁厚 1.5;技术标准号 GB/T 14975-2002;加工工艺 热轧;热处理工艺 ;特殊要求 ;规格标准号 </t>
        </is>
      </c>
      <c r="F847" s="4" t="inlineStr">
        <is>
          <t>千克</t>
        </is>
      </c>
    </row>
    <row r="848" s="21">
      <c r="A848" s="8" t="inlineStr">
        <is>
          <t>100301</t>
        </is>
      </c>
      <c r="B848" s="8" t="inlineStr">
        <is>
          <t>无缝钢管</t>
        </is>
      </c>
      <c r="C848" s="8" t="inlineStr">
        <is>
          <t>600627400</t>
        </is>
      </c>
      <c r="D848" s="8" t="inlineStr">
        <is>
          <t>结构用热轧不锈无缝钢管|钢管|1Cr18Ni9Ti|Φ8×1|GB/T 14975-2002|热轧</t>
        </is>
      </c>
      <c r="E848" s="8" t="inlineStr">
        <is>
          <t xml:space="preserve">物资名称 结构用热轧不锈无缝钢管;物资简称 钢管;牌号 1Cr18Ni9Ti;外径 Φ8;壁厚 1;技术标准号 GB/T 14975-2002;加工工艺 热轧;热处理工艺 ;特殊要求 ;规格标准号 </t>
        </is>
      </c>
      <c r="F848" s="4" t="inlineStr">
        <is>
          <t>千克</t>
        </is>
      </c>
    </row>
    <row r="849" s="21">
      <c r="A849" s="8" t="inlineStr">
        <is>
          <t>100301</t>
        </is>
      </c>
      <c r="B849" s="8" t="inlineStr">
        <is>
          <t>无缝钢管</t>
        </is>
      </c>
      <c r="C849" s="8" t="inlineStr">
        <is>
          <t>600627300</t>
        </is>
      </c>
      <c r="D849" s="8" t="inlineStr">
        <is>
          <t>结构用热轧不锈无缝钢管|钢管|1Cr18Ni9Ti|Φ8×2|GB/T 14975-2002|热轧</t>
        </is>
      </c>
      <c r="E849" s="8" t="inlineStr">
        <is>
          <t xml:space="preserve">物资名称 结构用热轧不锈无缝钢管;物资简称 钢管;牌号 1Cr18Ni9Ti;外径 Φ8;壁厚 2;技术标准号 GB/T 14975-2002;加工工艺 热轧;热处理工艺 ;特殊要求 ;规格标准号 </t>
        </is>
      </c>
      <c r="F849" s="4" t="inlineStr">
        <is>
          <t>千克</t>
        </is>
      </c>
    </row>
    <row r="850" s="21">
      <c r="A850" s="8" t="inlineStr">
        <is>
          <t>100301</t>
        </is>
      </c>
      <c r="B850" s="8" t="inlineStr">
        <is>
          <t>无缝钢管</t>
        </is>
      </c>
      <c r="C850" s="8" t="inlineStr">
        <is>
          <t>600627200</t>
        </is>
      </c>
      <c r="D850" s="8" t="inlineStr">
        <is>
          <t>结构用热轧不锈无缝钢管|钢管|1Cr18Ni9Ti|Φ10×1|GB/T 14975-2002|热轧</t>
        </is>
      </c>
      <c r="E850" s="8" t="inlineStr">
        <is>
          <t xml:space="preserve">物资名称 结构用热轧不锈无缝钢管;物资简称 钢管;牌号 1Cr18Ni9Ti;外径 Φ10;壁厚 1;技术标准号 GB/T 14975-2002;加工工艺 热轧;热处理工艺 ;特殊要求 ;规格标准号 </t>
        </is>
      </c>
      <c r="F850" s="4" t="inlineStr">
        <is>
          <t>千克</t>
        </is>
      </c>
    </row>
    <row r="851" s="21">
      <c r="A851" s="8" t="inlineStr">
        <is>
          <t>100301</t>
        </is>
      </c>
      <c r="B851" s="8" t="inlineStr">
        <is>
          <t>无缝钢管</t>
        </is>
      </c>
      <c r="C851" s="8" t="inlineStr">
        <is>
          <t>600627100</t>
        </is>
      </c>
      <c r="D851" s="8" t="inlineStr">
        <is>
          <t>结构用热轧不锈无缝钢管|钢管|1Cr18Ni9Ti|Φ12×1|GB/T 14975-2002|热轧</t>
        </is>
      </c>
      <c r="E851" s="8" t="inlineStr">
        <is>
          <t xml:space="preserve">物资名称 结构用热轧不锈无缝钢管;物资简称 钢管;牌号 1Cr18Ni9Ti;外径 Φ12;壁厚 1;技术标准号 GB/T 14975-2002;加工工艺 热轧;热处理工艺 ;特殊要求 ;规格标准号 </t>
        </is>
      </c>
      <c r="F851" s="4" t="inlineStr">
        <is>
          <t>千克</t>
        </is>
      </c>
    </row>
    <row r="852" s="21">
      <c r="A852" s="8" t="inlineStr">
        <is>
          <t>100301</t>
        </is>
      </c>
      <c r="B852" s="8" t="inlineStr">
        <is>
          <t>无缝钢管</t>
        </is>
      </c>
      <c r="C852" s="8" t="inlineStr">
        <is>
          <t>600627000</t>
        </is>
      </c>
      <c r="D852" s="8" t="inlineStr">
        <is>
          <t>结构用热轧不锈无缝钢管|钢管|1Cr18Ni9Ti|Φ45×4|GB/T 14975-2002|热轧</t>
        </is>
      </c>
      <c r="E852" s="8" t="inlineStr">
        <is>
          <t xml:space="preserve">物资名称 结构用热轧不锈无缝钢管;物资简称 钢管;牌号 1Cr18Ni9Ti;外径 Φ45;壁厚 4;技术标准号 GB/T 14975-2002;加工工艺 热轧;热处理工艺 ;特殊要求 ;规格标准号 </t>
        </is>
      </c>
      <c r="F852" s="4" t="inlineStr">
        <is>
          <t>千克</t>
        </is>
      </c>
    </row>
    <row r="853" s="21">
      <c r="A853" s="8" t="inlineStr">
        <is>
          <t>100301</t>
        </is>
      </c>
      <c r="B853" s="8" t="inlineStr">
        <is>
          <t>无缝钢管</t>
        </is>
      </c>
      <c r="C853" s="8" t="inlineStr">
        <is>
          <t>600626900</t>
        </is>
      </c>
      <c r="D853" s="8" t="inlineStr">
        <is>
          <t>结构用热轧不锈无缝钢管|钢管|1Cr18Ni9Ti|Φ89×6|GB/T 14975-2002|热轧</t>
        </is>
      </c>
      <c r="E853" s="8" t="inlineStr">
        <is>
          <t xml:space="preserve">物资名称 结构用热轧不锈无缝钢管;物资简称 钢管;牌号 1Cr18Ni9Ti;外径 Φ89;壁厚 6;技术标准号 GB/T 14975-2002;加工工艺 热轧;热处理工艺 ;特殊要求 ;规格标准号 </t>
        </is>
      </c>
      <c r="F853" s="4" t="inlineStr">
        <is>
          <t>千克</t>
        </is>
      </c>
    </row>
    <row r="854" s="21">
      <c r="A854" s="8" t="inlineStr">
        <is>
          <t>100301</t>
        </is>
      </c>
      <c r="B854" s="8" t="inlineStr">
        <is>
          <t>无缝钢管</t>
        </is>
      </c>
      <c r="C854" s="8" t="inlineStr">
        <is>
          <t>600626800</t>
        </is>
      </c>
      <c r="D854" s="8" t="inlineStr">
        <is>
          <t>结构用热轧不锈无缝钢管|钢管|1Cr18Ni9Ti|Φ25×2.5|GB/T 14975-2002|热轧</t>
        </is>
      </c>
      <c r="E854" s="8" t="inlineStr">
        <is>
          <t xml:space="preserve">物资名称 结构用热轧不锈无缝钢管;物资简称 钢管;牌号 1Cr18Ni9Ti;外径 Φ25;壁厚 2.5;技术标准号 GB/T 14975-2002;加工工艺 热轧;热处理工艺 ;特殊要求 ;规格标准号 </t>
        </is>
      </c>
      <c r="F854" s="4" t="inlineStr">
        <is>
          <t>千克</t>
        </is>
      </c>
    </row>
    <row r="855" s="21">
      <c r="A855" s="8" t="inlineStr">
        <is>
          <t>100301</t>
        </is>
      </c>
      <c r="B855" s="8" t="inlineStr">
        <is>
          <t>无缝钢管</t>
        </is>
      </c>
      <c r="C855" s="8" t="inlineStr">
        <is>
          <t>600626700</t>
        </is>
      </c>
      <c r="D855" s="8" t="inlineStr">
        <is>
          <t>结构用热轧不锈无缝钢管|钢管|1Cr18Ni9Ti|Φ32×3|GB/T 14975-2002|热轧</t>
        </is>
      </c>
      <c r="E855" s="8" t="inlineStr">
        <is>
          <t xml:space="preserve">物资名称 结构用热轧不锈无缝钢管;物资简称 钢管;牌号 1Cr18Ni9Ti;外径 Φ32;壁厚 3;技术标准号 GB/T 14975-2002;加工工艺 热轧;热处理工艺 ;特殊要求 ;规格标准号 </t>
        </is>
      </c>
      <c r="F855" s="4" t="inlineStr">
        <is>
          <t>千克</t>
        </is>
      </c>
    </row>
    <row r="856" s="21">
      <c r="A856" s="8" t="inlineStr">
        <is>
          <t>100301</t>
        </is>
      </c>
      <c r="B856" s="8" t="inlineStr">
        <is>
          <t>无缝钢管</t>
        </is>
      </c>
      <c r="C856" s="8" t="inlineStr">
        <is>
          <t>600626600</t>
        </is>
      </c>
      <c r="D856" s="8" t="inlineStr">
        <is>
          <t>结构用热轧不锈无缝钢管|钢管|1Cr18Ni9Ti|Φ34×3|GB/T 14975-2002|热轧</t>
        </is>
      </c>
      <c r="E856" s="8" t="inlineStr">
        <is>
          <t xml:space="preserve">物资名称 结构用热轧不锈无缝钢管;物资简称 钢管;牌号 1Cr18Ni9Ti;外径 Φ34;壁厚 3;技术标准号 GB/T 14975-2002;加工工艺 热轧;热处理工艺 ;特殊要求 ;规格标准号 </t>
        </is>
      </c>
      <c r="F856" s="4" t="inlineStr">
        <is>
          <t>千克</t>
        </is>
      </c>
    </row>
    <row r="857" s="21">
      <c r="A857" s="8" t="inlineStr">
        <is>
          <t>100301</t>
        </is>
      </c>
      <c r="B857" s="8" t="inlineStr">
        <is>
          <t>无缝钢管</t>
        </is>
      </c>
      <c r="C857" s="8" t="inlineStr">
        <is>
          <t>600626500</t>
        </is>
      </c>
      <c r="D857" s="8" t="inlineStr">
        <is>
          <t>结构用热轧不锈无缝钢管|钢管|1Cr18Ni9Ti|Φ28×4|GB/T 14975-2002|热轧</t>
        </is>
      </c>
      <c r="E857" s="8" t="inlineStr">
        <is>
          <t xml:space="preserve">物资名称 结构用热轧不锈无缝钢管;物资简称 钢管;牌号 1Cr18Ni9Ti;外径 Φ28;壁厚 4;技术标准号 GB/T 14975-2002;加工工艺 热轧;热处理工艺 ;特殊要求 ;规格标准号 </t>
        </is>
      </c>
      <c r="F857" s="4" t="inlineStr">
        <is>
          <t>千克</t>
        </is>
      </c>
    </row>
    <row r="858" s="21">
      <c r="A858" s="8" t="inlineStr">
        <is>
          <t>100301</t>
        </is>
      </c>
      <c r="B858" s="8" t="inlineStr">
        <is>
          <t>无缝钢管</t>
        </is>
      </c>
      <c r="C858" s="8" t="inlineStr">
        <is>
          <t>600626400</t>
        </is>
      </c>
      <c r="D858" s="8" t="inlineStr">
        <is>
          <t>结构用热轧不锈无缝钢管|钢管|1Cr18Ni9Ti|Φ27×3|GB/T 14975-2002|热轧</t>
        </is>
      </c>
      <c r="E858" s="8" t="inlineStr">
        <is>
          <t xml:space="preserve">物资名称 结构用热轧不锈无缝钢管;物资简称 钢管;牌号 1Cr18Ni9Ti;外径 Φ27;壁厚 3;技术标准号 GB/T 14975-2002;加工工艺 热轧;热处理工艺 ;特殊要求 ;规格标准号 </t>
        </is>
      </c>
      <c r="F858" s="4" t="inlineStr">
        <is>
          <t>千克</t>
        </is>
      </c>
    </row>
    <row r="859" s="21">
      <c r="A859" s="8" t="inlineStr">
        <is>
          <t>100301</t>
        </is>
      </c>
      <c r="B859" s="8" t="inlineStr">
        <is>
          <t>无缝钢管</t>
        </is>
      </c>
      <c r="C859" s="8" t="inlineStr">
        <is>
          <t>600626300</t>
        </is>
      </c>
      <c r="D859" s="8" t="inlineStr">
        <is>
          <t>结构用热轧不锈无缝钢管|钢管|1Cr18Ni9Ti|Φ25×3|GB/T 14975-2002|热轧</t>
        </is>
      </c>
      <c r="E859" s="8" t="inlineStr">
        <is>
          <t xml:space="preserve">物资名称 结构用热轧不锈无缝钢管;物资简称 钢管;牌号 1Cr18Ni9Ti;外径 Φ25;壁厚 3;技术标准号 GB/T 14975-2002;加工工艺 热轧;热处理工艺 ;特殊要求 ;规格标准号 </t>
        </is>
      </c>
      <c r="F859" s="4" t="inlineStr">
        <is>
          <t>千克</t>
        </is>
      </c>
    </row>
    <row r="860" s="21">
      <c r="A860" s="8" t="inlineStr">
        <is>
          <t>100301</t>
        </is>
      </c>
      <c r="B860" s="8" t="inlineStr">
        <is>
          <t>无缝钢管</t>
        </is>
      </c>
      <c r="C860" s="8" t="inlineStr">
        <is>
          <t>600626200</t>
        </is>
      </c>
      <c r="D860" s="8" t="inlineStr">
        <is>
          <t>结构用热轧不锈无缝钢管|钢管|1Cr18Ni9Ti|Φ42×3|GB/T 14975-2002|热轧</t>
        </is>
      </c>
      <c r="E860" s="8" t="inlineStr">
        <is>
          <t xml:space="preserve">物资名称 结构用热轧不锈无缝钢管;物资简称 钢管;牌号 1Cr18Ni9Ti;外径 Φ42;壁厚 3;技术标准号 GB/T 14975-2002;加工工艺 热轧;热处理工艺 ;特殊要求 ;规格标准号 </t>
        </is>
      </c>
      <c r="F860" s="4" t="inlineStr">
        <is>
          <t>千克</t>
        </is>
      </c>
    </row>
    <row r="861" s="21">
      <c r="A861" s="8" t="inlineStr">
        <is>
          <t>100301</t>
        </is>
      </c>
      <c r="B861" s="8" t="inlineStr">
        <is>
          <t>无缝钢管</t>
        </is>
      </c>
      <c r="C861" s="8" t="inlineStr">
        <is>
          <t>600626100</t>
        </is>
      </c>
      <c r="D861" s="8" t="inlineStr">
        <is>
          <t>结构用热轧不锈无缝钢管|钢管|1Cr18Ni9Ti|Φ60×6|GB/T 14975-2002|热轧</t>
        </is>
      </c>
      <c r="E861" s="8" t="inlineStr">
        <is>
          <t xml:space="preserve">物资名称 结构用热轧不锈无缝钢管;物资简称 钢管;牌号 1Cr18Ni9Ti;外径 Φ60;壁厚 6;技术标准号 GB/T 14975-2002;加工工艺 热轧;热处理工艺 ;特殊要求 ;规格标准号 </t>
        </is>
      </c>
      <c r="F861" s="4" t="inlineStr">
        <is>
          <t>千克</t>
        </is>
      </c>
    </row>
    <row r="862" s="21">
      <c r="A862" s="8" t="inlineStr">
        <is>
          <t>100401</t>
        </is>
      </c>
      <c r="B862" s="8" t="inlineStr">
        <is>
          <t>钢带</t>
        </is>
      </c>
      <c r="C862" s="8" t="inlineStr">
        <is>
          <t>603573200</t>
        </is>
      </c>
      <c r="D862" s="8" t="inlineStr">
        <is>
          <t>冷轧不锈钢带|钢带|45-P-G-Q-I|δ1|30|YB207-1965|冷轧|H1/4|N|GB/T 708-2006</t>
        </is>
      </c>
      <c r="E862" s="8" t="inlineStr">
        <is>
          <t>物资名称 冷轧不锈钢带;物资简称 钢带;牌号 45-P-G-Q-I;厚度 δ1;宽 30;技术标准号 YB207-1965;加工工艺 冷轧;热处理工艺 H1/4;特殊要求 N;规格标准号 GB/T 708-2006</t>
        </is>
      </c>
      <c r="F862" s="4" t="inlineStr">
        <is>
          <t>千克</t>
        </is>
      </c>
    </row>
    <row r="863" s="21">
      <c r="A863" s="8" t="inlineStr">
        <is>
          <t>100401</t>
        </is>
      </c>
      <c r="B863" s="8" t="inlineStr">
        <is>
          <t>钢带</t>
        </is>
      </c>
      <c r="C863" s="8" t="inlineStr">
        <is>
          <t>603540500</t>
        </is>
      </c>
      <c r="D863" s="8" t="inlineStr">
        <is>
          <t>冷轧不锈钢带|钢带|12Cr18Ni9|δ1.2|GB/T 3280-2015|冷轧|H1/4|N|GB/T 708-2006</t>
        </is>
      </c>
      <c r="E863" s="8" t="inlineStr">
        <is>
          <t>物资名称 冷轧不锈钢带;物资简称 钢带;牌号 12Cr18Ni9;厚度 δ1.2;宽 ;技术标准号 GB/T 3280-2015;加工工艺 冷轧;热处理工艺 H1/4;特殊要求 N;规格标准号 GB/T 708-2006</t>
        </is>
      </c>
      <c r="F863" s="4" t="inlineStr">
        <is>
          <t>千克</t>
        </is>
      </c>
    </row>
    <row r="864" s="21">
      <c r="A864" s="8" t="inlineStr">
        <is>
          <t>100401</t>
        </is>
      </c>
      <c r="B864" s="8" t="inlineStr">
        <is>
          <t>钢带</t>
        </is>
      </c>
      <c r="C864" s="8" t="inlineStr">
        <is>
          <t>603539300</t>
        </is>
      </c>
      <c r="D864" s="8" t="inlineStr">
        <is>
          <t>热处理弹簧钢带|钢带|60Si2MnA|YB/T 5063-2007</t>
        </is>
      </c>
      <c r="E864" s="8" t="inlineStr">
        <is>
          <t>物资名称 热处理弹簧钢带;物资简称 钢带;牌号 60Si2MnA;厚度 δ;宽 ;技术标准号 YB/T 5063-2007;加工工艺 ;热处理工艺 ;特殊要求 ;规格标准号</t>
        </is>
      </c>
      <c r="F864" s="4" t="inlineStr">
        <is>
          <t>千克</t>
        </is>
      </c>
    </row>
    <row r="865" s="21">
      <c r="A865" s="8" t="inlineStr">
        <is>
          <t>100401</t>
        </is>
      </c>
      <c r="B865" s="8" t="inlineStr">
        <is>
          <t>钢带</t>
        </is>
      </c>
      <c r="C865" s="8" t="inlineStr">
        <is>
          <t>603537900</t>
        </is>
      </c>
      <c r="D865" s="8" t="inlineStr">
        <is>
          <t>弹簧用不锈钢冷轧钢带|钢带|12Cr17Ni7|δ0.6|YB/T 5310-2010|冷轧</t>
        </is>
      </c>
      <c r="E865" s="8" t="inlineStr">
        <is>
          <t>物资名称 弹簧用不锈钢冷轧钢带;物资简称 钢带;牌号 12Cr17Ni7;厚度 δ0.6;宽 ;技术标准号 YB/T 5310-2010;加工工艺 冷轧;热处理工艺 ;特殊要求 ;规格标准号</t>
        </is>
      </c>
      <c r="F865" s="4" t="inlineStr">
        <is>
          <t>千克</t>
        </is>
      </c>
    </row>
    <row r="866" s="21">
      <c r="A866" s="8" t="inlineStr">
        <is>
          <t>100401</t>
        </is>
      </c>
      <c r="B866" s="8" t="inlineStr">
        <is>
          <t>钢带</t>
        </is>
      </c>
      <c r="C866" s="8" t="inlineStr">
        <is>
          <t>603528800</t>
        </is>
      </c>
      <c r="D866" s="8" t="inlineStr">
        <is>
          <t>冷轧不锈钢带|钢带|0Cr18Ni9|δ0.25|GB/T 4239-1991|冷轧|Y2</t>
        </is>
      </c>
      <c r="E866" s="8" t="inlineStr">
        <is>
          <t>物资名称 冷轧不锈钢带;物资简称 钢带;牌号 0Cr18Ni9;厚度 δ0.25;宽 ;技术标准号 GB/T 4239-1991;加工工艺 冷轧;热处理工艺 ;特殊要求 Y2;规格标准号</t>
        </is>
      </c>
      <c r="F866" s="4" t="inlineStr">
        <is>
          <t>千克</t>
        </is>
      </c>
    </row>
    <row r="867" s="21">
      <c r="A867" s="8" t="inlineStr">
        <is>
          <t>100401</t>
        </is>
      </c>
      <c r="B867" s="8" t="inlineStr">
        <is>
          <t>钢带</t>
        </is>
      </c>
      <c r="C867" s="8" t="inlineStr">
        <is>
          <t>603335100</t>
        </is>
      </c>
      <c r="D867" s="8" t="inlineStr">
        <is>
          <t>带孔无花镀锌板卷|镀锌板|δ0.4mm×10mm</t>
        </is>
      </c>
      <c r="E867" s="8" t="inlineStr">
        <is>
          <t>物资名称 带孔无花镀锌板卷;物资简称 镀锌板;牌号 ;厚度 δ0.4mm;宽 10mm;技术标准号 ;加工工艺 ;热处理工艺 ;特殊要求 ;规格标准号</t>
        </is>
      </c>
      <c r="F867" s="4" t="inlineStr">
        <is>
          <t>千克</t>
        </is>
      </c>
    </row>
    <row r="868" s="21">
      <c r="A868" s="8" t="inlineStr">
        <is>
          <t>100401</t>
        </is>
      </c>
      <c r="B868" s="8" t="inlineStr">
        <is>
          <t>钢带</t>
        </is>
      </c>
      <c r="C868" s="8" t="inlineStr">
        <is>
          <t>602886900</t>
        </is>
      </c>
      <c r="D868" s="8" t="inlineStr">
        <is>
          <t>特种钢带|钢带|SOONV-32181|δ0.508|SVM-NM-32181|上海速威特特种合金</t>
        </is>
      </c>
      <c r="E868" s="8" t="inlineStr">
        <is>
          <t>物资名称 特种钢带;物资简称 钢带;牌号 SOONV-32181;厚度 δ0.508;宽 ;技术标准号 SVM-NM-32181;加工工艺 ;热处理工艺 ;特殊要求 上海速威特特种合金;规格标准号</t>
        </is>
      </c>
      <c r="F868" s="4" t="inlineStr">
        <is>
          <t>千克</t>
        </is>
      </c>
    </row>
    <row r="869" s="21">
      <c r="A869" s="8" t="inlineStr">
        <is>
          <t>100401</t>
        </is>
      </c>
      <c r="B869" s="8" t="inlineStr">
        <is>
          <t>钢带</t>
        </is>
      </c>
      <c r="C869" s="8" t="inlineStr">
        <is>
          <t>602309100</t>
        </is>
      </c>
      <c r="D869" s="8" t="inlineStr">
        <is>
          <t>冷轧不锈钢带|钢带|0Cr18Ni9|δ0.02|GB/T 4239-1991|冷轧|Y2</t>
        </is>
      </c>
      <c r="E869" s="8" t="inlineStr">
        <is>
          <t xml:space="preserve">物资名称 冷轧不锈钢带;物资简称 钢带;牌号 0Cr18Ni9;厚度 δ0.02;宽 ;技术标准号 GB/T 4239-1991;加工工艺 冷轧;热处理工艺 ;特殊要求 Y2;规格标准号 </t>
        </is>
      </c>
      <c r="F869" s="4" t="inlineStr">
        <is>
          <t>千克</t>
        </is>
      </c>
    </row>
    <row r="870" s="21">
      <c r="A870" s="8" t="inlineStr">
        <is>
          <t>100401</t>
        </is>
      </c>
      <c r="B870" s="8" t="inlineStr">
        <is>
          <t>钢带</t>
        </is>
      </c>
      <c r="C870" s="8" t="inlineStr">
        <is>
          <t>602309000</t>
        </is>
      </c>
      <c r="D870" s="8" t="inlineStr">
        <is>
          <t>特种钢带|钢带|XSVS-7C27Mo2|δ0.508×200×205|厂家约定</t>
        </is>
      </c>
      <c r="E870" s="8" t="inlineStr">
        <is>
          <t xml:space="preserve">物资名称 特种钢带;物资简称 钢带;牌号 XSVS-7C27Mo2;厚度 δ0.508;宽 200×205;技术标准号 ;加工工艺 ;热处理工艺 ;特殊要求 厂家约定;规格标准号 </t>
        </is>
      </c>
      <c r="F870" s="4" t="inlineStr">
        <is>
          <t>千克</t>
        </is>
      </c>
    </row>
    <row r="871" s="21">
      <c r="A871" s="8" t="inlineStr">
        <is>
          <t>100401</t>
        </is>
      </c>
      <c r="B871" s="8" t="inlineStr">
        <is>
          <t>钢带</t>
        </is>
      </c>
      <c r="C871" s="8" t="inlineStr">
        <is>
          <t>602288600</t>
        </is>
      </c>
      <c r="D871" s="8" t="inlineStr">
        <is>
          <t>特种钢带|钢带|SOONV-32181|SVM-NM-32181|上海速威特特种合金</t>
        </is>
      </c>
      <c r="E871" s="8" t="inlineStr">
        <is>
          <t xml:space="preserve">物资名称 特种钢带;物资简称 钢带;牌号 SOONV-32181;厚度 δ;宽 ;技术标准号 SVM-NM-32181;加工工艺 ;热处理工艺 ;特殊要求 上海速威特特种合金;规格标准号 </t>
        </is>
      </c>
      <c r="F871" s="4" t="inlineStr">
        <is>
          <t>千克</t>
        </is>
      </c>
    </row>
    <row r="872" s="21">
      <c r="A872" s="8" t="inlineStr">
        <is>
          <t>100401</t>
        </is>
      </c>
      <c r="B872" s="8" t="inlineStr">
        <is>
          <t>钢带</t>
        </is>
      </c>
      <c r="C872" s="8" t="inlineStr">
        <is>
          <t>602148400</t>
        </is>
      </c>
      <c r="D872" s="8" t="inlineStr">
        <is>
          <t>冷轧不锈钢带|钢带|0Cr18Ni9|δ0.1|GB/T 4239-1991|冷轧|Y2</t>
        </is>
      </c>
      <c r="E872" s="8" t="inlineStr">
        <is>
          <t xml:space="preserve">物资名称 冷轧不锈钢带;物资简称 钢带;牌号 0Cr18Ni9;厚度 δ0.1;宽 ;技术标准号 GB/T 4239-1991;加工工艺 冷轧;热处理工艺 ;特殊要求 Y2;规格标准号 </t>
        </is>
      </c>
      <c r="F872" s="4" t="inlineStr">
        <is>
          <t>千克</t>
        </is>
      </c>
    </row>
    <row r="873" s="21">
      <c r="A873" s="8" t="inlineStr">
        <is>
          <t>100401</t>
        </is>
      </c>
      <c r="B873" s="8" t="inlineStr">
        <is>
          <t>钢带</t>
        </is>
      </c>
      <c r="C873" s="8" t="inlineStr">
        <is>
          <t>602148300</t>
        </is>
      </c>
      <c r="D873" s="8" t="inlineStr">
        <is>
          <t>冷轧不锈钢带|钢带|0Cr18Ni9|δ0.15|GB/T 4239-1991|冷轧|Y2</t>
        </is>
      </c>
      <c r="E873" s="8" t="inlineStr">
        <is>
          <t xml:space="preserve">物资名称 冷轧不锈钢带;物资简称 钢带;牌号 0Cr18Ni9;厚度 δ0.15;宽 ;技术标准号 GB/T 4239-1991;加工工艺 冷轧;热处理工艺 ;特殊要求 Y2;规格标准号 </t>
        </is>
      </c>
      <c r="F873" s="4" t="inlineStr">
        <is>
          <t>千克</t>
        </is>
      </c>
    </row>
    <row r="874" s="21">
      <c r="A874" s="8" t="inlineStr">
        <is>
          <t>100401</t>
        </is>
      </c>
      <c r="B874" s="8" t="inlineStr">
        <is>
          <t>钢带</t>
        </is>
      </c>
      <c r="C874" s="8" t="inlineStr">
        <is>
          <t>602148200</t>
        </is>
      </c>
      <c r="D874" s="8" t="inlineStr">
        <is>
          <t>冷轧不锈钢带|钢带|0Cr18Ni9|δ0.2|GB/T 4239-1991|冷轧|Y2</t>
        </is>
      </c>
      <c r="E874" s="8" t="inlineStr">
        <is>
          <t xml:space="preserve">物资名称 冷轧不锈钢带;物资简称 钢带;牌号 0Cr18Ni9;厚度 δ0.2;宽 ;技术标准号 GB/T 4239-1991;加工工艺 冷轧;热处理工艺 ;特殊要求 Y2;规格标准号 </t>
        </is>
      </c>
      <c r="F874" s="4" t="inlineStr">
        <is>
          <t>千克</t>
        </is>
      </c>
    </row>
    <row r="875" s="21">
      <c r="A875" s="8" t="inlineStr">
        <is>
          <t>100401</t>
        </is>
      </c>
      <c r="B875" s="8" t="inlineStr">
        <is>
          <t>钢带</t>
        </is>
      </c>
      <c r="C875" s="8" t="inlineStr">
        <is>
          <t>602148100</t>
        </is>
      </c>
      <c r="D875" s="8" t="inlineStr">
        <is>
          <t>冷轧不锈钢带|钢带|0Cr18Ni9|δ0.05|GB/T 4239-1991|冷轧|Y2</t>
        </is>
      </c>
      <c r="E875" s="8" t="inlineStr">
        <is>
          <t xml:space="preserve">物资名称 冷轧不锈钢带;物资简称 钢带;牌号 0Cr18Ni9;厚度 δ0.05;宽 ;技术标准号 GB/T 4239-1991;加工工艺 冷轧;热处理工艺 ;特殊要求 Y2;规格标准号 </t>
        </is>
      </c>
      <c r="F875" s="4" t="inlineStr">
        <is>
          <t>千克</t>
        </is>
      </c>
    </row>
    <row r="876" s="21">
      <c r="A876" s="8" t="inlineStr">
        <is>
          <t>100401</t>
        </is>
      </c>
      <c r="B876" s="8" t="inlineStr">
        <is>
          <t>钢带</t>
        </is>
      </c>
      <c r="C876" s="8" t="inlineStr">
        <is>
          <t>602148000</t>
        </is>
      </c>
      <c r="D876" s="8" t="inlineStr">
        <is>
          <t>冷轧不锈钢带|钢带|0Cr18Ni9|δ0.3|GB/T 4239-1991|冷轧|Y2</t>
        </is>
      </c>
      <c r="E876" s="8" t="inlineStr">
        <is>
          <t xml:space="preserve">物资名称 冷轧不锈钢带;物资简称 钢带;牌号 0Cr18Ni9;厚度 δ0.3;宽 ;技术标准号 GB/T 4239-1991;加工工艺 冷轧;热处理工艺 ;特殊要求 Y2;规格标准号 </t>
        </is>
      </c>
      <c r="F876" s="4" t="inlineStr">
        <is>
          <t>千克</t>
        </is>
      </c>
    </row>
    <row r="877" s="21">
      <c r="A877" s="8" t="inlineStr">
        <is>
          <t>100401</t>
        </is>
      </c>
      <c r="B877" s="8" t="inlineStr">
        <is>
          <t>钢带</t>
        </is>
      </c>
      <c r="C877" s="8" t="inlineStr">
        <is>
          <t>602147900</t>
        </is>
      </c>
      <c r="D877" s="8" t="inlineStr">
        <is>
          <t>冷轧不锈钢带|钢带|0Cr18Ni9|δ0.35|GB/T 4239-1991|冷轧|Y2</t>
        </is>
      </c>
      <c r="E877" s="8" t="inlineStr">
        <is>
          <t xml:space="preserve">物资名称 冷轧不锈钢带;物资简称 钢带;牌号 0Cr18Ni9;厚度 δ0.35;宽 ;技术标准号 GB/T 4239-1991;加工工艺 冷轧;热处理工艺 ;特殊要求 Y2;规格标准号 </t>
        </is>
      </c>
      <c r="F877" s="4" t="inlineStr">
        <is>
          <t>千克</t>
        </is>
      </c>
    </row>
    <row r="878" s="21">
      <c r="A878" s="8" t="inlineStr">
        <is>
          <t>100401</t>
        </is>
      </c>
      <c r="B878" s="8" t="inlineStr">
        <is>
          <t>钢带</t>
        </is>
      </c>
      <c r="C878" s="8" t="inlineStr">
        <is>
          <t>602147800</t>
        </is>
      </c>
      <c r="D878" s="8" t="inlineStr">
        <is>
          <t>冷轧不锈钢带|钢带|0Cr18Ni9|δ0.5|GB/T 4239-1991|冷轧|Y2</t>
        </is>
      </c>
      <c r="E878" s="8" t="inlineStr">
        <is>
          <t xml:space="preserve">物资名称 冷轧不锈钢带;物资简称 钢带;牌号 0Cr18Ni9;厚度 δ0.5;宽 ;技术标准号 GB/T 4239-1991;加工工艺 冷轧;热处理工艺 ;特殊要求 Y2;规格标准号 </t>
        </is>
      </c>
      <c r="F878" s="4" t="inlineStr">
        <is>
          <t>千克</t>
        </is>
      </c>
    </row>
    <row r="879" s="21">
      <c r="A879" s="8" t="inlineStr">
        <is>
          <t>100401</t>
        </is>
      </c>
      <c r="B879" s="8" t="inlineStr">
        <is>
          <t>钢带</t>
        </is>
      </c>
      <c r="C879" s="8" t="inlineStr">
        <is>
          <t>602147700</t>
        </is>
      </c>
      <c r="D879" s="8" t="inlineStr">
        <is>
          <t>冷轧不锈钢带|钢带|0Cr18Ni9|δ1|GB/T 4239-1991|冷轧|Y2</t>
        </is>
      </c>
      <c r="E879" s="8" t="inlineStr">
        <is>
          <t xml:space="preserve">物资名称 冷轧不锈钢带;物资简称 钢带;牌号 0Cr18Ni9;厚度 δ1;宽 ;技术标准号 GB/T 4239-1991;加工工艺 冷轧;热处理工艺 ;特殊要求 Y2;规格标准号 </t>
        </is>
      </c>
      <c r="F879" s="4" t="inlineStr">
        <is>
          <t>千克</t>
        </is>
      </c>
    </row>
    <row r="880" s="21">
      <c r="A880" s="8" t="inlineStr">
        <is>
          <t>100401</t>
        </is>
      </c>
      <c r="B880" s="8" t="inlineStr">
        <is>
          <t>钢带</t>
        </is>
      </c>
      <c r="C880" s="8" t="inlineStr">
        <is>
          <t>601686100</t>
        </is>
      </c>
      <c r="D880" s="8" t="inlineStr">
        <is>
          <t>冷轧不锈钢带|钢带|0Cr18Ni9|GB/T 4239-1991|Y2</t>
        </is>
      </c>
      <c r="E880" s="8" t="inlineStr">
        <is>
          <t xml:space="preserve">物资名称 冷轧不锈钢带;物资简称 钢带;牌号 0Cr18Ni9;厚度 δ;宽 ;技术标准号 GB/T 4239-1991;加工工艺 ;热处理工艺 ;特殊要求 Y2;规格标准号 </t>
        </is>
      </c>
      <c r="F880" s="4" t="inlineStr">
        <is>
          <t>千克</t>
        </is>
      </c>
    </row>
    <row r="881" s="21">
      <c r="A881" s="8" t="inlineStr">
        <is>
          <t>100401</t>
        </is>
      </c>
      <c r="B881" s="8" t="inlineStr">
        <is>
          <t>钢带</t>
        </is>
      </c>
      <c r="C881" s="8" t="inlineStr">
        <is>
          <t>601496500</t>
        </is>
      </c>
      <c r="D881" s="8" t="inlineStr">
        <is>
          <t>不锈钢带|钢带|1Cr18Ni9Ti|δ0.05</t>
        </is>
      </c>
      <c r="E881" s="8" t="inlineStr">
        <is>
          <t xml:space="preserve">物资名称 不锈钢带;物资简称 钢带;牌号 1Cr18Ni9Ti;厚度 δ0.05;宽 ;技术标准号 ;加工工艺 ;热处理工艺 ;特殊要求 ;规格标准号 </t>
        </is>
      </c>
      <c r="F881" s="4" t="inlineStr">
        <is>
          <t>千克</t>
        </is>
      </c>
    </row>
    <row r="882" s="21">
      <c r="A882" s="8" t="inlineStr">
        <is>
          <t>100401</t>
        </is>
      </c>
      <c r="B882" s="8" t="inlineStr">
        <is>
          <t>钢带</t>
        </is>
      </c>
      <c r="C882" s="8" t="inlineStr">
        <is>
          <t>601496400</t>
        </is>
      </c>
      <c r="D882" s="8" t="inlineStr">
        <is>
          <t>不锈钢带|钢带|1Cr18Ni9Ti|δ0.5×200</t>
        </is>
      </c>
      <c r="E882" s="8" t="inlineStr">
        <is>
          <t xml:space="preserve">物资名称 不锈钢带;物资简称 钢带;牌号 1Cr18Ni9Ti;厚度 δ0.5;宽 200;技术标准号 ;加工工艺 ;热处理工艺 ;特殊要求 ;规格标准号 </t>
        </is>
      </c>
      <c r="F882" s="4" t="inlineStr">
        <is>
          <t>千克</t>
        </is>
      </c>
    </row>
    <row r="883" s="21">
      <c r="A883" s="8" t="inlineStr">
        <is>
          <t>100401</t>
        </is>
      </c>
      <c r="B883" s="8" t="inlineStr">
        <is>
          <t>钢带</t>
        </is>
      </c>
      <c r="C883" s="8" t="inlineStr">
        <is>
          <t>601439000</t>
        </is>
      </c>
      <c r="D883" s="8" t="inlineStr">
        <is>
          <t>不锈钢带|钢带|1Cr17Ni17|δ0.6|305</t>
        </is>
      </c>
      <c r="E883" s="8" t="inlineStr">
        <is>
          <t xml:space="preserve">物资名称 不锈钢带;物资简称 钢带;牌号 1Cr17Ni17;厚度 δ0.6;宽 305;技术标准号 ;加工工艺 ;热处理工艺 ;特殊要求 ;规格标准号 </t>
        </is>
      </c>
      <c r="F883" s="4" t="inlineStr">
        <is>
          <t>千克</t>
        </is>
      </c>
    </row>
    <row r="884" s="21">
      <c r="A884" s="8" t="inlineStr">
        <is>
          <t>100401</t>
        </is>
      </c>
      <c r="B884" s="8" t="inlineStr">
        <is>
          <t>钢带</t>
        </is>
      </c>
      <c r="C884" s="8" t="inlineStr">
        <is>
          <t>601438900</t>
        </is>
      </c>
      <c r="D884" s="8" t="inlineStr">
        <is>
          <t>不锈钢带|钢带|1Cr18Ni9Ti|δ0.1</t>
        </is>
      </c>
      <c r="E884" s="8" t="inlineStr">
        <is>
          <t xml:space="preserve">物资名称 不锈钢带;物资简称 钢带;牌号 1Cr18Ni9Ti;厚度 δ0.1;宽 ;技术标准号 ;加工工艺 ;热处理工艺 ;特殊要求 ;规格标准号 </t>
        </is>
      </c>
      <c r="F884" s="4" t="inlineStr">
        <is>
          <t>千克</t>
        </is>
      </c>
    </row>
    <row r="885" s="21">
      <c r="A885" s="8" t="inlineStr">
        <is>
          <t>100401</t>
        </is>
      </c>
      <c r="B885" s="8" t="inlineStr">
        <is>
          <t>钢带</t>
        </is>
      </c>
      <c r="C885" s="8" t="inlineStr">
        <is>
          <t>601346500</t>
        </is>
      </c>
      <c r="D885" s="8" t="inlineStr">
        <is>
          <t>不锈钢带|钢带|12Cr18Ni9|δ0.35</t>
        </is>
      </c>
      <c r="E885" s="8" t="inlineStr">
        <is>
          <t xml:space="preserve">物资名称 不锈钢带;物资简称 钢带;牌号 12Cr18Ni9;厚度 δ0.35;宽 ;技术标准号 ;加工工艺 ;热处理工艺 ;特殊要求 ;规格标准号 </t>
        </is>
      </c>
      <c r="F885" s="4" t="inlineStr">
        <is>
          <t>千克</t>
        </is>
      </c>
    </row>
    <row r="886" s="21">
      <c r="A886" s="8" t="inlineStr">
        <is>
          <t>100401</t>
        </is>
      </c>
      <c r="B886" s="8" t="inlineStr">
        <is>
          <t>钢带</t>
        </is>
      </c>
      <c r="C886" s="8" t="inlineStr">
        <is>
          <t>601337100</t>
        </is>
      </c>
      <c r="D886" s="8" t="inlineStr">
        <is>
          <t>不锈钢带|钢带|1Cr18Ni9|δ0.26</t>
        </is>
      </c>
      <c r="E886" s="8" t="inlineStr">
        <is>
          <t xml:space="preserve">物资名称 不锈钢带;物资简称 钢带;牌号 1Cr18Ni9;厚度 δ0.26;宽 ;技术标准号 ;加工工艺 ;热处理工艺 ;特殊要求 ;规格标准号 </t>
        </is>
      </c>
      <c r="F886" s="4" t="inlineStr">
        <is>
          <t>千克</t>
        </is>
      </c>
    </row>
    <row r="887" s="21">
      <c r="A887" s="8" t="inlineStr">
        <is>
          <t>100401</t>
        </is>
      </c>
      <c r="B887" s="8" t="inlineStr">
        <is>
          <t>钢带</t>
        </is>
      </c>
      <c r="C887" s="8" t="inlineStr">
        <is>
          <t>601337000</t>
        </is>
      </c>
      <c r="D887" s="8" t="inlineStr">
        <is>
          <t>不锈钢带|钢带|1Cr18NiTi？|δ0.7</t>
        </is>
      </c>
      <c r="E887" s="8" t="inlineStr">
        <is>
          <t xml:space="preserve">物资名称 不锈钢带;物资简称 钢带;牌号 1Cr18NiTi？;厚度 δ0.7;宽 ;技术标准号 ;加工工艺 ;热处理工艺 ;特殊要求 ;规格标准号 </t>
        </is>
      </c>
      <c r="F887" s="4" t="inlineStr">
        <is>
          <t>千克</t>
        </is>
      </c>
    </row>
    <row r="888" s="21">
      <c r="A888" s="8" t="inlineStr">
        <is>
          <t>100401</t>
        </is>
      </c>
      <c r="B888" s="8" t="inlineStr">
        <is>
          <t>钢带</t>
        </is>
      </c>
      <c r="C888" s="8" t="inlineStr">
        <is>
          <t>601336900</t>
        </is>
      </c>
      <c r="D888" s="8" t="inlineStr">
        <is>
          <t>不锈钢带|钢带|1Cr18Ni9Ti|δ0.15</t>
        </is>
      </c>
      <c r="E888" s="8" t="inlineStr">
        <is>
          <t xml:space="preserve">物资名称 不锈钢带;物资简称 钢带;牌号 1Cr18Ni9Ti;厚度 δ0.15;宽 ;技术标准号 ;加工工艺 ;热处理工艺 ;特殊要求 ;规格标准号 </t>
        </is>
      </c>
      <c r="F888" s="4" t="inlineStr">
        <is>
          <t>千克</t>
        </is>
      </c>
    </row>
    <row r="889" s="21">
      <c r="A889" s="8" t="inlineStr">
        <is>
          <t>100401</t>
        </is>
      </c>
      <c r="B889" s="8" t="inlineStr">
        <is>
          <t>钢带</t>
        </is>
      </c>
      <c r="C889" s="8" t="inlineStr">
        <is>
          <t>601336800</t>
        </is>
      </c>
      <c r="D889" s="8" t="inlineStr">
        <is>
          <t>不锈钢带|钢带|1Cr18Ni9|δ0.3</t>
        </is>
      </c>
      <c r="E889" s="8" t="inlineStr">
        <is>
          <t xml:space="preserve">物资名称 不锈钢带;物资简称 钢带;牌号 1Cr18Ni9;厚度 δ0.3;宽 ;技术标准号 ;加工工艺 ;热处理工艺 ;特殊要求 ;规格标准号 </t>
        </is>
      </c>
      <c r="F889" s="4" t="inlineStr">
        <is>
          <t>千克</t>
        </is>
      </c>
    </row>
    <row r="890" s="21">
      <c r="A890" s="8" t="inlineStr">
        <is>
          <t>100401</t>
        </is>
      </c>
      <c r="B890" s="8" t="inlineStr">
        <is>
          <t>钢带</t>
        </is>
      </c>
      <c r="C890" s="8" t="inlineStr">
        <is>
          <t>601336700</t>
        </is>
      </c>
      <c r="D890" s="8" t="inlineStr">
        <is>
          <t>不锈钢带|钢带|12Cr18Ni9|δ0.1</t>
        </is>
      </c>
      <c r="E890" s="8" t="inlineStr">
        <is>
          <t xml:space="preserve">物资名称 不锈钢带;物资简称 钢带;牌号 12Cr18Ni9;厚度 δ0.1;宽 ;技术标准号 ;加工工艺 ;热处理工艺 ;特殊要求 ;规格标准号 </t>
        </is>
      </c>
      <c r="F890" s="4" t="inlineStr">
        <is>
          <t>千克</t>
        </is>
      </c>
    </row>
    <row r="891" s="21">
      <c r="A891" s="8" t="inlineStr">
        <is>
          <t>100401</t>
        </is>
      </c>
      <c r="B891" s="8" t="inlineStr">
        <is>
          <t>钢带</t>
        </is>
      </c>
      <c r="C891" s="8" t="inlineStr">
        <is>
          <t>601336600</t>
        </is>
      </c>
      <c r="D891" s="8" t="inlineStr">
        <is>
          <t>不锈钢带|钢带|12Cr18Ni9|δ0.2</t>
        </is>
      </c>
      <c r="E891" s="8" t="inlineStr">
        <is>
          <t xml:space="preserve">物资名称 不锈钢带;物资简称 钢带;牌号 12Cr18Ni9;厚度 δ0.2;宽 ;技术标准号 ;加工工艺 ;热处理工艺 ;特殊要求 ;规格标准号 </t>
        </is>
      </c>
      <c r="F891" s="4" t="inlineStr">
        <is>
          <t>千克</t>
        </is>
      </c>
    </row>
    <row r="892" s="21">
      <c r="A892" s="8" t="inlineStr">
        <is>
          <t>100401</t>
        </is>
      </c>
      <c r="B892" s="8" t="inlineStr">
        <is>
          <t>钢带</t>
        </is>
      </c>
      <c r="C892" s="8" t="inlineStr">
        <is>
          <t>601336500</t>
        </is>
      </c>
      <c r="D892" s="8" t="inlineStr">
        <is>
          <t>磁头用软磁合金带|钢带|1J85|δ0.2|YB/T 086-1996|软态</t>
        </is>
      </c>
      <c r="E892" s="8" t="inlineStr">
        <is>
          <t xml:space="preserve">物资名称 磁头用软磁合金带;物资简称 钢带;牌号 1J85;厚度 δ0.2;宽 ;技术标准号 YB/T 086-1996;加工工艺 ;热处理工艺 ;特殊要求 软态;规格标准号 </t>
        </is>
      </c>
      <c r="F892" s="4" t="inlineStr">
        <is>
          <t>千克</t>
        </is>
      </c>
    </row>
    <row r="893" s="21">
      <c r="A893" s="8" t="inlineStr">
        <is>
          <t>100401</t>
        </is>
      </c>
      <c r="B893" s="8" t="inlineStr">
        <is>
          <t>钢带</t>
        </is>
      </c>
      <c r="C893" s="8" t="inlineStr">
        <is>
          <t>601336400</t>
        </is>
      </c>
      <c r="D893" s="8" t="inlineStr">
        <is>
          <t>不锈钢带|钢带|12Cr18Ni9|δ0.5|200</t>
        </is>
      </c>
      <c r="E893" s="8" t="inlineStr">
        <is>
          <t xml:space="preserve">物资名称 不锈钢带;物资简称 钢带;牌号 12Cr18Ni9;厚度 δ0.5;宽 200;技术标准号 ;加工工艺 ;热处理工艺 ;特殊要求 ;规格标准号 </t>
        </is>
      </c>
      <c r="F893" s="4" t="inlineStr">
        <is>
          <t>千克</t>
        </is>
      </c>
    </row>
    <row r="894" s="21">
      <c r="A894" s="8" t="inlineStr">
        <is>
          <t>100401</t>
        </is>
      </c>
      <c r="B894" s="8" t="inlineStr">
        <is>
          <t>钢带</t>
        </is>
      </c>
      <c r="C894" s="8" t="inlineStr">
        <is>
          <t>601336300</t>
        </is>
      </c>
      <c r="D894" s="8" t="inlineStr">
        <is>
          <t>不锈钢带|钢带|1Cr17Ni7|δ0.6</t>
        </is>
      </c>
      <c r="E894" s="8" t="inlineStr">
        <is>
          <t xml:space="preserve">物资名称 不锈钢带;物资简称 钢带;牌号 1Cr17Ni7;厚度 δ0.6;宽 ;技术标准号 ;加工工艺 ;热处理工艺 ;特殊要求 ;规格标准号 </t>
        </is>
      </c>
      <c r="F894" s="4" t="inlineStr">
        <is>
          <t>千克</t>
        </is>
      </c>
    </row>
    <row r="895" s="21">
      <c r="A895" s="8" t="inlineStr">
        <is>
          <t>100401</t>
        </is>
      </c>
      <c r="B895" s="8" t="inlineStr">
        <is>
          <t>钢带</t>
        </is>
      </c>
      <c r="C895" s="8" t="inlineStr">
        <is>
          <t>601336200</t>
        </is>
      </c>
      <c r="D895" s="8" t="inlineStr">
        <is>
          <t>磁头用软磁合金带|钢带|1J85|δ0.2|YB/T 086-1996|硬态</t>
        </is>
      </c>
      <c r="E895" s="8" t="inlineStr">
        <is>
          <t xml:space="preserve">物资名称 磁头用软磁合金带;物资简称 钢带;牌号 1J85;厚度 δ0.2;宽 ;技术标准号 YB/T 086-1996;加工工艺 ;热处理工艺 ;特殊要求 硬态;规格标准号 </t>
        </is>
      </c>
      <c r="F895" s="4" t="inlineStr">
        <is>
          <t>千克</t>
        </is>
      </c>
    </row>
    <row r="896" s="21">
      <c r="A896" s="8" t="inlineStr">
        <is>
          <t>100401</t>
        </is>
      </c>
      <c r="B896" s="8" t="inlineStr">
        <is>
          <t>钢带</t>
        </is>
      </c>
      <c r="C896" s="8" t="inlineStr">
        <is>
          <t>601336100</t>
        </is>
      </c>
      <c r="D896" s="8" t="inlineStr">
        <is>
          <t>不锈钢带|钢带|12Cr18Ni9|δ0.01</t>
        </is>
      </c>
      <c r="E896" s="8" t="inlineStr">
        <is>
          <t xml:space="preserve">物资名称 不锈钢带;物资简称 钢带;牌号 12Cr18Ni9;厚度 δ0.01;宽 ;技术标准号 ;加工工艺 ;热处理工艺 ;特殊要求 ;规格标准号 </t>
        </is>
      </c>
      <c r="F896" s="4" t="inlineStr">
        <is>
          <t>千克</t>
        </is>
      </c>
    </row>
    <row r="897" s="21">
      <c r="A897" s="8" t="inlineStr">
        <is>
          <t>100401</t>
        </is>
      </c>
      <c r="B897" s="8" t="inlineStr">
        <is>
          <t>钢带</t>
        </is>
      </c>
      <c r="C897" s="8" t="inlineStr">
        <is>
          <t>601336000</t>
        </is>
      </c>
      <c r="D897" s="8" t="inlineStr">
        <is>
          <t>不锈钢带|钢带|1Cr18Ni9|δ0.2</t>
        </is>
      </c>
      <c r="E897" s="8" t="inlineStr">
        <is>
          <t xml:space="preserve">物资名称 不锈钢带;物资简称 钢带;牌号 1Cr18Ni9;厚度 δ0.2;宽 ;技术标准号 ;加工工艺 ;热处理工艺 ;特殊要求 ;规格标准号 </t>
        </is>
      </c>
      <c r="F897" s="4" t="inlineStr">
        <is>
          <t>千克</t>
        </is>
      </c>
    </row>
    <row r="898" s="21">
      <c r="A898" s="8" t="inlineStr">
        <is>
          <t>100401</t>
        </is>
      </c>
      <c r="B898" s="8" t="inlineStr">
        <is>
          <t>钢带</t>
        </is>
      </c>
      <c r="C898" s="8" t="inlineStr">
        <is>
          <t>601335900</t>
        </is>
      </c>
      <c r="D898" s="8" t="inlineStr">
        <is>
          <t>弹簧钢带|钢带|T8A-Ⅲ-PT.B-SC|δ0.2|100</t>
        </is>
      </c>
      <c r="E898" s="8" t="inlineStr">
        <is>
          <t xml:space="preserve">物资名称 弹簧钢带;物资简称 钢带;牌号 T8A-Ⅲ-PT.B-SC;厚度 δ0.2;宽 100;技术标准号 ;加工工艺 ;热处理工艺 ;特殊要求 ;规格标准号 </t>
        </is>
      </c>
      <c r="F898" s="4" t="inlineStr">
        <is>
          <t>千克</t>
        </is>
      </c>
    </row>
    <row r="899" s="21">
      <c r="A899" s="8" t="inlineStr">
        <is>
          <t>100401</t>
        </is>
      </c>
      <c r="B899" s="8" t="inlineStr">
        <is>
          <t>钢带</t>
        </is>
      </c>
      <c r="C899" s="8" t="inlineStr">
        <is>
          <t>601335800</t>
        </is>
      </c>
      <c r="D899" s="8" t="inlineStr">
        <is>
          <t>弹性合金钢带|钢带|3J21|δ0.1\0.29|90|502/97-5-41</t>
        </is>
      </c>
      <c r="E899" s="8" t="inlineStr">
        <is>
          <t xml:space="preserve">物资名称 弹性合金钢带;物资简称 钢带;牌号 3J21;厚度 δ0.1\0.29;宽 90;技术标准号 502/97-5-41;加工工艺 ;热处理工艺 ;特殊要求 ;规格标准号 </t>
        </is>
      </c>
      <c r="F899" s="4" t="inlineStr">
        <is>
          <t>千克</t>
        </is>
      </c>
    </row>
    <row r="900" s="21">
      <c r="A900" s="8" t="inlineStr">
        <is>
          <t>100401</t>
        </is>
      </c>
      <c r="B900" s="8" t="inlineStr">
        <is>
          <t>钢带</t>
        </is>
      </c>
      <c r="C900" s="8" t="inlineStr">
        <is>
          <t>601335700</t>
        </is>
      </c>
      <c r="D900" s="8" t="inlineStr">
        <is>
          <t>弹性合金钢带|钢带|3J21-B|δ0.29|180|502/2002-7-29</t>
        </is>
      </c>
      <c r="E900" s="8" t="inlineStr">
        <is>
          <t xml:space="preserve">物资名称 弹性合金钢带;物资简称 钢带;牌号 3J21-B;厚度 δ0.29;宽 180;技术标准号 502/2002-7-29;加工工艺 ;热处理工艺 ;特殊要求 ;规格标准号 </t>
        </is>
      </c>
      <c r="F900" s="4" t="inlineStr">
        <is>
          <t>千克</t>
        </is>
      </c>
    </row>
    <row r="901" s="21">
      <c r="A901" s="8" t="inlineStr">
        <is>
          <t>100401</t>
        </is>
      </c>
      <c r="B901" s="8" t="inlineStr">
        <is>
          <t>钢带</t>
        </is>
      </c>
      <c r="C901" s="8" t="inlineStr">
        <is>
          <t>601335600</t>
        </is>
      </c>
      <c r="D901" s="8" t="inlineStr">
        <is>
          <t>钢板|钢带|50RM400-AI|δ0.5×1230×1000|101/2003-2-10</t>
        </is>
      </c>
      <c r="E901" s="8" t="inlineStr">
        <is>
          <t xml:space="preserve">物资名称 钢板;物资简称 钢带;牌号 50RM400-AI;厚度 δ0.5×1230×1000;宽 ;技术标准号 101/2003-2-10;加工工艺 ;热处理工艺 ;特殊要求 ;规格标准号 </t>
        </is>
      </c>
      <c r="F901" s="4" t="inlineStr">
        <is>
          <t>千克</t>
        </is>
      </c>
    </row>
    <row r="902" s="21">
      <c r="A902" s="8" t="inlineStr">
        <is>
          <t>100401</t>
        </is>
      </c>
      <c r="B902" s="8" t="inlineStr">
        <is>
          <t>钢带</t>
        </is>
      </c>
      <c r="C902" s="8" t="inlineStr">
        <is>
          <t>601335500</t>
        </is>
      </c>
      <c r="D902" s="8" t="inlineStr">
        <is>
          <t>钢板|钢带|35H300|δ0.35×1000×1000|101/2006-3-67</t>
        </is>
      </c>
      <c r="E902" s="8" t="inlineStr">
        <is>
          <t xml:space="preserve">物资名称 钢板;物资简称 钢带;牌号 35H300;厚度 δ0.35×1000×1000;宽 ;技术标准号 101/2006-3-67;加工工艺 ;热处理工艺 ;特殊要求 ;规格标准号 </t>
        </is>
      </c>
      <c r="F902" s="4" t="inlineStr">
        <is>
          <t>千克</t>
        </is>
      </c>
    </row>
    <row r="903" s="21">
      <c r="A903" s="8" t="inlineStr">
        <is>
          <t>100401</t>
        </is>
      </c>
      <c r="B903" s="8" t="inlineStr">
        <is>
          <t>钢带</t>
        </is>
      </c>
      <c r="C903" s="8" t="inlineStr">
        <is>
          <t>601335400</t>
        </is>
      </c>
      <c r="D903" s="8" t="inlineStr">
        <is>
          <t>钢带|钢带|0Cr18Ni9|δ0.02</t>
        </is>
      </c>
      <c r="E903" s="8" t="inlineStr">
        <is>
          <t xml:space="preserve">物资名称 钢带;物资简称 钢带;牌号 0Cr18Ni9;厚度 δ0.02;宽 ;技术标准号 ;加工工艺 ;热处理工艺 ;特殊要求 ;规格标准号 </t>
        </is>
      </c>
      <c r="F903" s="4" t="inlineStr">
        <is>
          <t>千克</t>
        </is>
      </c>
    </row>
    <row r="904" s="21">
      <c r="A904" s="8" t="inlineStr">
        <is>
          <t>100401</t>
        </is>
      </c>
      <c r="B904" s="8" t="inlineStr">
        <is>
          <t>钢带</t>
        </is>
      </c>
      <c r="C904" s="8" t="inlineStr">
        <is>
          <t>601335300</t>
        </is>
      </c>
      <c r="D904" s="8" t="inlineStr">
        <is>
          <t>钢带|钢带|0Cr18Ni9|δ0.12</t>
        </is>
      </c>
      <c r="E904" s="8" t="inlineStr">
        <is>
          <t xml:space="preserve">物资名称 钢带;物资简称 钢带;牌号 0Cr18Ni9;厚度 δ0.12;宽 ;技术标准号 ;加工工艺 ;热处理工艺 ;特殊要求 ;规格标准号 </t>
        </is>
      </c>
      <c r="F904" s="4" t="inlineStr">
        <is>
          <t>千克</t>
        </is>
      </c>
    </row>
    <row r="905" s="21">
      <c r="A905" s="8" t="inlineStr">
        <is>
          <t>100401</t>
        </is>
      </c>
      <c r="B905" s="8" t="inlineStr">
        <is>
          <t>钢带</t>
        </is>
      </c>
      <c r="C905" s="8" t="inlineStr">
        <is>
          <t>601335200</t>
        </is>
      </c>
      <c r="D905" s="8" t="inlineStr">
        <is>
          <t>钢带|钢带|0Cr18Ni9|δ0.18</t>
        </is>
      </c>
      <c r="E905" s="8" t="inlineStr">
        <is>
          <t xml:space="preserve">物资名称 钢带;物资简称 钢带;牌号 0Cr18Ni9;厚度 δ0.18;宽 ;技术标准号 ;加工工艺 ;热处理工艺 ;特殊要求 ;规格标准号 </t>
        </is>
      </c>
      <c r="F905" s="4" t="inlineStr">
        <is>
          <t>千克</t>
        </is>
      </c>
    </row>
    <row r="906" s="21">
      <c r="A906" s="8" t="inlineStr">
        <is>
          <t>100401</t>
        </is>
      </c>
      <c r="B906" s="8" t="inlineStr">
        <is>
          <t>钢带</t>
        </is>
      </c>
      <c r="C906" s="8" t="inlineStr">
        <is>
          <t>601335100</t>
        </is>
      </c>
      <c r="D906" s="8" t="inlineStr">
        <is>
          <t>钢带|钢带|10#-H-Q-R|δ0.8×100|101/2003-11-17</t>
        </is>
      </c>
      <c r="E906" s="8" t="inlineStr">
        <is>
          <t xml:space="preserve">物资名称 钢带;物资简称 钢带;牌号 10#-H-Q-R;厚度 δ0.8×100;宽 ;技术标准号 101/2003-11-17;加工工艺 ;热处理工艺 ;特殊要求 ;规格标准号 </t>
        </is>
      </c>
      <c r="F906" s="4" t="inlineStr">
        <is>
          <t>千克</t>
        </is>
      </c>
    </row>
    <row r="907" s="21">
      <c r="A907" s="8" t="inlineStr">
        <is>
          <t>100401</t>
        </is>
      </c>
      <c r="B907" s="8" t="inlineStr">
        <is>
          <t>钢带</t>
        </is>
      </c>
      <c r="C907" s="8" t="inlineStr">
        <is>
          <t>601335000</t>
        </is>
      </c>
      <c r="D907" s="8" t="inlineStr">
        <is>
          <t>钢带|钢带|20#|δ0.5|104/75-3-13</t>
        </is>
      </c>
      <c r="E907" s="8" t="inlineStr">
        <is>
          <t xml:space="preserve">物资名称 钢带;物资简称 钢带;牌号 20#;厚度 δ0.5;宽 ;技术标准号 104/75-3-13;加工工艺 ;热处理工艺 ;特殊要求 ;规格标准号 </t>
        </is>
      </c>
      <c r="F907" s="4" t="inlineStr">
        <is>
          <t>千克</t>
        </is>
      </c>
    </row>
    <row r="908" s="21">
      <c r="A908" s="8" t="inlineStr">
        <is>
          <t>100401</t>
        </is>
      </c>
      <c r="B908" s="8" t="inlineStr">
        <is>
          <t>钢带</t>
        </is>
      </c>
      <c r="C908" s="8" t="inlineStr">
        <is>
          <t>601334900</t>
        </is>
      </c>
      <c r="D908" s="8" t="inlineStr">
        <is>
          <t>钢带|钢带|20-S-Ⅱ|δ1-140×1000</t>
        </is>
      </c>
      <c r="E908" s="8" t="inlineStr">
        <is>
          <t xml:space="preserve">物资名称 钢带;物资简称 钢带;牌号 20-S-Ⅱ;厚度 δ1-140×1000;宽 ;技术标准号 ;加工工艺 ;热处理工艺 ;特殊要求 ;规格标准号 </t>
        </is>
      </c>
      <c r="F908" s="4" t="inlineStr">
        <is>
          <t>千克</t>
        </is>
      </c>
    </row>
    <row r="909" s="21">
      <c r="A909" s="8" t="inlineStr">
        <is>
          <t>100401</t>
        </is>
      </c>
      <c r="B909" s="8" t="inlineStr">
        <is>
          <t>钢带</t>
        </is>
      </c>
      <c r="C909" s="8" t="inlineStr">
        <is>
          <t>601334800</t>
        </is>
      </c>
      <c r="D909" s="8" t="inlineStr">
        <is>
          <t>钢带|钢带|2Cr13|δ0.4,0.5,0.6|101/83-12-104</t>
        </is>
      </c>
      <c r="E909" s="8" t="inlineStr">
        <is>
          <t xml:space="preserve">物资名称 钢带;物资简称 钢带;牌号 2Cr13;厚度 δ0.4,0.5,0.6;宽 ;技术标准号 101/83-12-104;加工工艺 ;热处理工艺 ;特殊要求 ;规格标准号 </t>
        </is>
      </c>
      <c r="F909" s="4" t="inlineStr">
        <is>
          <t>千克</t>
        </is>
      </c>
    </row>
    <row r="910" s="21">
      <c r="A910" s="8" t="inlineStr">
        <is>
          <t>100401</t>
        </is>
      </c>
      <c r="B910" s="8" t="inlineStr">
        <is>
          <t>钢带</t>
        </is>
      </c>
      <c r="C910" s="8" t="inlineStr">
        <is>
          <t>601334700</t>
        </is>
      </c>
      <c r="D910" s="8" t="inlineStr">
        <is>
          <t>钢带|钢带|60Si2MnA|δ0.5|502/92-4-21</t>
        </is>
      </c>
      <c r="E910" s="8" t="inlineStr">
        <is>
          <t xml:space="preserve">物资名称 钢带;物资简称 钢带;牌号 60Si2MnA;厚度 δ0.5;宽 ;技术标准号 502/92-4-21;加工工艺 ;热处理工艺 ;特殊要求 ;规格标准号 </t>
        </is>
      </c>
      <c r="F910" s="4" t="inlineStr">
        <is>
          <t>千克</t>
        </is>
      </c>
    </row>
    <row r="911" s="21">
      <c r="A911" s="8" t="inlineStr">
        <is>
          <t>100401</t>
        </is>
      </c>
      <c r="B911" s="8" t="inlineStr">
        <is>
          <t>钢带</t>
        </is>
      </c>
      <c r="C911" s="8" t="inlineStr">
        <is>
          <t>601334600</t>
        </is>
      </c>
      <c r="D911" s="8" t="inlineStr">
        <is>
          <t>钢带|钢带|60Si2MnA|δ0.6×55|502/98-6-39</t>
        </is>
      </c>
      <c r="E911" s="8" t="inlineStr">
        <is>
          <t xml:space="preserve">物资名称 钢带;物资简称 钢带;牌号 60Si2MnA;厚度 δ0.6×55;宽 ;技术标准号 502/98-6-39;加工工艺 ;热处理工艺 ;特殊要求 ;规格标准号 </t>
        </is>
      </c>
      <c r="F911" s="4" t="inlineStr">
        <is>
          <t>千克</t>
        </is>
      </c>
    </row>
    <row r="912" s="21">
      <c r="A912" s="8" t="inlineStr">
        <is>
          <t>100401</t>
        </is>
      </c>
      <c r="B912" s="8" t="inlineStr">
        <is>
          <t>钢带</t>
        </is>
      </c>
      <c r="C912" s="8" t="inlineStr">
        <is>
          <t>601334500</t>
        </is>
      </c>
      <c r="D912" s="8" t="inlineStr">
        <is>
          <t>钢带|钢带|60Si2MnA-H-Q-T|δ0.6×70|502/98-10-54</t>
        </is>
      </c>
      <c r="E912" s="8" t="inlineStr">
        <is>
          <t xml:space="preserve">物资名称 钢带;物资简称 钢带;牌号 60Si2MnA-H-Q-T;厚度 δ0.6×70;宽 ;技术标准号 502/98-10-54;加工工艺 ;热处理工艺 ;特殊要求 ;规格标准号 </t>
        </is>
      </c>
      <c r="F912" s="4" t="inlineStr">
        <is>
          <t>千克</t>
        </is>
      </c>
    </row>
    <row r="913" s="21">
      <c r="A913" s="8" t="inlineStr">
        <is>
          <t>100401</t>
        </is>
      </c>
      <c r="B913" s="8" t="inlineStr">
        <is>
          <t>钢带</t>
        </is>
      </c>
      <c r="C913" s="8" t="inlineStr">
        <is>
          <t>601334400</t>
        </is>
      </c>
      <c r="D913" s="8" t="inlineStr">
        <is>
          <t>钢带|钢带|60Si2MnA-P-Q-BG-T|δ0.2×40|101/71-9-80</t>
        </is>
      </c>
      <c r="E913" s="8" t="inlineStr">
        <is>
          <t xml:space="preserve">物资名称 钢带;物资简称 钢带;牌号 60Si2MnA-P-Q-BG-T;厚度 δ0.2×40;宽 ;技术标准号 101/71-9-80;加工工艺 ;热处理工艺 ;特殊要求 ;规格标准号 </t>
        </is>
      </c>
      <c r="F913" s="4" t="inlineStr">
        <is>
          <t>千克</t>
        </is>
      </c>
    </row>
    <row r="914" s="21">
      <c r="A914" s="8" t="inlineStr">
        <is>
          <t>100401</t>
        </is>
      </c>
      <c r="B914" s="8" t="inlineStr">
        <is>
          <t>钢带</t>
        </is>
      </c>
      <c r="C914" s="8" t="inlineStr">
        <is>
          <t>601334300</t>
        </is>
      </c>
      <c r="D914" s="8" t="inlineStr">
        <is>
          <t>钢带|钢带|65Mn|δ1.5</t>
        </is>
      </c>
      <c r="E914" s="8" t="inlineStr">
        <is>
          <t xml:space="preserve">物资名称 钢带;物资简称 钢带;牌号 65Mn;厚度 δ1.5;宽 ;技术标准号 ;加工工艺 ;热处理工艺 ;特殊要求 ;规格标准号 </t>
        </is>
      </c>
      <c r="F914" s="4" t="inlineStr">
        <is>
          <t>千克</t>
        </is>
      </c>
    </row>
    <row r="915" s="21">
      <c r="A915" s="8" t="inlineStr">
        <is>
          <t>100401</t>
        </is>
      </c>
      <c r="B915" s="8" t="inlineStr">
        <is>
          <t>钢带</t>
        </is>
      </c>
      <c r="C915" s="8" t="inlineStr">
        <is>
          <t>601334200</t>
        </is>
      </c>
      <c r="D915" s="8" t="inlineStr">
        <is>
          <t>钢带|钢带|65Mn-I-P-Y|δ0.2×100</t>
        </is>
      </c>
      <c r="E915" s="8" t="inlineStr">
        <is>
          <t xml:space="preserve">物资名称 钢带;物资简称 钢带;牌号 65Mn-I-P-Y;厚度 δ0.2×100;宽 ;技术标准号 ;加工工艺 ;热处理工艺 ;特殊要求 ;规格标准号 </t>
        </is>
      </c>
      <c r="F915" s="4" t="inlineStr">
        <is>
          <t>千克</t>
        </is>
      </c>
    </row>
    <row r="916" s="21">
      <c r="A916" s="8" t="inlineStr">
        <is>
          <t>100401</t>
        </is>
      </c>
      <c r="B916" s="8" t="inlineStr">
        <is>
          <t>钢带</t>
        </is>
      </c>
      <c r="C916" s="8" t="inlineStr">
        <is>
          <t>601334100</t>
        </is>
      </c>
      <c r="D916" s="8" t="inlineStr">
        <is>
          <t>钢带|钢带|65Mn-J-Ⅱ-Q-S|δ0.1×60|101/2002-2-5</t>
        </is>
      </c>
      <c r="E916" s="8" t="inlineStr">
        <is>
          <t xml:space="preserve">物资名称 钢带;物资简称 钢带;牌号 65Mn-J-Ⅱ-Q-S;厚度 δ0.1×60;宽 ;技术标准号 101/2002-2-5;加工工艺 ;热处理工艺 ;特殊要求 ;规格标准号 </t>
        </is>
      </c>
      <c r="F916" s="4" t="inlineStr">
        <is>
          <t>千克</t>
        </is>
      </c>
    </row>
    <row r="917" s="21">
      <c r="A917" s="8" t="inlineStr">
        <is>
          <t>100401</t>
        </is>
      </c>
      <c r="B917" s="8" t="inlineStr">
        <is>
          <t>钢带</t>
        </is>
      </c>
      <c r="C917" s="8" t="inlineStr">
        <is>
          <t>601334000</t>
        </is>
      </c>
      <c r="D917" s="8" t="inlineStr">
        <is>
          <t>钢带|钢带|T10A|δ0.3×100|101/74-7-18</t>
        </is>
      </c>
      <c r="E917" s="8" t="inlineStr">
        <is>
          <t xml:space="preserve">物资名称 钢带;物资简称 钢带;牌号 T10A;厚度 δ0.3×100;宽 ;技术标准号 101/74-7-18;加工工艺 ;热处理工艺 ;特殊要求 ;规格标准号 </t>
        </is>
      </c>
      <c r="F917" s="4" t="inlineStr">
        <is>
          <t>千克</t>
        </is>
      </c>
    </row>
    <row r="918" s="21">
      <c r="A918" s="8" t="inlineStr">
        <is>
          <t>100401</t>
        </is>
      </c>
      <c r="B918" s="8" t="inlineStr">
        <is>
          <t>钢带</t>
        </is>
      </c>
      <c r="C918" s="8" t="inlineStr">
        <is>
          <t>601333900</t>
        </is>
      </c>
      <c r="D918" s="8" t="inlineStr">
        <is>
          <t>钢带|钢带|T10A-Ⅱ-J-Q-P-S|δ0.33×5|101/77-10-161</t>
        </is>
      </c>
      <c r="E918" s="8" t="inlineStr">
        <is>
          <t xml:space="preserve">物资名称 钢带;物资简称 钢带;牌号 T10A-Ⅱ-J-Q-P-S;厚度 δ0.33×5;宽 ;技术标准号 101/77-10-161;加工工艺 ;热处理工艺 ;特殊要求 ;规格标准号 </t>
        </is>
      </c>
      <c r="F918" s="4" t="inlineStr">
        <is>
          <t>千克</t>
        </is>
      </c>
    </row>
    <row r="919" s="21">
      <c r="A919" s="8" t="inlineStr">
        <is>
          <t>100401</t>
        </is>
      </c>
      <c r="B919" s="8" t="inlineStr">
        <is>
          <t>钢带</t>
        </is>
      </c>
      <c r="C919" s="8" t="inlineStr">
        <is>
          <t>601333800</t>
        </is>
      </c>
      <c r="D919" s="8" t="inlineStr">
        <is>
          <t>钢带|钢带|T10A-Ⅱ-T-M-S|δ0.25×5|69-10-244</t>
        </is>
      </c>
      <c r="E919" s="8" t="inlineStr">
        <is>
          <t xml:space="preserve">物资名称 钢带;物资简称 钢带;牌号 T10A-Ⅱ-T-M-S;厚度 δ0.25×5;宽 ;技术标准号 69-10-244;加工工艺 ;热处理工艺 ;特殊要求 ;规格标准号 </t>
        </is>
      </c>
      <c r="F919" s="4" t="inlineStr">
        <is>
          <t>千克</t>
        </is>
      </c>
    </row>
    <row r="920" s="21">
      <c r="A920" s="8" t="inlineStr">
        <is>
          <t>100401</t>
        </is>
      </c>
      <c r="B920" s="8" t="inlineStr">
        <is>
          <t>钢带</t>
        </is>
      </c>
      <c r="C920" s="8" t="inlineStr">
        <is>
          <t>601333700</t>
        </is>
      </c>
      <c r="D920" s="8" t="inlineStr">
        <is>
          <t>钢带|钢带|T10A-P-Q-BG-T|δ0.2×60|101/66-12-504</t>
        </is>
      </c>
      <c r="E920" s="8" t="inlineStr">
        <is>
          <t xml:space="preserve">物资名称 钢带;物资简称 钢带;牌号 T10A-P-Q-BG-T;厚度 δ0.2×60;宽 ;技术标准号 101/66-12-504;加工工艺 ;热处理工艺 ;特殊要求 ;规格标准号 </t>
        </is>
      </c>
      <c r="F920" s="4" t="inlineStr">
        <is>
          <t>千克</t>
        </is>
      </c>
    </row>
    <row r="921" s="21">
      <c r="A921" s="8" t="inlineStr">
        <is>
          <t>100401</t>
        </is>
      </c>
      <c r="B921" s="8" t="inlineStr">
        <is>
          <t>钢带</t>
        </is>
      </c>
      <c r="C921" s="8" t="inlineStr">
        <is>
          <t>601333600</t>
        </is>
      </c>
      <c r="D921" s="8" t="inlineStr">
        <is>
          <t>钢带|钢带|T10A-P-Q-BG-T|δ0.4×90|101/70-1-3</t>
        </is>
      </c>
      <c r="E921" s="8" t="inlineStr">
        <is>
          <t xml:space="preserve">物资名称 钢带;物资简称 钢带;牌号 T10A-P-Q-BG-T;厚度 δ0.4×90;宽 ;技术标准号 101/70-1-3;加工工艺 ;热处理工艺 ;特殊要求 ;规格标准号 </t>
        </is>
      </c>
      <c r="F921" s="4" t="inlineStr">
        <is>
          <t>千克</t>
        </is>
      </c>
    </row>
    <row r="922" s="21">
      <c r="A922" s="8" t="inlineStr">
        <is>
          <t>100401</t>
        </is>
      </c>
      <c r="B922" s="8" t="inlineStr">
        <is>
          <t>钢带</t>
        </is>
      </c>
      <c r="C922" s="8" t="inlineStr">
        <is>
          <t>601333500</t>
        </is>
      </c>
      <c r="D922" s="8" t="inlineStr">
        <is>
          <t>钢带|钢带|T10A-P-Q-G-T|δ0.8×100|101/76-2-17</t>
        </is>
      </c>
      <c r="E922" s="8" t="inlineStr">
        <is>
          <t xml:space="preserve">物资名称 钢带;物资简称 钢带;牌号 T10A-P-Q-G-T;厚度 δ0.8×100;宽 ;技术标准号 101/76-2-17;加工工艺 ;热处理工艺 ;特殊要求 ;规格标准号 </t>
        </is>
      </c>
      <c r="F922" s="4" t="inlineStr">
        <is>
          <t>千克</t>
        </is>
      </c>
    </row>
    <row r="923" s="21">
      <c r="A923" s="8" t="inlineStr">
        <is>
          <t>100401</t>
        </is>
      </c>
      <c r="B923" s="8" t="inlineStr">
        <is>
          <t>钢带</t>
        </is>
      </c>
      <c r="C923" s="8" t="inlineStr">
        <is>
          <t>601333400</t>
        </is>
      </c>
      <c r="D923" s="8" t="inlineStr">
        <is>
          <t>钢带|钢带|T10A-P-Q-G-T|δ0.8×100|101/76-8-85</t>
        </is>
      </c>
      <c r="E923" s="8" t="inlineStr">
        <is>
          <t xml:space="preserve">物资名称 钢带;物资简称 钢带;牌号 T10A-P-Q-G-T;厚度 δ0.8×100;宽 ;技术标准号 101/76-8-85;加工工艺 ;热处理工艺 ;特殊要求 ;规格标准号 </t>
        </is>
      </c>
      <c r="F923" s="4" t="inlineStr">
        <is>
          <t>千克</t>
        </is>
      </c>
    </row>
    <row r="924" s="21">
      <c r="A924" s="8" t="inlineStr">
        <is>
          <t>100401</t>
        </is>
      </c>
      <c r="B924" s="8" t="inlineStr">
        <is>
          <t>钢带</t>
        </is>
      </c>
      <c r="C924" s="8" t="inlineStr">
        <is>
          <t>601333300</t>
        </is>
      </c>
      <c r="D924" s="8" t="inlineStr">
        <is>
          <t>钢带|钢带|T10A-P-Q-G-T|δ1×90|101/69-6-171</t>
        </is>
      </c>
      <c r="E924" s="8" t="inlineStr">
        <is>
          <t xml:space="preserve">物资名称 钢带;物资简称 钢带;牌号 T10A-P-Q-G-T;厚度 δ1×90;宽 ;技术标准号 101/69-6-171;加工工艺 ;热处理工艺 ;特殊要求 ;规格标准号 </t>
        </is>
      </c>
      <c r="F924" s="4" t="inlineStr">
        <is>
          <t>千克</t>
        </is>
      </c>
    </row>
    <row r="925" s="21">
      <c r="A925" s="8" t="inlineStr">
        <is>
          <t>100401</t>
        </is>
      </c>
      <c r="B925" s="8" t="inlineStr">
        <is>
          <t>钢带</t>
        </is>
      </c>
      <c r="C925" s="8" t="inlineStr">
        <is>
          <t>601333200</t>
        </is>
      </c>
      <c r="D925" s="8" t="inlineStr">
        <is>
          <t>钢带|钢带|T10A-T-Ⅱ-Q-P6-S|δ0.33×5|101/79-12-127</t>
        </is>
      </c>
      <c r="E925" s="8" t="inlineStr">
        <is>
          <t xml:space="preserve">物资名称 钢带;物资简称 钢带;牌号 T10A-T-Ⅱ-Q-P6-S;厚度 δ0.33×5;宽 ;技术标准号 101/79-12-127;加工工艺 ;热处理工艺 ;特殊要求 ;规格标准号 </t>
        </is>
      </c>
      <c r="F925" s="4" t="inlineStr">
        <is>
          <t>千克</t>
        </is>
      </c>
    </row>
    <row r="926" s="21">
      <c r="A926" s="8" t="inlineStr">
        <is>
          <t>100401</t>
        </is>
      </c>
      <c r="B926" s="8" t="inlineStr">
        <is>
          <t>钢带</t>
        </is>
      </c>
      <c r="C926" s="8" t="inlineStr">
        <is>
          <t>601333100</t>
        </is>
      </c>
      <c r="D926" s="8" t="inlineStr">
        <is>
          <t>钢带|钢带|T8A|δ0.3×4|101/69-8-210</t>
        </is>
      </c>
      <c r="E926" s="8" t="inlineStr">
        <is>
          <t xml:space="preserve">物资名称 钢带;物资简称 钢带;牌号 T8A;厚度 δ0.3×4;宽 ;技术标准号 101/69-8-210;加工工艺 ;热处理工艺 ;特殊要求 ;规格标准号 </t>
        </is>
      </c>
      <c r="F926" s="4" t="inlineStr">
        <is>
          <t>千克</t>
        </is>
      </c>
    </row>
    <row r="927" s="21">
      <c r="A927" s="8" t="inlineStr">
        <is>
          <t>100401</t>
        </is>
      </c>
      <c r="B927" s="8" t="inlineStr">
        <is>
          <t>钢带</t>
        </is>
      </c>
      <c r="C927" s="8" t="inlineStr">
        <is>
          <t>601333000</t>
        </is>
      </c>
      <c r="D927" s="8" t="inlineStr">
        <is>
          <t>钢带|钢带|T8A|δ0.6×50|101/79-3-37</t>
        </is>
      </c>
      <c r="E927" s="8" t="inlineStr">
        <is>
          <t xml:space="preserve">物资名称 钢带;物资简称 钢带;牌号 T8A;厚度 δ0.6×50;宽 ;技术标准号 101/79-3-37;加工工艺 ;热处理工艺 ;特殊要求 ;规格标准号 </t>
        </is>
      </c>
      <c r="F927" s="4" t="inlineStr">
        <is>
          <t>千克</t>
        </is>
      </c>
    </row>
    <row r="928" s="21">
      <c r="A928" s="8" t="inlineStr">
        <is>
          <t>100401</t>
        </is>
      </c>
      <c r="B928" s="8" t="inlineStr">
        <is>
          <t>钢带</t>
        </is>
      </c>
      <c r="C928" s="8" t="inlineStr">
        <is>
          <t>601332900</t>
        </is>
      </c>
      <c r="D928" s="8" t="inlineStr">
        <is>
          <t>钢带|钢带|T8A-2n|δ1×6|104/69-2-52</t>
        </is>
      </c>
      <c r="E928" s="8" t="inlineStr">
        <is>
          <t xml:space="preserve">物资名称 钢带;物资简称 钢带;牌号 T8A-2n;厚度 δ1×6;宽 ;技术标准号 104/69-2-52;加工工艺 ;热处理工艺 ;特殊要求 ;规格标准号 </t>
        </is>
      </c>
      <c r="F928" s="4" t="inlineStr">
        <is>
          <t>千克</t>
        </is>
      </c>
    </row>
    <row r="929" s="21">
      <c r="A929" s="8" t="inlineStr">
        <is>
          <t>100401</t>
        </is>
      </c>
      <c r="B929" s="8" t="inlineStr">
        <is>
          <t>钢带</t>
        </is>
      </c>
      <c r="C929" s="8" t="inlineStr">
        <is>
          <t>601332800</t>
        </is>
      </c>
      <c r="D929" s="8" t="inlineStr">
        <is>
          <t>钢带|钢带|T8A-2n-BK|δ0.2×40|101/65-7-308</t>
        </is>
      </c>
      <c r="E929" s="8" t="inlineStr">
        <is>
          <t xml:space="preserve">物资名称 钢带;物资简称 钢带;牌号 T8A-2n-BK;厚度 δ0.2×40;宽 ;技术标准号 101/65-7-308;加工工艺 ;热处理工艺 ;特殊要求 ;规格标准号 </t>
        </is>
      </c>
      <c r="F929" s="4" t="inlineStr">
        <is>
          <t>千克</t>
        </is>
      </c>
    </row>
    <row r="930" s="21">
      <c r="A930" s="8" t="inlineStr">
        <is>
          <t>100401</t>
        </is>
      </c>
      <c r="B930" s="8" t="inlineStr">
        <is>
          <t>钢带</t>
        </is>
      </c>
      <c r="C930" s="8" t="inlineStr">
        <is>
          <t>601332700</t>
        </is>
      </c>
      <c r="D930" s="8" t="inlineStr">
        <is>
          <t>钢带|钢带|T8A-2n-B-K|δ0.3×50|101/65-12-750</t>
        </is>
      </c>
      <c r="E930" s="8" t="inlineStr">
        <is>
          <t xml:space="preserve">物资名称 钢带;物资简称 钢带;牌号 T8A-2n-B-K;厚度 δ0.3×50;宽 ;技术标准号 101/65-12-750;加工工艺 ;热处理工艺 ;特殊要求 ;规格标准号 </t>
        </is>
      </c>
      <c r="F930" s="4" t="inlineStr">
        <is>
          <t>千克</t>
        </is>
      </c>
    </row>
    <row r="931" s="21">
      <c r="A931" s="8" t="inlineStr">
        <is>
          <t>100401</t>
        </is>
      </c>
      <c r="B931" s="8" t="inlineStr">
        <is>
          <t>钢带</t>
        </is>
      </c>
      <c r="C931" s="8" t="inlineStr">
        <is>
          <t>601332600</t>
        </is>
      </c>
      <c r="D931" s="8" t="inlineStr">
        <is>
          <t>钢带|钢带|T8A-2n-K|δ0.4×50|101/65-12-745</t>
        </is>
      </c>
      <c r="E931" s="8" t="inlineStr">
        <is>
          <t xml:space="preserve">物资名称 钢带;物资简称 钢带;牌号 T8A-2n-K;厚度 δ0.4×50;宽 ;技术标准号 101/65-12-745;加工工艺 ;热处理工艺 ;特殊要求 ;规格标准号 </t>
        </is>
      </c>
      <c r="F931" s="4" t="inlineStr">
        <is>
          <t>千克</t>
        </is>
      </c>
    </row>
    <row r="932" s="21">
      <c r="A932" s="8" t="inlineStr">
        <is>
          <t>100401</t>
        </is>
      </c>
      <c r="B932" s="8" t="inlineStr">
        <is>
          <t>钢带</t>
        </is>
      </c>
      <c r="C932" s="8" t="inlineStr">
        <is>
          <t>601332500</t>
        </is>
      </c>
      <c r="D932" s="8" t="inlineStr">
        <is>
          <t>钢带|钢带|T8A-2n-K|δ0.5×51|101/67-2-55</t>
        </is>
      </c>
      <c r="E932" s="8" t="inlineStr">
        <is>
          <t xml:space="preserve">物资名称 钢带;物资简称 钢带;牌号 T8A-2n-K;厚度 δ0.5×51;宽 ;技术标准号 101/67-2-55;加工工艺 ;热处理工艺 ;特殊要求 ;规格标准号 </t>
        </is>
      </c>
      <c r="F932" s="4" t="inlineStr">
        <is>
          <t>千克</t>
        </is>
      </c>
    </row>
    <row r="933" s="21">
      <c r="A933" s="8" t="inlineStr">
        <is>
          <t>100401</t>
        </is>
      </c>
      <c r="B933" s="8" t="inlineStr">
        <is>
          <t>钢带</t>
        </is>
      </c>
      <c r="C933" s="8" t="inlineStr">
        <is>
          <t>601332400</t>
        </is>
      </c>
      <c r="D933" s="8" t="inlineStr">
        <is>
          <t>钢带|钢带|T8A-2n-K|δ0.6×60|101/65-12-753</t>
        </is>
      </c>
      <c r="E933" s="8" t="inlineStr">
        <is>
          <t xml:space="preserve">物资名称 钢带;物资简称 钢带;牌号 T8A-2n-K;厚度 δ0.6×60;宽 ;技术标准号 101/65-12-753;加工工艺 ;热处理工艺 ;特殊要求 ;规格标准号 </t>
        </is>
      </c>
      <c r="F933" s="4" t="inlineStr">
        <is>
          <t>千克</t>
        </is>
      </c>
    </row>
    <row r="934" s="21">
      <c r="A934" s="8" t="inlineStr">
        <is>
          <t>100401</t>
        </is>
      </c>
      <c r="B934" s="8" t="inlineStr">
        <is>
          <t>钢带</t>
        </is>
      </c>
      <c r="C934" s="8" t="inlineStr">
        <is>
          <t>601332300</t>
        </is>
      </c>
      <c r="D934" s="8" t="inlineStr">
        <is>
          <t>钢带|钢带|T8A-3n|δ0.3×4|101/69-8-210</t>
        </is>
      </c>
      <c r="E934" s="8" t="inlineStr">
        <is>
          <t xml:space="preserve">物资名称 钢带;物资简称 钢带;牌号 T8A-3n;厚度 δ0.3×4;宽 ;技术标准号 101/69-8-210;加工工艺 ;热处理工艺 ;特殊要求 ;规格标准号 </t>
        </is>
      </c>
      <c r="F934" s="4" t="inlineStr">
        <is>
          <t>千克</t>
        </is>
      </c>
    </row>
    <row r="935" s="21">
      <c r="A935" s="8" t="inlineStr">
        <is>
          <t>100401</t>
        </is>
      </c>
      <c r="B935" s="8" t="inlineStr">
        <is>
          <t>钢带</t>
        </is>
      </c>
      <c r="C935" s="8" t="inlineStr">
        <is>
          <t>601332200</t>
        </is>
      </c>
      <c r="D935" s="8" t="inlineStr">
        <is>
          <t>钢带|钢带|T8A-3n-BK|δ0.3×20|101/66-6-263</t>
        </is>
      </c>
      <c r="E935" s="8" t="inlineStr">
        <is>
          <t xml:space="preserve">物资名称 钢带;物资简称 钢带;牌号 T8A-3n-BK;厚度 δ0.3×20;宽 ;技术标准号 101/66-6-263;加工工艺 ;热处理工艺 ;特殊要求 ;规格标准号 </t>
        </is>
      </c>
      <c r="F935" s="4" t="inlineStr">
        <is>
          <t>千克</t>
        </is>
      </c>
    </row>
    <row r="936" s="21">
      <c r="A936" s="8" t="inlineStr">
        <is>
          <t>100401</t>
        </is>
      </c>
      <c r="B936" s="8" t="inlineStr">
        <is>
          <t>钢带</t>
        </is>
      </c>
      <c r="C936" s="8" t="inlineStr">
        <is>
          <t>601332100</t>
        </is>
      </c>
      <c r="D936" s="8" t="inlineStr">
        <is>
          <t>钢带|钢带|T8A-Ⅱ-P-Q-S|δ0.4×30|101/79-3-25</t>
        </is>
      </c>
      <c r="E936" s="8" t="inlineStr">
        <is>
          <t xml:space="preserve">物资名称 钢带;物资简称 钢带;牌号 T8A-Ⅱ-P-Q-S;厚度 δ0.4×30;宽 ;技术标准号 101/79-3-25;加工工艺 ;热处理工艺 ;特殊要求 ;规格标准号 </t>
        </is>
      </c>
      <c r="F936" s="4" t="inlineStr">
        <is>
          <t>千克</t>
        </is>
      </c>
    </row>
    <row r="937" s="21">
      <c r="A937" s="8" t="inlineStr">
        <is>
          <t>100401</t>
        </is>
      </c>
      <c r="B937" s="8" t="inlineStr">
        <is>
          <t>钢带</t>
        </is>
      </c>
      <c r="C937" s="8" t="inlineStr">
        <is>
          <t>601332000</t>
        </is>
      </c>
      <c r="D937" s="8" t="inlineStr">
        <is>
          <t>钢带|钢带|T8A-Ⅱ-P-S|δ1×80|101/2003-4-12</t>
        </is>
      </c>
      <c r="E937" s="8" t="inlineStr">
        <is>
          <t xml:space="preserve">物资名称 钢带;物资简称 钢带;牌号 T8A-Ⅱ-P-S;厚度 δ1×80;宽 ;技术标准号 101/2003-4-12;加工工艺 ;热处理工艺 ;特殊要求 ;规格标准号 </t>
        </is>
      </c>
      <c r="F937" s="4" t="inlineStr">
        <is>
          <t>千克</t>
        </is>
      </c>
    </row>
    <row r="938" s="21">
      <c r="A938" s="8" t="inlineStr">
        <is>
          <t>100401</t>
        </is>
      </c>
      <c r="B938" s="8" t="inlineStr">
        <is>
          <t>钢带</t>
        </is>
      </c>
      <c r="C938" s="8" t="inlineStr">
        <is>
          <t>601331900</t>
        </is>
      </c>
      <c r="D938" s="8" t="inlineStr">
        <is>
          <t>钢带|钢带|T8A-J-Q-Ⅲ-S|δ0.2×40</t>
        </is>
      </c>
      <c r="E938" s="8" t="inlineStr">
        <is>
          <t xml:space="preserve">物资名称 钢带;物资简称 钢带;牌号 T8A-J-Q-Ⅲ-S;厚度 δ0.2×40;宽 ;技术标准号 ;加工工艺 ;热处理工艺 ;特殊要求 ;规格标准号 </t>
        </is>
      </c>
      <c r="F938" s="4" t="inlineStr">
        <is>
          <t>千克</t>
        </is>
      </c>
    </row>
    <row r="939" s="21">
      <c r="A939" s="8" t="inlineStr">
        <is>
          <t>100401</t>
        </is>
      </c>
      <c r="B939" s="8" t="inlineStr">
        <is>
          <t>钢带</t>
        </is>
      </c>
      <c r="C939" s="8" t="inlineStr">
        <is>
          <t>601331800</t>
        </is>
      </c>
      <c r="D939" s="8" t="inlineStr">
        <is>
          <t>钢带|钢带|T8A-P-Ⅰ-Gn-Q|δ0.5×32|101/75-5-47</t>
        </is>
      </c>
      <c r="E939" s="8" t="inlineStr">
        <is>
          <t xml:space="preserve">物资名称 钢带;物资简称 钢带;牌号 T8A-P-Ⅰ-Gn-Q;厚度 δ0.5×32;宽 ;技术标准号 101/75-5-47;加工工艺 ;热处理工艺 ;特殊要求 ;规格标准号 </t>
        </is>
      </c>
      <c r="F939" s="4" t="inlineStr">
        <is>
          <t>千克</t>
        </is>
      </c>
    </row>
    <row r="940" s="21">
      <c r="A940" s="8" t="inlineStr">
        <is>
          <t>100401</t>
        </is>
      </c>
      <c r="B940" s="8" t="inlineStr">
        <is>
          <t>钢带</t>
        </is>
      </c>
      <c r="C940" s="8" t="inlineStr">
        <is>
          <t>601331700</t>
        </is>
      </c>
      <c r="D940" s="8" t="inlineStr">
        <is>
          <t>钢带|钢带|T8A-P-BQ-T|δ1×108|101/69-2-51</t>
        </is>
      </c>
      <c r="E940" s="8" t="inlineStr">
        <is>
          <t xml:space="preserve">物资名称 钢带;物资简称 钢带;牌号 T8A-P-BQ-T;厚度 δ1×108;宽 ;技术标准号 101/69-2-51;加工工艺 ;热处理工艺 ;特殊要求 ;规格标准号 </t>
        </is>
      </c>
      <c r="F940" s="4" t="inlineStr">
        <is>
          <t>千克</t>
        </is>
      </c>
    </row>
    <row r="941" s="21">
      <c r="A941" s="8" t="inlineStr">
        <is>
          <t>100401</t>
        </is>
      </c>
      <c r="B941" s="8" t="inlineStr">
        <is>
          <t>钢带</t>
        </is>
      </c>
      <c r="C941" s="8" t="inlineStr">
        <is>
          <t>601331600</t>
        </is>
      </c>
      <c r="D941" s="8" t="inlineStr">
        <is>
          <t>钢带|钢带|T8A-P-G-BG-T|δ0.8×100|104/67-8-222</t>
        </is>
      </c>
      <c r="E941" s="8" t="inlineStr">
        <is>
          <t xml:space="preserve">物资名称 钢带;物资简称 钢带;牌号 T8A-P-G-BG-T;厚度 δ0.8×100;宽 ;技术标准号 104/67-8-222;加工工艺 ;热处理工艺 ;特殊要求 ;规格标准号 </t>
        </is>
      </c>
      <c r="F941" s="4" t="inlineStr">
        <is>
          <t>千克</t>
        </is>
      </c>
    </row>
    <row r="942" s="21">
      <c r="A942" s="8" t="inlineStr">
        <is>
          <t>100401</t>
        </is>
      </c>
      <c r="B942" s="8" t="inlineStr">
        <is>
          <t>钢带</t>
        </is>
      </c>
      <c r="C942" s="8" t="inlineStr">
        <is>
          <t>601331500</t>
        </is>
      </c>
      <c r="D942" s="8" t="inlineStr">
        <is>
          <t>钢带|钢带|T8A-P-Q-BG-T|δ0.7×50|工装</t>
        </is>
      </c>
      <c r="E942" s="8" t="inlineStr">
        <is>
          <t xml:space="preserve">物资名称 钢带;物资简称 钢带;牌号 T8A-P-Q-BG-T;厚度 δ0.7×50;宽 ;技术标准号 工装;加工工艺 ;热处理工艺 ;特殊要求 ;规格标准号 </t>
        </is>
      </c>
      <c r="F942" s="4" t="inlineStr">
        <is>
          <t>千克</t>
        </is>
      </c>
    </row>
    <row r="943" s="21">
      <c r="A943" s="8" t="inlineStr">
        <is>
          <t>100401</t>
        </is>
      </c>
      <c r="B943" s="8" t="inlineStr">
        <is>
          <t>钢带</t>
        </is>
      </c>
      <c r="C943" s="8" t="inlineStr">
        <is>
          <t>601331400</t>
        </is>
      </c>
      <c r="D943" s="8" t="inlineStr">
        <is>
          <t>钢带|钢带|T8A-P-Q-G-T|δ0.3×4|104/69-2-59</t>
        </is>
      </c>
      <c r="E943" s="8" t="inlineStr">
        <is>
          <t xml:space="preserve">物资名称 钢带;物资简称 钢带;牌号 T8A-P-Q-G-T;厚度 δ0.3×4;宽 ;技术标准号 104/69-2-59;加工工艺 ;热处理工艺 ;特殊要求 ;规格标准号 </t>
        </is>
      </c>
      <c r="F943" s="4" t="inlineStr">
        <is>
          <t>千克</t>
        </is>
      </c>
    </row>
    <row r="944" s="21">
      <c r="A944" s="8" t="inlineStr">
        <is>
          <t>100401</t>
        </is>
      </c>
      <c r="B944" s="8" t="inlineStr">
        <is>
          <t>钢带</t>
        </is>
      </c>
      <c r="C944" s="8" t="inlineStr">
        <is>
          <t>601331300</t>
        </is>
      </c>
      <c r="D944" s="8" t="inlineStr">
        <is>
          <t>钢带|钢带|T8A-P-Q-G-T|δ0.5×40|104/75-12-97</t>
        </is>
      </c>
      <c r="E944" s="8" t="inlineStr">
        <is>
          <t xml:space="preserve">物资名称 钢带;物资简称 钢带;牌号 T8A-P-Q-G-T;厚度 δ0.5×40;宽 ;技术标准号 104/75-12-97;加工工艺 ;热处理工艺 ;特殊要求 ;规格标准号 </t>
        </is>
      </c>
      <c r="F944" s="4" t="inlineStr">
        <is>
          <t>千克</t>
        </is>
      </c>
    </row>
    <row r="945" s="21">
      <c r="A945" s="8" t="inlineStr">
        <is>
          <t>100401</t>
        </is>
      </c>
      <c r="B945" s="8" t="inlineStr">
        <is>
          <t>钢带</t>
        </is>
      </c>
      <c r="C945" s="8" t="inlineStr">
        <is>
          <t>601331200</t>
        </is>
      </c>
      <c r="D945" s="8" t="inlineStr">
        <is>
          <t>钢带|钢带|T8A-P-Q-G-T|δ0.5×90|104/69-2-56</t>
        </is>
      </c>
      <c r="E945" s="8" t="inlineStr">
        <is>
          <t xml:space="preserve">物资名称 钢带;物资简称 钢带;牌号 T8A-P-Q-G-T;厚度 δ0.5×90;宽 ;技术标准号 104/69-2-56;加工工艺 ;热处理工艺 ;特殊要求 ;规格标准号 </t>
        </is>
      </c>
      <c r="F945" s="4" t="inlineStr">
        <is>
          <t>千克</t>
        </is>
      </c>
    </row>
    <row r="946" s="21">
      <c r="A946" s="8" t="inlineStr">
        <is>
          <t>100401</t>
        </is>
      </c>
      <c r="B946" s="8" t="inlineStr">
        <is>
          <t>钢带</t>
        </is>
      </c>
      <c r="C946" s="8" t="inlineStr">
        <is>
          <t>601331100</t>
        </is>
      </c>
      <c r="D946" s="8" t="inlineStr">
        <is>
          <t>钢带|钢带|T8A-P-Q-T|δ0.3×90|104/76-11-106</t>
        </is>
      </c>
      <c r="E946" s="8" t="inlineStr">
        <is>
          <t xml:space="preserve">物资名称 钢带;物资简称 钢带;牌号 T8A-P-Q-T;厚度 δ0.3×90;宽 ;技术标准号 104/76-11-106;加工工艺 ;热处理工艺 ;特殊要求 ;规格标准号 </t>
        </is>
      </c>
      <c r="F946" s="4" t="inlineStr">
        <is>
          <t>千克</t>
        </is>
      </c>
    </row>
    <row r="947" s="21">
      <c r="A947" s="8" t="inlineStr">
        <is>
          <t>100401</t>
        </is>
      </c>
      <c r="B947" s="8" t="inlineStr">
        <is>
          <t>钢带</t>
        </is>
      </c>
      <c r="C947" s="8" t="inlineStr">
        <is>
          <t>601331000</t>
        </is>
      </c>
      <c r="D947" s="8" t="inlineStr">
        <is>
          <t>钢带|钢带|T8A-P-Q-T|δ0.4×90|104/73-2-24</t>
        </is>
      </c>
      <c r="E947" s="8" t="inlineStr">
        <is>
          <t xml:space="preserve">物资名称 钢带;物资简称 钢带;牌号 T8A-P-Q-T;厚度 δ0.4×90;宽 ;技术标准号 104/73-2-24;加工工艺 ;热处理工艺 ;特殊要求 ;规格标准号 </t>
        </is>
      </c>
      <c r="F947" s="4" t="inlineStr">
        <is>
          <t>千克</t>
        </is>
      </c>
    </row>
    <row r="948" s="21">
      <c r="A948" s="8" t="inlineStr">
        <is>
          <t>100401</t>
        </is>
      </c>
      <c r="B948" s="8" t="inlineStr">
        <is>
          <t>钢带</t>
        </is>
      </c>
      <c r="C948" s="8" t="inlineStr">
        <is>
          <t>601330900</t>
        </is>
      </c>
      <c r="D948" s="8" t="inlineStr">
        <is>
          <t>钢带|钢带|T8A-Q-G-T|δ0.15×50|维修</t>
        </is>
      </c>
      <c r="E948" s="8" t="inlineStr">
        <is>
          <t xml:space="preserve">物资名称 钢带;物资简称 钢带;牌号 T8A-Q-G-T;厚度 δ0.15×50;宽 ;技术标准号 维修;加工工艺 ;热处理工艺 ;特殊要求 ;规格标准号 </t>
        </is>
      </c>
      <c r="F948" s="4" t="inlineStr">
        <is>
          <t>千克</t>
        </is>
      </c>
    </row>
    <row r="949" s="21">
      <c r="A949" s="8" t="inlineStr">
        <is>
          <t>100401</t>
        </is>
      </c>
      <c r="B949" s="8" t="inlineStr">
        <is>
          <t>钢带</t>
        </is>
      </c>
      <c r="C949" s="8" t="inlineStr">
        <is>
          <t>601330800</t>
        </is>
      </c>
      <c r="D949" s="8" t="inlineStr">
        <is>
          <t>钢带|钢带|1Cr18Ni9Ti|δ0.05</t>
        </is>
      </c>
      <c r="E949" s="8" t="inlineStr">
        <is>
          <t xml:space="preserve">物资名称 钢带;物资简称 钢带;牌号 1Cr18Ni9Ti;厚度 δ0.05;宽 ;技术标准号 ;加工工艺 ;热处理工艺 ;特殊要求 ;规格标准号 </t>
        </is>
      </c>
      <c r="F949" s="4" t="inlineStr">
        <is>
          <t>千克</t>
        </is>
      </c>
    </row>
    <row r="950" s="21">
      <c r="A950" s="8" t="inlineStr">
        <is>
          <t>100401</t>
        </is>
      </c>
      <c r="B950" s="8" t="inlineStr">
        <is>
          <t>钢带</t>
        </is>
      </c>
      <c r="C950" s="8" t="inlineStr">
        <is>
          <t>601330700</t>
        </is>
      </c>
      <c r="D950" s="8" t="inlineStr">
        <is>
          <t>钢带|钢带|LT50|δ0.35|工装</t>
        </is>
      </c>
      <c r="E950" s="8" t="inlineStr">
        <is>
          <t xml:space="preserve">物资名称 钢带;物资简称 钢带;牌号 LT50;厚度 δ0.35;宽 ;技术标准号 工装;加工工艺 ;热处理工艺 ;特殊要求 ;规格标准号 </t>
        </is>
      </c>
      <c r="F950" s="4" t="inlineStr">
        <is>
          <t>千克</t>
        </is>
      </c>
    </row>
    <row r="951" s="21">
      <c r="A951" s="8" t="inlineStr">
        <is>
          <t>100401</t>
        </is>
      </c>
      <c r="B951" s="8" t="inlineStr">
        <is>
          <t>钢带</t>
        </is>
      </c>
      <c r="C951" s="8" t="inlineStr">
        <is>
          <t>601330600</t>
        </is>
      </c>
      <c r="D951" s="8" t="inlineStr">
        <is>
          <t>钢带|钢带|RS-3|δ0.25×80|101/69-11-317</t>
        </is>
      </c>
      <c r="E951" s="8" t="inlineStr">
        <is>
          <t xml:space="preserve">物资名称 钢带;物资简称 钢带;牌号 RS-3;厚度 δ0.25×80;宽 ;技术标准号 101/69-11-317;加工工艺 ;热处理工艺 ;特殊要求 ;规格标准号 </t>
        </is>
      </c>
      <c r="F951" s="4" t="inlineStr">
        <is>
          <t>千克</t>
        </is>
      </c>
    </row>
    <row r="952" s="21">
      <c r="A952" s="8" t="inlineStr">
        <is>
          <t>100401</t>
        </is>
      </c>
      <c r="B952" s="8" t="inlineStr">
        <is>
          <t>钢带</t>
        </is>
      </c>
      <c r="C952" s="8" t="inlineStr">
        <is>
          <t>601330500</t>
        </is>
      </c>
      <c r="D952" s="8" t="inlineStr">
        <is>
          <t>钢带|钢带|RS-3|δ0.3×120|101/65-10-680</t>
        </is>
      </c>
      <c r="E952" s="8" t="inlineStr">
        <is>
          <t xml:space="preserve">物资名称 钢带;物资简称 钢带;牌号 RS-3;厚度 δ0.3×120;宽 ;技术标准号 101/65-10-680;加工工艺 ;热处理工艺 ;特殊要求 ;规格标准号 </t>
        </is>
      </c>
      <c r="F952" s="4" t="inlineStr">
        <is>
          <t>千克</t>
        </is>
      </c>
    </row>
    <row r="953" s="21">
      <c r="A953" s="8" t="inlineStr">
        <is>
          <t>100401</t>
        </is>
      </c>
      <c r="B953" s="8" t="inlineStr">
        <is>
          <t>钢带</t>
        </is>
      </c>
      <c r="C953" s="8" t="inlineStr">
        <is>
          <t>601330400</t>
        </is>
      </c>
      <c r="D953" s="8" t="inlineStr">
        <is>
          <t>钢带|钢带|RS-3|δ0.3×80|101/69-12-273</t>
        </is>
      </c>
      <c r="E953" s="8" t="inlineStr">
        <is>
          <t xml:space="preserve">物资名称 钢带;物资简称 钢带;牌号 RS-3;厚度 δ0.3×80;宽 ;技术标准号 101/69-12-273;加工工艺 ;热处理工艺 ;特殊要求 ;规格标准号 </t>
        </is>
      </c>
      <c r="F953" s="4" t="inlineStr">
        <is>
          <t>千克</t>
        </is>
      </c>
    </row>
    <row r="954" s="21">
      <c r="A954" s="8" t="inlineStr">
        <is>
          <t>100401</t>
        </is>
      </c>
      <c r="B954" s="8" t="inlineStr">
        <is>
          <t>钢带</t>
        </is>
      </c>
      <c r="C954" s="8" t="inlineStr">
        <is>
          <t>601330300</t>
        </is>
      </c>
      <c r="D954" s="8" t="inlineStr">
        <is>
          <t>碳素弹簧钢带|钢带|65Mn|δ0.4</t>
        </is>
      </c>
      <c r="E954" s="8" t="inlineStr">
        <is>
          <t xml:space="preserve">物资名称 碳素弹簧钢带;物资简称 钢带;牌号 65Mn;厚度 δ0.4;宽 ;技术标准号 ;加工工艺 ;热处理工艺 ;特殊要求 ;规格标准号 </t>
        </is>
      </c>
      <c r="F954" s="4" t="inlineStr">
        <is>
          <t>千克</t>
        </is>
      </c>
    </row>
    <row r="955" s="21">
      <c r="A955" s="8" t="inlineStr">
        <is>
          <t>100401</t>
        </is>
      </c>
      <c r="B955" s="8" t="inlineStr">
        <is>
          <t>钢带</t>
        </is>
      </c>
      <c r="C955" s="8" t="inlineStr">
        <is>
          <t>601330200</t>
        </is>
      </c>
      <c r="D955" s="8" t="inlineStr">
        <is>
          <t>不锈钢带|钢带|12Cr18Ni9|δ0.02</t>
        </is>
      </c>
      <c r="E955" s="8" t="inlineStr">
        <is>
          <t xml:space="preserve">物资名称 不锈钢带;物资简称 钢带;牌号 12Cr18Ni9;厚度 δ0.02;宽 ;技术标准号 ;加工工艺 ;热处理工艺 ;特殊要求 ;规格标准号 </t>
        </is>
      </c>
      <c r="F955" s="4" t="inlineStr">
        <is>
          <t>千克</t>
        </is>
      </c>
    </row>
    <row r="956" s="21">
      <c r="A956" s="8" t="inlineStr">
        <is>
          <t>100401</t>
        </is>
      </c>
      <c r="B956" s="8" t="inlineStr">
        <is>
          <t>钢带</t>
        </is>
      </c>
      <c r="C956" s="8" t="inlineStr">
        <is>
          <t>601330100</t>
        </is>
      </c>
      <c r="D956" s="8" t="inlineStr">
        <is>
          <t>不锈钢带|钢带|12Cr18Ni9|δ0.05|GB/T 3280-2007</t>
        </is>
      </c>
      <c r="E956" s="8" t="inlineStr">
        <is>
          <t xml:space="preserve">物资名称 不锈钢带;物资简称 钢带;牌号 12Cr18Ni9;厚度 δ0.05;宽 ;技术标准号 GB/T 3280-2007;加工工艺 ;热处理工艺 ;特殊要求 ;规格标准号 </t>
        </is>
      </c>
      <c r="F956" s="4" t="inlineStr">
        <is>
          <t>千克</t>
        </is>
      </c>
    </row>
    <row r="957" s="21">
      <c r="A957" s="8" t="inlineStr">
        <is>
          <t>100401</t>
        </is>
      </c>
      <c r="B957" s="8" t="inlineStr">
        <is>
          <t>钢带</t>
        </is>
      </c>
      <c r="C957" s="8" t="inlineStr">
        <is>
          <t>601330000</t>
        </is>
      </c>
      <c r="D957" s="8" t="inlineStr">
        <is>
          <t>合金弹簧钢带|钢带|60Si2Mn|δ1.5</t>
        </is>
      </c>
      <c r="E957" s="8" t="inlineStr">
        <is>
          <t xml:space="preserve">物资名称 合金弹簧钢带;物资简称 钢带;牌号 60Si2Mn;厚度 δ1.5;宽 ;技术标准号 ;加工工艺 ;热处理工艺 ;特殊要求 ;规格标准号 </t>
        </is>
      </c>
      <c r="F957" s="4" t="inlineStr">
        <is>
          <t>千克</t>
        </is>
      </c>
    </row>
    <row r="958" s="21">
      <c r="A958" s="8" t="inlineStr">
        <is>
          <t>100401</t>
        </is>
      </c>
      <c r="B958" s="8" t="inlineStr">
        <is>
          <t>钢带</t>
        </is>
      </c>
      <c r="C958" s="8" t="inlineStr">
        <is>
          <t>601329900</t>
        </is>
      </c>
      <c r="D958" s="8" t="inlineStr">
        <is>
          <t>不锈钢带|钢带|12Cr18Ni9|δ0.04|200</t>
        </is>
      </c>
      <c r="E958" s="8" t="inlineStr">
        <is>
          <t xml:space="preserve">物资名称 不锈钢带;物资简称 钢带;牌号 12Cr18Ni9;厚度 δ0.04;宽 200;技术标准号 ;加工工艺 ;热处理工艺 ;特殊要求 ;规格标准号 </t>
        </is>
      </c>
      <c r="F958" s="4" t="inlineStr">
        <is>
          <t>千克</t>
        </is>
      </c>
    </row>
    <row r="959" s="21">
      <c r="A959" s="8" t="inlineStr">
        <is>
          <t>100401</t>
        </is>
      </c>
      <c r="B959" s="8" t="inlineStr">
        <is>
          <t>钢带</t>
        </is>
      </c>
      <c r="C959" s="8" t="inlineStr">
        <is>
          <t>601000000</t>
        </is>
      </c>
      <c r="D959" s="8" t="inlineStr">
        <is>
          <t>冷轧不锈钢带|钢带|1Cr18Ni19Ti|δ0.35|GB/T 3280-1992|冷轧|GB/T 708-2006</t>
        </is>
      </c>
      <c r="E959" s="8" t="inlineStr">
        <is>
          <t>物资名称 冷轧不锈钢带;物资简称 钢带;牌号 1Cr18Ni19Ti;厚度 δ0.35;宽 ;技术标准号 GB/T 3280-1992;加工工艺 冷轧;热处理工艺 ;特殊要求 ;规格标准号 GB/T 708-2006</t>
        </is>
      </c>
      <c r="F959" s="4" t="inlineStr">
        <is>
          <t>千克</t>
        </is>
      </c>
    </row>
    <row r="960" s="21">
      <c r="A960" s="8" t="inlineStr">
        <is>
          <t>100401</t>
        </is>
      </c>
      <c r="B960" s="8" t="inlineStr">
        <is>
          <t>钢带</t>
        </is>
      </c>
      <c r="C960" s="8" t="inlineStr">
        <is>
          <t>600997300</t>
        </is>
      </c>
      <c r="D960" s="8" t="inlineStr">
        <is>
          <t>冷轧不锈钢带|钢带|1Cr18Ni19Ti|δ0.48|GB/T 3280-1992|冷轧|GB/T 708-2006</t>
        </is>
      </c>
      <c r="E960" s="8" t="inlineStr">
        <is>
          <t>物资名称 冷轧不锈钢带;物资简称 钢带;牌号 1Cr18Ni19Ti;厚度 δ0.48;宽 ;技术标准号 GB/T 3280-1992;加工工艺 冷轧;热处理工艺 ;特殊要求 ;规格标准号 GB/T 708-2006</t>
        </is>
      </c>
      <c r="F960" s="4" t="inlineStr">
        <is>
          <t>千克</t>
        </is>
      </c>
    </row>
    <row r="961" s="21">
      <c r="A961" s="8" t="inlineStr">
        <is>
          <t>100401</t>
        </is>
      </c>
      <c r="B961" s="8" t="inlineStr">
        <is>
          <t>钢带</t>
        </is>
      </c>
      <c r="C961" s="8" t="inlineStr">
        <is>
          <t>600997200</t>
        </is>
      </c>
      <c r="D961" s="8" t="inlineStr">
        <is>
          <t>冷轧不锈钢带|钢带|1Cr18Ni19Ti|δ0.5|GB/T 3280-1992|冷轧|GB/T 708-2006</t>
        </is>
      </c>
      <c r="E961" s="8" t="inlineStr">
        <is>
          <t>物资名称 冷轧不锈钢带;物资简称 钢带;牌号 1Cr18Ni19Ti;厚度 δ0.5;宽 ;技术标准号 GB/T 3280-1992;加工工艺 冷轧;热处理工艺 ;特殊要求 ;规格标准号 GB/T 708-2006</t>
        </is>
      </c>
      <c r="F961" s="4" t="inlineStr">
        <is>
          <t>千克</t>
        </is>
      </c>
    </row>
    <row r="962" s="21">
      <c r="A962" s="8" t="inlineStr">
        <is>
          <t>100401</t>
        </is>
      </c>
      <c r="B962" s="8" t="inlineStr">
        <is>
          <t>钢带</t>
        </is>
      </c>
      <c r="C962" s="8" t="inlineStr">
        <is>
          <t>600997100</t>
        </is>
      </c>
      <c r="D962" s="8" t="inlineStr">
        <is>
          <t>冷轧不锈钢带|钢带|1Cr18Ni19Ti|δ0.1|GB/T 3280-1992|冷轧|GB/T 708-2006</t>
        </is>
      </c>
      <c r="E962" s="8" t="inlineStr">
        <is>
          <t>物资名称 冷轧不锈钢带;物资简称 钢带;牌号 1Cr18Ni19Ti;厚度 δ0.1;宽 ;技术标准号 GB/T 3280-1992;加工工艺 冷轧;热处理工艺 ;特殊要求 ;规格标准号 GB/T 708-2006</t>
        </is>
      </c>
      <c r="F962" s="4" t="inlineStr">
        <is>
          <t>千克</t>
        </is>
      </c>
    </row>
    <row r="963" s="21">
      <c r="A963" s="8" t="inlineStr">
        <is>
          <t>100401</t>
        </is>
      </c>
      <c r="B963" s="8" t="inlineStr">
        <is>
          <t>钢带</t>
        </is>
      </c>
      <c r="C963" s="8" t="inlineStr">
        <is>
          <t>600997000</t>
        </is>
      </c>
      <c r="D963" s="8" t="inlineStr">
        <is>
          <t>冷轧不锈钢带|钢带|1Cr18Ni19Ti|δ0.15|GB/T 3280-1992|冷轧|GB/T 708-2006</t>
        </is>
      </c>
      <c r="E963" s="8" t="inlineStr">
        <is>
          <t>物资名称 冷轧不锈钢带;物资简称 钢带;牌号 1Cr18Ni19Ti;厚度 δ0.15;宽 ;技术标准号 GB/T 3280-1992;加工工艺 冷轧;热处理工艺 ;特殊要求 ;规格标准号 GB/T 708-2006</t>
        </is>
      </c>
      <c r="F963" s="4" t="inlineStr">
        <is>
          <t>千克</t>
        </is>
      </c>
    </row>
    <row r="964" s="21">
      <c r="A964" s="8" t="inlineStr">
        <is>
          <t>100401</t>
        </is>
      </c>
      <c r="B964" s="8" t="inlineStr">
        <is>
          <t>钢带</t>
        </is>
      </c>
      <c r="C964" s="8" t="inlineStr">
        <is>
          <t>600996900</t>
        </is>
      </c>
      <c r="D964" s="8" t="inlineStr">
        <is>
          <t>冷轧不锈钢带|钢带|1Cr18Ni19Ti|δ0.25|GB/T 3280-1992|冷轧|GB/T 708-2006</t>
        </is>
      </c>
      <c r="E964" s="8" t="inlineStr">
        <is>
          <t>物资名称 冷轧不锈钢带;物资简称 钢带;牌号 1Cr18Ni19Ti;厚度 δ0.25;宽 ;技术标准号 GB/T 3280-1992;加工工艺 冷轧;热处理工艺 ;特殊要求 ;规格标准号 GB/T 708-2006</t>
        </is>
      </c>
      <c r="F964" s="4" t="inlineStr">
        <is>
          <t>千克</t>
        </is>
      </c>
    </row>
    <row r="965" s="21">
      <c r="A965" s="8" t="inlineStr">
        <is>
          <t>100401</t>
        </is>
      </c>
      <c r="B965" s="8" t="inlineStr">
        <is>
          <t>钢带</t>
        </is>
      </c>
      <c r="C965" s="8" t="inlineStr">
        <is>
          <t>600996800</t>
        </is>
      </c>
      <c r="D965" s="8" t="inlineStr">
        <is>
          <t>冷轧不锈钢带|钢带|1Cr18Ni19Ti|δ0.46|GB/T 3280-1992|冷轧|GB/T 708-2006</t>
        </is>
      </c>
      <c r="E965" s="8" t="inlineStr">
        <is>
          <t>物资名称 冷轧不锈钢带;物资简称 钢带;牌号 1Cr18Ni19Ti;厚度 δ0.46;宽 ;技术标准号 GB/T 3280-1992;加工工艺 冷轧;热处理工艺 ;特殊要求 ;规格标准号 GB/T 708-2006</t>
        </is>
      </c>
      <c r="F965" s="4" t="inlineStr">
        <is>
          <t>千克</t>
        </is>
      </c>
    </row>
    <row r="966" s="21">
      <c r="A966" s="8" t="inlineStr">
        <is>
          <t>100401</t>
        </is>
      </c>
      <c r="B966" s="8" t="inlineStr">
        <is>
          <t>钢带</t>
        </is>
      </c>
      <c r="C966" s="8" t="inlineStr">
        <is>
          <t>600996700</t>
        </is>
      </c>
      <c r="D966" s="8" t="inlineStr">
        <is>
          <t>冷轧不锈钢带|钢带|1Cr18Ni19Ti|δ0.3|GB/T 3280-1992|冷轧|GB/T 708-2006</t>
        </is>
      </c>
      <c r="E966" s="8" t="inlineStr">
        <is>
          <t>物资名称 冷轧不锈钢带;物资简称 钢带;牌号 1Cr18Ni19Ti;厚度 δ0.3;宽 ;技术标准号 GB/T 3280-1992;加工工艺 冷轧;热处理工艺 ;特殊要求 ;规格标准号 GB/T 708-2006</t>
        </is>
      </c>
      <c r="F966" s="4" t="inlineStr">
        <is>
          <t>千克</t>
        </is>
      </c>
    </row>
    <row r="967" s="21">
      <c r="A967" s="8" t="inlineStr">
        <is>
          <t>100401</t>
        </is>
      </c>
      <c r="B967" s="8" t="inlineStr">
        <is>
          <t>钢带</t>
        </is>
      </c>
      <c r="C967" s="8" t="inlineStr">
        <is>
          <t>600842300</t>
        </is>
      </c>
      <c r="D967" s="8" t="inlineStr">
        <is>
          <t>特种钢带|钢带|XSVS-7C27Mo2|δ0.203|厂家约定</t>
        </is>
      </c>
      <c r="E967" s="8" t="inlineStr">
        <is>
          <t xml:space="preserve">物资名称 特种钢带;物资简称 钢带;牌号 XSVS-7C27Mo2;厚度 δ0.203;宽 ;技术标准号 ;加工工艺 ;热处理工艺 ;特殊要求 厂家约定;规格标准号 </t>
        </is>
      </c>
      <c r="F967" s="4" t="inlineStr">
        <is>
          <t>千克</t>
        </is>
      </c>
    </row>
    <row r="968" s="21">
      <c r="A968" s="8" t="inlineStr">
        <is>
          <t>100401</t>
        </is>
      </c>
      <c r="B968" s="8" t="inlineStr">
        <is>
          <t>钢带</t>
        </is>
      </c>
      <c r="C968" s="8" t="inlineStr">
        <is>
          <t>600632100</t>
        </is>
      </c>
      <c r="D968" s="8" t="inlineStr">
        <is>
          <t>冷轧不锈钢带|钢带|1Cr18Ni19Ti|GB/T 3280-1992|GB/T 708-2006</t>
        </is>
      </c>
      <c r="E968" s="8" t="inlineStr">
        <is>
          <t>物资名称 冷轧不锈钢带;物资简称 钢带;牌号 1Cr18Ni19Ti;厚度 ;宽 ;技术标准号 GB/T 3280-1992;加工工艺 ;热处理工艺 ;特殊要求 ;规格标准号 GB/T 708-2006</t>
        </is>
      </c>
      <c r="F968" s="4" t="inlineStr">
        <is>
          <t>千克</t>
        </is>
      </c>
    </row>
    <row r="969" s="21">
      <c r="A969" s="8" t="inlineStr">
        <is>
          <t>100401</t>
        </is>
      </c>
      <c r="B969" s="8" t="inlineStr">
        <is>
          <t>钢带</t>
        </is>
      </c>
      <c r="C969" s="8" t="inlineStr">
        <is>
          <t>600632000</t>
        </is>
      </c>
      <c r="D969" s="8" t="inlineStr">
        <is>
          <t>冷轧不锈钢带|钢带|1Cr18Ni19Ti|δ0.2|GB/T 3280-1992|冷轧|GB/T 708-2006</t>
        </is>
      </c>
      <c r="E969" s="8" t="inlineStr">
        <is>
          <t>物资名称 冷轧不锈钢带;物资简称 钢带;牌号 1Cr18Ni19Ti;厚度 δ0.2;宽 ;技术标准号 GB/T 3280-1992;加工工艺 冷轧;热处理工艺 ;特殊要求 ;规格标准号 GB/T 708-2006</t>
        </is>
      </c>
      <c r="F969" s="4" t="inlineStr">
        <is>
          <t>千克</t>
        </is>
      </c>
    </row>
    <row r="970" s="21">
      <c r="A970" s="8" t="inlineStr">
        <is>
          <t>100401</t>
        </is>
      </c>
      <c r="B970" s="8" t="inlineStr">
        <is>
          <t>钢带</t>
        </is>
      </c>
      <c r="C970" s="8" t="inlineStr">
        <is>
          <t>600631900</t>
        </is>
      </c>
      <c r="D970" s="8" t="inlineStr">
        <is>
          <t>冷轧不锈钢带|钢带|12Cr18Ni9|GB/T 3280-2007|GB/T 708-2006</t>
        </is>
      </c>
      <c r="E970" s="8" t="inlineStr">
        <is>
          <t>物资名称 冷轧不锈钢带;物资简称 钢带;牌号 12Cr18Ni9;厚度 ;宽 ;技术标准号 GB/T 3280-2007;加工工艺 ;热处理工艺 ;特殊要求 ;规格标准号 GB/T 708-2006</t>
        </is>
      </c>
      <c r="F970" s="4" t="inlineStr">
        <is>
          <t>千克</t>
        </is>
      </c>
    </row>
    <row r="971" s="21">
      <c r="A971" s="8" t="inlineStr">
        <is>
          <t>100401</t>
        </is>
      </c>
      <c r="B971" s="8" t="inlineStr">
        <is>
          <t>钢带</t>
        </is>
      </c>
      <c r="C971" s="8" t="inlineStr">
        <is>
          <t>600631800</t>
        </is>
      </c>
      <c r="D971" s="8" t="inlineStr">
        <is>
          <t>冷轧不锈钢带|钢带|12Cr18Ni9|δ0.1|GB/T 3280-2007|冷轧|H1/4|GB/T 708-2006</t>
        </is>
      </c>
      <c r="E971" s="8" t="inlineStr">
        <is>
          <t>物资名称 冷轧不锈钢带;物资简称 钢带;牌号 12Cr18Ni9;厚度 δ0.1;宽 ;技术标准号 GB/T 3280-2007;加工工艺 冷轧;热处理工艺 H1/4;特殊要求 ;规格标准号 GB/T 708-2006</t>
        </is>
      </c>
      <c r="F971" s="4" t="inlineStr">
        <is>
          <t>千克</t>
        </is>
      </c>
    </row>
    <row r="972" s="21">
      <c r="A972" s="8" t="inlineStr">
        <is>
          <t>100401</t>
        </is>
      </c>
      <c r="B972" s="8" t="inlineStr">
        <is>
          <t>钢带</t>
        </is>
      </c>
      <c r="C972" s="8" t="inlineStr">
        <is>
          <t>600631700</t>
        </is>
      </c>
      <c r="D972" s="8" t="inlineStr">
        <is>
          <t>冷轧不锈钢带|钢带|12Cr18Ni9|δ0.2|GB/T 3280-2007|冷轧|H1/4|GB/T 708-2006</t>
        </is>
      </c>
      <c r="E972" s="8" t="inlineStr">
        <is>
          <t>物资名称 冷轧不锈钢带;物资简称 钢带;牌号 12Cr18Ni9;厚度 δ0.2;宽 ;技术标准号 GB/T 3280-2007;加工工艺 冷轧;热处理工艺 H1/4;特殊要求 ;规格标准号 GB/T 708-2006</t>
        </is>
      </c>
      <c r="F972" s="4" t="inlineStr">
        <is>
          <t>千克</t>
        </is>
      </c>
    </row>
    <row r="973" s="21">
      <c r="A973" s="8" t="inlineStr">
        <is>
          <t>100401</t>
        </is>
      </c>
      <c r="B973" s="8" t="inlineStr">
        <is>
          <t>钢带</t>
        </is>
      </c>
      <c r="C973" s="8" t="inlineStr">
        <is>
          <t>600631600</t>
        </is>
      </c>
      <c r="D973" s="8" t="inlineStr">
        <is>
          <t>冷轧不锈钢带|钢带|12Cr18Ni9|δ0.5|GB/T 3280-2007|冷轧|H1/4|GB/T 708-2006</t>
        </is>
      </c>
      <c r="E973" s="8" t="inlineStr">
        <is>
          <t>物资名称 冷轧不锈钢带;物资简称 钢带;牌号 12Cr18Ni9;厚度 δ0.5;宽 ;技术标准号 GB/T 3280-2007;加工工艺 冷轧;热处理工艺 H1/4;特殊要求 ;规格标准号 GB/T 708-2006</t>
        </is>
      </c>
      <c r="F973" s="4" t="inlineStr">
        <is>
          <t>千克</t>
        </is>
      </c>
    </row>
    <row r="974" s="21">
      <c r="A974" s="8" t="inlineStr">
        <is>
          <t>100401</t>
        </is>
      </c>
      <c r="B974" s="8" t="inlineStr">
        <is>
          <t>钢带</t>
        </is>
      </c>
      <c r="C974" s="8" t="inlineStr">
        <is>
          <t>600631500</t>
        </is>
      </c>
      <c r="D974" s="8" t="inlineStr">
        <is>
          <t>冷轧不锈钢带|钢带|12Cr18Ni9|δ1.2|GB/T 3280-2007|冷轧|H1/4|N|GB/T 708-2006</t>
        </is>
      </c>
      <c r="E974" s="8" t="inlineStr">
        <is>
          <t>物资名称 冷轧不锈钢带;物资简称 钢带;牌号 12Cr18Ni9;厚度 δ1.2;宽 ;技术标准号 GB/T 3280-2007;加工工艺 冷轧;热处理工艺 H1/4;特殊要求 N;规格标准号 GB/T 708-2006</t>
        </is>
      </c>
      <c r="F974" s="4" t="inlineStr">
        <is>
          <t>千克</t>
        </is>
      </c>
    </row>
    <row r="975" s="21">
      <c r="A975" s="8" t="inlineStr">
        <is>
          <t>100401</t>
        </is>
      </c>
      <c r="B975" s="8" t="inlineStr">
        <is>
          <t>钢带</t>
        </is>
      </c>
      <c r="C975" s="8" t="inlineStr">
        <is>
          <t>600631400</t>
        </is>
      </c>
      <c r="D975" s="8" t="inlineStr">
        <is>
          <t>冷轧耐热钢带|钢带|1Cr18Ni9Ti|GB  4239-1991</t>
        </is>
      </c>
      <c r="E975" s="8" t="inlineStr">
        <is>
          <t xml:space="preserve">物资名称 冷轧耐热钢带;物资简称 钢带;牌号 1Cr18Ni9Ti;厚度 ;宽 ;技术标准号 GB  4239-1991;加工工艺 ;热处理工艺 ;特殊要求 ;规格标准号 </t>
        </is>
      </c>
      <c r="F975" s="4" t="inlineStr">
        <is>
          <t>千克</t>
        </is>
      </c>
    </row>
    <row r="976" s="21">
      <c r="A976" s="8" t="inlineStr">
        <is>
          <t>100401</t>
        </is>
      </c>
      <c r="B976" s="8" t="inlineStr">
        <is>
          <t>钢带</t>
        </is>
      </c>
      <c r="C976" s="8" t="inlineStr">
        <is>
          <t>600631300</t>
        </is>
      </c>
      <c r="D976" s="8" t="inlineStr">
        <is>
          <t>冷轧耐热钢带|钢带|1Cr18Ni9Ti|δ0.05|GB  4239-1991|冷轧</t>
        </is>
      </c>
      <c r="E976" s="8" t="inlineStr">
        <is>
          <t xml:space="preserve">物资名称 冷轧耐热钢带;物资简称 钢带;牌号 1Cr18Ni9Ti;厚度 δ0.05;宽 ;技术标准号 GB  4239-1991;加工工艺 冷轧;热处理工艺 ;特殊要求 ;规格标准号 </t>
        </is>
      </c>
      <c r="F976" s="4" t="inlineStr">
        <is>
          <t>千克</t>
        </is>
      </c>
    </row>
    <row r="977" s="21">
      <c r="A977" s="8" t="inlineStr">
        <is>
          <t>100401</t>
        </is>
      </c>
      <c r="B977" s="8" t="inlineStr">
        <is>
          <t>钢带</t>
        </is>
      </c>
      <c r="C977" s="8" t="inlineStr">
        <is>
          <t>600631200</t>
        </is>
      </c>
      <c r="D977" s="8" t="inlineStr">
        <is>
          <t>冷轧耐热钢带|钢带|1Cr18Ni9Ti|δ0.15|GB  4239-1991|冷轧</t>
        </is>
      </c>
      <c r="E977" s="8" t="inlineStr">
        <is>
          <t xml:space="preserve">物资名称 冷轧耐热钢带;物资简称 钢带;牌号 1Cr18Ni9Ti;厚度 δ0.15;宽 ;技术标准号 GB  4239-1991;加工工艺 冷轧;热处理工艺 ;特殊要求 ;规格标准号 </t>
        </is>
      </c>
      <c r="F977" s="4" t="inlineStr">
        <is>
          <t>千克</t>
        </is>
      </c>
    </row>
    <row r="978" s="21">
      <c r="A978" s="8" t="inlineStr">
        <is>
          <t>100401</t>
        </is>
      </c>
      <c r="B978" s="8" t="inlineStr">
        <is>
          <t>钢带</t>
        </is>
      </c>
      <c r="C978" s="8" t="inlineStr">
        <is>
          <t>600631100</t>
        </is>
      </c>
      <c r="D978" s="8" t="inlineStr">
        <is>
          <t>冷轧耐热钢带|钢带|1Cr18Ni9Ti|δ0.2|GB  4239-1991|冷轧</t>
        </is>
      </c>
      <c r="E978" s="8" t="inlineStr">
        <is>
          <t xml:space="preserve">物资名称 冷轧耐热钢带;物资简称 钢带;牌号 1Cr18Ni9Ti;厚度 δ0.2;宽 ;技术标准号 GB  4239-1991;加工工艺 冷轧;热处理工艺 ;特殊要求 ;规格标准号 </t>
        </is>
      </c>
      <c r="F978" s="4" t="inlineStr">
        <is>
          <t>千克</t>
        </is>
      </c>
    </row>
    <row r="979" s="21">
      <c r="A979" s="8" t="inlineStr">
        <is>
          <t>100401</t>
        </is>
      </c>
      <c r="B979" s="8" t="inlineStr">
        <is>
          <t>钢带</t>
        </is>
      </c>
      <c r="C979" s="8" t="inlineStr">
        <is>
          <t>600631000</t>
        </is>
      </c>
      <c r="D979" s="8" t="inlineStr">
        <is>
          <t>冷轧耐热钢带|钢带|1Cr18Ni9Ti|δ0.2|GB  4239-1991|冷轧|硬态</t>
        </is>
      </c>
      <c r="E979" s="8" t="inlineStr">
        <is>
          <t xml:space="preserve">物资名称 冷轧耐热钢带;物资简称 钢带;牌号 1Cr18Ni9Ti;厚度 δ0.2;宽 ;技术标准号 GB  4239-1991;加工工艺 冷轧;热处理工艺 ;特殊要求 硬态;规格标准号 </t>
        </is>
      </c>
      <c r="F979" s="4" t="inlineStr">
        <is>
          <t>千克</t>
        </is>
      </c>
    </row>
    <row r="980" s="21">
      <c r="A980" s="8" t="inlineStr">
        <is>
          <t>100401</t>
        </is>
      </c>
      <c r="B980" s="8" t="inlineStr">
        <is>
          <t>钢带</t>
        </is>
      </c>
      <c r="C980" s="8" t="inlineStr">
        <is>
          <t>600630900</t>
        </is>
      </c>
      <c r="D980" s="8" t="inlineStr">
        <is>
          <t>冷轧耐热钢带|钢带|1Cr18Ni9Ti|δ0.3|GB  4239-1991|冷轧</t>
        </is>
      </c>
      <c r="E980" s="8" t="inlineStr">
        <is>
          <t xml:space="preserve">物资名称 冷轧耐热钢带;物资简称 钢带;牌号 1Cr18Ni9Ti;厚度 δ0.3;宽 ;技术标准号 GB  4239-1991;加工工艺 冷轧;热处理工艺 ;特殊要求 ;规格标准号 </t>
        </is>
      </c>
      <c r="F980" s="4" t="inlineStr">
        <is>
          <t>千克</t>
        </is>
      </c>
    </row>
    <row r="981" s="21">
      <c r="A981" s="8" t="inlineStr">
        <is>
          <t>100401</t>
        </is>
      </c>
      <c r="B981" s="8" t="inlineStr">
        <is>
          <t>钢带</t>
        </is>
      </c>
      <c r="C981" s="8" t="inlineStr">
        <is>
          <t>600630800</t>
        </is>
      </c>
      <c r="D981" s="8" t="inlineStr">
        <is>
          <t>冷轧耐热钢带|钢带|1Cr18Ni9Ti|δ0.4|GB  4239-1991|冷轧|R</t>
        </is>
      </c>
      <c r="E981" s="8" t="inlineStr">
        <is>
          <t xml:space="preserve">物资名称 冷轧耐热钢带;物资简称 钢带;牌号 1Cr18Ni9Ti;厚度 δ0.4;宽 ;技术标准号 GB  4239-1991;加工工艺 冷轧;热处理工艺 ;特殊要求 R;规格标准号 </t>
        </is>
      </c>
      <c r="F981" s="4" t="inlineStr">
        <is>
          <t>千克</t>
        </is>
      </c>
    </row>
    <row r="982" s="21">
      <c r="A982" s="8" t="inlineStr">
        <is>
          <t>100401</t>
        </is>
      </c>
      <c r="B982" s="8" t="inlineStr">
        <is>
          <t>钢带</t>
        </is>
      </c>
      <c r="C982" s="8" t="inlineStr">
        <is>
          <t>600630700</t>
        </is>
      </c>
      <c r="D982" s="8" t="inlineStr">
        <is>
          <t>冷轧耐热钢带|钢带|1Cr18Ni9Ti|δ0.4|GB  4239-1991|冷轧</t>
        </is>
      </c>
      <c r="E982" s="8" t="inlineStr">
        <is>
          <t xml:space="preserve">物资名称 冷轧耐热钢带;物资简称 钢带;牌号 1Cr18Ni9Ti;厚度 δ0.4;宽 ;技术标准号 GB  4239-1991;加工工艺 冷轧;热处理工艺 ;特殊要求 ;规格标准号 </t>
        </is>
      </c>
      <c r="F982" s="4" t="inlineStr">
        <is>
          <t>千克</t>
        </is>
      </c>
    </row>
    <row r="983" s="21">
      <c r="A983" s="8" t="inlineStr">
        <is>
          <t>100401</t>
        </is>
      </c>
      <c r="B983" s="8" t="inlineStr">
        <is>
          <t>钢带</t>
        </is>
      </c>
      <c r="C983" s="8" t="inlineStr">
        <is>
          <t>600630600</t>
        </is>
      </c>
      <c r="D983" s="8" t="inlineStr">
        <is>
          <t>冷轧耐热钢带|钢带|1Cr18Ni9Ti|δ0.8|GB  4239-1991|冷轧</t>
        </is>
      </c>
      <c r="E983" s="8" t="inlineStr">
        <is>
          <t xml:space="preserve">物资名称 冷轧耐热钢带;物资简称 钢带;牌号 1Cr18Ni9Ti;厚度 δ0.8;宽 ;技术标准号 GB  4239-1991;加工工艺 冷轧;热处理工艺 ;特殊要求 ;规格标准号 </t>
        </is>
      </c>
      <c r="F983" s="4" t="inlineStr">
        <is>
          <t>千克</t>
        </is>
      </c>
    </row>
    <row r="984" s="21">
      <c r="A984" s="8" t="inlineStr">
        <is>
          <t>100401</t>
        </is>
      </c>
      <c r="B984" s="8" t="inlineStr">
        <is>
          <t>钢带</t>
        </is>
      </c>
      <c r="C984" s="8" t="inlineStr">
        <is>
          <t>600630500</t>
        </is>
      </c>
      <c r="D984" s="8" t="inlineStr">
        <is>
          <t>冷轧弹簧钢带|钢带|65Mn|YB/T 5058-2005|GB/T 15391-1994</t>
        </is>
      </c>
      <c r="E984" s="8" t="inlineStr">
        <is>
          <t>物资名称 冷轧弹簧钢带;物资简称 钢带;牌号 65Mn;厚度 ;宽 ;技术标准号 YB/T 5058-2005;加工工艺 ;热处理工艺 ;特殊要求 ;规格标准号 GB/T 15391-1994</t>
        </is>
      </c>
      <c r="F984" s="4" t="inlineStr">
        <is>
          <t>千克</t>
        </is>
      </c>
    </row>
    <row r="985" s="21">
      <c r="A985" s="8" t="inlineStr">
        <is>
          <t>100401</t>
        </is>
      </c>
      <c r="B985" s="8" t="inlineStr">
        <is>
          <t>钢带</t>
        </is>
      </c>
      <c r="C985" s="8" t="inlineStr">
        <is>
          <t>600630400</t>
        </is>
      </c>
      <c r="D985" s="8" t="inlineStr">
        <is>
          <t>冷轧弹簧钢带|钢带|65Mn|δ0.1|YB/T 5058-2005|冷轧|EC、FB|GB/T 15391-1994</t>
        </is>
      </c>
      <c r="E985" s="8" t="inlineStr">
        <is>
          <t>物资名称 冷轧弹簧钢带;物资简称 钢带;牌号 65Mn;厚度 δ0.1;宽 ;技术标准号 YB/T 5058-2005;加工工艺 冷轧;热处理工艺 ;特殊要求 EC、FB;规格标准号 GB/T 15391-1994</t>
        </is>
      </c>
      <c r="F985" s="4" t="inlineStr">
        <is>
          <t>千克</t>
        </is>
      </c>
    </row>
    <row r="986" s="21">
      <c r="A986" s="8" t="inlineStr">
        <is>
          <t>100401</t>
        </is>
      </c>
      <c r="B986" s="8" t="inlineStr">
        <is>
          <t>钢带</t>
        </is>
      </c>
      <c r="C986" s="8" t="inlineStr">
        <is>
          <t>600630300</t>
        </is>
      </c>
      <c r="D986" s="8" t="inlineStr">
        <is>
          <t>冷轧弹簧钢带|钢带|65Mn|δ0.2|YB/T 5058-2005|冷轧|FB、PT.A、PT.B|GB/T 15391-1994</t>
        </is>
      </c>
      <c r="E986" s="8" t="inlineStr">
        <is>
          <t>物资名称 冷轧弹簧钢带;物资简称 钢带;牌号 65Mn;厚度 δ0.2;宽 ;技术标准号 YB/T 5058-2005;加工工艺 冷轧;热处理工艺 ;特殊要求 FB、PT.A、PT.B;规格标准号 GB/T 15391-1994</t>
        </is>
      </c>
      <c r="F986" s="4" t="inlineStr">
        <is>
          <t>千克</t>
        </is>
      </c>
    </row>
    <row r="987" s="21">
      <c r="A987" s="8" t="inlineStr">
        <is>
          <t>100401</t>
        </is>
      </c>
      <c r="B987" s="8" t="inlineStr">
        <is>
          <t>钢带</t>
        </is>
      </c>
      <c r="C987" s="8" t="inlineStr">
        <is>
          <t>600630200</t>
        </is>
      </c>
      <c r="D987" s="8" t="inlineStr">
        <is>
          <t>冷轧弹簧钢带|钢带|65Mn|δ0.5|YB/T 5058-2005|冷轧|PT.B、FB、EC|GB/T 15391-1994</t>
        </is>
      </c>
      <c r="E987" s="8" t="inlineStr">
        <is>
          <t>物资名称 冷轧弹簧钢带;物资简称 钢带;牌号 65Mn;厚度 δ0.5;宽 ;技术标准号 YB/T 5058-2005;加工工艺 冷轧;热处理工艺 ;特殊要求 PT.B、FB、EC;规格标准号 GB/T 15391-1994</t>
        </is>
      </c>
      <c r="F987" s="4" t="inlineStr">
        <is>
          <t>千克</t>
        </is>
      </c>
    </row>
    <row r="988" s="21">
      <c r="A988" s="8" t="inlineStr">
        <is>
          <t>100401</t>
        </is>
      </c>
      <c r="B988" s="8" t="inlineStr">
        <is>
          <t>钢带</t>
        </is>
      </c>
      <c r="C988" s="8" t="inlineStr">
        <is>
          <t>600630100</t>
        </is>
      </c>
      <c r="D988" s="8" t="inlineStr">
        <is>
          <t>冷轧弹簧钢带|钢带|65Mn|δ0.5|YB/T 5058-2005|冷轧|GB/T 15391-1994</t>
        </is>
      </c>
      <c r="E988" s="8" t="inlineStr">
        <is>
          <t>物资名称 冷轧弹簧钢带;物资简称 钢带;牌号 65Mn;厚度 δ0.5;宽 ;技术标准号 YB/T 5058-2005;加工工艺 冷轧;热处理工艺 ;特殊要求 ;规格标准号 GB/T 15391-1994</t>
        </is>
      </c>
      <c r="F988" s="4" t="inlineStr">
        <is>
          <t>千克</t>
        </is>
      </c>
    </row>
    <row r="989" s="21">
      <c r="A989" s="8" t="inlineStr">
        <is>
          <t>100401</t>
        </is>
      </c>
      <c r="B989" s="8" t="inlineStr">
        <is>
          <t>钢带</t>
        </is>
      </c>
      <c r="C989" s="8" t="inlineStr">
        <is>
          <t>600630000</t>
        </is>
      </c>
      <c r="D989" s="8" t="inlineStr">
        <is>
          <t>冷轧弹簧钢带|钢带|65Mn|δ0.6|YB/T 5058-2005|冷轧|GB/T 15391-1994</t>
        </is>
      </c>
      <c r="E989" s="8" t="inlineStr">
        <is>
          <t>物资名称 冷轧弹簧钢带;物资简称 钢带;牌号 65Mn;厚度 δ0.6;宽 ;技术标准号 YB/T 5058-2005;加工工艺 冷轧;热处理工艺 ;特殊要求 ;规格标准号 GB/T 15391-1994</t>
        </is>
      </c>
      <c r="F989" s="4" t="inlineStr">
        <is>
          <t>千克</t>
        </is>
      </c>
    </row>
    <row r="990" s="21">
      <c r="A990" s="8" t="inlineStr">
        <is>
          <t>100401</t>
        </is>
      </c>
      <c r="B990" s="8" t="inlineStr">
        <is>
          <t>钢带</t>
        </is>
      </c>
      <c r="C990" s="8" t="inlineStr">
        <is>
          <t>600629900</t>
        </is>
      </c>
      <c r="D990" s="8" t="inlineStr">
        <is>
          <t>特种钢带|钢带|XSVS-7C27Mo2|δ0.508|厂家约定</t>
        </is>
      </c>
      <c r="E990" s="8" t="inlineStr">
        <is>
          <t xml:space="preserve">物资名称 特种钢带;物资简称 钢带;牌号 XSVS-7C27Mo2;厚度 δ0.508;宽 ;技术标准号 ;加工工艺 ;热处理工艺 ;特殊要求 厂家约定;规格标准号 </t>
        </is>
      </c>
      <c r="F990" s="4" t="inlineStr">
        <is>
          <t>千克</t>
        </is>
      </c>
    </row>
    <row r="991" s="21">
      <c r="A991" s="8" t="inlineStr">
        <is>
          <t>100501</t>
        </is>
      </c>
      <c r="B991" s="8" t="inlineStr">
        <is>
          <t>钢丝</t>
        </is>
      </c>
      <c r="C991" s="8" t="inlineStr">
        <is>
          <t>603548500</t>
        </is>
      </c>
      <c r="D991" s="8" t="inlineStr">
        <is>
          <t>不锈钢丝|钢丝|12Cr18Ni9|Φ0.8|GB/T 4240-2019|软态</t>
        </is>
      </c>
      <c r="E991" s="8" t="inlineStr">
        <is>
          <t>物资名称 不锈钢丝;物资简称 钢丝;牌号 12Cr18Ni9;直径 Φ0.8;技术标准号 GB/T 4240-2019;抗拉强度 ;加工工艺 ;表面状态 ;特殊要求 软态;规格标准号</t>
        </is>
      </c>
      <c r="F991" s="4" t="inlineStr">
        <is>
          <t>米</t>
        </is>
      </c>
    </row>
    <row r="992" s="21">
      <c r="A992" s="8" t="inlineStr">
        <is>
          <t>100501</t>
        </is>
      </c>
      <c r="B992" s="8" t="inlineStr">
        <is>
          <t>钢丝</t>
        </is>
      </c>
      <c r="C992" s="8" t="inlineStr">
        <is>
          <t>603543600</t>
        </is>
      </c>
      <c r="D992" s="8" t="inlineStr">
        <is>
          <t>冷拉碳素弹簧钢丝|钢丝|T9A|Φ2.5|GB/T 4357-2022|冷拉|DM,h11|GB/T 342-2017</t>
        </is>
      </c>
      <c r="E992" s="8" t="inlineStr">
        <is>
          <t>物资名称 重要用途碳素弹簧钢丝;物资简称 钢丝;牌号 T9A;直径 Φ2.5;技术标准号 YB/T 5311-2010;抗拉强度 ;加工工艺 ;表面状态 ;特殊要求 F,h11;规格标准号 GB/T 342-1997</t>
        </is>
      </c>
      <c r="F992" s="4" t="inlineStr">
        <is>
          <t>千克</t>
        </is>
      </c>
    </row>
    <row r="993" s="21">
      <c r="A993" s="8" t="inlineStr">
        <is>
          <t>100501</t>
        </is>
      </c>
      <c r="B993" s="8" t="inlineStr">
        <is>
          <t>钢丝</t>
        </is>
      </c>
      <c r="C993" s="8" t="inlineStr">
        <is>
          <t>603543500</t>
        </is>
      </c>
      <c r="D993" s="8" t="inlineStr">
        <is>
          <t>冷拉碳素弹簧钢丝|钢丝|T9A|Φ0.8|GB/T 4357-2022|冷拉|DM,h11|GB/T 342-2017</t>
        </is>
      </c>
      <c r="E993" s="8" t="inlineStr">
        <is>
          <t>物资名称 重要用途碳素弹簧钢丝;物资简称 钢丝;牌号 T9A;直径 Φ0.8;技术标准号 YB/T 5311-2010;抗拉强度 ;加工工艺 ;表面状态 ;特殊要求 F,h11;规格标准号 GB/T 342-1997</t>
        </is>
      </c>
      <c r="F993" s="4" t="inlineStr">
        <is>
          <t>千克</t>
        </is>
      </c>
    </row>
    <row r="994" s="21">
      <c r="A994" s="8" t="inlineStr">
        <is>
          <t>100501</t>
        </is>
      </c>
      <c r="B994" s="8" t="inlineStr">
        <is>
          <t>钢丝</t>
        </is>
      </c>
      <c r="C994" s="8" t="inlineStr">
        <is>
          <t>603541500</t>
        </is>
      </c>
      <c r="D994" s="8" t="inlineStr">
        <is>
          <t>冷拉碳素弹簧钢丝|钢丝|65Mn|Φ1.6|GB/T 4357-2009|DM|冷拉</t>
        </is>
      </c>
      <c r="E994" s="8" t="inlineStr">
        <is>
          <t>物资名称 冷拉碳素弹簧钢丝;物资简称 钢丝;牌号 65Mn;直径 Φ1.6;技术标准号 GB/T 4357-2009;抗拉强度 DM;加工工艺 冷拉;表面状态 ;特殊要求 ;规格标准号</t>
        </is>
      </c>
      <c r="F994" s="4" t="inlineStr">
        <is>
          <t>千克</t>
        </is>
      </c>
    </row>
    <row r="995" s="21">
      <c r="A995" s="8" t="inlineStr">
        <is>
          <t>100501</t>
        </is>
      </c>
      <c r="B995" s="8" t="inlineStr">
        <is>
          <t>钢丝</t>
        </is>
      </c>
      <c r="C995" s="8" t="inlineStr">
        <is>
          <t>603536700</t>
        </is>
      </c>
      <c r="D995" s="8" t="inlineStr">
        <is>
          <t>重要用途碳素弹簧钢丝|钢丝|T9A|YB/T 5311-2010|F</t>
        </is>
      </c>
      <c r="E995" s="8" t="inlineStr">
        <is>
          <t>物资名称 重要用途碳素弹簧钢丝;物资简称 钢丝;牌号 T9A;直径 Φ;技术标准号 YB/T 5311-2010;抗拉强度 ;加工工艺 ;表面状态 ;特殊要求 F;规格标准号</t>
        </is>
      </c>
      <c r="F995" s="4" t="inlineStr">
        <is>
          <t>千克</t>
        </is>
      </c>
    </row>
    <row r="996" s="21">
      <c r="A996" s="8" t="inlineStr">
        <is>
          <t>100501</t>
        </is>
      </c>
      <c r="B996" s="8" t="inlineStr">
        <is>
          <t>钢丝</t>
        </is>
      </c>
      <c r="C996" s="8" t="inlineStr">
        <is>
          <t>603536600</t>
        </is>
      </c>
      <c r="D996" s="8" t="inlineStr">
        <is>
          <t>冷拉碳素弹簧钢丝|钢丝|T9A|GB/T 4357-2009|SM|冷拉</t>
        </is>
      </c>
      <c r="E996" s="8" t="inlineStr">
        <is>
          <t>物资名称 冷拉碳素弹簧钢丝;物资简称 钢丝;牌号 T9A;直径 Φ;技术标准号 GB/T 4357-2009;抗拉强度 SM;加工工艺 冷拉;表面状态 ;特殊要求 ;规格标准号</t>
        </is>
      </c>
      <c r="F996" s="4" t="inlineStr">
        <is>
          <t>千克</t>
        </is>
      </c>
    </row>
    <row r="997" s="21">
      <c r="A997" s="8" t="inlineStr">
        <is>
          <t>100501</t>
        </is>
      </c>
      <c r="B997" s="8" t="inlineStr">
        <is>
          <t>钢丝</t>
        </is>
      </c>
      <c r="C997" s="8" t="inlineStr">
        <is>
          <t>603171700</t>
        </is>
      </c>
      <c r="D997" s="8" t="inlineStr">
        <is>
          <t>冷拉不锈钢丝|钢丝|12Cr18Ni9|Φ1|GB/T 4240-2009|冷拉|软态</t>
        </is>
      </c>
      <c r="E997" s="8" t="inlineStr">
        <is>
          <t>物资名称 冷拉不锈钢丝;物资简称 钢丝;牌号 12Cr18Ni9;直径 Φ1;技术标准号 GB/T 4240-2009;抗拉强度 ;加工工艺 冷拉;表面状态 ;特殊要求 软态;规格标准号</t>
        </is>
      </c>
      <c r="F997" s="4" t="inlineStr">
        <is>
          <t>米</t>
        </is>
      </c>
    </row>
    <row r="998" s="21">
      <c r="A998" s="8" t="inlineStr">
        <is>
          <t>100501</t>
        </is>
      </c>
      <c r="B998" s="8" t="inlineStr">
        <is>
          <t>钢丝</t>
        </is>
      </c>
      <c r="C998" s="8" t="inlineStr">
        <is>
          <t>602888700</t>
        </is>
      </c>
      <c r="D998" s="8" t="inlineStr">
        <is>
          <t>不锈钢丝|钢丝|12Cr18Ni9|Φ0.5|GB/T 4240-2019</t>
        </is>
      </c>
      <c r="E998" s="8" t="inlineStr">
        <is>
          <t>物资名称 不锈钢丝;物资简称 钢丝;牌号 12Cr18Ni9;直径 Φ0.5;技术标准号 GB/T 4240-2019;抗拉强度 ;加工工艺 ;表面状态 ;特殊要求 ;规格标准号</t>
        </is>
      </c>
      <c r="F998" s="4" t="inlineStr">
        <is>
          <t>米</t>
        </is>
      </c>
    </row>
    <row r="999" s="21">
      <c r="A999" s="8" t="inlineStr">
        <is>
          <t>100501</t>
        </is>
      </c>
      <c r="B999" s="8" t="inlineStr">
        <is>
          <t>钢丝</t>
        </is>
      </c>
      <c r="C999" s="8" t="inlineStr">
        <is>
          <t>602888600</t>
        </is>
      </c>
      <c r="D999" s="8" t="inlineStr">
        <is>
          <t>不锈钢丝|钢丝|12Cr18Ni9|Φ1|GB/T 4240-2019</t>
        </is>
      </c>
      <c r="E999" s="8" t="inlineStr">
        <is>
          <t>物资名称 不锈钢丝;物资简称 钢丝;牌号 12Cr18Ni9;直径 Φ1;技术标准号 GB/T 4240-2019;抗拉强度 ;加工工艺 ;表面状态 ;特殊要求 ;规格标准号</t>
        </is>
      </c>
      <c r="F999" s="4" t="inlineStr">
        <is>
          <t>米</t>
        </is>
      </c>
    </row>
    <row r="1000" s="21">
      <c r="A1000" s="8" t="inlineStr">
        <is>
          <t>100501</t>
        </is>
      </c>
      <c r="B1000" s="8" t="inlineStr">
        <is>
          <t>钢丝</t>
        </is>
      </c>
      <c r="C1000" s="8" t="inlineStr">
        <is>
          <t>602469700</t>
        </is>
      </c>
      <c r="D1000" s="8" t="inlineStr">
        <is>
          <t>不锈钢丝|钢丝|06Cr19Ni10|Φ0.5|GB/T 4240-2019|软态</t>
        </is>
      </c>
      <c r="E1000" s="8" t="inlineStr">
        <is>
          <t xml:space="preserve">物资名称 不锈钢丝;物资简称 钢丝;牌号 06Cr19Ni10;直径 Φ0.5;技术标准号 GB/T 4240-2019;抗拉强度 ;加工工艺 ;表面状态 ;特殊要求 软态;规格标准号 </t>
        </is>
      </c>
      <c r="F1000" s="4" t="inlineStr">
        <is>
          <t>米</t>
        </is>
      </c>
    </row>
    <row r="1001" s="21">
      <c r="A1001" s="8" t="inlineStr">
        <is>
          <t>100501</t>
        </is>
      </c>
      <c r="B1001" s="8" t="inlineStr">
        <is>
          <t>钢丝</t>
        </is>
      </c>
      <c r="C1001" s="8" t="inlineStr">
        <is>
          <t>602377500</t>
        </is>
      </c>
      <c r="D1001" s="8" t="inlineStr">
        <is>
          <t>冷拉碳素弹簧钢丝|钢丝|65Mn-DM|Φ0.9|GB/T 4357-2009|冷拉</t>
        </is>
      </c>
      <c r="E1001" s="8" t="inlineStr">
        <is>
          <t xml:space="preserve">物资名称 冷拉碳素弹簧钢丝;物资简称 钢丝;牌号 65Mn-DM;直径 Φ0.9;技术标准号 GB/T 4357-2009;抗拉强度 ;加工工艺 冷拉;表面状态 ;特殊要求 ;规格标准号 </t>
        </is>
      </c>
      <c r="F1001" s="4" t="inlineStr">
        <is>
          <t>千克</t>
        </is>
      </c>
    </row>
    <row r="1002" s="21">
      <c r="A1002" s="8" t="inlineStr">
        <is>
          <t>100501</t>
        </is>
      </c>
      <c r="B1002" s="8" t="inlineStr">
        <is>
          <t>钢丝</t>
        </is>
      </c>
      <c r="C1002" s="8" t="inlineStr">
        <is>
          <t>602324700</t>
        </is>
      </c>
      <c r="D1002" s="8" t="inlineStr">
        <is>
          <t>碳素弹簧钢丝|钢丝|65Mn|Φ0.9|GB/T 4357-1989|C|h11|GB/T 342-1997</t>
        </is>
      </c>
      <c r="E1002" s="8" t="inlineStr">
        <is>
          <t>物资名称 碳素弹簧钢丝;物资简称 钢丝;牌号 65Mn;直径 Φ0.9;技术标准号 GB/T 4357-1989;抗拉强度 C;加工工艺 ;表面状态 ;特殊要求 h11;规格标准号 GB/T 342-1997</t>
        </is>
      </c>
      <c r="F1002" s="4" t="inlineStr">
        <is>
          <t>千克</t>
        </is>
      </c>
    </row>
    <row r="1003" s="21">
      <c r="A1003" s="8" t="inlineStr">
        <is>
          <t>100501</t>
        </is>
      </c>
      <c r="B1003" s="8" t="inlineStr">
        <is>
          <t>钢丝</t>
        </is>
      </c>
      <c r="C1003" s="8" t="inlineStr">
        <is>
          <t>602324600</t>
        </is>
      </c>
      <c r="D1003" s="8" t="inlineStr">
        <is>
          <t>碳素弹簧钢丝|钢丝|65Mn|Φ1.6|GB/T 4357-1989|C|h11|GB/T 342-1997</t>
        </is>
      </c>
      <c r="E1003" s="8" t="inlineStr">
        <is>
          <t>物资名称 碳素弹簧钢丝;物资简称 钢丝;牌号 65Mn;直径 Φ1.6;技术标准号 GB/T 4357-1989;抗拉强度 C;加工工艺 ;表面状态 ;特殊要求 h11;规格标准号 GB/T 342-1997</t>
        </is>
      </c>
      <c r="F1003" s="4" t="inlineStr">
        <is>
          <t>千克</t>
        </is>
      </c>
    </row>
    <row r="1004" s="21">
      <c r="A1004" s="8" t="inlineStr">
        <is>
          <t>100501</t>
        </is>
      </c>
      <c r="B1004" s="8" t="inlineStr">
        <is>
          <t>钢丝</t>
        </is>
      </c>
      <c r="C1004" s="8" t="inlineStr">
        <is>
          <t>601432400</t>
        </is>
      </c>
      <c r="D1004" s="8" t="inlineStr">
        <is>
          <t>一般用途低碳钢丝|镀锌钢丝|Φ1|YB/T 5294-2009</t>
        </is>
      </c>
      <c r="E1004" s="8" t="inlineStr">
        <is>
          <t xml:space="preserve">物资名称 一般用途低碳钢丝;物资简称 镀锌钢丝;牌号 ;直径 Φ1;技术标准号 YB/T 5294-2009;抗拉强度 ;加工工艺 ;表面状态 ;特殊要求 ;规格标准号 </t>
        </is>
      </c>
      <c r="F1004" s="4" t="inlineStr">
        <is>
          <t>米</t>
        </is>
      </c>
    </row>
    <row r="1005" s="21">
      <c r="A1005" s="8" t="inlineStr">
        <is>
          <t>100501</t>
        </is>
      </c>
      <c r="B1005" s="8" t="inlineStr">
        <is>
          <t>钢丝</t>
        </is>
      </c>
      <c r="C1005" s="8" t="inlineStr">
        <is>
          <t>601432300</t>
        </is>
      </c>
      <c r="D1005" s="8" t="inlineStr">
        <is>
          <t>碳素弹簧钢丝|钢丝|65Mn|Φ0.8|GB/T 4357-1989|C|h11|GB/T 342-1997</t>
        </is>
      </c>
      <c r="E1005" s="8" t="inlineStr">
        <is>
          <t>物资名称 碳素弹簧钢丝;物资简称 钢丝;牌号 65Mn;直径 Φ0.8;技术标准号 GB/T 4357-1989;抗拉强度 C;加工工艺 ;表面状态 ;特殊要求 h11;规格标准号 GB/T 342-1997</t>
        </is>
      </c>
      <c r="F1005" s="4" t="inlineStr">
        <is>
          <t>千克</t>
        </is>
      </c>
    </row>
    <row r="1006" s="21">
      <c r="A1006" s="8" t="inlineStr">
        <is>
          <t>100501</t>
        </is>
      </c>
      <c r="B1006" s="8" t="inlineStr">
        <is>
          <t>钢丝</t>
        </is>
      </c>
      <c r="C1006" s="8" t="inlineStr">
        <is>
          <t>601417900</t>
        </is>
      </c>
      <c r="D1006" s="8" t="inlineStr">
        <is>
          <t>碳素弹簧钢丝C级|钢丝|70-C|Φ1.0-11|GB/T 4357-1989|GB/T 342-1997</t>
        </is>
      </c>
      <c r="E1006" s="8" t="inlineStr">
        <is>
          <t>物资名称 碳素弹簧钢丝C级;物资简称 钢丝;牌号 70-C;直径 Φ1.0-11;技术标准号 GB/T 4357-1989;抗拉强度 ;加工工艺 ;表面状态 ;特殊要求 ;规格标准号 GB/T 342-1997</t>
        </is>
      </c>
      <c r="F1006" s="4" t="inlineStr">
        <is>
          <t>千克</t>
        </is>
      </c>
    </row>
    <row r="1007" s="21">
      <c r="A1007" s="8" t="inlineStr">
        <is>
          <t>100501</t>
        </is>
      </c>
      <c r="B1007" s="8" t="inlineStr">
        <is>
          <t>钢丝</t>
        </is>
      </c>
      <c r="C1007" s="8" t="inlineStr">
        <is>
          <t>601341900</t>
        </is>
      </c>
      <c r="D1007" s="8" t="inlineStr">
        <is>
          <t>钢丝|钢丝|0Cr18Ni9|Φ8|空</t>
        </is>
      </c>
      <c r="E1007" s="8" t="inlineStr">
        <is>
          <t xml:space="preserve">物资名称 钢丝;物资简称 钢丝;牌号 0Cr18Ni9;直径 Φ8;技术标准号 空;抗拉强度 ;加工工艺 ;表面状态 ;特殊要求 ;规格标准号 </t>
        </is>
      </c>
      <c r="F1007" s="4" t="inlineStr">
        <is>
          <t>千克</t>
        </is>
      </c>
    </row>
    <row r="1008" s="21">
      <c r="A1008" s="8" t="inlineStr">
        <is>
          <t>100501</t>
        </is>
      </c>
      <c r="B1008" s="8" t="inlineStr">
        <is>
          <t>钢丝</t>
        </is>
      </c>
      <c r="C1008" s="8" t="inlineStr">
        <is>
          <t>601341800</t>
        </is>
      </c>
      <c r="D1008" s="8" t="inlineStr">
        <is>
          <t>钢丝|钢丝|10＃|Φ0.5|101/2002-1-4</t>
        </is>
      </c>
      <c r="E1008" s="8" t="inlineStr">
        <is>
          <t xml:space="preserve">物资名称 钢丝;物资简称 钢丝;牌号 10＃;直径 Φ0.5;技术标准号 101/2002-1-4;抗拉强度 ;加工工艺 ;表面状态 ;特殊要求 ;规格标准号 </t>
        </is>
      </c>
      <c r="F1008" s="4" t="inlineStr">
        <is>
          <t>千克</t>
        </is>
      </c>
    </row>
    <row r="1009" s="21">
      <c r="A1009" s="8" t="inlineStr">
        <is>
          <t>100501</t>
        </is>
      </c>
      <c r="B1009" s="8" t="inlineStr">
        <is>
          <t>钢丝</t>
        </is>
      </c>
      <c r="C1009" s="8" t="inlineStr">
        <is>
          <t>601341700</t>
        </is>
      </c>
      <c r="D1009" s="8" t="inlineStr">
        <is>
          <t>钢丝|钢丝|1Cr17Ni2|Φ4|503/2002-6-17</t>
        </is>
      </c>
      <c r="E1009" s="8" t="inlineStr">
        <is>
          <t xml:space="preserve">物资名称 钢丝;物资简称 钢丝;牌号 1Cr17Ni2;直径 Φ4;技术标准号 503/2002-6-17;抗拉强度 ;加工工艺 ;表面状态 ;特殊要求 ;规格标准号 </t>
        </is>
      </c>
      <c r="F1009" s="4" t="inlineStr">
        <is>
          <t>千克</t>
        </is>
      </c>
    </row>
    <row r="1010" s="21">
      <c r="A1010" s="8" t="inlineStr">
        <is>
          <t>100501</t>
        </is>
      </c>
      <c r="B1010" s="8" t="inlineStr">
        <is>
          <t>钢丝</t>
        </is>
      </c>
      <c r="C1010" s="8" t="inlineStr">
        <is>
          <t>601341600</t>
        </is>
      </c>
      <c r="D1010" s="8" t="inlineStr">
        <is>
          <t>钢丝|钢丝|1Cr17Ni2|Φ5|503/2002-6-18</t>
        </is>
      </c>
      <c r="E1010" s="8" t="inlineStr">
        <is>
          <t xml:space="preserve">物资名称 钢丝;物资简称 钢丝;牌号 1Cr17Ni2;直径 Φ5;技术标准号 503/2002-6-18;抗拉强度 ;加工工艺 ;表面状态 ;特殊要求 ;规格标准号 </t>
        </is>
      </c>
      <c r="F1010" s="4" t="inlineStr">
        <is>
          <t>千克</t>
        </is>
      </c>
    </row>
    <row r="1011" s="21">
      <c r="A1011" s="8" t="inlineStr">
        <is>
          <t>100501</t>
        </is>
      </c>
      <c r="B1011" s="8" t="inlineStr">
        <is>
          <t>钢丝</t>
        </is>
      </c>
      <c r="C1011" s="8" t="inlineStr">
        <is>
          <t>601341500</t>
        </is>
      </c>
      <c r="D1011" s="8" t="inlineStr">
        <is>
          <t>钢丝|钢丝|1Cr18Ni9|Φ0.5|空</t>
        </is>
      </c>
      <c r="E1011" s="8" t="inlineStr">
        <is>
          <t xml:space="preserve">物资名称 钢丝;物资简称 钢丝;牌号 1Cr18Ni9;直径 Φ0.5;技术标准号 空;抗拉强度 ;加工工艺 ;表面状态 ;特殊要求 ;规格标准号 </t>
        </is>
      </c>
      <c r="F1011" s="4" t="inlineStr">
        <is>
          <t>千克</t>
        </is>
      </c>
    </row>
    <row r="1012" s="21">
      <c r="A1012" s="8" t="inlineStr">
        <is>
          <t>100501</t>
        </is>
      </c>
      <c r="B1012" s="8" t="inlineStr">
        <is>
          <t>钢丝</t>
        </is>
      </c>
      <c r="C1012" s="8" t="inlineStr">
        <is>
          <t>601341400</t>
        </is>
      </c>
      <c r="D1012" s="8" t="inlineStr">
        <is>
          <t>钢丝|钢丝|1Cr18Ni9|Φ3|401/92-6-40</t>
        </is>
      </c>
      <c r="E1012" s="8" t="inlineStr">
        <is>
          <t xml:space="preserve">物资名称 钢丝;物资简称 钢丝;牌号 1Cr18Ni9;直径 Φ3;技术标准号 401/92-6-40;抗拉强度 ;加工工艺 ;表面状态 ;特殊要求 ;规格标准号 </t>
        </is>
      </c>
      <c r="F1012" s="4" t="inlineStr">
        <is>
          <t>千克</t>
        </is>
      </c>
    </row>
    <row r="1013" s="21">
      <c r="A1013" s="8" t="inlineStr">
        <is>
          <t>100501</t>
        </is>
      </c>
      <c r="B1013" s="8" t="inlineStr">
        <is>
          <t>钢丝</t>
        </is>
      </c>
      <c r="C1013" s="8" t="inlineStr">
        <is>
          <t>601341300</t>
        </is>
      </c>
      <c r="D1013" s="8" t="inlineStr">
        <is>
          <t>钢丝|钢丝|1Cr18Ni9-A|Φ0.8|506/06-7-189</t>
        </is>
      </c>
      <c r="E1013" s="8" t="inlineStr">
        <is>
          <t xml:space="preserve">物资名称 钢丝;物资简称 钢丝;牌号 1Cr18Ni9-A;直径 Φ0.8;技术标准号 506/06-7-189;抗拉强度 ;加工工艺 ;表面状态 ;特殊要求 ;规格标准号 </t>
        </is>
      </c>
      <c r="F1013" s="4" t="inlineStr">
        <is>
          <t>千克</t>
        </is>
      </c>
    </row>
    <row r="1014" s="21">
      <c r="A1014" s="8" t="inlineStr">
        <is>
          <t>100501</t>
        </is>
      </c>
      <c r="B1014" s="8" t="inlineStr">
        <is>
          <t>钢丝</t>
        </is>
      </c>
      <c r="C1014" s="8" t="inlineStr">
        <is>
          <t>601341200</t>
        </is>
      </c>
      <c r="D1014" s="8" t="inlineStr">
        <is>
          <t>钢丝|钢丝|20＃|Φ2.5|104/78-12-134</t>
        </is>
      </c>
      <c r="E1014" s="8" t="inlineStr">
        <is>
          <t xml:space="preserve">物资名称 钢丝;物资简称 钢丝;牌号 20＃;直径 Φ2.5;技术标准号 104/78-12-134;抗拉强度 ;加工工艺 ;表面状态 ;特殊要求 ;规格标准号 </t>
        </is>
      </c>
      <c r="F1014" s="4" t="inlineStr">
        <is>
          <t>千克</t>
        </is>
      </c>
    </row>
    <row r="1015" s="21">
      <c r="A1015" s="8" t="inlineStr">
        <is>
          <t>100501</t>
        </is>
      </c>
      <c r="B1015" s="8" t="inlineStr">
        <is>
          <t>钢丝</t>
        </is>
      </c>
      <c r="C1015" s="8" t="inlineStr">
        <is>
          <t>601341100</t>
        </is>
      </c>
      <c r="D1015" s="8" t="inlineStr">
        <is>
          <t>钢丝|钢丝|20＃|Φ2|101/74-11-46</t>
        </is>
      </c>
      <c r="E1015" s="8" t="inlineStr">
        <is>
          <t xml:space="preserve">物资名称 钢丝;物资简称 钢丝;牌号 20＃;直径 Φ2;技术标准号 101/74-11-46;抗拉强度 ;加工工艺 ;表面状态 ;特殊要求 ;规格标准号 </t>
        </is>
      </c>
      <c r="F1015" s="4" t="inlineStr">
        <is>
          <t>千克</t>
        </is>
      </c>
    </row>
    <row r="1016" s="21">
      <c r="A1016" s="8" t="inlineStr">
        <is>
          <t>100501</t>
        </is>
      </c>
      <c r="B1016" s="8" t="inlineStr">
        <is>
          <t>钢丝</t>
        </is>
      </c>
      <c r="C1016" s="8" t="inlineStr">
        <is>
          <t>601341000</t>
        </is>
      </c>
      <c r="D1016" s="8" t="inlineStr">
        <is>
          <t>钢丝|钢丝|20＃|Φ3|101/76-11-103</t>
        </is>
      </c>
      <c r="E1016" s="8" t="inlineStr">
        <is>
          <t xml:space="preserve">物资名称 钢丝;物资简称 钢丝;牌号 20＃;直径 Φ3;技术标准号 101/76-11-103;抗拉强度 ;加工工艺 ;表面状态 ;特殊要求 ;规格标准号 </t>
        </is>
      </c>
      <c r="F1016" s="4" t="inlineStr">
        <is>
          <t>千克</t>
        </is>
      </c>
    </row>
    <row r="1017" s="21">
      <c r="A1017" s="8" t="inlineStr">
        <is>
          <t>100501</t>
        </is>
      </c>
      <c r="B1017" s="8" t="inlineStr">
        <is>
          <t>钢丝</t>
        </is>
      </c>
      <c r="C1017" s="8" t="inlineStr">
        <is>
          <t>601340900</t>
        </is>
      </c>
      <c r="D1017" s="8" t="inlineStr">
        <is>
          <t>钢丝|钢丝|20＃|Φ5|101/69-12-276</t>
        </is>
      </c>
      <c r="E1017" s="8" t="inlineStr">
        <is>
          <t xml:space="preserve">物资名称 钢丝;物资简称 钢丝;牌号 20＃;直径 Φ5;技术标准号 101/69-12-276;抗拉强度 ;加工工艺 ;表面状态 ;特殊要求 ;规格标准号 </t>
        </is>
      </c>
      <c r="F1017" s="4" t="inlineStr">
        <is>
          <t>千克</t>
        </is>
      </c>
    </row>
    <row r="1018" s="21">
      <c r="A1018" s="8" t="inlineStr">
        <is>
          <t>100501</t>
        </is>
      </c>
      <c r="B1018" s="8" t="inlineStr">
        <is>
          <t>钢丝</t>
        </is>
      </c>
      <c r="C1018" s="8" t="inlineStr">
        <is>
          <t>601340800</t>
        </is>
      </c>
      <c r="D1018" s="8" t="inlineStr">
        <is>
          <t>钢丝|钢丝|20＃|Φ5|101/79-10-114</t>
        </is>
      </c>
      <c r="E1018" s="8" t="inlineStr">
        <is>
          <t xml:space="preserve">物资名称 钢丝;物资简称 钢丝;牌号 20＃;直径 Φ5;技术标准号 101/79-10-114;抗拉强度 ;加工工艺 ;表面状态 ;特殊要求 ;规格标准号 </t>
        </is>
      </c>
      <c r="F1018" s="4" t="inlineStr">
        <is>
          <t>千克</t>
        </is>
      </c>
    </row>
    <row r="1019" s="21">
      <c r="A1019" s="8" t="inlineStr">
        <is>
          <t>100501</t>
        </is>
      </c>
      <c r="B1019" s="8" t="inlineStr">
        <is>
          <t>钢丝</t>
        </is>
      </c>
      <c r="C1019" s="8" t="inlineStr">
        <is>
          <t>601340700</t>
        </is>
      </c>
      <c r="D1019" s="8" t="inlineStr">
        <is>
          <t>钢丝|钢丝|2Cr13|Φ4|空</t>
        </is>
      </c>
      <c r="E1019" s="8" t="inlineStr">
        <is>
          <t xml:space="preserve">物资名称 钢丝;物资简称 钢丝;牌号 2Cr13;直径 Φ4;技术标准号 空;抗拉强度 ;加工工艺 ;表面状态 ;特殊要求 ;规格标准号 </t>
        </is>
      </c>
      <c r="F1019" s="4" t="inlineStr">
        <is>
          <t>千克</t>
        </is>
      </c>
    </row>
    <row r="1020" s="21">
      <c r="A1020" s="8" t="inlineStr">
        <is>
          <t>100501</t>
        </is>
      </c>
      <c r="B1020" s="8" t="inlineStr">
        <is>
          <t>钢丝</t>
        </is>
      </c>
      <c r="C1020" s="8" t="inlineStr">
        <is>
          <t>601340600</t>
        </is>
      </c>
      <c r="D1020" s="8" t="inlineStr">
        <is>
          <t>钢丝|钢丝|2Cr13|Φ5|107/07-8-3</t>
        </is>
      </c>
      <c r="E1020" s="8" t="inlineStr">
        <is>
          <t xml:space="preserve">物资名称 钢丝;物资简称 钢丝;牌号 2Cr13;直径 Φ5;技术标准号 107/07-8-3;抗拉强度 ;加工工艺 ;表面状态 ;特殊要求 ;规格标准号 </t>
        </is>
      </c>
      <c r="F1020" s="4" t="inlineStr">
        <is>
          <t>千克</t>
        </is>
      </c>
    </row>
    <row r="1021" s="21">
      <c r="A1021" s="8" t="inlineStr">
        <is>
          <t>100501</t>
        </is>
      </c>
      <c r="B1021" s="8" t="inlineStr">
        <is>
          <t>钢丝</t>
        </is>
      </c>
      <c r="C1021" s="8" t="inlineStr">
        <is>
          <t>601340500</t>
        </is>
      </c>
      <c r="D1021" s="8" t="inlineStr">
        <is>
          <t>钢丝|钢丝|2Cr13|Φ6|101/68-12-215</t>
        </is>
      </c>
      <c r="E1021" s="8" t="inlineStr">
        <is>
          <t xml:space="preserve">物资名称 钢丝;物资简称 钢丝;牌号 2Cr13;直径 Φ6;技术标准号 101/68-12-215;抗拉强度 ;加工工艺 ;表面状态 ;特殊要求 ;规格标准号 </t>
        </is>
      </c>
      <c r="F1021" s="4" t="inlineStr">
        <is>
          <t>千克</t>
        </is>
      </c>
    </row>
    <row r="1022" s="21">
      <c r="A1022" s="8" t="inlineStr">
        <is>
          <t>100501</t>
        </is>
      </c>
      <c r="B1022" s="8" t="inlineStr">
        <is>
          <t>钢丝</t>
        </is>
      </c>
      <c r="C1022" s="8" t="inlineStr">
        <is>
          <t>601340400</t>
        </is>
      </c>
      <c r="D1022" s="8" t="inlineStr">
        <is>
          <t>钢丝|钢丝|2Cr13|Φ7|101/67-4-126</t>
        </is>
      </c>
      <c r="E1022" s="8" t="inlineStr">
        <is>
          <t xml:space="preserve">物资名称 钢丝;物资简称 钢丝;牌号 2Cr13;直径 Φ7;技术标准号 101/67-4-126;抗拉强度 ;加工工艺 ;表面状态 ;特殊要求 ;规格标准号 </t>
        </is>
      </c>
      <c r="F1022" s="4" t="inlineStr">
        <is>
          <t>千克</t>
        </is>
      </c>
    </row>
    <row r="1023" s="21">
      <c r="A1023" s="8" t="inlineStr">
        <is>
          <t>100501</t>
        </is>
      </c>
      <c r="B1023" s="8" t="inlineStr">
        <is>
          <t>钢丝</t>
        </is>
      </c>
      <c r="C1023" s="8" t="inlineStr">
        <is>
          <t>601340300</t>
        </is>
      </c>
      <c r="D1023" s="8" t="inlineStr">
        <is>
          <t>钢丝|钢丝|2Cr13Ni2|Φ2.5|101/66-11-449</t>
        </is>
      </c>
      <c r="E1023" s="8" t="inlineStr">
        <is>
          <t xml:space="preserve">物资名称 钢丝;物资简称 钢丝;牌号 2Cr13Ni2;直径 Φ2.5;技术标准号 101/66-11-449;抗拉强度 ;加工工艺 ;表面状态 ;特殊要求 ;规格标准号 </t>
        </is>
      </c>
      <c r="F1023" s="4" t="inlineStr">
        <is>
          <t>千克</t>
        </is>
      </c>
    </row>
    <row r="1024" s="21">
      <c r="A1024" s="8" t="inlineStr">
        <is>
          <t>100501</t>
        </is>
      </c>
      <c r="B1024" s="8" t="inlineStr">
        <is>
          <t>钢丝</t>
        </is>
      </c>
      <c r="C1024" s="8" t="inlineStr">
        <is>
          <t>601340200</t>
        </is>
      </c>
      <c r="D1024" s="8" t="inlineStr">
        <is>
          <t>钢丝|钢丝|2Cr13Ni2|Φ3|101/66-7-277</t>
        </is>
      </c>
      <c r="E1024" s="8" t="inlineStr">
        <is>
          <t xml:space="preserve">物资名称 钢丝;物资简称 钢丝;牌号 2Cr13Ni2;直径 Φ3;技术标准号 101/66-7-277;抗拉强度 ;加工工艺 ;表面状态 ;特殊要求 ;规格标准号 </t>
        </is>
      </c>
      <c r="F1024" s="4" t="inlineStr">
        <is>
          <t>千克</t>
        </is>
      </c>
    </row>
    <row r="1025" s="21">
      <c r="A1025" s="8" t="inlineStr">
        <is>
          <t>100501</t>
        </is>
      </c>
      <c r="B1025" s="8" t="inlineStr">
        <is>
          <t>钢丝</t>
        </is>
      </c>
      <c r="C1025" s="8" t="inlineStr">
        <is>
          <t>601340100</t>
        </is>
      </c>
      <c r="D1025" s="8" t="inlineStr">
        <is>
          <t>钢丝|钢丝|2Cr13Ni2|Φ1.5|101/74-12-63</t>
        </is>
      </c>
      <c r="E1025" s="8" t="inlineStr">
        <is>
          <t xml:space="preserve">物资名称 钢丝;物资简称 钢丝;牌号 2Cr13Ni2;直径 Φ1.5;技术标准号 101/74-12-63;抗拉强度 ;加工工艺 ;表面状态 ;特殊要求 ;规格标准号 </t>
        </is>
      </c>
      <c r="F1025" s="4" t="inlineStr">
        <is>
          <t>千克</t>
        </is>
      </c>
    </row>
    <row r="1026" s="21">
      <c r="A1026" s="8" t="inlineStr">
        <is>
          <t>100501</t>
        </is>
      </c>
      <c r="B1026" s="8" t="inlineStr">
        <is>
          <t>钢丝</t>
        </is>
      </c>
      <c r="C1026" s="8" t="inlineStr">
        <is>
          <t>601340000</t>
        </is>
      </c>
      <c r="D1026" s="8" t="inlineStr">
        <is>
          <t>钢丝|钢丝|2Cr13Ni2|Φ6|107/05-12-10</t>
        </is>
      </c>
      <c r="E1026" s="8" t="inlineStr">
        <is>
          <t xml:space="preserve">物资名称 钢丝;物资简称 钢丝;牌号 2Cr13Ni2;直径 Φ6;技术标准号 107/05-12-10;抗拉强度 ;加工工艺 ;表面状态 ;特殊要求 ;规格标准号 </t>
        </is>
      </c>
      <c r="F1026" s="4" t="inlineStr">
        <is>
          <t>千克</t>
        </is>
      </c>
    </row>
    <row r="1027" s="21">
      <c r="A1027" s="8" t="inlineStr">
        <is>
          <t>100501</t>
        </is>
      </c>
      <c r="B1027" s="8" t="inlineStr">
        <is>
          <t>钢丝</t>
        </is>
      </c>
      <c r="C1027" s="8" t="inlineStr">
        <is>
          <t>601339900</t>
        </is>
      </c>
      <c r="D1027" s="8" t="inlineStr">
        <is>
          <t>钢丝|钢丝|2Cr13Ni2|Φ7|107/05-12-11</t>
        </is>
      </c>
      <c r="E1027" s="8" t="inlineStr">
        <is>
          <t xml:space="preserve">物资名称 钢丝;物资简称 钢丝;牌号 2Cr13Ni2;直径 Φ7;技术标准号 107/05-12-11;抗拉强度 ;加工工艺 ;表面状态 ;特殊要求 ;规格标准号 </t>
        </is>
      </c>
      <c r="F1027" s="4" t="inlineStr">
        <is>
          <t>千克</t>
        </is>
      </c>
    </row>
    <row r="1028" s="21">
      <c r="A1028" s="8" t="inlineStr">
        <is>
          <t>100501</t>
        </is>
      </c>
      <c r="B1028" s="8" t="inlineStr">
        <is>
          <t>钢丝</t>
        </is>
      </c>
      <c r="C1028" s="8" t="inlineStr">
        <is>
          <t>601339800</t>
        </is>
      </c>
      <c r="D1028" s="8" t="inlineStr">
        <is>
          <t>钢丝|钢丝|45#|Φ4|空</t>
        </is>
      </c>
      <c r="E1028" s="8" t="inlineStr">
        <is>
          <t xml:space="preserve">物资名称 钢丝;物资简称 钢丝;牌号 45#;直径 Φ4;技术标准号 空;抗拉强度 ;加工工艺 ;表面状态 ;特殊要求 ;规格标准号 </t>
        </is>
      </c>
      <c r="F1028" s="4" t="inlineStr">
        <is>
          <t>千克</t>
        </is>
      </c>
    </row>
    <row r="1029" s="21">
      <c r="A1029" s="8" t="inlineStr">
        <is>
          <t>100501</t>
        </is>
      </c>
      <c r="B1029" s="8" t="inlineStr">
        <is>
          <t>钢丝</t>
        </is>
      </c>
      <c r="C1029" s="8" t="inlineStr">
        <is>
          <t>601339700</t>
        </is>
      </c>
      <c r="D1029" s="8" t="inlineStr">
        <is>
          <t>钢丝|钢丝|45#|Φ5|107/2005-4-5</t>
        </is>
      </c>
      <c r="E1029" s="8" t="inlineStr">
        <is>
          <t xml:space="preserve">物资名称 钢丝;物资简称 钢丝;牌号 45#;直径 Φ5;技术标准号 107/2005-4-5;抗拉强度 ;加工工艺 ;表面状态 ;特殊要求 ;规格标准号 </t>
        </is>
      </c>
      <c r="F1029" s="4" t="inlineStr">
        <is>
          <t>千克</t>
        </is>
      </c>
    </row>
    <row r="1030" s="21">
      <c r="A1030" s="8" t="inlineStr">
        <is>
          <t>100501</t>
        </is>
      </c>
      <c r="B1030" s="8" t="inlineStr">
        <is>
          <t>钢丝</t>
        </is>
      </c>
      <c r="C1030" s="8" t="inlineStr">
        <is>
          <t>601339600</t>
        </is>
      </c>
      <c r="D1030" s="8" t="inlineStr">
        <is>
          <t>钢丝|钢丝|45#|Φ6|101/2000-10-93</t>
        </is>
      </c>
      <c r="E1030" s="8" t="inlineStr">
        <is>
          <t xml:space="preserve">物资名称 钢丝;物资简称 钢丝;牌号 45#;直径 Φ6;技术标准号 101/2000-10-93;抗拉强度 ;加工工艺 ;表面状态 ;特殊要求 ;规格标准号 </t>
        </is>
      </c>
      <c r="F1030" s="4" t="inlineStr">
        <is>
          <t>千克</t>
        </is>
      </c>
    </row>
    <row r="1031" s="21">
      <c r="A1031" s="8" t="inlineStr">
        <is>
          <t>100501</t>
        </is>
      </c>
      <c r="B1031" s="8" t="inlineStr">
        <is>
          <t>钢丝</t>
        </is>
      </c>
      <c r="C1031" s="8" t="inlineStr">
        <is>
          <t>601339500</t>
        </is>
      </c>
      <c r="D1031" s="8" t="inlineStr">
        <is>
          <t>钢丝|钢丝|45#|Φ6|101/2001-4-16</t>
        </is>
      </c>
      <c r="E1031" s="8" t="inlineStr">
        <is>
          <t xml:space="preserve">物资名称 钢丝;物资简称 钢丝;牌号 45#;直径 Φ6;技术标准号 101/2001-4-16;抗拉强度 ;加工工艺 ;表面状态 ;特殊要求 ;规格标准号 </t>
        </is>
      </c>
      <c r="F1031" s="4" t="inlineStr">
        <is>
          <t>千克</t>
        </is>
      </c>
    </row>
    <row r="1032" s="21">
      <c r="A1032" s="8" t="inlineStr">
        <is>
          <t>100501</t>
        </is>
      </c>
      <c r="B1032" s="8" t="inlineStr">
        <is>
          <t>钢丝</t>
        </is>
      </c>
      <c r="C1032" s="8" t="inlineStr">
        <is>
          <t>601339400</t>
        </is>
      </c>
      <c r="D1032" s="8" t="inlineStr">
        <is>
          <t>钢丝|钢丝|45#y|Φ3|942/05-12-200</t>
        </is>
      </c>
      <c r="E1032" s="8" t="inlineStr">
        <is>
          <t xml:space="preserve">物资名称 钢丝;物资简称 钢丝;牌号 45#y;直径 Φ3;技术标准号 942/05-12-200;抗拉强度 ;加工工艺 ;表面状态 ;特殊要求 ;规格标准号 </t>
        </is>
      </c>
      <c r="F1032" s="4" t="inlineStr">
        <is>
          <t>千克</t>
        </is>
      </c>
    </row>
    <row r="1033" s="21">
      <c r="A1033" s="8" t="inlineStr">
        <is>
          <t>100501</t>
        </is>
      </c>
      <c r="B1033" s="8" t="inlineStr">
        <is>
          <t>钢丝</t>
        </is>
      </c>
      <c r="C1033" s="8" t="inlineStr">
        <is>
          <t>601339300</t>
        </is>
      </c>
      <c r="D1033" s="8" t="inlineStr">
        <is>
          <t>钢丝|钢丝|50#|Φ2|104/67-8-178</t>
        </is>
      </c>
      <c r="E1033" s="8" t="inlineStr">
        <is>
          <t xml:space="preserve">物资名称 钢丝;物资简称 钢丝;牌号 50#;直径 Φ2;技术标准号 104/67-8-178;抗拉强度 ;加工工艺 ;表面状态 ;特殊要求 ;规格标准号 </t>
        </is>
      </c>
      <c r="F1033" s="4" t="inlineStr">
        <is>
          <t>千克</t>
        </is>
      </c>
    </row>
    <row r="1034" s="21">
      <c r="A1034" s="8" t="inlineStr">
        <is>
          <t>100501</t>
        </is>
      </c>
      <c r="B1034" s="8" t="inlineStr">
        <is>
          <t>钢丝</t>
        </is>
      </c>
      <c r="C1034" s="8" t="inlineStr">
        <is>
          <t>601339200</t>
        </is>
      </c>
      <c r="D1034" s="8" t="inlineStr">
        <is>
          <t>钢丝|钢丝|50#|Φ5|101/70-2-23</t>
        </is>
      </c>
      <c r="E1034" s="8" t="inlineStr">
        <is>
          <t xml:space="preserve">物资名称 钢丝;物资简称 钢丝;牌号 50#;直径 Φ5;技术标准号 101/70-2-23;抗拉强度 ;加工工艺 ;表面状态 ;特殊要求 ;规格标准号 </t>
        </is>
      </c>
      <c r="F1034" s="4" t="inlineStr">
        <is>
          <t>千克</t>
        </is>
      </c>
    </row>
    <row r="1035" s="21">
      <c r="A1035" s="8" t="inlineStr">
        <is>
          <t>100501</t>
        </is>
      </c>
      <c r="B1035" s="8" t="inlineStr">
        <is>
          <t>钢丝</t>
        </is>
      </c>
      <c r="C1035" s="8" t="inlineStr">
        <is>
          <t>601339100</t>
        </is>
      </c>
      <c r="D1035" s="8" t="inlineStr">
        <is>
          <t>钢丝|钢丝|50#|Φ6|101/69-6-167</t>
        </is>
      </c>
      <c r="E1035" s="8" t="inlineStr">
        <is>
          <t xml:space="preserve">物资名称 钢丝;物资简称 钢丝;牌号 50#;直径 Φ6;技术标准号 101/69-6-167;抗拉强度 ;加工工艺 ;表面状态 ;特殊要求 ;规格标准号 </t>
        </is>
      </c>
      <c r="F1035" s="4" t="inlineStr">
        <is>
          <t>千克</t>
        </is>
      </c>
    </row>
    <row r="1036" s="21">
      <c r="A1036" s="8" t="inlineStr">
        <is>
          <t>100501</t>
        </is>
      </c>
      <c r="B1036" s="8" t="inlineStr">
        <is>
          <t>钢丝</t>
        </is>
      </c>
      <c r="C1036" s="8" t="inlineStr">
        <is>
          <t>601339000</t>
        </is>
      </c>
      <c r="D1036" s="8" t="inlineStr">
        <is>
          <t>钢丝|钢丝|50CrVA|Φ1|空</t>
        </is>
      </c>
      <c r="E1036" s="8" t="inlineStr">
        <is>
          <t xml:space="preserve">物资名称 钢丝;物资简称 钢丝;牌号 50CrVA;直径 Φ1;技术标准号 空;抗拉强度 ;加工工艺 ;表面状态 ;特殊要求 ;规格标准号 </t>
        </is>
      </c>
      <c r="F1036" s="4" t="inlineStr">
        <is>
          <t>千克</t>
        </is>
      </c>
    </row>
    <row r="1037" s="21">
      <c r="A1037" s="8" t="inlineStr">
        <is>
          <t>100501</t>
        </is>
      </c>
      <c r="B1037" s="8" t="inlineStr">
        <is>
          <t>钢丝</t>
        </is>
      </c>
      <c r="C1037" s="8" t="inlineStr">
        <is>
          <t>601338900</t>
        </is>
      </c>
      <c r="D1037" s="8" t="inlineStr">
        <is>
          <t>钢丝|钢丝|50CrVA|Φ2|空</t>
        </is>
      </c>
      <c r="E1037" s="8" t="inlineStr">
        <is>
          <t xml:space="preserve">物资名称 钢丝;物资简称 钢丝;牌号 50CrVA;直径 Φ2;技术标准号 空;抗拉强度 ;加工工艺 ;表面状态 ;特殊要求 ;规格标准号 </t>
        </is>
      </c>
      <c r="F1037" s="4" t="inlineStr">
        <is>
          <t>千克</t>
        </is>
      </c>
    </row>
    <row r="1038" s="21">
      <c r="A1038" s="8" t="inlineStr">
        <is>
          <t>100501</t>
        </is>
      </c>
      <c r="B1038" s="8" t="inlineStr">
        <is>
          <t>钢丝</t>
        </is>
      </c>
      <c r="C1038" s="8" t="inlineStr">
        <is>
          <t>601338800</t>
        </is>
      </c>
      <c r="D1038" s="8" t="inlineStr">
        <is>
          <t>钢丝|钢丝|60Si2MnA|Φ0.8|空</t>
        </is>
      </c>
      <c r="E1038" s="8" t="inlineStr">
        <is>
          <t xml:space="preserve">物资名称 钢丝;物资简称 钢丝;牌号 60Si2MnA;直径 Φ0.8;技术标准号 空;抗拉强度 ;加工工艺 ;表面状态 ;特殊要求 ;规格标准号 </t>
        </is>
      </c>
      <c r="F1038" s="4" t="inlineStr">
        <is>
          <t>千克</t>
        </is>
      </c>
    </row>
    <row r="1039" s="21">
      <c r="A1039" s="8" t="inlineStr">
        <is>
          <t>100501</t>
        </is>
      </c>
      <c r="B1039" s="8" t="inlineStr">
        <is>
          <t>钢丝</t>
        </is>
      </c>
      <c r="C1039" s="8" t="inlineStr">
        <is>
          <t>601338700</t>
        </is>
      </c>
      <c r="D1039" s="8" t="inlineStr">
        <is>
          <t>钢丝|钢丝|60Si2MnA|Φ1.2|空</t>
        </is>
      </c>
      <c r="E1039" s="8" t="inlineStr">
        <is>
          <t xml:space="preserve">物资名称 钢丝;物资简称 钢丝;牌号 60Si2MnA;直径 Φ1.2;技术标准号 空;抗拉强度 ;加工工艺 ;表面状态 ;特殊要求 ;规格标准号 </t>
        </is>
      </c>
      <c r="F1039" s="4" t="inlineStr">
        <is>
          <t>千克</t>
        </is>
      </c>
    </row>
    <row r="1040" s="21">
      <c r="A1040" s="8" t="inlineStr">
        <is>
          <t>100501</t>
        </is>
      </c>
      <c r="B1040" s="8" t="inlineStr">
        <is>
          <t>钢丝</t>
        </is>
      </c>
      <c r="C1040" s="8" t="inlineStr">
        <is>
          <t>601338600</t>
        </is>
      </c>
      <c r="D1040" s="8" t="inlineStr">
        <is>
          <t>钢丝|钢丝|60Si2MnA|Φ1.6|502/2000-8-80</t>
        </is>
      </c>
      <c r="E1040" s="8" t="inlineStr">
        <is>
          <t xml:space="preserve">物资名称 钢丝;物资简称 钢丝;牌号 60Si2MnA;直径 Φ1.6;技术标准号 502/2000-8-80;抗拉强度 ;加工工艺 ;表面状态 ;特殊要求 ;规格标准号 </t>
        </is>
      </c>
      <c r="F1040" s="4" t="inlineStr">
        <is>
          <t>千克</t>
        </is>
      </c>
    </row>
    <row r="1041" s="21">
      <c r="A1041" s="8" t="inlineStr">
        <is>
          <t>100501</t>
        </is>
      </c>
      <c r="B1041" s="8" t="inlineStr">
        <is>
          <t>钢丝</t>
        </is>
      </c>
      <c r="C1041" s="8" t="inlineStr">
        <is>
          <t>601338500</t>
        </is>
      </c>
      <c r="D1041" s="8" t="inlineStr">
        <is>
          <t>钢丝|钢丝|70#B|Φ1.2|空</t>
        </is>
      </c>
      <c r="E1041" s="8" t="inlineStr">
        <is>
          <t xml:space="preserve">物资名称 钢丝;物资简称 钢丝;牌号 70#B;直径 Φ1.2;技术标准号 空;抗拉强度 ;加工工艺 ;表面状态 ;特殊要求 ;规格标准号 </t>
        </is>
      </c>
      <c r="F1041" s="4" t="inlineStr">
        <is>
          <t>千克</t>
        </is>
      </c>
    </row>
    <row r="1042" s="21">
      <c r="A1042" s="8" t="inlineStr">
        <is>
          <t>100501</t>
        </is>
      </c>
      <c r="B1042" s="8" t="inlineStr">
        <is>
          <t>钢丝</t>
        </is>
      </c>
      <c r="C1042" s="8" t="inlineStr">
        <is>
          <t>601338400</t>
        </is>
      </c>
      <c r="D1042" s="8" t="inlineStr">
        <is>
          <t>钢丝|钢丝|T10A|Φ1.5|101/65-4-119</t>
        </is>
      </c>
      <c r="E1042" s="8" t="inlineStr">
        <is>
          <t xml:space="preserve">物资名称 钢丝;物资简称 钢丝;牌号 T10A;直径 Φ1.5;技术标准号 101/65-4-119;抗拉强度 ;加工工艺 ;表面状态 ;特殊要求 ;规格标准号 </t>
        </is>
      </c>
      <c r="F1042" s="4" t="inlineStr">
        <is>
          <t>千克</t>
        </is>
      </c>
    </row>
    <row r="1043" s="21">
      <c r="A1043" s="8" t="inlineStr">
        <is>
          <t>100501</t>
        </is>
      </c>
      <c r="B1043" s="8" t="inlineStr">
        <is>
          <t>钢丝</t>
        </is>
      </c>
      <c r="C1043" s="8" t="inlineStr">
        <is>
          <t>601338300</t>
        </is>
      </c>
      <c r="D1043" s="8" t="inlineStr">
        <is>
          <t>钢丝|钢丝|T10A|Φ1|101/71-1-3</t>
        </is>
      </c>
      <c r="E1043" s="8" t="inlineStr">
        <is>
          <t xml:space="preserve">物资名称 钢丝;物资简称 钢丝;牌号 T10A;直径 Φ1;技术标准号 101/71-1-3;抗拉强度 ;加工工艺 ;表面状态 ;特殊要求 ;规格标准号 </t>
        </is>
      </c>
      <c r="F1043" s="4" t="inlineStr">
        <is>
          <t>千克</t>
        </is>
      </c>
    </row>
    <row r="1044" s="21">
      <c r="A1044" s="8" t="inlineStr">
        <is>
          <t>100501</t>
        </is>
      </c>
      <c r="B1044" s="8" t="inlineStr">
        <is>
          <t>钢丝</t>
        </is>
      </c>
      <c r="C1044" s="8" t="inlineStr">
        <is>
          <t>601338200</t>
        </is>
      </c>
      <c r="D1044" s="8" t="inlineStr">
        <is>
          <t>钢丝|钢丝|T10A|Φ2|101/69-5-106</t>
        </is>
      </c>
      <c r="E1044" s="8" t="inlineStr">
        <is>
          <t xml:space="preserve">物资名称 钢丝;物资简称 钢丝;牌号 T10A;直径 Φ2;技术标准号 101/69-5-106;抗拉强度 ;加工工艺 ;表面状态 ;特殊要求 ;规格标准号 </t>
        </is>
      </c>
      <c r="F1044" s="4" t="inlineStr">
        <is>
          <t>千克</t>
        </is>
      </c>
    </row>
    <row r="1045" s="21">
      <c r="A1045" s="8" t="inlineStr">
        <is>
          <t>100501</t>
        </is>
      </c>
      <c r="B1045" s="8" t="inlineStr">
        <is>
          <t>钢丝</t>
        </is>
      </c>
      <c r="C1045" s="8" t="inlineStr">
        <is>
          <t>601338100</t>
        </is>
      </c>
      <c r="D1045" s="8" t="inlineStr">
        <is>
          <t>钢丝|钢丝|T10A|Φ3|101/69-5-107A</t>
        </is>
      </c>
      <c r="E1045" s="8" t="inlineStr">
        <is>
          <t xml:space="preserve">物资名称 钢丝;物资简称 钢丝;牌号 T10A;直径 Φ3;技术标准号 101/69-5-107A;抗拉强度 ;加工工艺 ;表面状态 ;特殊要求 ;规格标准号 </t>
        </is>
      </c>
      <c r="F1045" s="4" t="inlineStr">
        <is>
          <t>千克</t>
        </is>
      </c>
    </row>
    <row r="1046" s="21">
      <c r="A1046" s="8" t="inlineStr">
        <is>
          <t>100501</t>
        </is>
      </c>
      <c r="B1046" s="8" t="inlineStr">
        <is>
          <t>钢丝</t>
        </is>
      </c>
      <c r="C1046" s="8" t="inlineStr">
        <is>
          <t>601338000</t>
        </is>
      </c>
      <c r="D1046" s="8" t="inlineStr">
        <is>
          <t>钢丝|钢丝|T10A|Φ4|101/2002-1-2</t>
        </is>
      </c>
      <c r="E1046" s="8" t="inlineStr">
        <is>
          <t xml:space="preserve">物资名称 钢丝;物资简称 钢丝;牌号 T10A;直径 Φ4;技术标准号 101/2002-1-2;抗拉强度 ;加工工艺 ;表面状态 ;特殊要求 ;规格标准号 </t>
        </is>
      </c>
      <c r="F1046" s="4" t="inlineStr">
        <is>
          <t>千克</t>
        </is>
      </c>
    </row>
    <row r="1047" s="21">
      <c r="A1047" s="8" t="inlineStr">
        <is>
          <t>100501</t>
        </is>
      </c>
      <c r="B1047" s="8" t="inlineStr">
        <is>
          <t>钢丝</t>
        </is>
      </c>
      <c r="C1047" s="8" t="inlineStr">
        <is>
          <t>601337900</t>
        </is>
      </c>
      <c r="D1047" s="8" t="inlineStr">
        <is>
          <t>钢丝|钢丝|T12A|Φ5|101/2001-2-1</t>
        </is>
      </c>
      <c r="E1047" s="8" t="inlineStr">
        <is>
          <t xml:space="preserve">物资名称 钢丝;物资简称 钢丝;牌号 T12A;直径 Φ5;技术标准号 101/2001-2-1;抗拉强度 ;加工工艺 ;表面状态 ;特殊要求 ;规格标准号 </t>
        </is>
      </c>
      <c r="F1047" s="4" t="inlineStr">
        <is>
          <t>千克</t>
        </is>
      </c>
    </row>
    <row r="1048" s="21">
      <c r="A1048" s="8" t="inlineStr">
        <is>
          <t>100501</t>
        </is>
      </c>
      <c r="B1048" s="8" t="inlineStr">
        <is>
          <t>钢丝</t>
        </is>
      </c>
      <c r="C1048" s="8" t="inlineStr">
        <is>
          <t>601337800</t>
        </is>
      </c>
      <c r="D1048" s="8" t="inlineStr">
        <is>
          <t>钢丝|钢丝|T9A-D级|Φ0.8|107/2005-6-7</t>
        </is>
      </c>
      <c r="E1048" s="8" t="inlineStr">
        <is>
          <t xml:space="preserve">物资名称 钢丝;物资简称 钢丝;牌号 T9A-D级;直径 Φ0.8;技术标准号 107/2005-6-7;抗拉强度 ;加工工艺 ;表面状态 ;特殊要求 ;规格标准号 </t>
        </is>
      </c>
      <c r="F1048" s="4" t="inlineStr">
        <is>
          <t>千克</t>
        </is>
      </c>
    </row>
    <row r="1049" s="21">
      <c r="A1049" s="8" t="inlineStr">
        <is>
          <t>100501</t>
        </is>
      </c>
      <c r="B1049" s="8" t="inlineStr">
        <is>
          <t>钢丝</t>
        </is>
      </c>
      <c r="C1049" s="8" t="inlineStr">
        <is>
          <t>601337700</t>
        </is>
      </c>
      <c r="D1049" s="8" t="inlineStr">
        <is>
          <t>钢丝|钢丝|60Si2MnA|Φ1.4|空</t>
        </is>
      </c>
      <c r="E1049" s="8" t="inlineStr">
        <is>
          <t xml:space="preserve">物资名称 钢丝;物资简称 钢丝;牌号 60Si2MnA;直径 Φ1.4;技术标准号 空;抗拉强度 ;加工工艺 ;表面状态 ;特殊要求 ;规格标准号 </t>
        </is>
      </c>
      <c r="F1049" s="4" t="inlineStr">
        <is>
          <t>千克</t>
        </is>
      </c>
    </row>
    <row r="1050" s="21">
      <c r="A1050" s="8" t="inlineStr">
        <is>
          <t>100501</t>
        </is>
      </c>
      <c r="B1050" s="8" t="inlineStr">
        <is>
          <t>钢丝</t>
        </is>
      </c>
      <c r="C1050" s="8" t="inlineStr">
        <is>
          <t>601337600</t>
        </is>
      </c>
      <c r="D1050" s="8" t="inlineStr">
        <is>
          <t>钢丝|钢丝|Φ0.6|空</t>
        </is>
      </c>
      <c r="E1050" s="8" t="inlineStr">
        <is>
          <t xml:space="preserve">物资名称 钢丝;物资简称 钢丝;牌号 ;直径 Φ0.6;技术标准号 空;抗拉强度 ;加工工艺 ;表面状态 ;特殊要求 ;规格标准号 </t>
        </is>
      </c>
      <c r="F1050" s="4" t="inlineStr">
        <is>
          <t>千克</t>
        </is>
      </c>
    </row>
    <row r="1051" s="21">
      <c r="A1051" s="8" t="inlineStr">
        <is>
          <t>100501</t>
        </is>
      </c>
      <c r="B1051" s="8" t="inlineStr">
        <is>
          <t>钢丝</t>
        </is>
      </c>
      <c r="C1051" s="8" t="inlineStr">
        <is>
          <t>601337500</t>
        </is>
      </c>
      <c r="D1051" s="8" t="inlineStr">
        <is>
          <t>冷拉碳素弹簧钢丝|钢丝|65Mn|Φ1.4|GB/T 4357</t>
        </is>
      </c>
      <c r="E1051" s="8" t="inlineStr">
        <is>
          <t xml:space="preserve">物资名称 冷拉碳素弹簧钢丝;物资简称 钢丝;牌号 65Mn;直径 Φ1.4;技术标准号 GB/T 4357;抗拉强度 ;加工工艺 ;表面状态 ;特殊要求 ;规格标准号 </t>
        </is>
      </c>
      <c r="F1051" s="4" t="inlineStr">
        <is>
          <t>千克</t>
        </is>
      </c>
    </row>
    <row r="1052" s="21">
      <c r="A1052" s="8" t="inlineStr">
        <is>
          <t>100501</t>
        </is>
      </c>
      <c r="B1052" s="8" t="inlineStr">
        <is>
          <t>钢丝</t>
        </is>
      </c>
      <c r="C1052" s="8" t="inlineStr">
        <is>
          <t>601337400</t>
        </is>
      </c>
      <c r="D1052" s="8" t="inlineStr">
        <is>
          <t>合金弹簧钢丝|钢丝|60Si2Mn|Φ6.5|YB/T 5318？</t>
        </is>
      </c>
      <c r="E1052" s="8" t="inlineStr">
        <is>
          <t xml:space="preserve">物资名称 合金弹簧钢丝;物资简称 钢丝;牌号 60Si2Mn;直径 Φ6.5;技术标准号 YB/T 5318？;抗拉强度 ;加工工艺 ;表面状态 ;特殊要求 ;规格标准号 </t>
        </is>
      </c>
      <c r="F1052" s="4" t="inlineStr">
        <is>
          <t>千克</t>
        </is>
      </c>
    </row>
    <row r="1053" s="21">
      <c r="A1053" s="8" t="inlineStr">
        <is>
          <t>100501</t>
        </is>
      </c>
      <c r="B1053" s="8" t="inlineStr">
        <is>
          <t>钢丝</t>
        </is>
      </c>
      <c r="C1053" s="8" t="inlineStr">
        <is>
          <t>601337300</t>
        </is>
      </c>
      <c r="D1053" s="8" t="inlineStr">
        <is>
          <t>合金弹簧钢丝|钢丝|60Si2MnA|Φ6|YB/T 5318-2010</t>
        </is>
      </c>
      <c r="E1053" s="8" t="inlineStr">
        <is>
          <t xml:space="preserve">物资名称 合金弹簧钢丝;物资简称 钢丝;牌号 60Si2MnA;直径 Φ6;技术标准号 YB/T 5318-2010;抗拉强度 ;加工工艺 ;表面状态 ;特殊要求 ;规格标准号 </t>
        </is>
      </c>
      <c r="F1053" s="4" t="inlineStr">
        <is>
          <t>千克</t>
        </is>
      </c>
    </row>
    <row r="1054" s="21">
      <c r="A1054" s="8" t="inlineStr">
        <is>
          <t>100501</t>
        </is>
      </c>
      <c r="B1054" s="8" t="inlineStr">
        <is>
          <t>钢丝</t>
        </is>
      </c>
      <c r="C1054" s="8" t="inlineStr">
        <is>
          <t>601337200</t>
        </is>
      </c>
      <c r="D1054" s="8" t="inlineStr">
        <is>
          <t>合金弹簧钢丝|钢丝|30CrMnSiA|Φ2|YB/T 5301</t>
        </is>
      </c>
      <c r="E1054" s="8" t="inlineStr">
        <is>
          <t xml:space="preserve">物资名称 合金弹簧钢丝;物资简称 钢丝;牌号 30CrMnSiA;直径 Φ2;技术标准号 YB/T 5301;抗拉强度 ;加工工艺 ;表面状态 ;特殊要求 ;规格标准号 </t>
        </is>
      </c>
      <c r="F1054" s="4" t="inlineStr">
        <is>
          <t>千克</t>
        </is>
      </c>
    </row>
    <row r="1055" s="21">
      <c r="A1055" s="8" t="inlineStr">
        <is>
          <t>100501</t>
        </is>
      </c>
      <c r="B1055" s="8" t="inlineStr">
        <is>
          <t>钢丝</t>
        </is>
      </c>
      <c r="C1055" s="8" t="inlineStr">
        <is>
          <t>600979400</t>
        </is>
      </c>
      <c r="D1055" s="8" t="inlineStr">
        <is>
          <t>重要用途碳素弹簧钢丝|钢丝|65Mn|Φ0.8|GB/T 4358-1995|冷拉|h11,F|GB/T 342-1982</t>
        </is>
      </c>
      <c r="E1055" s="8" t="inlineStr">
        <is>
          <t>物资名称 重要用途碳素弹簧钢丝;物资简称 钢丝;牌号 65Mn;直径 Φ0.8;技术标准号 GB/T 4358-1995;抗拉强度 ;加工工艺 冷拉;表面状态 ;特殊要求 h11,F;规格标准号 GB/T 342-1982</t>
        </is>
      </c>
      <c r="F1055" s="4" t="inlineStr">
        <is>
          <t>千克</t>
        </is>
      </c>
    </row>
    <row r="1056" s="21">
      <c r="A1056" s="8" t="inlineStr">
        <is>
          <t>100501</t>
        </is>
      </c>
      <c r="B1056" s="8" t="inlineStr">
        <is>
          <t>钢丝</t>
        </is>
      </c>
      <c r="C1056" s="8" t="inlineStr">
        <is>
          <t>600979300</t>
        </is>
      </c>
      <c r="D1056" s="8" t="inlineStr">
        <is>
          <t>重要用途碳素弹簧钢丝|钢丝|65Mn|Φ1.4|GB/T 4358-1995|冷拉|h11,F|GB/T 342-1982</t>
        </is>
      </c>
      <c r="E1056" s="8" t="inlineStr">
        <is>
          <t>物资名称 重要用途碳素弹簧钢丝;物资简称 钢丝;牌号 65Mn;直径 Φ1.4;技术标准号 GB/T 4358-1995;抗拉强度 ;加工工艺 冷拉;表面状态 ;特殊要求 h11,F;规格标准号 GB/T 342-1982</t>
        </is>
      </c>
      <c r="F1056" s="4" t="inlineStr">
        <is>
          <t>千克</t>
        </is>
      </c>
    </row>
    <row r="1057" s="21">
      <c r="A1057" s="8" t="inlineStr">
        <is>
          <t>100501</t>
        </is>
      </c>
      <c r="B1057" s="8" t="inlineStr">
        <is>
          <t>钢丝</t>
        </is>
      </c>
      <c r="C1057" s="8" t="inlineStr">
        <is>
          <t>600950000</t>
        </is>
      </c>
      <c r="D1057" s="8" t="inlineStr">
        <is>
          <t>碳素弹簧钢丝|钢丝|70|Φ0.5-h11|GB/T 4357-1989|GB/T 342-1997</t>
        </is>
      </c>
      <c r="E1057" s="8" t="inlineStr">
        <is>
          <t>物资名称 碳素弹簧钢丝;物资简称 钢丝;牌号 70;直径 Φ0.5-h11;技术标准号 GB/T 4357-1989;抗拉强度 ;加工工艺 ;表面状态 ;特殊要求 ;规格标准号 GB/T 342-1997</t>
        </is>
      </c>
      <c r="F1057" s="4" t="inlineStr">
        <is>
          <t>千克</t>
        </is>
      </c>
    </row>
    <row r="1058" s="21">
      <c r="A1058" s="8" t="inlineStr">
        <is>
          <t>100501</t>
        </is>
      </c>
      <c r="B1058" s="8" t="inlineStr">
        <is>
          <t>钢丝</t>
        </is>
      </c>
      <c r="C1058" s="8" t="inlineStr">
        <is>
          <t>600940800</t>
        </is>
      </c>
      <c r="D1058" s="8" t="inlineStr">
        <is>
          <t>钢丝|钢丝|65Mn|Φ1.4-11|GB/T 4357-1989|GB/T 342-1997</t>
        </is>
      </c>
      <c r="E1058" s="8" t="inlineStr">
        <is>
          <t>物资名称 钢丝;物资简称 钢丝;牌号 65Mn;直径 Φ1.4-11;技术标准号 GB/T 4357-1989;抗拉强度 ;加工工艺 ;表面状态 ;特殊要求 ;规格标准号 GB/T 342-1997</t>
        </is>
      </c>
      <c r="F1058" s="4" t="inlineStr">
        <is>
          <t>千克</t>
        </is>
      </c>
    </row>
    <row r="1059" s="21">
      <c r="A1059" s="8" t="inlineStr">
        <is>
          <t>100501</t>
        </is>
      </c>
      <c r="B1059" s="8" t="inlineStr">
        <is>
          <t>钢丝</t>
        </is>
      </c>
      <c r="C1059" s="8" t="inlineStr">
        <is>
          <t>600940700</t>
        </is>
      </c>
      <c r="D1059" s="8" t="inlineStr">
        <is>
          <t>电镀锌钢丝|电镀锌钢丝|Φ0.5|GB/T 343-1994</t>
        </is>
      </c>
      <c r="E1059" s="8" t="inlineStr">
        <is>
          <t xml:space="preserve">物资名称 电镀锌钢丝;物资简称 电镀锌钢丝;牌号 ;直径 Φ0.5;技术标准号 GB/T 343-1994;抗拉强度 ;加工工艺 ;表面状态 ;特殊要求 ;规格标准号 </t>
        </is>
      </c>
      <c r="F1059" s="4" t="inlineStr">
        <is>
          <t>千克</t>
        </is>
      </c>
    </row>
    <row r="1060" s="21">
      <c r="A1060" s="8" t="inlineStr">
        <is>
          <t>100501</t>
        </is>
      </c>
      <c r="B1060" s="8" t="inlineStr">
        <is>
          <t>钢丝</t>
        </is>
      </c>
      <c r="C1060" s="8" t="inlineStr">
        <is>
          <t>600918500</t>
        </is>
      </c>
      <c r="D1060" s="8" t="inlineStr">
        <is>
          <t>不锈钢丝网|不锈钢丝网|0Cr18Ni9|JB/T 5979-92|320#</t>
        </is>
      </c>
      <c r="E1060" s="8" t="inlineStr">
        <is>
          <t xml:space="preserve">物资名称 不锈钢丝网;物资简称 不锈钢丝网;牌号 0Cr18Ni9;直径 Φ;技术标准号 JB/T 5979-92;抗拉强度 ;加工工艺 ;表面状态 ;特殊要求 320#;规格标准号 </t>
        </is>
      </c>
      <c r="F1060" s="4" t="inlineStr">
        <is>
          <t>千克</t>
        </is>
      </c>
    </row>
    <row r="1061" s="21">
      <c r="A1061" s="8" t="inlineStr">
        <is>
          <t>100501</t>
        </is>
      </c>
      <c r="B1061" s="8" t="inlineStr">
        <is>
          <t>钢丝</t>
        </is>
      </c>
      <c r="C1061" s="8" t="inlineStr">
        <is>
          <t>600862600</t>
        </is>
      </c>
      <c r="D1061" s="8" t="inlineStr">
        <is>
          <t>冷顶锻用不锈钢丝|钢丝|ML1Cr17Ni2|GB/T 4232-1993</t>
        </is>
      </c>
      <c r="E1061" s="8" t="inlineStr">
        <is>
          <t xml:space="preserve">物资名称 冷顶锻用不锈钢丝;物资简称 钢丝;牌号 ML1Cr17Ni2;直径 Φ;技术标准号 GB/T 4232-1993;抗拉强度 ;加工工艺 ;表面状态 ;特殊要求 ;规格标准号 </t>
        </is>
      </c>
      <c r="F1061" s="4" t="inlineStr">
        <is>
          <t>千克</t>
        </is>
      </c>
    </row>
    <row r="1062" s="21">
      <c r="A1062" s="8" t="inlineStr">
        <is>
          <t>100501</t>
        </is>
      </c>
      <c r="B1062" s="8" t="inlineStr">
        <is>
          <t>钢丝</t>
        </is>
      </c>
      <c r="C1062" s="8" t="inlineStr">
        <is>
          <t>600861400</t>
        </is>
      </c>
      <c r="D1062" s="8" t="inlineStr">
        <is>
          <t>一般用途低碳钢丝|电镀锌钢丝|Φ0.5|YB/T 5294-2006|用作辅料</t>
        </is>
      </c>
      <c r="E1062" s="8" t="inlineStr">
        <is>
          <t xml:space="preserve">物资名称 一般用途低碳钢丝;物资简称 电镀锌钢丝;牌号 ;直径 Φ0.5;技术标准号 YB/T 5294-2006;抗拉强度 ;加工工艺 ;表面状态 ;特殊要求 用作辅料;规格标准号 </t>
        </is>
      </c>
      <c r="F1062" s="4" t="inlineStr">
        <is>
          <t>千克</t>
        </is>
      </c>
    </row>
    <row r="1063" s="21">
      <c r="A1063" s="8" t="inlineStr">
        <is>
          <t>100501</t>
        </is>
      </c>
      <c r="B1063" s="8" t="inlineStr">
        <is>
          <t>钢丝</t>
        </is>
      </c>
      <c r="C1063" s="8" t="inlineStr">
        <is>
          <t>600844400</t>
        </is>
      </c>
      <c r="D1063" s="8" t="inlineStr">
        <is>
          <t>冷拉不锈钢丝|钢丝|12Cr18Ni9|Φ0.5|GB/T 4240-2009|冷拉</t>
        </is>
      </c>
      <c r="E1063" s="8" t="inlineStr">
        <is>
          <t xml:space="preserve">物资名称 冷拉不锈钢丝;物资简称 钢丝;牌号 12Cr18Ni9;直径 Φ0.5;技术标准号 GB/T 4240-2009;抗拉强度 ;加工工艺 冷拉;表面状态 ;特殊要求 ;规格标准号 </t>
        </is>
      </c>
      <c r="F1063" s="4" t="inlineStr">
        <is>
          <t>米</t>
        </is>
      </c>
    </row>
    <row r="1064" s="21">
      <c r="A1064" s="8" t="inlineStr">
        <is>
          <t>100501</t>
        </is>
      </c>
      <c r="B1064" s="8" t="inlineStr">
        <is>
          <t>钢丝</t>
        </is>
      </c>
      <c r="C1064" s="8" t="inlineStr">
        <is>
          <t>600843400</t>
        </is>
      </c>
      <c r="D1064" s="8" t="inlineStr">
        <is>
          <t>优质碳素结构钢丝|方钢丝|20|□2|GB/T 699-1999|允许偏差级别12|GB/T 342-1997</t>
        </is>
      </c>
      <c r="E1064" s="8" t="inlineStr">
        <is>
          <t>物资名称 优质碳素结构钢丝;物资简称 方钢丝;牌号 20;边宽 □2;技术标准号 GB/T 699-1999;抗拉强度 ;加工工艺 ;表面状态 ;特殊要求 允许偏差级别12;规格标准号 GB/T 342-1997</t>
        </is>
      </c>
      <c r="F1064" s="4" t="inlineStr">
        <is>
          <t>千克</t>
        </is>
      </c>
    </row>
    <row r="1065" s="21">
      <c r="A1065" s="8" t="inlineStr">
        <is>
          <t>100501</t>
        </is>
      </c>
      <c r="B1065" s="8" t="inlineStr">
        <is>
          <t>钢丝</t>
        </is>
      </c>
      <c r="C1065" s="8" t="inlineStr">
        <is>
          <t>600842400</t>
        </is>
      </c>
      <c r="D1065" s="8" t="inlineStr">
        <is>
          <t>冷拉不锈钢丝|钢丝|12Cr18Ni9|Φ1|GB/T 4240-2009|冷拉</t>
        </is>
      </c>
      <c r="E1065" s="8" t="inlineStr">
        <is>
          <t xml:space="preserve">物资名称 冷拉不锈钢丝;物资简称 钢丝;牌号 12Cr18Ni9;直径 Φ1;技术标准号 GB/T 4240-2009;抗拉强度 ;加工工艺 冷拉;表面状态 ;特殊要求 ;规格标准号 </t>
        </is>
      </c>
      <c r="F1065" s="4" t="inlineStr">
        <is>
          <t>米</t>
        </is>
      </c>
    </row>
    <row r="1066" s="21">
      <c r="A1066" s="8" t="inlineStr">
        <is>
          <t>100501</t>
        </is>
      </c>
      <c r="B1066" s="8" t="inlineStr">
        <is>
          <t>钢丝</t>
        </is>
      </c>
      <c r="C1066" s="8" t="inlineStr">
        <is>
          <t>600840000</t>
        </is>
      </c>
      <c r="D1066" s="8" t="inlineStr">
        <is>
          <t>冷拉弹簧用不锈钢丝|弹簧用不锈钢丝|1Cr18Ni9|Φ0.45|YB(T) 11-1983|B;允许偏差级别11|GB/T 342-1997</t>
        </is>
      </c>
      <c r="E1066" s="8" t="inlineStr">
        <is>
          <t>物资名称 冷拉弹簧用不锈钢丝;物资简称 弹簧用不锈钢丝;牌号 1Cr18Ni9;直径 Φ0.45;技术标准号 YB(T) 11-1983;抗拉强度 ;加工工艺 ;表面状态 ;特殊要求 B;允许偏差级别11;规格标准号 GB/T 342-1997</t>
        </is>
      </c>
      <c r="F1066" s="4" t="inlineStr">
        <is>
          <t>千克</t>
        </is>
      </c>
    </row>
    <row r="1067" s="21">
      <c r="A1067" s="8" t="inlineStr">
        <is>
          <t>100501</t>
        </is>
      </c>
      <c r="B1067" s="8" t="inlineStr">
        <is>
          <t>钢丝</t>
        </is>
      </c>
      <c r="C1067" s="8" t="inlineStr">
        <is>
          <t>600838400</t>
        </is>
      </c>
      <c r="D1067" s="8" t="inlineStr">
        <is>
          <t>冷拉弹簧用不锈钢丝|弹簧用不锈钢丝|1Cr18Ni9|Φ0.6|YB(T)11-1983|B;允许偏差级别11|GB/T 342-1997</t>
        </is>
      </c>
      <c r="E1067" s="8" t="inlineStr">
        <is>
          <t>物资名称 冷拉弹簧用不锈钢丝;物资简称 弹簧用不锈钢丝;牌号 1Cr18Ni9;直径 Φ0.6;技术标准号 YB(T)11-1983;抗拉强度 ;加工工艺 ;表面状态 ;特殊要求 B;允许偏差级别11;规格标准号 GB/T 342-1997</t>
        </is>
      </c>
      <c r="F1067" s="4" t="inlineStr">
        <is>
          <t>千克</t>
        </is>
      </c>
    </row>
    <row r="1068" s="21">
      <c r="A1068" s="8" t="inlineStr">
        <is>
          <t>100501</t>
        </is>
      </c>
      <c r="B1068" s="8" t="inlineStr">
        <is>
          <t>钢丝</t>
        </is>
      </c>
      <c r="C1068" s="8" t="inlineStr">
        <is>
          <t>600825800</t>
        </is>
      </c>
      <c r="D1068" s="8" t="inlineStr">
        <is>
          <t>一般用途低碳钢丝|镀锌钢丝|Φ0.5|GB 9972-1988</t>
        </is>
      </c>
      <c r="E1068" s="8" t="inlineStr">
        <is>
          <t xml:space="preserve">物资名称 一般用途低碳钢丝;物资简称 镀锌钢丝;牌号 ;直径 Φ0.5;技术标准号 GB 9972-1988;抗拉强度 ;加工工艺 ;表面状态 ;特殊要求 ;规格标准号 </t>
        </is>
      </c>
      <c r="F1068" s="4" t="inlineStr">
        <is>
          <t>千克</t>
        </is>
      </c>
    </row>
    <row r="1069" s="21">
      <c r="A1069" s="8" t="inlineStr">
        <is>
          <t>100501</t>
        </is>
      </c>
      <c r="B1069" s="8" t="inlineStr">
        <is>
          <t>钢丝</t>
        </is>
      </c>
      <c r="C1069" s="8" t="inlineStr">
        <is>
          <t>600767200</t>
        </is>
      </c>
      <c r="D1069" s="8" t="inlineStr">
        <is>
          <t>一般用途低碳钢丝|镀锌钢丝|ΦSZ-0.5|YB/T 5294-2009|用作辅料</t>
        </is>
      </c>
      <c r="E1069" s="8" t="inlineStr">
        <is>
          <t xml:space="preserve">物资名称 一般用途低碳钢丝;物资简称 镀锌钢丝;牌号 ;直径 ΦSZ-0.5;技术标准号 YB/T 5294-2009;抗拉强度 ;加工工艺 ;表面状态 ;特殊要求 用作辅料;规格标准号 </t>
        </is>
      </c>
      <c r="F1069" s="4" t="inlineStr">
        <is>
          <t>千克</t>
        </is>
      </c>
    </row>
    <row r="1070" s="21">
      <c r="A1070" s="8" t="inlineStr">
        <is>
          <t>100501</t>
        </is>
      </c>
      <c r="B1070" s="8" t="inlineStr">
        <is>
          <t>钢丝</t>
        </is>
      </c>
      <c r="C1070" s="8" t="inlineStr">
        <is>
          <t>600766600</t>
        </is>
      </c>
      <c r="D1070" s="8" t="inlineStr">
        <is>
          <t>一般用途低碳钢丝|镀锌钢丝|ΦSZ-0.5|YB/T 5294-2009</t>
        </is>
      </c>
      <c r="E1070" s="8" t="inlineStr">
        <is>
          <t xml:space="preserve">物资名称 一般用途低碳钢丝;物资简称 镀锌钢丝;牌号 ;直径 ΦSZ-0.5;技术标准号 YB/T 5294-2009;抗拉强度 ;加工工艺 ;表面状态 ;特殊要求 ;规格标准号 </t>
        </is>
      </c>
      <c r="F1070" s="4" t="inlineStr">
        <is>
          <t>千克</t>
        </is>
      </c>
    </row>
    <row r="1071" s="21">
      <c r="A1071" s="8" t="inlineStr">
        <is>
          <t>100501</t>
        </is>
      </c>
      <c r="B1071" s="8" t="inlineStr">
        <is>
          <t>钢丝</t>
        </is>
      </c>
      <c r="C1071" s="8" t="inlineStr">
        <is>
          <t>600634200</t>
        </is>
      </c>
      <c r="D1071" s="8" t="inlineStr">
        <is>
          <t>合金工具钢丝|钢丝|Cr12MoV|GB/T 1299-2000|冷拉</t>
        </is>
      </c>
      <c r="E1071" s="8" t="inlineStr">
        <is>
          <t xml:space="preserve">物资名称 合金工具钢丝;物资简称 钢丝;牌号 Cr12MoV;直径 Φ;技术标准号 GB/T 1299-2000;抗拉强度 ;加工工艺 冷拉;表面状态 ;特殊要求 ;规格标准号 </t>
        </is>
      </c>
      <c r="F1071" s="4" t="inlineStr">
        <is>
          <t>千克</t>
        </is>
      </c>
    </row>
    <row r="1072" s="21">
      <c r="A1072" s="8" t="inlineStr">
        <is>
          <t>100501</t>
        </is>
      </c>
      <c r="B1072" s="8" t="inlineStr">
        <is>
          <t>钢丝</t>
        </is>
      </c>
      <c r="C1072" s="8" t="inlineStr">
        <is>
          <t>600634100</t>
        </is>
      </c>
      <c r="D1072" s="8" t="inlineStr">
        <is>
          <t>冷拉不锈钢丝|钢丝|1Cr18Ni9Ti|GB/T 4240-1993|冷拉</t>
        </is>
      </c>
      <c r="E1072" s="8" t="inlineStr">
        <is>
          <t xml:space="preserve">物资名称 冷拉不锈钢丝;物资简称 钢丝;牌号 1Cr18Ni9Ti;直径 Φ;技术标准号 GB/T 4240-1993;抗拉强度 ;加工工艺 冷拉;表面状态 ;特殊要求 ;规格标准号 </t>
        </is>
      </c>
      <c r="F1072" s="4" t="inlineStr">
        <is>
          <t>千克</t>
        </is>
      </c>
    </row>
    <row r="1073" s="21">
      <c r="A1073" s="8" t="inlineStr">
        <is>
          <t>100501</t>
        </is>
      </c>
      <c r="B1073" s="8" t="inlineStr">
        <is>
          <t>钢丝</t>
        </is>
      </c>
      <c r="C1073" s="8" t="inlineStr">
        <is>
          <t>600634000</t>
        </is>
      </c>
      <c r="D1073" s="8" t="inlineStr">
        <is>
          <t>冷拉不锈钢丝|钢丝|1Cr18Ni9Ti|Φ1|GB/T 4240-1993|冷拉</t>
        </is>
      </c>
      <c r="E1073" s="8" t="inlineStr">
        <is>
          <t xml:space="preserve">物资名称 冷拉不锈钢丝;物资简称 钢丝;牌号 1Cr18Ni9Ti;直径 Φ1;技术标准号 GB/T 4240-1993;抗拉强度 ;加工工艺 冷拉;表面状态 ;特殊要求 ;规格标准号 </t>
        </is>
      </c>
      <c r="F1073" s="4" t="inlineStr">
        <is>
          <t>千克</t>
        </is>
      </c>
    </row>
    <row r="1074" s="21">
      <c r="A1074" s="8" t="inlineStr">
        <is>
          <t>100501</t>
        </is>
      </c>
      <c r="B1074" s="8" t="inlineStr">
        <is>
          <t>钢丝</t>
        </is>
      </c>
      <c r="C1074" s="8" t="inlineStr">
        <is>
          <t>600633900</t>
        </is>
      </c>
      <c r="D1074" s="8" t="inlineStr">
        <is>
          <t>冷拉不锈钢丝|钢丝|1Cr18Ni9Ti|Φ3|GB/T 4240-1993|冷拉</t>
        </is>
      </c>
      <c r="E1074" s="8" t="inlineStr">
        <is>
          <t xml:space="preserve">物资名称 冷拉不锈钢丝;物资简称 钢丝;牌号 1Cr18Ni9Ti;直径 Φ3;技术标准号 GB/T 4240-1993;抗拉强度 ;加工工艺 冷拉;表面状态 ;特殊要求 ;规格标准号 </t>
        </is>
      </c>
      <c r="F1074" s="4" t="inlineStr">
        <is>
          <t>千克</t>
        </is>
      </c>
    </row>
    <row r="1075" s="21">
      <c r="A1075" s="8" t="inlineStr">
        <is>
          <t>100501</t>
        </is>
      </c>
      <c r="B1075" s="8" t="inlineStr">
        <is>
          <t>钢丝</t>
        </is>
      </c>
      <c r="C1075" s="8" t="inlineStr">
        <is>
          <t>600633800</t>
        </is>
      </c>
      <c r="D1075" s="8" t="inlineStr">
        <is>
          <t>冷拉不锈钢丝|钢丝|1Cr18Ni9Ti|Φ4|GB/T 4240-1993|冷拉</t>
        </is>
      </c>
      <c r="E1075" s="8" t="inlineStr">
        <is>
          <t xml:space="preserve">物资名称 冷拉不锈钢丝;物资简称 钢丝;牌号 1Cr18Ni9Ti;直径 Φ4;技术标准号 GB/T 4240-1993;抗拉强度 ;加工工艺 冷拉;表面状态 ;特殊要求 ;规格标准号 </t>
        </is>
      </c>
      <c r="F1075" s="4" t="inlineStr">
        <is>
          <t>千克</t>
        </is>
      </c>
    </row>
    <row r="1076" s="21">
      <c r="A1076" s="8" t="inlineStr">
        <is>
          <t>100501</t>
        </is>
      </c>
      <c r="B1076" s="8" t="inlineStr">
        <is>
          <t>钢丝</t>
        </is>
      </c>
      <c r="C1076" s="8" t="inlineStr">
        <is>
          <t>600633700</t>
        </is>
      </c>
      <c r="D1076" s="8" t="inlineStr">
        <is>
          <t>冷拉不锈钢丝|钢丝|1Cr18Ni9Ti|Φ5|GB/T 4240-1993|冷拉</t>
        </is>
      </c>
      <c r="E1076" s="8" t="inlineStr">
        <is>
          <t xml:space="preserve">物资名称 冷拉不锈钢丝;物资简称 钢丝;牌号 1Cr18Ni9Ti;直径 Φ5;技术标准号 GB/T 4240-1993;抗拉强度 ;加工工艺 冷拉;表面状态 ;特殊要求 ;规格标准号 </t>
        </is>
      </c>
      <c r="F1076" s="4" t="inlineStr">
        <is>
          <t>千克</t>
        </is>
      </c>
    </row>
    <row r="1077" s="21">
      <c r="A1077" s="8" t="inlineStr">
        <is>
          <t>100501</t>
        </is>
      </c>
      <c r="B1077" s="8" t="inlineStr">
        <is>
          <t>钢丝</t>
        </is>
      </c>
      <c r="C1077" s="8" t="inlineStr">
        <is>
          <t>600633600</t>
        </is>
      </c>
      <c r="D1077" s="8" t="inlineStr">
        <is>
          <t>冷拉不锈钢丝|钢丝|1Cr18Ni9Ti|Φ6|GB/T 4240-1993|冷拉</t>
        </is>
      </c>
      <c r="E1077" s="8" t="inlineStr">
        <is>
          <t xml:space="preserve">物资名称 冷拉不锈钢丝;物资简称 钢丝;牌号 1Cr18Ni9Ti;直径 Φ6;技术标准号 GB/T 4240-1993;抗拉强度 ;加工工艺 冷拉;表面状态 ;特殊要求 ;规格标准号 </t>
        </is>
      </c>
      <c r="F1077" s="4" t="inlineStr">
        <is>
          <t>千克</t>
        </is>
      </c>
    </row>
    <row r="1078" s="21">
      <c r="A1078" s="8" t="inlineStr">
        <is>
          <t>100501</t>
        </is>
      </c>
      <c r="B1078" s="8" t="inlineStr">
        <is>
          <t>钢丝</t>
        </is>
      </c>
      <c r="C1078" s="8" t="inlineStr">
        <is>
          <t>600633500</t>
        </is>
      </c>
      <c r="D1078" s="8" t="inlineStr">
        <is>
          <t>冷拉碳素弹簧钢丝|钢丝|65Mn|GB/T 4357-2009|冷拉</t>
        </is>
      </c>
      <c r="E1078" s="8" t="inlineStr">
        <is>
          <t xml:space="preserve">物资名称 冷拉碳素弹簧钢丝;物资简称 钢丝;牌号 65Mn;直径 Φ;技术标准号 GB/T 4357-2009;抗拉强度 ;加工工艺 冷拉;表面状态 ;特殊要求 ;规格标准号 </t>
        </is>
      </c>
      <c r="F1078" s="4" t="inlineStr">
        <is>
          <t>千克</t>
        </is>
      </c>
    </row>
    <row r="1079" s="21">
      <c r="A1079" s="8" t="inlineStr">
        <is>
          <t>100501</t>
        </is>
      </c>
      <c r="B1079" s="8" t="inlineStr">
        <is>
          <t>钢丝</t>
        </is>
      </c>
      <c r="C1079" s="8" t="inlineStr">
        <is>
          <t>600633400</t>
        </is>
      </c>
      <c r="D1079" s="8" t="inlineStr">
        <is>
          <t>冷拉碳素弹簧钢丝|钢丝|65Mn|Φ0.4|GB/T 4357-2009|冷拉</t>
        </is>
      </c>
      <c r="E1079" s="8" t="inlineStr">
        <is>
          <t xml:space="preserve">物资名称 冷拉碳素弹簧钢丝;物资简称 钢丝;牌号 65Mn;直径 Φ0.4;技术标准号 GB/T 4357-2009;抗拉强度 ;加工工艺 冷拉;表面状态 ;特殊要求 ;规格标准号 </t>
        </is>
      </c>
      <c r="F1079" s="4" t="inlineStr">
        <is>
          <t>千克</t>
        </is>
      </c>
    </row>
    <row r="1080" s="21">
      <c r="A1080" s="8" t="inlineStr">
        <is>
          <t>100501</t>
        </is>
      </c>
      <c r="B1080" s="8" t="inlineStr">
        <is>
          <t>钢丝</t>
        </is>
      </c>
      <c r="C1080" s="8" t="inlineStr">
        <is>
          <t>600633300</t>
        </is>
      </c>
      <c r="D1080" s="8" t="inlineStr">
        <is>
          <t>冷拉碳素弹簧钢丝|钢丝|65Mn|Φ0.8|GB/T 4357-2009|冷拉</t>
        </is>
      </c>
      <c r="E1080" s="8" t="inlineStr">
        <is>
          <t xml:space="preserve">物资名称 冷拉碳素弹簧钢丝;物资简称 钢丝;牌号 65Mn;直径 Φ0.8;技术标准号 GB/T 4357-2009;抗拉强度 ;加工工艺 冷拉;表面状态 ;特殊要求 ;规格标准号 </t>
        </is>
      </c>
      <c r="F1080" s="4" t="inlineStr">
        <is>
          <t>千克</t>
        </is>
      </c>
    </row>
    <row r="1081" s="21">
      <c r="A1081" s="8" t="inlineStr">
        <is>
          <t>100501</t>
        </is>
      </c>
      <c r="B1081" s="8" t="inlineStr">
        <is>
          <t>钢丝</t>
        </is>
      </c>
      <c r="C1081" s="8" t="inlineStr">
        <is>
          <t>600633200</t>
        </is>
      </c>
      <c r="D1081" s="8" t="inlineStr">
        <is>
          <t>冷拉碳素弹簧钢丝|钢丝|70|GB/T 4357-2009|冷拉</t>
        </is>
      </c>
      <c r="E1081" s="8" t="inlineStr">
        <is>
          <t xml:space="preserve">物资名称 冷拉碳素弹簧钢丝;物资简称 钢丝;牌号 70;直径 Φ;技术标准号 GB/T 4357-2009;抗拉强度 ;加工工艺 冷拉;表面状态 ;特殊要求 ;规格标准号 </t>
        </is>
      </c>
      <c r="F1081" s="4" t="inlineStr">
        <is>
          <t>千克</t>
        </is>
      </c>
    </row>
    <row r="1082" s="21">
      <c r="A1082" s="8" t="inlineStr">
        <is>
          <t>100501</t>
        </is>
      </c>
      <c r="B1082" s="8" t="inlineStr">
        <is>
          <t>钢丝</t>
        </is>
      </c>
      <c r="C1082" s="8" t="inlineStr">
        <is>
          <t>600633100</t>
        </is>
      </c>
      <c r="D1082" s="8" t="inlineStr">
        <is>
          <t>冷拉碳素弹簧钢丝|钢丝|70|Φ0.3|GB/T 4357-2009|冷拉</t>
        </is>
      </c>
      <c r="E1082" s="8" t="inlineStr">
        <is>
          <t xml:space="preserve">物资名称 冷拉碳素弹簧钢丝;物资简称 钢丝;牌号 70;直径 Φ0.3;技术标准号 GB/T 4357-2009;抗拉强度 ;加工工艺 冷拉;表面状态 ;特殊要求 ;规格标准号 </t>
        </is>
      </c>
      <c r="F1082" s="4" t="inlineStr">
        <is>
          <t>千克</t>
        </is>
      </c>
    </row>
    <row r="1083" s="21">
      <c r="A1083" s="8" t="inlineStr">
        <is>
          <t>100501</t>
        </is>
      </c>
      <c r="B1083" s="8" t="inlineStr">
        <is>
          <t>钢丝</t>
        </is>
      </c>
      <c r="C1083" s="8" t="inlineStr">
        <is>
          <t>600633000</t>
        </is>
      </c>
      <c r="D1083" s="8" t="inlineStr">
        <is>
          <t>冷拉碳素弹簧钢丝|钢丝|70|Φ0.4|GB/T 4357-2009|冷拉</t>
        </is>
      </c>
      <c r="E1083" s="8" t="inlineStr">
        <is>
          <t xml:space="preserve">物资名称 冷拉碳素弹簧钢丝;物资简称 钢丝;牌号 70;直径 Φ0.4;技术标准号 GB/T 4357-2009;抗拉强度 ;加工工艺 冷拉;表面状态 ;特殊要求 ;规格标准号 </t>
        </is>
      </c>
      <c r="F1083" s="4" t="inlineStr">
        <is>
          <t>千克</t>
        </is>
      </c>
    </row>
    <row r="1084" s="21">
      <c r="A1084" s="8" t="inlineStr">
        <is>
          <t>100501</t>
        </is>
      </c>
      <c r="B1084" s="8" t="inlineStr">
        <is>
          <t>钢丝</t>
        </is>
      </c>
      <c r="C1084" s="8" t="inlineStr">
        <is>
          <t>600632900</t>
        </is>
      </c>
      <c r="D1084" s="8" t="inlineStr">
        <is>
          <t>冷拉碳素弹簧钢丝|钢丝|70|Φ0.5|GB/T 4357-2009|冷拉</t>
        </is>
      </c>
      <c r="E1084" s="8" t="inlineStr">
        <is>
          <t xml:space="preserve">物资名称 冷拉碳素弹簧钢丝;物资简称 钢丝;牌号 70;直径 Φ0.5;技术标准号 GB/T 4357-2009;抗拉强度 ;加工工艺 冷拉;表面状态 ;特殊要求 ;规格标准号 </t>
        </is>
      </c>
      <c r="F1084" s="4" t="inlineStr">
        <is>
          <t>千克</t>
        </is>
      </c>
    </row>
    <row r="1085" s="21">
      <c r="A1085" s="8" t="inlineStr">
        <is>
          <t>100501</t>
        </is>
      </c>
      <c r="B1085" s="8" t="inlineStr">
        <is>
          <t>钢丝</t>
        </is>
      </c>
      <c r="C1085" s="8" t="inlineStr">
        <is>
          <t>600632800</t>
        </is>
      </c>
      <c r="D1085" s="8" t="inlineStr">
        <is>
          <t>冷拉碳素弹簧钢丝|钢丝|70|Φ0.6|GB/T 4357-2009|冷拉</t>
        </is>
      </c>
      <c r="E1085" s="8" t="inlineStr">
        <is>
          <t xml:space="preserve">物资名称 冷拉碳素弹簧钢丝;物资简称 钢丝;牌号 70;直径 Φ0.6;技术标准号 GB/T 4357-2009;抗拉强度 ;加工工艺 冷拉;表面状态 ;特殊要求 ;规格标准号 </t>
        </is>
      </c>
      <c r="F1085" s="4" t="inlineStr">
        <is>
          <t>千克</t>
        </is>
      </c>
    </row>
    <row r="1086" s="21">
      <c r="A1086" s="8" t="inlineStr">
        <is>
          <t>100501</t>
        </is>
      </c>
      <c r="B1086" s="8" t="inlineStr">
        <is>
          <t>钢丝</t>
        </is>
      </c>
      <c r="C1086" s="8" t="inlineStr">
        <is>
          <t>600632700</t>
        </is>
      </c>
      <c r="D1086" s="8" t="inlineStr">
        <is>
          <t>冷拉碳素弹簧钢丝|钢丝|70|Φ0.7|GB/T 4357-2009|冷拉</t>
        </is>
      </c>
      <c r="E1086" s="8" t="inlineStr">
        <is>
          <t xml:space="preserve">物资名称 冷拉碳素弹簧钢丝;物资简称 钢丝;牌号 70;直径 Φ0.7;技术标准号 GB/T 4357-2009;抗拉强度 ;加工工艺 冷拉;表面状态 ;特殊要求 ;规格标准号 </t>
        </is>
      </c>
      <c r="F1086" s="4" t="inlineStr">
        <is>
          <t>千克</t>
        </is>
      </c>
    </row>
    <row r="1087" s="21">
      <c r="A1087" s="8" t="inlineStr">
        <is>
          <t>100501</t>
        </is>
      </c>
      <c r="B1087" s="8" t="inlineStr">
        <is>
          <t>钢丝</t>
        </is>
      </c>
      <c r="C1087" s="8" t="inlineStr">
        <is>
          <t>600632600</t>
        </is>
      </c>
      <c r="D1087" s="8" t="inlineStr">
        <is>
          <t>冷拉碳素弹簧钢丝|钢丝|70|Φ0.8|GB/T 4357-2009|冷拉</t>
        </is>
      </c>
      <c r="E1087" s="8" t="inlineStr">
        <is>
          <t xml:space="preserve">物资名称 冷拉碳素弹簧钢丝;物资简称 钢丝;牌号 70;直径 Φ0.8;技术标准号 GB/T 4357-2009;抗拉强度 ;加工工艺 冷拉;表面状态 ;特殊要求 ;规格标准号 </t>
        </is>
      </c>
      <c r="F1087" s="4" t="inlineStr">
        <is>
          <t>千克</t>
        </is>
      </c>
    </row>
    <row r="1088" s="21">
      <c r="A1088" s="8" t="inlineStr">
        <is>
          <t>100501</t>
        </is>
      </c>
      <c r="B1088" s="8" t="inlineStr">
        <is>
          <t>钢丝</t>
        </is>
      </c>
      <c r="C1088" s="8" t="inlineStr">
        <is>
          <t>600632500</t>
        </is>
      </c>
      <c r="D1088" s="8" t="inlineStr">
        <is>
          <t>冷拉碳素弹簧钢丝|钢丝|70|Φ0.9|GB/T 4357-2009|冷拉</t>
        </is>
      </c>
      <c r="E1088" s="8" t="inlineStr">
        <is>
          <t xml:space="preserve">物资名称 冷拉碳素弹簧钢丝;物资简称 钢丝;牌号 70;直径 Φ0.9;技术标准号 GB/T 4357-2009;抗拉强度 ;加工工艺 冷拉;表面状态 ;特殊要求 ;规格标准号 </t>
        </is>
      </c>
      <c r="F1088" s="4" t="inlineStr">
        <is>
          <t>千克</t>
        </is>
      </c>
    </row>
    <row r="1089" s="21">
      <c r="A1089" s="8" t="inlineStr">
        <is>
          <t>100501</t>
        </is>
      </c>
      <c r="B1089" s="8" t="inlineStr">
        <is>
          <t>钢丝</t>
        </is>
      </c>
      <c r="C1089" s="8" t="inlineStr">
        <is>
          <t>600632400</t>
        </is>
      </c>
      <c r="D1089" s="8" t="inlineStr">
        <is>
          <t>阀门用铬钒弹簧钢丝|钢丝|45|YB/T 5136-1993|冷拉</t>
        </is>
      </c>
      <c r="E1089" s="8" t="inlineStr">
        <is>
          <t xml:space="preserve">物资名称 阀门用铬钒弹簧钢丝;物资简称 钢丝;牌号 45;直径 Φ;技术标准号 YB/T 5136-1993;抗拉强度 ;加工工艺 冷拉;表面状态 ;特殊要求 ;规格标准号 </t>
        </is>
      </c>
      <c r="F1089" s="4" t="inlineStr">
        <is>
          <t>千克</t>
        </is>
      </c>
    </row>
    <row r="1090" s="21">
      <c r="A1090" s="8" t="inlineStr">
        <is>
          <t>100501</t>
        </is>
      </c>
      <c r="B1090" s="8" t="inlineStr">
        <is>
          <t>钢丝</t>
        </is>
      </c>
      <c r="C1090" s="8" t="inlineStr">
        <is>
          <t>600632300</t>
        </is>
      </c>
      <c r="D1090" s="8" t="inlineStr">
        <is>
          <t>优质碳素结构钢丝|钢丝|45|YB/T 5303-2006|冷拉</t>
        </is>
      </c>
      <c r="E1090" s="8" t="inlineStr">
        <is>
          <t xml:space="preserve">物资名称 优质碳素结构钢丝;物资简称 钢丝;牌号 45;直径 Φ;技术标准号 YB/T 5303-2006;抗拉强度 ;加工工艺 冷拉;表面状态 ;特殊要求 ;规格标准号 </t>
        </is>
      </c>
      <c r="F1090" s="4" t="inlineStr">
        <is>
          <t>千克</t>
        </is>
      </c>
    </row>
    <row r="1091" s="21">
      <c r="A1091" s="8" t="inlineStr">
        <is>
          <t>100501</t>
        </is>
      </c>
      <c r="B1091" s="8" t="inlineStr">
        <is>
          <t>钢丝</t>
        </is>
      </c>
      <c r="C1091" s="8" t="inlineStr">
        <is>
          <t>600632200</t>
        </is>
      </c>
      <c r="D1091" s="8" t="inlineStr">
        <is>
          <t>磨光优质碳素结构钢丝|钢丝|45|Φ3|YB/T 5303-2006|磨光</t>
        </is>
      </c>
      <c r="E1091" s="8" t="inlineStr">
        <is>
          <t xml:space="preserve">物资名称 磨光优质碳素结构钢丝;物资简称 钢丝;牌号 45;直径 Φ3;技术标准号 YB/T 5303-2006;抗拉强度 ;加工工艺 磨光;表面状态 ;特殊要求 ;规格标准号 </t>
        </is>
      </c>
      <c r="F1091" s="4" t="inlineStr">
        <is>
          <t>千克</t>
        </is>
      </c>
    </row>
    <row r="1092" s="21">
      <c r="A1092" s="8" t="inlineStr">
        <is>
          <t>100599</t>
        </is>
      </c>
      <c r="B1092" s="8" t="inlineStr">
        <is>
          <t>其他钢制品</t>
        </is>
      </c>
      <c r="C1092" s="8" t="inlineStr">
        <is>
          <t>603545000</t>
        </is>
      </c>
      <c r="D1092" s="8" t="inlineStr">
        <is>
          <t>低合金超高强度钢|钢|GB/T 38809-2020|40CrNi2Si2MoVA</t>
        </is>
      </c>
      <c r="E1092" s="8" t="inlineStr">
        <is>
          <t>物资名称 低合金超高强度钢;物资简称 钢;技术标准号 GB/T 38809-2020;牌号 40CrNi2Si2MoVA;规格 ;特殊要求 ;规格标准号</t>
        </is>
      </c>
      <c r="F1092" s="4" t="inlineStr">
        <is>
          <t>千克</t>
        </is>
      </c>
    </row>
    <row r="1093" s="21">
      <c r="A1093" s="8" t="inlineStr">
        <is>
          <t>100599</t>
        </is>
      </c>
      <c r="B1093" s="8" t="inlineStr">
        <is>
          <t>其他钢制品</t>
        </is>
      </c>
      <c r="C1093" s="8" t="inlineStr">
        <is>
          <t>603539800</t>
        </is>
      </c>
      <c r="D1093" s="8" t="inlineStr">
        <is>
          <t>合金结构钢|钢|GB/T 3077-2015|30CrMnSi</t>
        </is>
      </c>
      <c r="E1093" s="8" t="inlineStr">
        <is>
          <t>物资名称 合金结构钢;物资简称 钢;技术标准号 GB/T 3077-2015;牌号 30CrMnSi;规格 ;特殊要求 ;规格标准号</t>
        </is>
      </c>
      <c r="F1093" s="4" t="inlineStr">
        <is>
          <t>千克</t>
        </is>
      </c>
    </row>
    <row r="1094" s="21">
      <c r="A1094" s="8" t="inlineStr">
        <is>
          <t>100599</t>
        </is>
      </c>
      <c r="B1094" s="8" t="inlineStr">
        <is>
          <t>其他钢制品</t>
        </is>
      </c>
      <c r="C1094" s="8" t="inlineStr">
        <is>
          <t>603152400</t>
        </is>
      </c>
      <c r="D1094" s="8" t="inlineStr">
        <is>
          <t>合金结构钢|钢|GB/T 3077-2015|35CrMnSiA</t>
        </is>
      </c>
      <c r="E1094" s="8" t="inlineStr">
        <is>
          <t>物资名称 合金结构钢;物资简称 钢;技术标准号 GB/T 3077-2015;牌号 35CrMnSiA;规格 ;特殊要求 ;规格标准号</t>
        </is>
      </c>
      <c r="F1094" s="4" t="inlineStr">
        <is>
          <t>千克</t>
        </is>
      </c>
    </row>
    <row r="1095" s="21">
      <c r="A1095" s="8" t="inlineStr">
        <is>
          <t>100599</t>
        </is>
      </c>
      <c r="B1095" s="8" t="inlineStr">
        <is>
          <t>其他钢制品</t>
        </is>
      </c>
      <c r="C1095" s="8" t="inlineStr">
        <is>
          <t>603145000</t>
        </is>
      </c>
      <c r="D1095" s="8" t="inlineStr">
        <is>
          <t>优质碳素结构钢|钢|GB/T 699-2015|65Mn</t>
        </is>
      </c>
      <c r="E1095" s="8" t="inlineStr">
        <is>
          <t>物资名称 优质碳素结构钢;物资简称 钢;技术标准号 GB/T 699-2015;牌号 65Mn;规格 ;特殊要求 ;规格标准号</t>
        </is>
      </c>
      <c r="F1095" s="4" t="inlineStr">
        <is>
          <t>千克</t>
        </is>
      </c>
    </row>
    <row r="1096" s="21">
      <c r="A1096" s="8" t="inlineStr">
        <is>
          <t>100599</t>
        </is>
      </c>
      <c r="B1096" s="8" t="inlineStr">
        <is>
          <t>其他钢制品</t>
        </is>
      </c>
      <c r="C1096" s="8" t="inlineStr">
        <is>
          <t>602324500</t>
        </is>
      </c>
      <c r="D1096" s="8" t="inlineStr">
        <is>
          <t>优质碳素结构钢|钢|GB/T 699-2015|45</t>
        </is>
      </c>
      <c r="E1096" s="8" t="inlineStr">
        <is>
          <t xml:space="preserve">物资名称 优质碳素结构钢;物资简称 钢;技术标准号 GB/T 699-2015;牌号 45;规格 ;特殊要求 ;规格标准号 </t>
        </is>
      </c>
      <c r="F1096" s="4" t="inlineStr">
        <is>
          <t>千克</t>
        </is>
      </c>
    </row>
    <row r="1097" s="21">
      <c r="A1097" s="8" t="inlineStr">
        <is>
          <t>100599</t>
        </is>
      </c>
      <c r="B1097" s="8" t="inlineStr">
        <is>
          <t>其他钢制品</t>
        </is>
      </c>
      <c r="C1097" s="8" t="inlineStr">
        <is>
          <t>602324400</t>
        </is>
      </c>
      <c r="D1097" s="8" t="inlineStr">
        <is>
          <t>合金结构钢|钢|GB/T 3077-2015|30CrMnSiA</t>
        </is>
      </c>
      <c r="E1097" s="8" t="inlineStr">
        <is>
          <t xml:space="preserve">物资名称 合金结构钢;物资简称 钢;技术标准号 GB/T 3077-2015;牌号 30CrMnSiA;规格 ;特殊要求 ;规格标准号 </t>
        </is>
      </c>
      <c r="F1097" s="4" t="inlineStr">
        <is>
          <t>千克</t>
        </is>
      </c>
    </row>
    <row r="1098" s="21">
      <c r="A1098" s="8" t="inlineStr">
        <is>
          <t>100599</t>
        </is>
      </c>
      <c r="B1098" s="8" t="inlineStr">
        <is>
          <t>其他钢制品</t>
        </is>
      </c>
      <c r="C1098" s="8" t="inlineStr">
        <is>
          <t>602324300</t>
        </is>
      </c>
      <c r="D1098" s="8" t="inlineStr">
        <is>
          <t>合金结构钢|钢|GB/T 3077-2015|40Cr</t>
        </is>
      </c>
      <c r="E1098" s="8" t="inlineStr">
        <is>
          <t xml:space="preserve">物资名称 合金结构钢;物资简称 钢;技术标准号 GB/T 3077-2015;牌号 40Cr;规格 ;特殊要求 ;规格标准号 </t>
        </is>
      </c>
      <c r="F1098" s="4" t="inlineStr">
        <is>
          <t>千克</t>
        </is>
      </c>
    </row>
    <row r="1099" s="21">
      <c r="A1099" s="8" t="inlineStr">
        <is>
          <t>100599</t>
        </is>
      </c>
      <c r="B1099" s="8" t="inlineStr">
        <is>
          <t>其他钢制品</t>
        </is>
      </c>
      <c r="C1099" s="8" t="inlineStr">
        <is>
          <t>602324200</t>
        </is>
      </c>
      <c r="D1099" s="8" t="inlineStr">
        <is>
          <t>合金结构钢|钢|GB/T 3077-2015|45CrNiMoVA</t>
        </is>
      </c>
      <c r="E1099" s="8" t="inlineStr">
        <is>
          <t xml:space="preserve">物资名称 合金结构钢;物资简称 钢;技术标准号 GB/T 3077-2015;牌号 45CrNiMoVA;规格 ;特殊要求 ;规格标准号 </t>
        </is>
      </c>
      <c r="F1099" s="4" t="inlineStr">
        <is>
          <t>千克</t>
        </is>
      </c>
    </row>
    <row r="1100" s="21">
      <c r="A1100" s="8" t="inlineStr">
        <is>
          <t>100599</t>
        </is>
      </c>
      <c r="B1100" s="8" t="inlineStr">
        <is>
          <t>其他钢制品</t>
        </is>
      </c>
      <c r="C1100" s="8" t="inlineStr">
        <is>
          <t>601651800</t>
        </is>
      </c>
      <c r="D1100" s="8" t="inlineStr">
        <is>
          <t>优质碳素结构钢|钢|GB/T 699-1999|65Mn</t>
        </is>
      </c>
      <c r="E1100" s="8" t="inlineStr">
        <is>
          <t xml:space="preserve">物资名称 优质碳素结构钢;物资简称 钢;技术标准号 GB/T 699-1999;牌号 65Mn;规格 ;特殊要求 ;规格标准号 </t>
        </is>
      </c>
      <c r="F1100" s="4" t="inlineStr">
        <is>
          <t>千克</t>
        </is>
      </c>
    </row>
    <row r="1101" s="21">
      <c r="A1101" s="8" t="inlineStr">
        <is>
          <t>100599</t>
        </is>
      </c>
      <c r="B1101" s="8" t="inlineStr">
        <is>
          <t>其他钢制品</t>
        </is>
      </c>
      <c r="C1101" s="8" t="inlineStr">
        <is>
          <t>601544400</t>
        </is>
      </c>
      <c r="D1101" s="8" t="inlineStr">
        <is>
          <t>热轧带肋钢筋|钢|GB/T 14992-2007|GH4169</t>
        </is>
      </c>
      <c r="E1101" s="8" t="inlineStr">
        <is>
          <t xml:space="preserve">物资名称 热轧带肋钢筋;物资简称 钢;技术标准号 GB/T 14992-2007;牌号 GH4169;规格 ;特殊要求 ;规格标准号 </t>
        </is>
      </c>
      <c r="F1101" s="4" t="inlineStr">
        <is>
          <t>千克</t>
        </is>
      </c>
    </row>
    <row r="1102" s="21">
      <c r="A1102" s="8" t="inlineStr">
        <is>
          <t>100599</t>
        </is>
      </c>
      <c r="B1102" s="8" t="inlineStr">
        <is>
          <t>其他钢制品</t>
        </is>
      </c>
      <c r="C1102" s="8" t="inlineStr">
        <is>
          <t>601342200</t>
        </is>
      </c>
      <c r="D1102" s="8" t="inlineStr">
        <is>
          <t>不锈钢丝网|不锈钢丝网|空|320×1</t>
        </is>
      </c>
      <c r="E1102" s="8" t="inlineStr">
        <is>
          <t xml:space="preserve">物资名称 不锈钢丝网;物资简称 不锈钢丝网;技术标准号 空;牌号 320×1;规格 ;特殊要求 ;规格标准号 </t>
        </is>
      </c>
      <c r="F1102" s="4" t="inlineStr">
        <is>
          <t>千克</t>
        </is>
      </c>
    </row>
    <row r="1103" s="21">
      <c r="A1103" s="8" t="inlineStr">
        <is>
          <t>100599</t>
        </is>
      </c>
      <c r="B1103" s="8" t="inlineStr">
        <is>
          <t>其他钢制品</t>
        </is>
      </c>
      <c r="C1103" s="8" t="inlineStr">
        <is>
          <t>601342100</t>
        </is>
      </c>
      <c r="D1103" s="8" t="inlineStr">
        <is>
          <t>GFW不锈钢丝网|不锈钢丝网|空|100目</t>
        </is>
      </c>
      <c r="E1103" s="8" t="inlineStr">
        <is>
          <t xml:space="preserve">物资名称 GFW不锈钢丝网;物资简称 不锈钢丝网;技术标准号 空;牌号 100目;规格 ;特殊要求 ;规格标准号 </t>
        </is>
      </c>
      <c r="F1103" s="4" t="inlineStr">
        <is>
          <t>千克</t>
        </is>
      </c>
    </row>
    <row r="1104" s="21">
      <c r="A1104" s="8" t="inlineStr">
        <is>
          <t>100599</t>
        </is>
      </c>
      <c r="B1104" s="8" t="inlineStr">
        <is>
          <t>其他钢制品</t>
        </is>
      </c>
      <c r="C1104" s="8" t="inlineStr">
        <is>
          <t>601342000</t>
        </is>
      </c>
      <c r="D1104" s="8" t="inlineStr">
        <is>
          <t>GFW不锈钢丝网|不锈钢丝网|空|δ0.4</t>
        </is>
      </c>
      <c r="E1104" s="8" t="inlineStr">
        <is>
          <t xml:space="preserve">物资名称 GFW不锈钢丝网;物资简称 不锈钢丝网;技术标准号 空;牌号 ;规格 δ0.4;特殊要求 ;规格标准号 </t>
        </is>
      </c>
      <c r="F1104" s="4" t="inlineStr">
        <is>
          <t>千克</t>
        </is>
      </c>
    </row>
    <row r="1105" s="21">
      <c r="A1105" s="8" t="inlineStr">
        <is>
          <t>100599</t>
        </is>
      </c>
      <c r="B1105" s="8" t="inlineStr">
        <is>
          <t>其他钢制品</t>
        </is>
      </c>
      <c r="C1105" s="8" t="inlineStr">
        <is>
          <t>600909800</t>
        </is>
      </c>
      <c r="D1105" s="8" t="inlineStr">
        <is>
          <t>GFW钢板|钢板|GB/T 3077-1999|40Cr</t>
        </is>
      </c>
      <c r="E1105" s="8" t="inlineStr">
        <is>
          <t xml:space="preserve">物资名称 GFW钢板;物资简称 钢板;技术标准号 GB/T 3077-1999;牌号 40Cr;规格 ;特殊要求 ;规格标准号 </t>
        </is>
      </c>
      <c r="F1105" s="4" t="inlineStr">
        <is>
          <t>千克</t>
        </is>
      </c>
    </row>
    <row r="1106" s="21">
      <c r="A1106" s="8" t="inlineStr">
        <is>
          <t>100599</t>
        </is>
      </c>
      <c r="B1106" s="8" t="inlineStr">
        <is>
          <t>其他钢制品</t>
        </is>
      </c>
      <c r="C1106" s="8" t="inlineStr">
        <is>
          <t>600909700</t>
        </is>
      </c>
      <c r="D1106" s="8" t="inlineStr">
        <is>
          <t>GFW钢板|钢板|GB/T 11251-1999|40Cr</t>
        </is>
      </c>
      <c r="E1106" s="8" t="inlineStr">
        <is>
          <t xml:space="preserve">物资名称 GFW钢板;物资简称 钢板;技术标准号 GB/T 11251-1999;牌号 40Cr;规格 ;特殊要求 ;规格标准号 </t>
        </is>
      </c>
      <c r="F1106" s="4" t="inlineStr">
        <is>
          <t>千克</t>
        </is>
      </c>
    </row>
    <row r="1107" s="21">
      <c r="A1107" s="8" t="inlineStr">
        <is>
          <t>100599</t>
        </is>
      </c>
      <c r="B1107" s="8" t="inlineStr">
        <is>
          <t>其他钢制品</t>
        </is>
      </c>
      <c r="C1107" s="8" t="inlineStr">
        <is>
          <t>600848800</t>
        </is>
      </c>
      <c r="D1107" s="8" t="inlineStr">
        <is>
          <t>GFW工业用金属筛网和金属丝编织方孔筛网|GFW丝网|GB/T 5330-2003|1Cr18Ni9Ti|0.15/0.1(平纹)|冷拉| GB 1220-1992</t>
        </is>
      </c>
      <c r="E1107" s="8" t="inlineStr">
        <is>
          <t>物资名称 GFW工业用金属筛网和金属丝编织方孔筛网;物资简称 GFW丝网;技术标准号 GB/T 5330-2003;牌号 1Cr18Ni9Ti;规格 0.15/0.1(平纹);特殊要求 冷拉;规格标准号  GB 1220-1992</t>
        </is>
      </c>
      <c r="F1107" s="4" t="inlineStr">
        <is>
          <t>平方米</t>
        </is>
      </c>
    </row>
    <row r="1108" s="21">
      <c r="A1108" s="8" t="inlineStr">
        <is>
          <t>100599</t>
        </is>
      </c>
      <c r="B1108" s="8" t="inlineStr">
        <is>
          <t>其他钢制品</t>
        </is>
      </c>
      <c r="C1108" s="8" t="inlineStr">
        <is>
          <t>600774500</t>
        </is>
      </c>
      <c r="D1108" s="8" t="inlineStr">
        <is>
          <t>高碳铬轴承钢|钢|GB/T 18254-2002|GCr15</t>
        </is>
      </c>
      <c r="E1108" s="8" t="inlineStr">
        <is>
          <t xml:space="preserve">物资名称 高碳铬轴承钢;物资简称 钢;技术标准号 GB/T 18254-2002;牌号 GCr15;规格 ;特殊要求 ;规格标准号 </t>
        </is>
      </c>
      <c r="F1108" s="4" t="inlineStr">
        <is>
          <t>千克</t>
        </is>
      </c>
    </row>
    <row r="1109" s="21">
      <c r="A1109" s="8" t="inlineStr">
        <is>
          <t>100599</t>
        </is>
      </c>
      <c r="B1109" s="8" t="inlineStr">
        <is>
          <t>其他钢制品</t>
        </is>
      </c>
      <c r="C1109" s="8" t="inlineStr">
        <is>
          <t>600636500</t>
        </is>
      </c>
      <c r="D1109" s="8" t="inlineStr">
        <is>
          <t>GFW工业用金属筛网和金属丝编织方孔筛网|钢丝|GB/T 5330-2003|10.00/2.00|冷拉</t>
        </is>
      </c>
      <c r="E1109" s="8" t="inlineStr">
        <is>
          <t xml:space="preserve">物资名称 GFW工业用金属筛网和金属丝编织方孔筛网;物资简称 钢丝;技术标准号 GB/T 5330-2003;牌号 ;规格 10.00/2.00;特殊要求 冷拉;规格标准号 </t>
        </is>
      </c>
      <c r="F1109" s="4" t="inlineStr">
        <is>
          <t>千克</t>
        </is>
      </c>
    </row>
    <row r="1110" s="21">
      <c r="A1110" s="8" t="inlineStr">
        <is>
          <t>100599</t>
        </is>
      </c>
      <c r="B1110" s="8" t="inlineStr">
        <is>
          <t>其他钢制品</t>
        </is>
      </c>
      <c r="C1110" s="8" t="inlineStr">
        <is>
          <t>600636400</t>
        </is>
      </c>
      <c r="D1110" s="8" t="inlineStr">
        <is>
          <t>GFW工业用金属筛网和金属丝编织方孔筛网|钢丝|GB/T 5330-2003|0.15/0.1|冷拉</t>
        </is>
      </c>
      <c r="E1110" s="8" t="inlineStr">
        <is>
          <t xml:space="preserve">物资名称 GFW工业用金属筛网和金属丝编织方孔筛网;物资简称 钢丝;技术标准号 GB/T 5330-2003;牌号 ;规格 0.15/0.1;特殊要求 冷拉;规格标准号 </t>
        </is>
      </c>
      <c r="F1110" s="4" t="inlineStr">
        <is>
          <t>千克</t>
        </is>
      </c>
    </row>
    <row r="1111" s="21">
      <c r="A1111" s="8" t="inlineStr">
        <is>
          <t>100599</t>
        </is>
      </c>
      <c r="B1111" s="8" t="inlineStr">
        <is>
          <t>其他钢制品</t>
        </is>
      </c>
      <c r="C1111" s="8" t="inlineStr">
        <is>
          <t>600636300</t>
        </is>
      </c>
      <c r="D1111" s="8" t="inlineStr">
        <is>
          <t>优质碳素结构钢|钢|GB/T 699-1999|10</t>
        </is>
      </c>
      <c r="E1111" s="8" t="inlineStr">
        <is>
          <t xml:space="preserve">物资名称 优质碳素结构钢;物资简称 钢;技术标准号 GB/T 699-1999;牌号 10;规格 ;特殊要求 ;规格标准号 </t>
        </is>
      </c>
      <c r="F1111" s="4" t="inlineStr">
        <is>
          <t>千克</t>
        </is>
      </c>
    </row>
    <row r="1112" s="21">
      <c r="A1112" s="8" t="inlineStr">
        <is>
          <t>100599</t>
        </is>
      </c>
      <c r="B1112" s="8" t="inlineStr">
        <is>
          <t>其他钢制品</t>
        </is>
      </c>
      <c r="C1112" s="8" t="inlineStr">
        <is>
          <t>600636200</t>
        </is>
      </c>
      <c r="D1112" s="8" t="inlineStr">
        <is>
          <t>优质碳素结构钢|钢|GB/T 699-1999|20</t>
        </is>
      </c>
      <c r="E1112" s="8" t="inlineStr">
        <is>
          <t xml:space="preserve">物资名称 优质碳素结构钢;物资简称 钢;技术标准号 GB/T 699-1999;牌号 20;规格 ;特殊要求 ;规格标准号 </t>
        </is>
      </c>
      <c r="F1112" s="4" t="inlineStr">
        <is>
          <t>千克</t>
        </is>
      </c>
    </row>
    <row r="1113" s="21">
      <c r="A1113" s="8" t="inlineStr">
        <is>
          <t>100599</t>
        </is>
      </c>
      <c r="B1113" s="8" t="inlineStr">
        <is>
          <t>其他钢制品</t>
        </is>
      </c>
      <c r="C1113" s="8" t="inlineStr">
        <is>
          <t>600636100</t>
        </is>
      </c>
      <c r="D1113" s="8" t="inlineStr">
        <is>
          <t>优质碳素结构钢|钢|GB/T 699-1999|45</t>
        </is>
      </c>
      <c r="E1113" s="8" t="inlineStr">
        <is>
          <t xml:space="preserve">物资名称 优质碳素结构钢;物资简称 钢;技术标准号 GB/T 699-1999;牌号 45;规格 ;特殊要求 ;规格标准号 </t>
        </is>
      </c>
      <c r="F1113" s="4" t="inlineStr">
        <is>
          <t>千克</t>
        </is>
      </c>
    </row>
    <row r="1114" s="21">
      <c r="A1114" s="8" t="inlineStr">
        <is>
          <t>100599</t>
        </is>
      </c>
      <c r="B1114" s="8" t="inlineStr">
        <is>
          <t>其他钢制品</t>
        </is>
      </c>
      <c r="C1114" s="8" t="inlineStr">
        <is>
          <t>600636000</t>
        </is>
      </c>
      <c r="D1114" s="8" t="inlineStr">
        <is>
          <t>碳素结构钢|钢|GB/T 700-2006|Q235</t>
        </is>
      </c>
      <c r="E1114" s="8" t="inlineStr">
        <is>
          <t xml:space="preserve">物资名称 碳素结构钢;物资简称 钢;技术标准号 GB/T 700-2006;牌号 Q235;规格 ;特殊要求 ;规格标准号 </t>
        </is>
      </c>
      <c r="F1114" s="4" t="inlineStr">
        <is>
          <t>千克</t>
        </is>
      </c>
    </row>
    <row r="1115" s="21">
      <c r="A1115" s="8" t="inlineStr">
        <is>
          <t>100599</t>
        </is>
      </c>
      <c r="B1115" s="8" t="inlineStr">
        <is>
          <t>其他钢制品</t>
        </is>
      </c>
      <c r="C1115" s="8" t="inlineStr">
        <is>
          <t>600635900</t>
        </is>
      </c>
      <c r="D1115" s="8" t="inlineStr">
        <is>
          <t>弹簧钢|钢|GB/T 1222-2007|65Mn</t>
        </is>
      </c>
      <c r="E1115" s="8" t="inlineStr">
        <is>
          <t xml:space="preserve">物资名称 弹簧钢;物资简称 钢;技术标准号 GB/T 1222-2007;牌号 65Mn;规格 ;特殊要求 ;规格标准号 </t>
        </is>
      </c>
      <c r="F1115" s="4" t="inlineStr">
        <is>
          <t>千克</t>
        </is>
      </c>
    </row>
    <row r="1116" s="21">
      <c r="A1116" s="8" t="inlineStr">
        <is>
          <t>100599</t>
        </is>
      </c>
      <c r="B1116" s="8" t="inlineStr">
        <is>
          <t>其他钢制品</t>
        </is>
      </c>
      <c r="C1116" s="8" t="inlineStr">
        <is>
          <t>600635800</t>
        </is>
      </c>
      <c r="D1116" s="8" t="inlineStr">
        <is>
          <t>弹簧钢|钢|GB/T 1222-2007|60Si2MnA</t>
        </is>
      </c>
      <c r="E1116" s="8" t="inlineStr">
        <is>
          <t xml:space="preserve">物资名称 弹簧钢;物资简称 钢;技术标准号 GB/T 1222-2007;牌号 60Si2MnA;规格 ;特殊要求 ;规格标准号 </t>
        </is>
      </c>
      <c r="F1116" s="4" t="inlineStr">
        <is>
          <t>千克</t>
        </is>
      </c>
    </row>
    <row r="1117" s="21">
      <c r="A1117" s="8" t="inlineStr">
        <is>
          <t>100599</t>
        </is>
      </c>
      <c r="B1117" s="8" t="inlineStr">
        <is>
          <t>其他钢制品</t>
        </is>
      </c>
      <c r="C1117" s="8" t="inlineStr">
        <is>
          <t>600635700</t>
        </is>
      </c>
      <c r="D1117" s="8" t="inlineStr">
        <is>
          <t>合金工具钢|钢|GB/T 1299-2000|Cr12MoV</t>
        </is>
      </c>
      <c r="E1117" s="8" t="inlineStr">
        <is>
          <t xml:space="preserve">物资名称 合金工具钢;物资简称 钢;技术标准号 GB/T 1299-2000;牌号 Cr12MoV;规格 ;特殊要求 ;规格标准号 </t>
        </is>
      </c>
      <c r="F1117" s="4" t="inlineStr">
        <is>
          <t>千克</t>
        </is>
      </c>
    </row>
    <row r="1118" s="21">
      <c r="A1118" s="8" t="inlineStr">
        <is>
          <t>100599</t>
        </is>
      </c>
      <c r="B1118" s="8" t="inlineStr">
        <is>
          <t>其他钢制品</t>
        </is>
      </c>
      <c r="C1118" s="8" t="inlineStr">
        <is>
          <t>600635600</t>
        </is>
      </c>
      <c r="D1118" s="8" t="inlineStr">
        <is>
          <t>合金结构钢|钢|GB/T 3077-1999|40Cr</t>
        </is>
      </c>
      <c r="E1118" s="8" t="inlineStr">
        <is>
          <t xml:space="preserve">物资名称 合金结构钢;物资简称 钢;技术标准号 GB/T 3077-1999;牌号 40Cr;规格 ;特殊要求 ;规格标准号 </t>
        </is>
      </c>
      <c r="F1118" s="4" t="inlineStr">
        <is>
          <t>千克</t>
        </is>
      </c>
    </row>
    <row r="1119" s="21">
      <c r="A1119" s="8" t="inlineStr">
        <is>
          <t>100599</t>
        </is>
      </c>
      <c r="B1119" s="8" t="inlineStr">
        <is>
          <t>其他钢制品</t>
        </is>
      </c>
      <c r="C1119" s="8" t="inlineStr">
        <is>
          <t>600635500</t>
        </is>
      </c>
      <c r="D1119" s="8" t="inlineStr">
        <is>
          <t>合金结构钢|钢|GB/T 3077-1999|30CrMnSiA</t>
        </is>
      </c>
      <c r="E1119" s="8" t="inlineStr">
        <is>
          <t xml:space="preserve">物资名称 合金结构钢;物资简称 钢;技术标准号 GB/T 3077-1999;牌号 30CrMnSiA;规格 ;特殊要求 ;规格标准号 </t>
        </is>
      </c>
      <c r="F1119" s="4" t="inlineStr">
        <is>
          <t>千克</t>
        </is>
      </c>
    </row>
    <row r="1120" s="21">
      <c r="A1120" s="8" t="inlineStr">
        <is>
          <t>100599</t>
        </is>
      </c>
      <c r="B1120" s="8" t="inlineStr">
        <is>
          <t>其他钢制品</t>
        </is>
      </c>
      <c r="C1120" s="8" t="inlineStr">
        <is>
          <t>600635400</t>
        </is>
      </c>
      <c r="D1120" s="8" t="inlineStr">
        <is>
          <t>合金结构钢|钢|GB/T 3077-1999|38CrMoAl</t>
        </is>
      </c>
      <c r="E1120" s="8" t="inlineStr">
        <is>
          <t xml:space="preserve">物资名称 合金结构钢;物资简称 钢;技术标准号 GB/T 3077-1999;牌号 38CrMoAl;规格 ;特殊要求 ;规格标准号 </t>
        </is>
      </c>
      <c r="F1120" s="4" t="inlineStr">
        <is>
          <t>千克</t>
        </is>
      </c>
    </row>
    <row r="1121" s="21">
      <c r="A1121" s="8" t="inlineStr">
        <is>
          <t>100599</t>
        </is>
      </c>
      <c r="B1121" s="8" t="inlineStr">
        <is>
          <t>其他钢制品</t>
        </is>
      </c>
      <c r="C1121" s="8" t="inlineStr">
        <is>
          <t>600635300</t>
        </is>
      </c>
      <c r="D1121" s="8" t="inlineStr">
        <is>
          <t>合金结构钢|钢|GB/T 3077-1999|12CrNi2</t>
        </is>
      </c>
      <c r="E1121" s="8" t="inlineStr">
        <is>
          <t xml:space="preserve">物资名称 合金结构钢;物资简称 钢;技术标准号 GB/T 3077-1999;牌号 12CrNi2;规格 ;特殊要求 ;规格标准号 </t>
        </is>
      </c>
      <c r="F1121" s="4" t="inlineStr">
        <is>
          <t>千克</t>
        </is>
      </c>
    </row>
    <row r="1122" s="21">
      <c r="A1122" s="8" t="inlineStr">
        <is>
          <t>100599</t>
        </is>
      </c>
      <c r="B1122" s="8" t="inlineStr">
        <is>
          <t>其他钢制品</t>
        </is>
      </c>
      <c r="C1122" s="8" t="inlineStr">
        <is>
          <t>600635200</t>
        </is>
      </c>
      <c r="D1122" s="8" t="inlineStr">
        <is>
          <t>合金结构钢|钢|GB/T 3077-1999|30CrNi3</t>
        </is>
      </c>
      <c r="E1122" s="8" t="inlineStr">
        <is>
          <t xml:space="preserve">物资名称 合金结构钢;物资简称 钢;技术标准号 GB/T 3077-1999;牌号 30CrNi3;规格 ;特殊要求 ;规格标准号 </t>
        </is>
      </c>
      <c r="F1122" s="4" t="inlineStr">
        <is>
          <t>千克</t>
        </is>
      </c>
    </row>
    <row r="1123" s="21">
      <c r="A1123" s="8" t="inlineStr">
        <is>
          <t>100599</t>
        </is>
      </c>
      <c r="B1123" s="8" t="inlineStr">
        <is>
          <t>其他钢制品</t>
        </is>
      </c>
      <c r="C1123" s="8" t="inlineStr">
        <is>
          <t>600635100</t>
        </is>
      </c>
      <c r="D1123" s="8" t="inlineStr">
        <is>
          <t>合金结构钢|钢|GB/T 3077-1999|35CrMnSiA</t>
        </is>
      </c>
      <c r="E1123" s="8" t="inlineStr">
        <is>
          <t xml:space="preserve">物资名称 合金结构钢;物资简称 钢;技术标准号 GB/T 3077-1999;牌号 35CrMnSiA;规格 ;特殊要求 ;规格标准号 </t>
        </is>
      </c>
      <c r="F1123" s="4" t="inlineStr">
        <is>
          <t>千克</t>
        </is>
      </c>
    </row>
    <row r="1124" s="21">
      <c r="A1124" s="8" t="inlineStr">
        <is>
          <t>100599</t>
        </is>
      </c>
      <c r="B1124" s="8" t="inlineStr">
        <is>
          <t>其他钢制品</t>
        </is>
      </c>
      <c r="C1124" s="8" t="inlineStr">
        <is>
          <t>600635000</t>
        </is>
      </c>
      <c r="D1124" s="8" t="inlineStr">
        <is>
          <t>易切削结构钢|钢|GB/T 8731-2008|Y20</t>
        </is>
      </c>
      <c r="E1124" s="8" t="inlineStr">
        <is>
          <t xml:space="preserve">物资名称 易切削结构钢;物资简称 钢;技术标准号 GB/T 8731-2008;牌号 Y20;规格 ;特殊要求 ;规格标准号 </t>
        </is>
      </c>
      <c r="F1124" s="4" t="inlineStr">
        <is>
          <t>千克</t>
        </is>
      </c>
    </row>
    <row r="1125" s="21">
      <c r="A1125" s="8" t="inlineStr">
        <is>
          <t>100599</t>
        </is>
      </c>
      <c r="B1125" s="8" t="inlineStr">
        <is>
          <t>其他钢制品</t>
        </is>
      </c>
      <c r="C1125" s="8" t="inlineStr">
        <is>
          <t>600634900</t>
        </is>
      </c>
      <c r="D1125" s="8" t="inlineStr">
        <is>
          <t>高碳铬轴承钢|钢|GB/T 18257-2002|GCr15</t>
        </is>
      </c>
      <c r="E1125" s="8" t="inlineStr">
        <is>
          <t xml:space="preserve">物资名称 高碳铬轴承钢;物资简称 钢;技术标准号 GB/T 18257-2002;牌号 GCr15;规格 ;特殊要求 ;规格标准号 </t>
        </is>
      </c>
      <c r="F1125" s="4" t="inlineStr">
        <is>
          <t>千克</t>
        </is>
      </c>
    </row>
    <row r="1126" s="21">
      <c r="A1126" s="8" t="inlineStr">
        <is>
          <t>100599</t>
        </is>
      </c>
      <c r="B1126" s="8" t="inlineStr">
        <is>
          <t>其他钢制品</t>
        </is>
      </c>
      <c r="C1126" s="8" t="inlineStr">
        <is>
          <t>600634800</t>
        </is>
      </c>
      <c r="D1126" s="8" t="inlineStr">
        <is>
          <t>不锈钢和耐热钢|钢|GB/T 20878-2007|12Cr13</t>
        </is>
      </c>
      <c r="E1126" s="8" t="inlineStr">
        <is>
          <t xml:space="preserve">物资名称 不锈钢和耐热钢;物资简称 钢;技术标准号 GB/T 20878-2007;牌号 12Cr13;规格 ;特殊要求 ;规格标准号 </t>
        </is>
      </c>
      <c r="F1126" s="4" t="inlineStr">
        <is>
          <t>千克</t>
        </is>
      </c>
    </row>
    <row r="1127" s="21">
      <c r="A1127" s="8" t="inlineStr">
        <is>
          <t>100599</t>
        </is>
      </c>
      <c r="B1127" s="8" t="inlineStr">
        <is>
          <t>其他钢制品</t>
        </is>
      </c>
      <c r="C1127" s="8" t="inlineStr">
        <is>
          <t>600634700</t>
        </is>
      </c>
      <c r="D1127" s="8" t="inlineStr">
        <is>
          <t>不锈钢和耐热钢|钢|GB/T 20878-2007|20Cr13</t>
        </is>
      </c>
      <c r="E1127" s="8" t="inlineStr">
        <is>
          <t xml:space="preserve">物资名称 不锈钢和耐热钢;物资简称 钢;技术标准号 GB/T 20878-2007;牌号 20Cr13;规格 ;特殊要求 ;规格标准号 </t>
        </is>
      </c>
      <c r="F1127" s="4" t="inlineStr">
        <is>
          <t>千克</t>
        </is>
      </c>
    </row>
    <row r="1128" s="21">
      <c r="A1128" s="8" t="inlineStr">
        <is>
          <t>100599</t>
        </is>
      </c>
      <c r="B1128" s="8" t="inlineStr">
        <is>
          <t>其他钢制品</t>
        </is>
      </c>
      <c r="C1128" s="8" t="inlineStr">
        <is>
          <t>600634600</t>
        </is>
      </c>
      <c r="D1128" s="8" t="inlineStr">
        <is>
          <t>不锈钢和耐热钢|钢|GB/T 20878-2007|40Cr13</t>
        </is>
      </c>
      <c r="E1128" s="8" t="inlineStr">
        <is>
          <t xml:space="preserve">物资名称 不锈钢和耐热钢;物资简称 钢;技术标准号 GB/T 20878-2007;牌号 40Cr13;规格 ;特殊要求 ;规格标准号 </t>
        </is>
      </c>
      <c r="F1128" s="4" t="inlineStr">
        <is>
          <t>千克</t>
        </is>
      </c>
    </row>
    <row r="1129" s="21">
      <c r="A1129" s="8" t="inlineStr">
        <is>
          <t>100599</t>
        </is>
      </c>
      <c r="B1129" s="8" t="inlineStr">
        <is>
          <t>其他钢制品</t>
        </is>
      </c>
      <c r="C1129" s="8" t="inlineStr">
        <is>
          <t>600634500</t>
        </is>
      </c>
      <c r="D1129" s="8" t="inlineStr">
        <is>
          <t>不锈钢和耐热钢|钢|GB/T 20878-2007|06Cr19Ni10</t>
        </is>
      </c>
      <c r="E1129" s="8" t="inlineStr">
        <is>
          <t xml:space="preserve">物资名称 不锈钢和耐热钢;物资简称 钢;技术标准号 GB/T 20878-2007;牌号 06Cr19Ni10;规格 ;特殊要求 ;规格标准号 </t>
        </is>
      </c>
      <c r="F1129" s="4" t="inlineStr">
        <is>
          <t>千克</t>
        </is>
      </c>
    </row>
    <row r="1130" s="21">
      <c r="A1130" s="8" t="inlineStr">
        <is>
          <t>100599</t>
        </is>
      </c>
      <c r="B1130" s="8" t="inlineStr">
        <is>
          <t>其他钢制品</t>
        </is>
      </c>
      <c r="C1130" s="8" t="inlineStr">
        <is>
          <t>600634400</t>
        </is>
      </c>
      <c r="D1130" s="8" t="inlineStr">
        <is>
          <t>不锈钢和耐热钢|钢|GB/T 20878-2007|12Cr18Ni9</t>
        </is>
      </c>
      <c r="E1130" s="8" t="inlineStr">
        <is>
          <t xml:space="preserve">物资名称 不锈钢和耐热钢;物资简称 钢;技术标准号 GB/T 20878-2007;牌号 12Cr18Ni9;规格 ;特殊要求 ;规格标准号 </t>
        </is>
      </c>
      <c r="F1130" s="4" t="inlineStr">
        <is>
          <t>千克</t>
        </is>
      </c>
    </row>
    <row r="1131" s="21">
      <c r="A1131" s="8" t="inlineStr">
        <is>
          <t>100599</t>
        </is>
      </c>
      <c r="B1131" s="8" t="inlineStr">
        <is>
          <t>其他钢制品</t>
        </is>
      </c>
      <c r="C1131" s="8" t="inlineStr">
        <is>
          <t>600634300</t>
        </is>
      </c>
      <c r="D1131" s="8" t="inlineStr">
        <is>
          <t>合金结构圆钢|钢|GB/T 3077-1999|30CrMnSi</t>
        </is>
      </c>
      <c r="E1131" s="8" t="inlineStr">
        <is>
          <t xml:space="preserve">物资名称 合金结构圆钢;物资简称 钢;技术标准号 GB/T 3077-1999;牌号 30CrMnSi;规格 ;特殊要求 ;规格标准号 </t>
        </is>
      </c>
      <c r="F1131" s="4" t="inlineStr">
        <is>
          <t>千克</t>
        </is>
      </c>
    </row>
    <row r="1132" s="21">
      <c r="A1132" s="8" t="inlineStr">
        <is>
          <t>100603</t>
        </is>
      </c>
      <c r="B1132" s="8" t="inlineStr">
        <is>
          <t>铁合金</t>
        </is>
      </c>
      <c r="C1132" s="8" t="inlineStr">
        <is>
          <t>603575500</t>
        </is>
      </c>
      <c r="D1132" s="8" t="inlineStr">
        <is>
          <t>电磁纯铁|电工纯铁|DT2|δ15|34|47|YB200-1975</t>
        </is>
      </c>
      <c r="E1132" s="8" t="inlineStr">
        <is>
          <t>物资名称 电磁纯铁;物资简称 电工纯铁;牌号 DT2;厚度 δ15;宽 34;长 47;技术标准号 YB200-1975;特殊要求 ;规格标准号</t>
        </is>
      </c>
      <c r="F1132" s="4" t="inlineStr">
        <is>
          <t>千克</t>
        </is>
      </c>
    </row>
    <row r="1133" s="21">
      <c r="A1133" s="8" t="inlineStr">
        <is>
          <t>100603</t>
        </is>
      </c>
      <c r="B1133" s="8" t="inlineStr">
        <is>
          <t>铁合金</t>
        </is>
      </c>
      <c r="C1133" s="8" t="inlineStr">
        <is>
          <t>603573400</t>
        </is>
      </c>
      <c r="D1133" s="8" t="inlineStr">
        <is>
          <t>电磁纯铁|电工纯铁|DT2|δ15|500|500|YB200-1975</t>
        </is>
      </c>
      <c r="E1133" s="8" t="inlineStr">
        <is>
          <t>物资名称 电磁纯铁;物资简称 电工纯铁;牌号 DT2;厚度 δ15;宽 500;长 500;技术标准号 YB200-1975;特殊要求 ;规格标准号</t>
        </is>
      </c>
      <c r="F1133" s="4" t="inlineStr">
        <is>
          <t>千克</t>
        </is>
      </c>
    </row>
    <row r="1134" s="21">
      <c r="A1134" s="8" t="inlineStr">
        <is>
          <t>100603</t>
        </is>
      </c>
      <c r="B1134" s="8" t="inlineStr">
        <is>
          <t>铁合金</t>
        </is>
      </c>
      <c r="C1134" s="8" t="inlineStr">
        <is>
          <t>603573300</t>
        </is>
      </c>
      <c r="D1134" s="8" t="inlineStr">
        <is>
          <t>电磁纯铁|电工纯铁|DT2|δ2.5|YB200-1975</t>
        </is>
      </c>
      <c r="E1134" s="8" t="inlineStr">
        <is>
          <t>物资名称 电磁纯铁;物资简称 电工纯铁;牌号 DT2;厚度 δ2.5;宽 ;长 ;技术标准号 YB200-1975;特殊要求 ;规格标准号</t>
        </is>
      </c>
      <c r="F1134" s="4" t="inlineStr">
        <is>
          <t>千克</t>
        </is>
      </c>
    </row>
    <row r="1135" s="21">
      <c r="A1135" s="8" t="inlineStr">
        <is>
          <t>100603</t>
        </is>
      </c>
      <c r="B1135" s="8" t="inlineStr">
        <is>
          <t>铁合金</t>
        </is>
      </c>
      <c r="C1135" s="8" t="inlineStr">
        <is>
          <t>603572000</t>
        </is>
      </c>
      <c r="D1135" s="8" t="inlineStr">
        <is>
          <t>电工纯铁|电工纯铁|DT2|Φ26|YB200-75|GB/T 702-1986</t>
        </is>
      </c>
      <c r="E1135" s="8" t="inlineStr">
        <is>
          <t>物资名称 电工纯铁;物资简称 电工纯铁;牌号 DT2;直径 Φ26;技术标准号 YB200-75;特殊要求 ;规格标准号 GB/T 702-1986</t>
        </is>
      </c>
      <c r="F1135" s="4" t="inlineStr">
        <is>
          <t>千克</t>
        </is>
      </c>
    </row>
    <row r="1136" s="21">
      <c r="A1136" s="8" t="inlineStr">
        <is>
          <t>100603</t>
        </is>
      </c>
      <c r="B1136" s="8" t="inlineStr">
        <is>
          <t>铁合金</t>
        </is>
      </c>
      <c r="C1136" s="8" t="inlineStr">
        <is>
          <t>601418000</t>
        </is>
      </c>
      <c r="D1136" s="8" t="inlineStr">
        <is>
          <t>电工纯铁|电工纯铁|DT4|GB/T 6983-1986|60-2|GB/T 702-1986</t>
        </is>
      </c>
      <c r="E1136" s="8" t="inlineStr">
        <is>
          <t>物资名称 电工纯铁;物资简称 电工纯铁;牌号 DT4;直径 Φ;技术标准号 GB/T 6983-1986;特殊要求 60-2;规格标准号 GB/T 702-1986</t>
        </is>
      </c>
      <c r="F1136" s="4" t="inlineStr">
        <is>
          <t>千克</t>
        </is>
      </c>
    </row>
    <row r="1137" s="21">
      <c r="A1137" s="8" t="inlineStr">
        <is>
          <t>100603</t>
        </is>
      </c>
      <c r="B1137" s="8" t="inlineStr">
        <is>
          <t>铁合金</t>
        </is>
      </c>
      <c r="C1137" s="8" t="inlineStr">
        <is>
          <t>601342900</t>
        </is>
      </c>
      <c r="D1137" s="8" t="inlineStr">
        <is>
          <t>电磁纯铁棒|电磁纯铁棒|DT4A|Φ110|GB/T 6983-2008</t>
        </is>
      </c>
      <c r="E1137" s="8" t="inlineStr">
        <is>
          <t xml:space="preserve">物资名称 电磁纯铁棒;物资简称 电磁纯铁棒;牌号 DT4A;直径 Φ110;技术标准号 GB/T 6983-2008;特殊要求 ;规格标准号 </t>
        </is>
      </c>
      <c r="F1137" s="4" t="inlineStr">
        <is>
          <t>千克</t>
        </is>
      </c>
    </row>
    <row r="1138" s="21">
      <c r="A1138" s="8" t="inlineStr">
        <is>
          <t>100603</t>
        </is>
      </c>
      <c r="B1138" s="8" t="inlineStr">
        <is>
          <t>铁合金</t>
        </is>
      </c>
      <c r="C1138" s="8" t="inlineStr">
        <is>
          <t>601342800</t>
        </is>
      </c>
      <c r="D1138" s="8" t="inlineStr">
        <is>
          <t>电磁纯铁板|电磁纯铁板|DT4|Φ3.9|GB/T 6983-2008</t>
        </is>
      </c>
      <c r="E1138" s="8" t="inlineStr">
        <is>
          <t xml:space="preserve">物资名称 电磁纯铁板;物资简称 电磁纯铁板;牌号 DT4;直径 Φ3.9;技术标准号 GB/T 6983-2008;特殊要求 ;规格标准号 </t>
        </is>
      </c>
      <c r="F1138" s="4" t="inlineStr">
        <is>
          <t>千克</t>
        </is>
      </c>
    </row>
    <row r="1139" s="21">
      <c r="A1139" s="8" t="inlineStr">
        <is>
          <t>100603</t>
        </is>
      </c>
      <c r="B1139" s="8" t="inlineStr">
        <is>
          <t>铁合金</t>
        </is>
      </c>
      <c r="C1139" s="8" t="inlineStr">
        <is>
          <t>601342700</t>
        </is>
      </c>
      <c r="D1139" s="8" t="inlineStr">
        <is>
          <t>电磁纯铁板|电磁纯铁板|DT4E|Φ16|GB/T 6983-2008</t>
        </is>
      </c>
      <c r="E1139" s="8" t="inlineStr">
        <is>
          <t xml:space="preserve">物资名称 电磁纯铁板;物资简称 电磁纯铁板;牌号 DT4E;直径 Φ16;技术标准号 GB/T 6983-2008;特殊要求 ;规格标准号 </t>
        </is>
      </c>
      <c r="F1139" s="4" t="inlineStr">
        <is>
          <t>千克</t>
        </is>
      </c>
    </row>
    <row r="1140" s="21">
      <c r="A1140" s="8" t="inlineStr">
        <is>
          <t>100603</t>
        </is>
      </c>
      <c r="B1140" s="8" t="inlineStr">
        <is>
          <t>铁合金</t>
        </is>
      </c>
      <c r="C1140" s="8" t="inlineStr">
        <is>
          <t>601342600</t>
        </is>
      </c>
      <c r="D1140" s="8" t="inlineStr">
        <is>
          <t>电磁纯铁板|电磁纯铁板|DT4E|Φ2.5|GB/T 6983-2008</t>
        </is>
      </c>
      <c r="E1140" s="8" t="inlineStr">
        <is>
          <t xml:space="preserve">物资名称 电磁纯铁板;物资简称 电磁纯铁板;牌号 DT4E;直径 Φ2.5;技术标准号 GB/T 6983-2008;特殊要求 ;规格标准号 </t>
        </is>
      </c>
      <c r="F1140" s="4" t="inlineStr">
        <is>
          <t>千克</t>
        </is>
      </c>
    </row>
    <row r="1141" s="21">
      <c r="A1141" s="8" t="inlineStr">
        <is>
          <t>100603</t>
        </is>
      </c>
      <c r="B1141" s="8" t="inlineStr">
        <is>
          <t>铁合金</t>
        </is>
      </c>
      <c r="C1141" s="8" t="inlineStr">
        <is>
          <t>601342500</t>
        </is>
      </c>
      <c r="D1141" s="8" t="inlineStr">
        <is>
          <t>电磁纯铁棒|电磁纯铁棒|DT4A|Φ12|GB/T 6983-2008</t>
        </is>
      </c>
      <c r="E1141" s="8" t="inlineStr">
        <is>
          <t xml:space="preserve">物资名称 电磁纯铁棒;物资简称 电磁纯铁棒;牌号 DT4A;直径 Φ12;技术标准号 GB/T 6983-2008;特殊要求 ;规格标准号 </t>
        </is>
      </c>
      <c r="F1141" s="4" t="inlineStr">
        <is>
          <t>千克</t>
        </is>
      </c>
    </row>
    <row r="1142" s="21">
      <c r="A1142" s="8" t="inlineStr">
        <is>
          <t>100603</t>
        </is>
      </c>
      <c r="B1142" s="8" t="inlineStr">
        <is>
          <t>铁合金</t>
        </is>
      </c>
      <c r="C1142" s="8" t="inlineStr">
        <is>
          <t>601342400</t>
        </is>
      </c>
      <c r="D1142" s="8" t="inlineStr">
        <is>
          <t>电磁纯铁棒|电磁纯铁棒|DT4A|Φ28|GB/T 6983-2008</t>
        </is>
      </c>
      <c r="E1142" s="8" t="inlineStr">
        <is>
          <t xml:space="preserve">物资名称 电磁纯铁棒;物资简称 电磁纯铁棒;牌号 DT4A;直径 Φ28;技术标准号 GB/T 6983-2008;特殊要求 ;规格标准号 </t>
        </is>
      </c>
      <c r="F1142" s="4" t="inlineStr">
        <is>
          <t>千克</t>
        </is>
      </c>
    </row>
    <row r="1143" s="21">
      <c r="A1143" s="8" t="inlineStr">
        <is>
          <t>100603</t>
        </is>
      </c>
      <c r="B1143" s="8" t="inlineStr">
        <is>
          <t>铁合金</t>
        </is>
      </c>
      <c r="C1143" s="8" t="inlineStr">
        <is>
          <t>601342300</t>
        </is>
      </c>
      <c r="D1143" s="8" t="inlineStr">
        <is>
          <t>电磁纯铁棒|电磁纯铁棒|DT4C|Φ75|GB/T 6983-2008</t>
        </is>
      </c>
      <c r="E1143" s="8" t="inlineStr">
        <is>
          <t xml:space="preserve">物资名称 电磁纯铁棒;物资简称 电磁纯铁棒;牌号 DT4C;直径 Φ75;技术标准号 GB/T 6983-2008;特殊要求 ;规格标准号 </t>
        </is>
      </c>
      <c r="F1143" s="4" t="inlineStr">
        <is>
          <t>千克</t>
        </is>
      </c>
    </row>
    <row r="1144" s="21">
      <c r="A1144" s="8" t="inlineStr">
        <is>
          <t>100603</t>
        </is>
      </c>
      <c r="B1144" s="8" t="inlineStr">
        <is>
          <t>铁合金</t>
        </is>
      </c>
      <c r="C1144" s="8" t="inlineStr">
        <is>
          <t>600985600</t>
        </is>
      </c>
      <c r="D1144" s="8" t="inlineStr">
        <is>
          <t>纯铁|铁合金|DT4C|Φ60|GB/T 6983-1986</t>
        </is>
      </c>
      <c r="E1144" s="8" t="inlineStr">
        <is>
          <t xml:space="preserve">物资名称 纯铁;物资简称 铁合金;牌号 DT4C;直径 Φ60;技术标准号 GB/T 6983-1986;特殊要求 ;规格标准号 </t>
        </is>
      </c>
      <c r="F1144" s="4" t="inlineStr">
        <is>
          <t>千克</t>
        </is>
      </c>
    </row>
    <row r="1145" s="21">
      <c r="A1145" s="8" t="inlineStr">
        <is>
          <t>100603</t>
        </is>
      </c>
      <c r="B1145" s="8" t="inlineStr">
        <is>
          <t>铁合金</t>
        </is>
      </c>
      <c r="C1145" s="8" t="inlineStr">
        <is>
          <t>600909300</t>
        </is>
      </c>
      <c r="D1145" s="8" t="inlineStr">
        <is>
          <t>纯铁棒|DT4C|GB/T 6983-1986</t>
        </is>
      </c>
      <c r="E1145" s="8" t="inlineStr">
        <is>
          <t xml:space="preserve">物资名称 纯铁棒;牌号 DT4C;技术标准号 GB/T 6983-1986;特殊要求 ;规格标准号 </t>
        </is>
      </c>
      <c r="F1145" s="4" t="inlineStr">
        <is>
          <t>千克</t>
        </is>
      </c>
    </row>
    <row r="1146" s="21">
      <c r="A1146" s="8" t="inlineStr">
        <is>
          <t>100603</t>
        </is>
      </c>
      <c r="B1146" s="8" t="inlineStr">
        <is>
          <t>铁合金</t>
        </is>
      </c>
      <c r="C1146" s="8" t="inlineStr">
        <is>
          <t>600881400</t>
        </is>
      </c>
      <c r="D1146" s="8" t="inlineStr">
        <is>
          <t>电磁纯铁|电工纯铁|DT4C|δ2.5|GB 6985-1996|A Ⅱ</t>
        </is>
      </c>
      <c r="E1146" s="8" t="inlineStr">
        <is>
          <t xml:space="preserve">物资名称 电磁纯铁;物资简称 电工纯铁;牌号 DT4C;厚度 δ2.5;宽 ;长 ;技术标准号 GB 6985-1996;特殊要求 A Ⅱ;规格标准号 </t>
        </is>
      </c>
      <c r="F1146" s="4" t="inlineStr">
        <is>
          <t>千克</t>
        </is>
      </c>
    </row>
    <row r="1147" s="21">
      <c r="A1147" s="8" t="inlineStr">
        <is>
          <t>100603</t>
        </is>
      </c>
      <c r="B1147" s="8" t="inlineStr">
        <is>
          <t>铁合金</t>
        </is>
      </c>
      <c r="C1147" s="8" t="inlineStr">
        <is>
          <t>600636900</t>
        </is>
      </c>
      <c r="D1147" s="8" t="inlineStr">
        <is>
          <t>铁镍合金|4J36|YB/T 5241-2005</t>
        </is>
      </c>
      <c r="E1147" s="8" t="inlineStr">
        <is>
          <t xml:space="preserve">物资名称 铁镍合金;牌号 4J36;技术标准号 YB/T 5241-2005;特殊要求 ;规格标准号 </t>
        </is>
      </c>
      <c r="F1147" s="4" t="inlineStr">
        <is>
          <t>千克</t>
        </is>
      </c>
    </row>
    <row r="1148" s="21">
      <c r="A1148" s="8" t="inlineStr">
        <is>
          <t>100603</t>
        </is>
      </c>
      <c r="B1148" s="8" t="inlineStr">
        <is>
          <t>铁合金</t>
        </is>
      </c>
      <c r="C1148" s="8" t="inlineStr">
        <is>
          <t>600636800</t>
        </is>
      </c>
      <c r="D1148" s="8" t="inlineStr">
        <is>
          <t>电磁纯铁|DT4|GB/T 6983-2008</t>
        </is>
      </c>
      <c r="E1148" s="8" t="inlineStr">
        <is>
          <t xml:space="preserve">物资名称 电磁纯铁;牌号 DT4;技术标准号 GB/T 6983-2008;特殊要求 ;规格标准号 </t>
        </is>
      </c>
      <c r="F1148" s="4" t="inlineStr">
        <is>
          <t>千克</t>
        </is>
      </c>
    </row>
    <row r="1149" s="21">
      <c r="A1149" s="8" t="inlineStr">
        <is>
          <t>100603</t>
        </is>
      </c>
      <c r="B1149" s="8" t="inlineStr">
        <is>
          <t>铁合金</t>
        </is>
      </c>
      <c r="C1149" s="8" t="inlineStr">
        <is>
          <t>600636700</t>
        </is>
      </c>
      <c r="D1149" s="8" t="inlineStr">
        <is>
          <t>电磁纯铁|DT4A|GB/T 6983-2008</t>
        </is>
      </c>
      <c r="E1149" s="8" t="inlineStr">
        <is>
          <t xml:space="preserve">物资名称 电磁纯铁;牌号 DT4A;技术标准号 GB/T 6983-2008;特殊要求 ;规格标准号 </t>
        </is>
      </c>
      <c r="F1149" s="4" t="inlineStr">
        <is>
          <t>千克</t>
        </is>
      </c>
    </row>
    <row r="1150" s="21">
      <c r="A1150" s="8" t="inlineStr">
        <is>
          <t>100603</t>
        </is>
      </c>
      <c r="B1150" s="8" t="inlineStr">
        <is>
          <t>铁合金</t>
        </is>
      </c>
      <c r="C1150" s="8" t="inlineStr">
        <is>
          <t>600636600</t>
        </is>
      </c>
      <c r="D1150" s="8" t="inlineStr">
        <is>
          <t>电磁纯铁|DT4C|GB/T 6983-2008</t>
        </is>
      </c>
      <c r="E1150" s="8" t="inlineStr">
        <is>
          <t xml:space="preserve">物资名称 电磁纯铁;牌号 DT4C;技术标准号 GB/T 6983-2008;特殊要求 ;规格标准号 </t>
        </is>
      </c>
      <c r="F1150" s="4" t="inlineStr">
        <is>
          <t>千克</t>
        </is>
      </c>
    </row>
    <row r="1151" s="21">
      <c r="A1151" s="8" t="inlineStr">
        <is>
          <t>109904</t>
        </is>
      </c>
      <c r="B1151" s="8" t="inlineStr">
        <is>
          <t>铸钢件</t>
        </is>
      </c>
      <c r="C1151" s="8" t="inlineStr">
        <is>
          <t>601010200</t>
        </is>
      </c>
      <c r="D1151" s="8" t="inlineStr">
        <is>
          <t>铸钢|铸钢|ZG40Cr|WJ649-95</t>
        </is>
      </c>
      <c r="E1151" s="8" t="inlineStr">
        <is>
          <t xml:space="preserve">物资名称 铸钢;物资简称 铸钢;牌号 ZG40Cr;规格 ;技术标准号 WJ649-95;加工工艺 ;热处理工艺 ;特殊要求 ;规格标准号 </t>
        </is>
      </c>
      <c r="F1151" s="4" t="inlineStr">
        <is>
          <t>千克</t>
        </is>
      </c>
    </row>
    <row r="1152" s="21">
      <c r="A1152" s="8" t="inlineStr">
        <is>
          <t>109904</t>
        </is>
      </c>
      <c r="B1152" s="8" t="inlineStr">
        <is>
          <t>铸钢件</t>
        </is>
      </c>
      <c r="C1152" s="8" t="inlineStr">
        <is>
          <t>600909600</t>
        </is>
      </c>
      <c r="D1152" s="8" t="inlineStr">
        <is>
          <t>铸钢|铸钢|ZG2Cr13|GB/T 2100-1980</t>
        </is>
      </c>
      <c r="E1152" s="8" t="inlineStr">
        <is>
          <t xml:space="preserve">物资名称 铸钢;物资简称 铸钢;牌号 ZG2Cr13;规格 ;技术标准号 GB/T 2100-1980;加工工艺 ;热处理工艺 ;特殊要求 ;规格标准号 </t>
        </is>
      </c>
      <c r="F1152" s="4" t="inlineStr">
        <is>
          <t>千克</t>
        </is>
      </c>
    </row>
    <row r="1153" s="21">
      <c r="A1153" s="8" t="inlineStr">
        <is>
          <t>109904</t>
        </is>
      </c>
      <c r="B1153" s="8" t="inlineStr">
        <is>
          <t>铸钢件</t>
        </is>
      </c>
      <c r="C1153" s="8" t="inlineStr">
        <is>
          <t>600637000</t>
        </is>
      </c>
      <c r="D1153" s="8" t="inlineStr">
        <is>
          <t>一般用途耐蚀钢铸件|铸钢|ZG20Cr13|GB/T 2100-2002</t>
        </is>
      </c>
      <c r="E1153" s="8" t="inlineStr">
        <is>
          <t xml:space="preserve">物资名称 一般用途耐蚀钢铸件;物资简称 铸钢;牌号 ZG20Cr13;规格 ;技术标准号 GB/T 2100-2002;加工工艺 ;热处理工艺 ;特殊要求 ;规格标准号 </t>
        </is>
      </c>
      <c r="F1153" s="4" t="inlineStr">
        <is>
          <t>千克</t>
        </is>
      </c>
    </row>
    <row r="1154" s="21">
      <c r="A1154" s="8" t="inlineStr">
        <is>
          <t>109988</t>
        </is>
      </c>
      <c r="B1154" s="8" t="inlineStr">
        <is>
          <t>不确定小类</t>
        </is>
      </c>
      <c r="C1154" s="8" t="inlineStr">
        <is>
          <t>601439200</t>
        </is>
      </c>
      <c r="D1154" s="8" t="inlineStr">
        <is>
          <t>不锈板|1Cr18Ni9Ti|T=10</t>
        </is>
      </c>
      <c r="E1154" s="8" t="inlineStr">
        <is>
          <t>物资名称 不锈板;型号规格 1Cr18Ni9Ti|T=10</t>
        </is>
      </c>
      <c r="F1154" s="4" t="inlineStr">
        <is>
          <t>千克</t>
        </is>
      </c>
    </row>
    <row r="1155" s="21">
      <c r="A1155" s="8" t="inlineStr">
        <is>
          <t>109988</t>
        </is>
      </c>
      <c r="B1155" s="8" t="inlineStr">
        <is>
          <t>不确定小类</t>
        </is>
      </c>
      <c r="C1155" s="8" t="inlineStr">
        <is>
          <t>601439100</t>
        </is>
      </c>
      <c r="D1155" s="8" t="inlineStr">
        <is>
          <t>不锈板|1Cr18Ni9Ti|T=6</t>
        </is>
      </c>
      <c r="E1155" s="8" t="inlineStr">
        <is>
          <t>物资名称 不锈板;型号规格 1Cr18Ni9Ti|T=6</t>
        </is>
      </c>
      <c r="F1155" s="4" t="inlineStr">
        <is>
          <t>千克</t>
        </is>
      </c>
    </row>
    <row r="1156" s="21">
      <c r="A1156" s="8" t="inlineStr">
        <is>
          <t>109988</t>
        </is>
      </c>
      <c r="B1156" s="8" t="inlineStr">
        <is>
          <t>不确定小类</t>
        </is>
      </c>
      <c r="C1156" s="8" t="inlineStr">
        <is>
          <t>601312600</t>
        </is>
      </c>
      <c r="D1156" s="8" t="inlineStr">
        <is>
          <t>不锈板|0Cr18Ni9_t=1_泰恒润丰</t>
        </is>
      </c>
      <c r="E1156" s="8" t="inlineStr">
        <is>
          <t>物资名称 不锈板;型号规格 0Cr18Ni9_t=1_泰恒润丰</t>
        </is>
      </c>
      <c r="F1156" s="4" t="inlineStr">
        <is>
          <t>千克</t>
        </is>
      </c>
    </row>
    <row r="1157" s="21">
      <c r="A1157" s="8" t="inlineStr">
        <is>
          <t>109988</t>
        </is>
      </c>
      <c r="B1157" s="8" t="inlineStr">
        <is>
          <t>不确定小类</t>
        </is>
      </c>
      <c r="C1157" s="8" t="inlineStr">
        <is>
          <t>601312500</t>
        </is>
      </c>
      <c r="D1157" s="8" t="inlineStr">
        <is>
          <t>不锈板|0Cr18Ni9_T=2.5</t>
        </is>
      </c>
      <c r="E1157" s="8" t="inlineStr">
        <is>
          <t>物资名称 不锈板;型号规格 0Cr18Ni9_T=2.5</t>
        </is>
      </c>
      <c r="F1157" s="4" t="inlineStr">
        <is>
          <t>千克</t>
        </is>
      </c>
    </row>
    <row r="1158" s="21">
      <c r="A1158" s="8" t="inlineStr">
        <is>
          <t>109988</t>
        </is>
      </c>
      <c r="B1158" s="8" t="inlineStr">
        <is>
          <t>不确定小类</t>
        </is>
      </c>
      <c r="C1158" s="8" t="inlineStr">
        <is>
          <t>601312400</t>
        </is>
      </c>
      <c r="D1158" s="8" t="inlineStr">
        <is>
          <t>不锈板|0Cr18Ni9_T=2</t>
        </is>
      </c>
      <c r="E1158" s="8" t="inlineStr">
        <is>
          <t>物资名称 不锈板;型号规格 0Cr18Ni9_T=2</t>
        </is>
      </c>
      <c r="F1158" s="4" t="inlineStr">
        <is>
          <t>千克</t>
        </is>
      </c>
    </row>
    <row r="1159" s="21">
      <c r="A1159" s="8" t="inlineStr">
        <is>
          <t>109988</t>
        </is>
      </c>
      <c r="B1159" s="8" t="inlineStr">
        <is>
          <t>不确定小类</t>
        </is>
      </c>
      <c r="C1159" s="8" t="inlineStr">
        <is>
          <t>601312300</t>
        </is>
      </c>
      <c r="D1159" s="8" t="inlineStr">
        <is>
          <t>不锈板|0Cr18Ni9_T=4</t>
        </is>
      </c>
      <c r="E1159" s="8" t="inlineStr">
        <is>
          <t>物资名称 不锈板;型号规格 0Cr18Ni9_T=4</t>
        </is>
      </c>
      <c r="F1159" s="4" t="inlineStr">
        <is>
          <t>千克</t>
        </is>
      </c>
    </row>
    <row r="1160" s="21">
      <c r="A1160" s="8" t="inlineStr">
        <is>
          <t>109988</t>
        </is>
      </c>
      <c r="B1160" s="8" t="inlineStr">
        <is>
          <t>不确定小类</t>
        </is>
      </c>
      <c r="C1160" s="8" t="inlineStr">
        <is>
          <t>601312200</t>
        </is>
      </c>
      <c r="D1160" s="8" t="inlineStr">
        <is>
          <t>不锈板|0Cr18Ni9_T=5*1.5*384</t>
        </is>
      </c>
      <c r="E1160" s="8" t="inlineStr">
        <is>
          <t>物资名称 不锈板;型号规格 0Cr18Ni9_T=5*1.5*384</t>
        </is>
      </c>
      <c r="F1160" s="4" t="inlineStr">
        <is>
          <t>千克</t>
        </is>
      </c>
    </row>
    <row r="1161" s="21">
      <c r="A1161" s="8" t="inlineStr">
        <is>
          <t>109988</t>
        </is>
      </c>
      <c r="B1161" s="8" t="inlineStr">
        <is>
          <t>不确定小类</t>
        </is>
      </c>
      <c r="C1161" s="8" t="inlineStr">
        <is>
          <t>601312100</t>
        </is>
      </c>
      <c r="D1161" s="8" t="inlineStr">
        <is>
          <t>不锈板|12Cr18Ni9_T=3</t>
        </is>
      </c>
      <c r="E1161" s="8" t="inlineStr">
        <is>
          <t>物资名称 不锈板;型号规格 12Cr18Ni9_T=3</t>
        </is>
      </c>
      <c r="F1161" s="4" t="inlineStr">
        <is>
          <t>千克</t>
        </is>
      </c>
    </row>
    <row r="1162" s="21">
      <c r="A1162" s="8" t="inlineStr">
        <is>
          <t>109988</t>
        </is>
      </c>
      <c r="B1162" s="8" t="inlineStr">
        <is>
          <t>不确定小类</t>
        </is>
      </c>
      <c r="C1162" s="8" t="inlineStr">
        <is>
          <t>601312000</t>
        </is>
      </c>
      <c r="D1162" s="8" t="inlineStr">
        <is>
          <t>不锈板|1Cr13_t=2</t>
        </is>
      </c>
      <c r="E1162" s="8" t="inlineStr">
        <is>
          <t>物资名称 不锈板;型号规格 1Cr13_t=2</t>
        </is>
      </c>
      <c r="F1162" s="4" t="inlineStr">
        <is>
          <t>千克</t>
        </is>
      </c>
    </row>
    <row r="1163" s="21">
      <c r="A1163" s="8" t="inlineStr">
        <is>
          <t>109988</t>
        </is>
      </c>
      <c r="B1163" s="8" t="inlineStr">
        <is>
          <t>不确定小类</t>
        </is>
      </c>
      <c r="C1163" s="8" t="inlineStr">
        <is>
          <t>601311900</t>
        </is>
      </c>
      <c r="D1163" s="8" t="inlineStr">
        <is>
          <t>不锈板|1Cr18Ni9Ti_T=25</t>
        </is>
      </c>
      <c r="E1163" s="8" t="inlineStr">
        <is>
          <t>物资名称 不锈板;型号规格 1Cr18Ni9Ti_T=25</t>
        </is>
      </c>
      <c r="F1163" s="4" t="inlineStr">
        <is>
          <t>千克</t>
        </is>
      </c>
    </row>
    <row r="1164" s="21">
      <c r="A1164" s="8" t="inlineStr">
        <is>
          <t>109988</t>
        </is>
      </c>
      <c r="B1164" s="8" t="inlineStr">
        <is>
          <t>不确定小类</t>
        </is>
      </c>
      <c r="C1164" s="8" t="inlineStr">
        <is>
          <t>601311800</t>
        </is>
      </c>
      <c r="D1164" s="8" t="inlineStr">
        <is>
          <t>不锈板|1Cr18Ni9Ti_T=8*200</t>
        </is>
      </c>
      <c r="E1164" s="8" t="inlineStr">
        <is>
          <t>物资名称 不锈板;型号规格 1Cr18Ni9Ti_T=8*200</t>
        </is>
      </c>
      <c r="F1164" s="4" t="inlineStr">
        <is>
          <t>千克</t>
        </is>
      </c>
    </row>
    <row r="1165" s="21">
      <c r="A1165" s="8" t="inlineStr">
        <is>
          <t>109988</t>
        </is>
      </c>
      <c r="B1165" s="8" t="inlineStr">
        <is>
          <t>不确定小类</t>
        </is>
      </c>
      <c r="C1165" s="8" t="inlineStr">
        <is>
          <t>601311700</t>
        </is>
      </c>
      <c r="D1165" s="8" t="inlineStr">
        <is>
          <t>不锈板|2Cr13A-Ⅱ_t=1.5</t>
        </is>
      </c>
      <c r="E1165" s="8" t="inlineStr">
        <is>
          <t>物资名称 不锈板;型号规格 2Cr13A-Ⅱ_t=1.5</t>
        </is>
      </c>
      <c r="F1165" s="4" t="inlineStr">
        <is>
          <t>千克</t>
        </is>
      </c>
    </row>
    <row r="1166" s="21">
      <c r="A1166" s="8" t="inlineStr">
        <is>
          <t>109988</t>
        </is>
      </c>
      <c r="B1166" s="8" t="inlineStr">
        <is>
          <t>不确定小类</t>
        </is>
      </c>
      <c r="C1166" s="8" t="inlineStr">
        <is>
          <t>601311600</t>
        </is>
      </c>
      <c r="D1166" s="8" t="inlineStr">
        <is>
          <t>不锈板|2Cr13_t=2.5</t>
        </is>
      </c>
      <c r="E1166" s="8" t="inlineStr">
        <is>
          <t>物资名称 不锈板;型号规格 2Cr13_t=2.5</t>
        </is>
      </c>
      <c r="F1166" s="4" t="inlineStr">
        <is>
          <t>千克</t>
        </is>
      </c>
    </row>
    <row r="1167" s="21">
      <c r="A1167" s="8" t="inlineStr">
        <is>
          <t>109988</t>
        </is>
      </c>
      <c r="B1167" s="8" t="inlineStr">
        <is>
          <t>不确定小类</t>
        </is>
      </c>
      <c r="C1167" s="8" t="inlineStr">
        <is>
          <t>601311500</t>
        </is>
      </c>
      <c r="D1167" s="8" t="inlineStr">
        <is>
          <t>不锈板|2Cr13_t=2</t>
        </is>
      </c>
      <c r="E1167" s="8" t="inlineStr">
        <is>
          <t>物资名称 不锈板;型号规格 2Cr13_t=2</t>
        </is>
      </c>
      <c r="F1167" s="4" t="inlineStr">
        <is>
          <t>千克</t>
        </is>
      </c>
    </row>
    <row r="1168" s="21">
      <c r="A1168" s="8" t="inlineStr">
        <is>
          <t>109988</t>
        </is>
      </c>
      <c r="B1168" s="8" t="inlineStr">
        <is>
          <t>不确定小类</t>
        </is>
      </c>
      <c r="C1168" s="8" t="inlineStr">
        <is>
          <t>601311400</t>
        </is>
      </c>
      <c r="D1168" s="8" t="inlineStr">
        <is>
          <t>不锈板|2Cr13_t=4*1.05*1.82_泰恒润丰</t>
        </is>
      </c>
      <c r="E1168" s="8" t="inlineStr">
        <is>
          <t>物资名称 不锈板;型号规格 2Cr13_t=4*1.05*1.82_泰恒润丰</t>
        </is>
      </c>
      <c r="F1168" s="4" t="inlineStr">
        <is>
          <t>千克</t>
        </is>
      </c>
    </row>
    <row r="1169" s="21">
      <c r="A1169" s="8" t="inlineStr">
        <is>
          <t>109988</t>
        </is>
      </c>
      <c r="B1169" s="8" t="inlineStr">
        <is>
          <t>不确定小类</t>
        </is>
      </c>
      <c r="C1169" s="8" t="inlineStr">
        <is>
          <t>601311300</t>
        </is>
      </c>
      <c r="D1169" s="8" t="inlineStr">
        <is>
          <t>不锈板|2Cr13-A-Ⅱ_t=2</t>
        </is>
      </c>
      <c r="E1169" s="8" t="inlineStr">
        <is>
          <t>物资名称 不锈板;型号规格 2Cr13-A-Ⅱ_t=2</t>
        </is>
      </c>
      <c r="F1169" s="4" t="inlineStr">
        <is>
          <t>千克</t>
        </is>
      </c>
    </row>
    <row r="1170" s="21">
      <c r="A1170" s="8" t="inlineStr">
        <is>
          <t>109988</t>
        </is>
      </c>
      <c r="B1170" s="8" t="inlineStr">
        <is>
          <t>不确定小类</t>
        </is>
      </c>
      <c r="C1170" s="8" t="inlineStr">
        <is>
          <t>601311200</t>
        </is>
      </c>
      <c r="D1170" s="8" t="inlineStr">
        <is>
          <t>不锈板|0Cr25Ni20_T=1_北京晶天宝不锈钢有限公司</t>
        </is>
      </c>
      <c r="E1170" s="8" t="inlineStr">
        <is>
          <t>物资名称 不锈板;型号规格 0Cr25Ni20_T=1_北京晶天宝不锈钢有限公司</t>
        </is>
      </c>
      <c r="F1170" s="4" t="inlineStr">
        <is>
          <t>千克</t>
        </is>
      </c>
    </row>
    <row r="1171" s="21">
      <c r="A1171" s="8" t="inlineStr">
        <is>
          <t>109988</t>
        </is>
      </c>
      <c r="B1171" s="8" t="inlineStr">
        <is>
          <t>不确定小类</t>
        </is>
      </c>
      <c r="C1171" s="8" t="inlineStr">
        <is>
          <t>601311100</t>
        </is>
      </c>
      <c r="D1171" s="8" t="inlineStr">
        <is>
          <t>钢板|20#_T=10*1500</t>
        </is>
      </c>
      <c r="E1171" s="8" t="inlineStr">
        <is>
          <t>物资名称 钢板;型号规格 20#_T=10*1500</t>
        </is>
      </c>
      <c r="F1171" s="4" t="inlineStr">
        <is>
          <t>千克</t>
        </is>
      </c>
    </row>
    <row r="1172" s="21">
      <c r="A1172" s="8" t="inlineStr">
        <is>
          <t>109988</t>
        </is>
      </c>
      <c r="B1172" s="8" t="inlineStr">
        <is>
          <t>不确定小类</t>
        </is>
      </c>
      <c r="C1172" s="8" t="inlineStr">
        <is>
          <t>601311000</t>
        </is>
      </c>
      <c r="D1172" s="8" t="inlineStr">
        <is>
          <t>钢板|20#_T=12</t>
        </is>
      </c>
      <c r="E1172" s="8" t="inlineStr">
        <is>
          <t>物资名称 钢板;型号规格 20#_T=12</t>
        </is>
      </c>
      <c r="F1172" s="4" t="inlineStr">
        <is>
          <t>千克</t>
        </is>
      </c>
    </row>
    <row r="1173" s="21">
      <c r="A1173" s="8" t="inlineStr">
        <is>
          <t>109988</t>
        </is>
      </c>
      <c r="B1173" s="8" t="inlineStr">
        <is>
          <t>不确定小类</t>
        </is>
      </c>
      <c r="C1173" s="8" t="inlineStr">
        <is>
          <t>601310900</t>
        </is>
      </c>
      <c r="D1173" s="8" t="inlineStr">
        <is>
          <t>钢板|４０＃_t=2．5</t>
        </is>
      </c>
      <c r="E1173" s="8" t="inlineStr">
        <is>
          <t>物资名称 钢板;型号规格 ４０＃_t=2．5</t>
        </is>
      </c>
      <c r="F1173" s="4" t="inlineStr">
        <is>
          <t>千克</t>
        </is>
      </c>
    </row>
    <row r="1174" s="21">
      <c r="A1174" s="8" t="inlineStr">
        <is>
          <t>109988</t>
        </is>
      </c>
      <c r="B1174" s="8" t="inlineStr">
        <is>
          <t>不确定小类</t>
        </is>
      </c>
      <c r="C1174" s="8" t="inlineStr">
        <is>
          <t>601310800</t>
        </is>
      </c>
      <c r="D1174" s="8" t="inlineStr">
        <is>
          <t>钢板|４５＃_t=１．５</t>
        </is>
      </c>
      <c r="E1174" s="8" t="inlineStr">
        <is>
          <t>物资名称 钢板;型号规格 ４５＃_t=１．５</t>
        </is>
      </c>
      <c r="F1174" s="4" t="inlineStr">
        <is>
          <t>千克</t>
        </is>
      </c>
    </row>
    <row r="1175" s="21">
      <c r="A1175" s="8" t="inlineStr">
        <is>
          <t>109988</t>
        </is>
      </c>
      <c r="B1175" s="8" t="inlineStr">
        <is>
          <t>不确定小类</t>
        </is>
      </c>
      <c r="C1175" s="8" t="inlineStr">
        <is>
          <t>601310700</t>
        </is>
      </c>
      <c r="D1175" s="8" t="inlineStr">
        <is>
          <t>钢板|45#_t=1</t>
        </is>
      </c>
      <c r="E1175" s="8" t="inlineStr">
        <is>
          <t>物资名称 钢板;型号规格 45#_t=1</t>
        </is>
      </c>
      <c r="F1175" s="4" t="inlineStr">
        <is>
          <t>千克</t>
        </is>
      </c>
    </row>
    <row r="1176" s="21">
      <c r="A1176" s="8" t="inlineStr">
        <is>
          <t>109988</t>
        </is>
      </c>
      <c r="B1176" s="8" t="inlineStr">
        <is>
          <t>不确定小类</t>
        </is>
      </c>
      <c r="C1176" s="8" t="inlineStr">
        <is>
          <t>601310600</t>
        </is>
      </c>
      <c r="D1176" s="8" t="inlineStr">
        <is>
          <t>钢板|45#_T=22</t>
        </is>
      </c>
      <c r="E1176" s="8" t="inlineStr">
        <is>
          <t>物资名称 钢板;型号规格 45#_T=22</t>
        </is>
      </c>
      <c r="F1176" s="4" t="inlineStr">
        <is>
          <t>千克</t>
        </is>
      </c>
    </row>
    <row r="1177" s="21">
      <c r="A1177" s="8" t="inlineStr">
        <is>
          <t>109988</t>
        </is>
      </c>
      <c r="B1177" s="8" t="inlineStr">
        <is>
          <t>不确定小类</t>
        </is>
      </c>
      <c r="C1177" s="8" t="inlineStr">
        <is>
          <t>601310500</t>
        </is>
      </c>
      <c r="D1177" s="8" t="inlineStr">
        <is>
          <t>钢板|65Mn-P-Ⅱ-Q-T_T=1*180</t>
        </is>
      </c>
      <c r="E1177" s="8" t="inlineStr">
        <is>
          <t>物资名称 钢板;型号规格 65Mn-P-Ⅱ-Q-T_T=1*180</t>
        </is>
      </c>
      <c r="F1177" s="4" t="inlineStr">
        <is>
          <t>千克</t>
        </is>
      </c>
    </row>
    <row r="1178" s="21">
      <c r="A1178" s="8" t="inlineStr">
        <is>
          <t>109988</t>
        </is>
      </c>
      <c r="B1178" s="8" t="inlineStr">
        <is>
          <t>不确定小类</t>
        </is>
      </c>
      <c r="C1178" s="8" t="inlineStr">
        <is>
          <t>601310400</t>
        </is>
      </c>
      <c r="D1178" s="8" t="inlineStr">
        <is>
          <t>钢板|S４５C_t=1.2</t>
        </is>
      </c>
      <c r="E1178" s="8" t="inlineStr">
        <is>
          <t>物资名称 钢板;型号规格 S４５C_t=1.2</t>
        </is>
      </c>
      <c r="F1178" s="4" t="inlineStr">
        <is>
          <t>千克</t>
        </is>
      </c>
    </row>
    <row r="1179" s="21">
      <c r="A1179" s="8" t="inlineStr">
        <is>
          <t>109988</t>
        </is>
      </c>
      <c r="B1179" s="8" t="inlineStr">
        <is>
          <t>不确定小类</t>
        </is>
      </c>
      <c r="C1179" s="8" t="inlineStr">
        <is>
          <t>601310300</t>
        </is>
      </c>
      <c r="D1179" s="8" t="inlineStr">
        <is>
          <t>合结钢|45CrNiMo1VA_T=25_GJB5063-2001</t>
        </is>
      </c>
      <c r="E1179" s="8" t="inlineStr">
        <is>
          <t>物资名称 合结钢;型号规格 45CrNiMo1VA_T=25_GJB5063-2001</t>
        </is>
      </c>
      <c r="F1179" s="4" t="inlineStr">
        <is>
          <t>千克</t>
        </is>
      </c>
    </row>
    <row r="1180" s="21">
      <c r="A1180" s="8" t="inlineStr">
        <is>
          <t>109988</t>
        </is>
      </c>
      <c r="B1180" s="8" t="inlineStr">
        <is>
          <t>不确定小类</t>
        </is>
      </c>
      <c r="C1180" s="8" t="inlineStr">
        <is>
          <t>601310200</t>
        </is>
      </c>
      <c r="D1180" s="8" t="inlineStr">
        <is>
          <t>不锈板|304_T=10</t>
        </is>
      </c>
      <c r="E1180" s="8" t="inlineStr">
        <is>
          <t>物资名称 不锈板;型号规格 304_T=10</t>
        </is>
      </c>
      <c r="F1180" s="4" t="inlineStr">
        <is>
          <t>千克</t>
        </is>
      </c>
    </row>
    <row r="1181" s="21">
      <c r="A1181" s="8" t="inlineStr">
        <is>
          <t>109988</t>
        </is>
      </c>
      <c r="B1181" s="8" t="inlineStr">
        <is>
          <t>不确定小类</t>
        </is>
      </c>
      <c r="C1181" s="8" t="inlineStr">
        <is>
          <t>601310100</t>
        </is>
      </c>
      <c r="D1181" s="8" t="inlineStr">
        <is>
          <t>不锈板|304_T=62</t>
        </is>
      </c>
      <c r="E1181" s="8" t="inlineStr">
        <is>
          <t>物资名称 不锈板;型号规格 304_T=62</t>
        </is>
      </c>
      <c r="F1181" s="4" t="inlineStr">
        <is>
          <t>千克</t>
        </is>
      </c>
    </row>
    <row r="1182" s="21">
      <c r="A1182" s="8" t="inlineStr">
        <is>
          <t>109988</t>
        </is>
      </c>
      <c r="B1182" s="8" t="inlineStr">
        <is>
          <t>不确定小类</t>
        </is>
      </c>
      <c r="C1182" s="8" t="inlineStr">
        <is>
          <t>601310000</t>
        </is>
      </c>
      <c r="D1182" s="8" t="inlineStr">
        <is>
          <t>不锈板|304_T=18</t>
        </is>
      </c>
      <c r="E1182" s="8" t="inlineStr">
        <is>
          <t>物资名称 不锈板;型号规格 304_T=18</t>
        </is>
      </c>
      <c r="F1182" s="4" t="inlineStr">
        <is>
          <t>千克</t>
        </is>
      </c>
    </row>
    <row r="1183" s="21">
      <c r="A1183" s="8" t="inlineStr">
        <is>
          <t>109988</t>
        </is>
      </c>
      <c r="B1183" s="8" t="inlineStr">
        <is>
          <t>不确定小类</t>
        </is>
      </c>
      <c r="C1183" s="8" t="inlineStr">
        <is>
          <t>601309900</t>
        </is>
      </c>
      <c r="D1183" s="8" t="inlineStr">
        <is>
          <t>不锈板|304_T=95</t>
        </is>
      </c>
      <c r="E1183" s="8" t="inlineStr">
        <is>
          <t>物资名称 不锈板;型号规格 304_T=95</t>
        </is>
      </c>
      <c r="F1183" s="4" t="inlineStr">
        <is>
          <t>千克</t>
        </is>
      </c>
    </row>
    <row r="1184" s="21">
      <c r="A1184" s="8" t="inlineStr">
        <is>
          <t>109999</t>
        </is>
      </c>
      <c r="B1184" s="8" t="inlineStr">
        <is>
          <t>各种其他黑色金属材料</t>
        </is>
      </c>
      <c r="C1184" s="8" t="inlineStr">
        <is>
          <t>601343400</t>
        </is>
      </c>
      <c r="D1184" s="8" t="inlineStr">
        <is>
          <t>不锈槽钢|0Cr18Ni9|60*30*3</t>
        </is>
      </c>
      <c r="E1184" s="8" t="inlineStr">
        <is>
          <t xml:space="preserve">物资名称 不锈槽钢;牌号 0Cr18Ni9;规格 60*30*3;技术标准号 ;加工工艺 ;热处理工艺 ;特殊要求 ;规格标准号 </t>
        </is>
      </c>
      <c r="F1184" s="4" t="inlineStr">
        <is>
          <t>千克</t>
        </is>
      </c>
    </row>
    <row r="1185" s="21">
      <c r="A1185" s="8" t="inlineStr">
        <is>
          <t>109999</t>
        </is>
      </c>
      <c r="B1185" s="8" t="inlineStr">
        <is>
          <t>各种其他黑色金属材料</t>
        </is>
      </c>
      <c r="C1185" s="8" t="inlineStr">
        <is>
          <t>601343300</t>
        </is>
      </c>
      <c r="D1185" s="8" t="inlineStr">
        <is>
          <t>方钢管|0Cr18Ni9|40*40*4</t>
        </is>
      </c>
      <c r="E1185" s="8" t="inlineStr">
        <is>
          <t xml:space="preserve">物资名称 方钢管;牌号 0Cr18Ni9;规格 40*40*4;技术标准号 ;加工工艺 ;热处理工艺 ;特殊要求 ;规格标准号 </t>
        </is>
      </c>
      <c r="F1185" s="4" t="inlineStr">
        <is>
          <t>千克</t>
        </is>
      </c>
    </row>
    <row r="1186" s="21">
      <c r="A1186" s="8" t="inlineStr">
        <is>
          <t>109999</t>
        </is>
      </c>
      <c r="B1186" s="8" t="inlineStr">
        <is>
          <t>各种其他黑色金属材料</t>
        </is>
      </c>
      <c r="C1186" s="8" t="inlineStr">
        <is>
          <t>601343200</t>
        </is>
      </c>
      <c r="D1186" s="8" t="inlineStr">
        <is>
          <t>方管|Q235|20*20*2</t>
        </is>
      </c>
      <c r="E1186" s="8" t="inlineStr">
        <is>
          <t xml:space="preserve">物资名称 方管;牌号 Q235;规格 20*20*2;技术标准号 ;加工工艺 ;热处理工艺 ;特殊要求 ;规格标准号 </t>
        </is>
      </c>
      <c r="F1186" s="4" t="inlineStr">
        <is>
          <t>千克</t>
        </is>
      </c>
    </row>
    <row r="1187" s="21">
      <c r="A1187" s="8" t="inlineStr">
        <is>
          <t>109999</t>
        </is>
      </c>
      <c r="B1187" s="8" t="inlineStr">
        <is>
          <t>各种其他黑色金属材料</t>
        </is>
      </c>
      <c r="C1187" s="8" t="inlineStr">
        <is>
          <t>601343100</t>
        </is>
      </c>
      <c r="D1187" s="8" t="inlineStr">
        <is>
          <t>钢板|200＃|t=0.5</t>
        </is>
      </c>
      <c r="E1187" s="8" t="inlineStr">
        <is>
          <t xml:space="preserve">物资名称 钢板;牌号 200＃;规格 t=0.5;技术标准号 ;加工工艺 ;热处理工艺 ;特殊要求 ;规格标准号 </t>
        </is>
      </c>
      <c r="F1187" s="4" t="inlineStr">
        <is>
          <t>千克</t>
        </is>
      </c>
    </row>
    <row r="1188" s="21">
      <c r="A1188" s="8" t="inlineStr">
        <is>
          <t>109999</t>
        </is>
      </c>
      <c r="B1188" s="8" t="inlineStr">
        <is>
          <t>各种其他黑色金属材料</t>
        </is>
      </c>
      <c r="C1188" s="8" t="inlineStr">
        <is>
          <t>601343000</t>
        </is>
      </c>
      <c r="D1188" s="8" t="inlineStr">
        <is>
          <t>钢板|200＃|t=1.5*1250*2500</t>
        </is>
      </c>
      <c r="E1188" s="8" t="inlineStr">
        <is>
          <t xml:space="preserve">物资名称 钢板;牌号 200＃;规格 t=1.5*1250*2500;技术标准号 ;加工工艺 ;热处理工艺 ;特殊要求 ;规格标准号 </t>
        </is>
      </c>
      <c r="F1188" s="4" t="inlineStr">
        <is>
          <t>千克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6"/>
  <sheetViews>
    <sheetView workbookViewId="0">
      <selection activeCell="A2" sqref="$A2:$XFD2"/>
    </sheetView>
  </sheetViews>
  <sheetFormatPr baseColWidth="8" defaultColWidth="9" defaultRowHeight="14"/>
  <cols>
    <col width="20" customWidth="1" style="2" min="1" max="3"/>
    <col width="70" customWidth="1" style="2" min="4" max="4"/>
    <col width="77.1363636363636" customWidth="1" style="2" min="5" max="5"/>
    <col width="14.4" customWidth="1" style="3" min="6" max="6"/>
    <col width="23.2" customWidth="1" style="21" min="7" max="7"/>
    <col width="13" customWidth="1" style="21" min="8" max="8"/>
    <col width="12" customWidth="1" style="21" min="9" max="9"/>
    <col width="15.1363636363636" customWidth="1" style="21" min="10" max="10"/>
    <col width="19.7363636363636" customWidth="1" style="21" min="11" max="11"/>
    <col width="19.6" customWidth="1" style="21" min="12" max="12"/>
    <col width="20.2" customWidth="1" style="21" min="13" max="13"/>
    <col width="16" customWidth="1" style="21" min="14" max="14"/>
    <col width="14.3363636363636" customWidth="1" style="21" min="15" max="15"/>
    <col width="18.2636363636364" customWidth="1" style="21" min="16" max="16"/>
  </cols>
  <sheetData>
    <row r="1" ht="28.5" customHeight="1" s="21">
      <c r="A1" s="15" t="inlineStr">
        <is>
          <t>类别编码</t>
        </is>
      </c>
      <c r="B1" s="15" t="inlineStr">
        <is>
          <t>类别名称</t>
        </is>
      </c>
      <c r="C1" s="15" t="inlineStr">
        <is>
          <t>物料代码</t>
        </is>
      </c>
      <c r="D1" s="15" t="inlineStr">
        <is>
          <t>长描述</t>
        </is>
      </c>
      <c r="E1" s="15" t="inlineStr">
        <is>
          <t>全描述</t>
        </is>
      </c>
      <c r="F1" s="15" t="inlineStr">
        <is>
          <t>计量单位</t>
        </is>
      </c>
      <c r="G1" s="16" t="inlineStr">
        <is>
          <t>物资名称</t>
        </is>
      </c>
      <c r="H1" s="17" t="inlineStr">
        <is>
          <t>物资简称</t>
        </is>
      </c>
      <c r="I1" s="17" t="inlineStr">
        <is>
          <t>物资别名</t>
        </is>
      </c>
      <c r="J1" s="17" t="inlineStr">
        <is>
          <t>牌号</t>
        </is>
      </c>
      <c r="K1" s="17" t="inlineStr">
        <is>
          <t>规格</t>
        </is>
      </c>
      <c r="L1" s="17" t="inlineStr">
        <is>
          <t>技术标准号</t>
        </is>
      </c>
      <c r="M1" s="17" t="inlineStr">
        <is>
          <t>规格标准号</t>
        </is>
      </c>
      <c r="N1" s="17" t="inlineStr">
        <is>
          <t>加工工艺</t>
        </is>
      </c>
      <c r="O1" s="17" t="inlineStr">
        <is>
          <t>热处理工艺</t>
        </is>
      </c>
      <c r="P1" s="17" t="inlineStr">
        <is>
          <t>特殊要求</t>
        </is>
      </c>
    </row>
    <row r="2" ht="42" customFormat="1" customHeight="1" s="1">
      <c r="A2" s="7" t="inlineStr">
        <is>
          <t>注：“〇”表示必填项，“－”表示非必填项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customFormat="1" s="1">
      <c r="A3" s="8" t="n"/>
      <c r="B3" s="8" t="n"/>
      <c r="C3" s="8" t="n"/>
      <c r="D3" s="8" t="n"/>
      <c r="E3" s="8" t="n"/>
      <c r="F3" s="4" t="n"/>
      <c r="G3" s="1" t="inlineStr">
        <is>
          <t>〇</t>
        </is>
      </c>
      <c r="H3" s="1" t="inlineStr">
        <is>
          <t>〇</t>
        </is>
      </c>
      <c r="I3" s="1" t="inlineStr">
        <is>
          <t>－</t>
        </is>
      </c>
      <c r="J3" s="1" t="inlineStr">
        <is>
          <t>〇</t>
        </is>
      </c>
      <c r="K3" s="1" t="inlineStr">
        <is>
          <t>〇</t>
        </is>
      </c>
      <c r="L3" s="1" t="inlineStr">
        <is>
          <t>〇</t>
        </is>
      </c>
      <c r="M3" s="1" t="inlineStr">
        <is>
          <t>〇</t>
        </is>
      </c>
      <c r="N3" s="1" t="inlineStr">
        <is>
          <t>〇</t>
        </is>
      </c>
      <c r="O3" s="1" t="inlineStr">
        <is>
          <t>〇</t>
        </is>
      </c>
      <c r="P3" s="1" t="inlineStr">
        <is>
          <t>〇</t>
        </is>
      </c>
    </row>
    <row r="4" ht="42" customHeight="1" s="21">
      <c r="A4" s="18" t="inlineStr">
        <is>
          <t>100101</t>
        </is>
      </c>
      <c r="B4" s="18" t="inlineStr">
        <is>
          <t>冷轧板材</t>
        </is>
      </c>
      <c r="C4" s="18" t="inlineStr">
        <is>
          <t>603548700</t>
        </is>
      </c>
      <c r="D4" s="18" t="inlineStr">
        <is>
          <t>冷轧不锈钢板|钢板|06Cr19Ni10|GB/T 3280-2015|冷轧|GB/T 708-2019</t>
        </is>
      </c>
      <c r="E4" s="18" t="inlineStr">
        <is>
          <t>物资名称 冷轧不锈钢板;物资简称 钢板;牌号 06Cr19Ni10;厚度 δ;宽 ;长 ;技术标准号 GB/T 3280-2015;加工工艺 冷轧;热处理工艺 ;特殊要求 ;规格标准号 GB/T 708-2019</t>
        </is>
      </c>
      <c r="F4" s="19" t="inlineStr">
        <is>
          <t>千克</t>
        </is>
      </c>
      <c r="G4" s="0">
        <f>LEFT(D4,FIND("|",D4,1)-1)</f>
        <v/>
      </c>
      <c r="H4" s="0">
        <f>MID(D4,FIND("|",D4,FIND("|",D4,1))+1,FIND("|",D4,FIND("|",D4,1)+1)-FIND("|",D4,FIND("|",D4,1))-1)</f>
        <v/>
      </c>
      <c r="J4" s="0">
        <f>MID(D4,FIND(",",SUBSTITUTE(D4,"|",REPT(",",LEN(D4)),2))+1,FIND(",",SUBSTITUTE(D4,"|",REPT(",",LEN(D4)),3))-FIND(",",SUBSTITUTE(D4,"|",REPT(",",LEN(D4)),2))-1)</f>
        <v/>
      </c>
      <c r="L4" s="0">
        <f>MID(D4,FIND(",",SUBSTITUTE(D4,"|",REPT(",",LEN(D4)),3))+1,FIND(",",SUBSTITUTE(D4,"|",REPT(",",LEN(D4)),4))-FIND(",",SUBSTITUTE(D4,"|",REPT(",",LEN(D4)),3))-1)</f>
        <v/>
      </c>
      <c r="M4" s="0">
        <f>MID(D4,FIND(",",SUBSTITUTE(D4,"|",REPT(",",LEN(D4)),5))+1,LEN(D4))</f>
        <v/>
      </c>
      <c r="N4" s="0">
        <f>MID(D4,FIND(",",SUBSTITUTE(D4,"|",REPT(",",LEN(D4)),4))+1,FIND(",",SUBSTITUTE(D4,"|",REPT(",",LEN(D4)),5))-FIND(",",SUBSTITUTE(D4,"|",REPT(",",LEN(D4)),4))-1)</f>
        <v/>
      </c>
    </row>
    <row r="5" ht="42" customHeight="1" s="21">
      <c r="A5" s="8" t="inlineStr">
        <is>
          <t>100101</t>
        </is>
      </c>
      <c r="B5" s="8" t="inlineStr">
        <is>
          <t>冷轧板材</t>
        </is>
      </c>
      <c r="C5" s="8" t="inlineStr">
        <is>
          <t>603548400</t>
        </is>
      </c>
      <c r="D5" s="8" t="inlineStr">
        <is>
          <t>冷轧优质碳素结构钢板|钢板|20|δ0.5|GB/T 13237-2013|冷轧|FB,PT.A|GB/T 708-2019</t>
        </is>
      </c>
      <c r="E5" s="8" t="inlineStr">
        <is>
          <t>物资名称 冷轧优质碳素结构钢板;物资简称 钢板;牌号 20;厚度 δ0.5;宽 ;长 ;技术标准号 GB/T 13237-2013;加工工艺 冷轧;热处理工艺 ;特殊要求 FB,PT.A;规格标准号 GB/T 708-2019</t>
        </is>
      </c>
      <c r="F5" s="4" t="inlineStr">
        <is>
          <t>千克</t>
        </is>
      </c>
      <c r="G5" s="0">
        <f>LEFT(D5,FIND("|",D5,1)-1)</f>
        <v/>
      </c>
      <c r="H5" s="0">
        <f>MID(D5,FIND("|",D5,FIND("|",D5,1))+1,FIND("|",D5,FIND("|",D5,1)+1)-FIND("|",D5,FIND("|",D5,1))-1)</f>
        <v/>
      </c>
      <c r="J5" s="0">
        <f>MID(D5,FIND(",",SUBSTITUTE(D5,"|",REPT(",",LEN(D5)),2))+1,FIND(",",SUBSTITUTE(D5,"|",REPT(",",LEN(D5)),3))-FIND(",",SUBSTITUTE(D5,"|",REPT(",",LEN(D5)),2))-1)</f>
        <v/>
      </c>
      <c r="K5" s="0">
        <f>MID(D5,FIND(",",SUBSTITUTE(D5,"|",REPT(",",LEN(D5)),3))+1,FIND(",",SUBSTITUTE(D5,"|",REPT(",",LEN(D5)),4))-FIND(",",SUBSTITUTE(D5,"|",REPT(",",LEN(D5)),3))-1)</f>
        <v/>
      </c>
      <c r="L5" s="0">
        <f>MID(D5,FIND(",",SUBSTITUTE(D5,"|",REPT(",",LEN(D5)),4))+1,FIND(",",SUBSTITUTE(D5,"|",REPT(",",LEN(D5)),5))-FIND(",",SUBSTITUTE(D5,"|",REPT(",",LEN(D5)),4))-1)</f>
        <v/>
      </c>
      <c r="M5" s="0">
        <f>MID(D5,FIND(";",SUBSTITUTE(D5,"|",REPT(";",LEN(D5)),7))+1,LEN(D5))</f>
        <v/>
      </c>
      <c r="N5" s="0">
        <f>MID(D5,FIND(",",SUBSTITUTE(D5,"|",REPT(",",LEN(D5)),5))+1,FIND(",",SUBSTITUTE(D5,"|",REPT(",",LEN(D5)),6))-FIND(",",SUBSTITUTE(D5,"|",REPT(",",LEN(D5)),5))-1)</f>
        <v/>
      </c>
      <c r="P5" s="0">
        <f>MID(D5,FIND(";",SUBSTITUTE(D5,"|",REPT(";",LEN(D5)),6))+1,FIND(";",SUBSTITUTE(D5,"|",REPT(";",LEN(D5)),7))-FIND(";",SUBSTITUTE(D5,"|",REPT(";",LEN(D5)),6))-1)</f>
        <v/>
      </c>
    </row>
    <row r="6" ht="42.5" customHeight="1" s="21">
      <c r="A6" s="8" t="inlineStr">
        <is>
          <t>100101</t>
        </is>
      </c>
      <c r="B6" s="8" t="inlineStr">
        <is>
          <t>冷轧板材</t>
        </is>
      </c>
      <c r="C6" s="8" t="inlineStr">
        <is>
          <t>603545100</t>
        </is>
      </c>
      <c r="D6" s="8" t="inlineStr">
        <is>
          <t>冷轧优质碳素结构钢板|钢板|20|δ3.5|GB/T 13237-2013|冷轧|FB,PT.A|GB/T 708-2019</t>
        </is>
      </c>
      <c r="E6" s="8" t="inlineStr">
        <is>
          <t>物资名称 冷轧优质碳素结构钢板;物资简称 钢板;牌号 20;厚度 δ3.5;宽 ;长 ;技术标准号 GB/T 13237-2013;加工工艺 冷轧;热处理工艺 ;特殊要求 FB,PT.A;规格标准号 GB/T 708-2019</t>
        </is>
      </c>
      <c r="F6" s="4" t="inlineStr">
        <is>
          <t>千克</t>
        </is>
      </c>
      <c r="G6" s="0">
        <f>LEFT(D6,FIND("|",D6,1)-1)</f>
        <v/>
      </c>
      <c r="H6" s="0">
        <f>MID(D6,FIND("|",D6,FIND("|",D6,1))+1,FIND("|",D6,FIND("|",D6,1)+1)-FIND("|",D6,FIND("|",D6,1))-1)</f>
        <v/>
      </c>
      <c r="J6" s="0">
        <f>MID(D6,FIND(",",SUBSTITUTE(D6,"|",REPT(",",LEN(D6)),2))+1,FIND(",",SUBSTITUTE(D6,"|",REPT(",",LEN(D6)),3))-FIND(",",SUBSTITUTE(D6,"|",REPT(",",LEN(D6)),2))-1)</f>
        <v/>
      </c>
      <c r="K6" s="0">
        <f>MID(D6,FIND(",",SUBSTITUTE(D6,"|",REPT(",",LEN(D6)),3))+1,FIND(",",SUBSTITUTE(D6,"|",REPT(",",LEN(D6)),4))-FIND(",",SUBSTITUTE(D6,"|",REPT(",",LEN(D6)),3))-1)</f>
        <v/>
      </c>
      <c r="L6" s="0">
        <f>MID(D6,FIND(",",SUBSTITUTE(D6,"|",REPT(",",LEN(D6)),4))+1,FIND(",",SUBSTITUTE(D6,"|",REPT(",",LEN(D6)),5))-FIND(",",SUBSTITUTE(D6,"|",REPT(",",LEN(D6)),4))-1)</f>
        <v/>
      </c>
      <c r="M6" s="0">
        <f>MID(D6,FIND(";",SUBSTITUTE(D6,"|",REPT(";",LEN(D6)),7))+1,LEN(D6))</f>
        <v/>
      </c>
      <c r="N6" s="0">
        <f>MID(D6,FIND(",",SUBSTITUTE(D6,"|",REPT(",",LEN(D6)),5))+1,FIND(",",SUBSTITUTE(D6,"|",REPT(",",LEN(D6)),6))-FIND(",",SUBSTITUTE(D6,"|",REPT(",",LEN(D6)),5))-1)</f>
        <v/>
      </c>
      <c r="P6" s="0">
        <f>MID(D6,FIND(";",SUBSTITUTE(D6,"|",REPT(";",LEN(D6)),6))+1,FIND(";",SUBSTITUTE(D6,"|",REPT(";",LEN(D6)),7))-FIND(";",SUBSTITUTE(D6,"|",REPT(";",LEN(D6)),6))-1)</f>
        <v/>
      </c>
    </row>
    <row r="7" ht="28" customHeight="1" s="21">
      <c r="A7" s="8" t="inlineStr">
        <is>
          <t>100101</t>
        </is>
      </c>
      <c r="B7" s="8" t="inlineStr">
        <is>
          <t>冷轧板材</t>
        </is>
      </c>
      <c r="C7" s="8" t="inlineStr">
        <is>
          <t>603538800</t>
        </is>
      </c>
      <c r="D7" s="8" t="inlineStr">
        <is>
          <t>冷轧不锈钢板|钢板|20Cr13|GB/T 3280-2015|冷轧|GB/T708-2019</t>
        </is>
      </c>
      <c r="E7" s="8" t="inlineStr">
        <is>
          <t>物资名称 冷轧不锈钢板;物资简称 钢板;牌号 2Cr13;厚度 δ;宽 ;长 ;技术标准号 GB/T 3280-2015;加工工艺 冷轧;热处理工艺 ;特殊要求 ;规格标准号 GB/T 1220-2007</t>
        </is>
      </c>
      <c r="F7" s="4" t="inlineStr">
        <is>
          <t>千克</t>
        </is>
      </c>
      <c r="G7" s="0">
        <f>LEFT(D7,FIND("|",D7,1)-1)</f>
        <v/>
      </c>
      <c r="H7" s="0">
        <f>MID(D7,FIND("|",D7,FIND("|",D7,1))+1,FIND("|",D7,FIND("|",D7,1)+1)-FIND("|",D7,FIND("|",D7,1))-1)</f>
        <v/>
      </c>
      <c r="J7" s="0">
        <f>MID(D7,FIND(",",SUBSTITUTE(D7,"|",REPT(",",LEN(D7)),2))+1,FIND(",",SUBSTITUTE(D7,"|",REPT(",",LEN(D7)),3))-FIND(",",SUBSTITUTE(D7,"|",REPT(",",LEN(D7)),2))-1)</f>
        <v/>
      </c>
      <c r="L7" s="0">
        <f>MID(D7,FIND(",",SUBSTITUTE(D7,"|",REPT(",",LEN(D7)),3))+1,FIND(",",SUBSTITUTE(D7,"|",REPT(",",LEN(D7)),4))-FIND(",",SUBSTITUTE(D7,"|",REPT(",",LEN(D7)),3))-1)</f>
        <v/>
      </c>
      <c r="M7" s="0">
        <f>MID(D7,FIND(",",SUBSTITUTE(D7,"|",REPT(",",LEN(D7)),5))+1,LEN(D7))</f>
        <v/>
      </c>
      <c r="N7" s="0">
        <f>MID(D7,FIND(",",SUBSTITUTE(D7,"|",REPT(",",LEN(D7)),4))+1,FIND(",",SUBSTITUTE(D7,"|",REPT(",",LEN(D7)),5))-FIND(",",SUBSTITUTE(D7,"|",REPT(",",LEN(D7)),4))-1)</f>
        <v/>
      </c>
    </row>
    <row r="8" ht="42" customHeight="1" s="21">
      <c r="A8" s="8" t="inlineStr">
        <is>
          <t>100101</t>
        </is>
      </c>
      <c r="B8" s="8" t="inlineStr">
        <is>
          <t>冷轧板材</t>
        </is>
      </c>
      <c r="C8" s="8" t="inlineStr">
        <is>
          <t>603519300</t>
        </is>
      </c>
      <c r="D8" s="8" t="inlineStr">
        <is>
          <t>冷轧不锈钢板|钢板|06Cr19Ni10|δ1|GB/T 3280-2015|冷轧|GB/T 708-2019</t>
        </is>
      </c>
      <c r="E8" s="8" t="inlineStr">
        <is>
          <t>物资名称 冷轧不锈钢板;物资简称 钢板;牌号 06Cr19Ni10;厚度 δ1;宽 ;长 ;技术标准号 GB/T 3280-2015;加工工艺 冷轧;热处理工艺 ;特殊要求 ;规格标准号 GB/T 708-2019</t>
        </is>
      </c>
      <c r="F8" s="4" t="inlineStr">
        <is>
          <t>千克</t>
        </is>
      </c>
      <c r="G8" s="0">
        <f>LEFT(D8,FIND("|",D8,1)-1)</f>
        <v/>
      </c>
      <c r="H8" s="0">
        <f>MID(D8,FIND("|",D8,FIND("|",D8,1))+1,FIND("|",D8,FIND("|",D8,1)+1)-FIND("|",D8,FIND("|",D8,1))-1)</f>
        <v/>
      </c>
      <c r="J8" s="0">
        <f>MID(D8,FIND(",",SUBSTITUTE(D8,"|",REPT(",",LEN(D8)),2))+1,FIND(",",SUBSTITUTE(D8,"|",REPT(",",LEN(D8)),3))-FIND(",",SUBSTITUTE(D8,"|",REPT(",",LEN(D8)),2))-1)</f>
        <v/>
      </c>
      <c r="K8" s="0">
        <f>MID(D8,FIND(",",SUBSTITUTE(D8,"|",REPT(",",LEN(D8)),3))+1,FIND(",",SUBSTITUTE(D8,"|",REPT(",",LEN(D8)),4))-FIND(",",SUBSTITUTE(D8,"|",REPT(",",LEN(D8)),3))-1)</f>
        <v/>
      </c>
      <c r="L8" s="0">
        <f>MID(D8,FIND(",",SUBSTITUTE(D8,"|",REPT(",",LEN(D8)),4))+1,FIND(",",SUBSTITUTE(D8,"|",REPT(",",LEN(D8)),5))-FIND(",",SUBSTITUTE(D8,"|",REPT(",",LEN(D8)),4))-1)</f>
        <v/>
      </c>
      <c r="M8" s="0">
        <f>MID(D8,FIND(",",SUBSTITUTE(D8,"|",REPT(",",LEN(D8)),6))+1,LEN(D8))</f>
        <v/>
      </c>
      <c r="N8" s="0">
        <f>MID(D8,FIND(";",SUBSTITUTE(D8,"|",REPT(";",LEN(D8)),5))+1,FIND(";",SUBSTITUTE(D8,"|",REPT(";",LEN(D8)),6))-FIND(";",SUBSTITUTE(D8,"|",REPT(";",LEN(D8)),5))-1)</f>
        <v/>
      </c>
    </row>
    <row r="9" ht="42" customHeight="1" s="21">
      <c r="A9" s="8" t="inlineStr">
        <is>
          <t>100101</t>
        </is>
      </c>
      <c r="B9" s="8" t="inlineStr">
        <is>
          <t>冷轧板材</t>
        </is>
      </c>
      <c r="C9" s="8" t="inlineStr">
        <is>
          <t>603519200</t>
        </is>
      </c>
      <c r="D9" s="8" t="inlineStr">
        <is>
          <t>冷轧不锈钢板|钢板|06Cr19Ni10|δ2.5|GB/T 3280-2015|冷轧|GB/T 708-2019</t>
        </is>
      </c>
      <c r="E9" s="8" t="inlineStr">
        <is>
          <t>物资名称 冷轧不锈钢板;物资简称 钢板;牌号 06Cr19Ni10;厚度 δ2.5;宽 ;长 ;技术标准号 GB/T 3280-2015;加工工艺 冷轧;热处理工艺 ;特殊要求 ;规格标准号 GB/T 708-2019</t>
        </is>
      </c>
      <c r="F9" s="4" t="inlineStr">
        <is>
          <t>千克</t>
        </is>
      </c>
      <c r="G9" s="0">
        <f>LEFT(D9,FIND("|",D9,1)-1)</f>
        <v/>
      </c>
      <c r="H9" s="0">
        <f>MID(D9,FIND("|",D9,FIND("|",D9,1))+1,FIND("|",D9,FIND("|",D9,1)+1)-FIND("|",D9,FIND("|",D9,1))-1)</f>
        <v/>
      </c>
      <c r="J9" s="0">
        <f>MID(D9,FIND(",",SUBSTITUTE(D9,"|",REPT(",",LEN(D9)),2))+1,FIND(",",SUBSTITUTE(D9,"|",REPT(",",LEN(D9)),3))-FIND(",",SUBSTITUTE(D9,"|",REPT(",",LEN(D9)),2))-1)</f>
        <v/>
      </c>
      <c r="K9" s="0">
        <f>MID(D9,FIND(",",SUBSTITUTE(D9,"|",REPT(",",LEN(D9)),3))+1,FIND(",",SUBSTITUTE(D9,"|",REPT(",",LEN(D9)),4))-FIND(",",SUBSTITUTE(D9,"|",REPT(",",LEN(D9)),3))-1)</f>
        <v/>
      </c>
      <c r="L9" s="0">
        <f>MID(D9,FIND(",",SUBSTITUTE(D9,"|",REPT(",",LEN(D9)),4))+1,FIND(",",SUBSTITUTE(D9,"|",REPT(",",LEN(D9)),5))-FIND(",",SUBSTITUTE(D9,"|",REPT(",",LEN(D9)),4))-1)</f>
        <v/>
      </c>
      <c r="M9" s="0">
        <f>MID(D9,FIND(",",SUBSTITUTE(D9,"|",REPT(",",LEN(D9)),6))+1,LEN(D9))</f>
        <v/>
      </c>
      <c r="N9" s="0">
        <f>MID(D9,FIND(";",SUBSTITUTE(D9,"|",REPT(";",LEN(D9)),5))+1,FIND(";",SUBSTITUTE(D9,"|",REPT(";",LEN(D9)),6))-FIND(";",SUBSTITUTE(D9,"|",REPT(";",LEN(D9)),5))-1)</f>
        <v/>
      </c>
    </row>
    <row r="10" ht="42" customHeight="1" s="21">
      <c r="A10" s="8" t="inlineStr">
        <is>
          <t>100101</t>
        </is>
      </c>
      <c r="B10" s="8" t="inlineStr">
        <is>
          <t>冷轧板材</t>
        </is>
      </c>
      <c r="C10" s="8" t="inlineStr">
        <is>
          <t>603519100</t>
        </is>
      </c>
      <c r="D10" s="8" t="inlineStr">
        <is>
          <t>冷轧不锈钢板|钢板|06Cr19Ni10|δ3|GB/T 3280-2015|冷轧|GB/T 708-2019</t>
        </is>
      </c>
      <c r="E10" s="8" t="inlineStr">
        <is>
          <t>物资名称 冷轧不锈钢板;物资简称 钢板;牌号 06Cr19Ni10;厚度 δ3;宽 ;长 ;技术标准号 GB/T 3280-2015;加工工艺 冷轧;热处理工艺 ;特殊要求 ;规格标准号 GB/T 708-2019</t>
        </is>
      </c>
      <c r="F10" s="4" t="inlineStr">
        <is>
          <t>千克</t>
        </is>
      </c>
      <c r="G10" s="0">
        <f>LEFT(D10,FIND("|",D10,1)-1)</f>
        <v/>
      </c>
      <c r="H10" s="0">
        <f>MID(D10,FIND("|",D10,FIND("|",D10,1))+1,FIND("|",D10,FIND("|",D10,1)+1)-FIND("|",D10,FIND("|",D10,1))-1)</f>
        <v/>
      </c>
      <c r="J10" s="0">
        <f>MID(D10,FIND(",",SUBSTITUTE(D10,"|",REPT(",",LEN(D10)),2))+1,FIND(",",SUBSTITUTE(D10,"|",REPT(",",LEN(D10)),3))-FIND(",",SUBSTITUTE(D10,"|",REPT(",",LEN(D10)),2))-1)</f>
        <v/>
      </c>
      <c r="K10" s="0">
        <f>MID(D10,FIND(",",SUBSTITUTE(D10,"|",REPT(",",LEN(D10)),3))+1,FIND(",",SUBSTITUTE(D10,"|",REPT(",",LEN(D10)),4))-FIND(",",SUBSTITUTE(D10,"|",REPT(",",LEN(D10)),3))-1)</f>
        <v/>
      </c>
      <c r="L10" s="0">
        <f>MID(D10,FIND(",",SUBSTITUTE(D10,"|",REPT(",",LEN(D10)),4))+1,FIND(",",SUBSTITUTE(D10,"|",REPT(",",LEN(D10)),5))-FIND(",",SUBSTITUTE(D10,"|",REPT(",",LEN(D10)),4))-1)</f>
        <v/>
      </c>
      <c r="M10" s="0">
        <f>MID(D10,FIND(",",SUBSTITUTE(D10,"|",REPT(",",LEN(D10)),6))+1,LEN(D10))</f>
        <v/>
      </c>
      <c r="N10" s="0">
        <f>MID(D10,FIND(";",SUBSTITUTE(D10,"|",REPT(";",LEN(D10)),5))+1,FIND(";",SUBSTITUTE(D10,"|",REPT(";",LEN(D10)),6))-FIND(";",SUBSTITUTE(D10,"|",REPT(";",LEN(D10)),5))-1)</f>
        <v/>
      </c>
    </row>
    <row r="11" ht="42" customHeight="1" s="21">
      <c r="A11" s="8" t="inlineStr">
        <is>
          <t>100101</t>
        </is>
      </c>
      <c r="B11" s="8" t="inlineStr">
        <is>
          <t>冷轧板材</t>
        </is>
      </c>
      <c r="C11" s="8" t="inlineStr">
        <is>
          <t>603128700</t>
        </is>
      </c>
      <c r="D11" s="8" t="inlineStr">
        <is>
          <t>冷轧优质碳素结构钢板|钢板|20|δ0.8|GB/T 13237-1991|Ⅱ,P|GB/T 708-2006</t>
        </is>
      </c>
      <c r="E11" s="8" t="inlineStr">
        <is>
          <t>物资名称 冷轧优质碳素结构钢板;物资简称 钢板;牌号 20;厚度 δ0.8;宽 ;长 ;技术标准号 GB/T 13237-1991;加工工艺 ;热处理工艺 ;特殊要求 Ⅱ,P;规格标准号 GB/T 708-2006</t>
        </is>
      </c>
      <c r="F11" s="4" t="inlineStr">
        <is>
          <t>千克</t>
        </is>
      </c>
      <c r="G11" s="0">
        <f>LEFT(D11,FIND("|",D11,1)-1)</f>
        <v/>
      </c>
      <c r="H11" s="0">
        <f>MID(D11,FIND("|",D11,FIND("|",D11,1))+1,FIND("|",D11,FIND("|",D11,1)+1)-FIND("|",D11,FIND("|",D11,1))-1)</f>
        <v/>
      </c>
      <c r="J11" s="0">
        <f>MID(D11,FIND(",",SUBSTITUTE(D11,"|",REPT(",",LEN(D11)),2))+1,FIND(",",SUBSTITUTE(D11,"|",REPT(",",LEN(D11)),3))-FIND(",",SUBSTITUTE(D11,"|",REPT(",",LEN(D11)),2))-1)</f>
        <v/>
      </c>
      <c r="K11" s="0">
        <f>MID(D11,FIND(",",SUBSTITUTE(D11,"|",REPT(",",LEN(D11)),3))+1,FIND(",",SUBSTITUTE(D11,"|",REPT(",",LEN(D11)),4))-FIND(",",SUBSTITUTE(D11,"|",REPT(",",LEN(D11)),3))-1)</f>
        <v/>
      </c>
      <c r="L11" s="0">
        <f>MID(D11,FIND(",",SUBSTITUTE(D11,"|",REPT(",",LEN(D11)),4))+1,FIND(",",SUBSTITUTE(D11,"|",REPT(",",LEN(D11)),5))-FIND(",",SUBSTITUTE(D11,"|",REPT(",",LEN(D11)),4))-1)</f>
        <v/>
      </c>
      <c r="M11" s="0">
        <f>MID(D11,FIND(";",SUBSTITUTE(D11,"|",REPT(";",LEN(D11)),6))+1,LEN(D11))</f>
        <v/>
      </c>
      <c r="P11" s="0">
        <f>MID(D11,FIND(";",SUBSTITUTE(D11,"|",REPT(";",LEN(D11)),5))+1,FIND(";",SUBSTITUTE(D11,"|",REPT(";",LEN(D11)),6))-FIND(";",SUBSTITUTE(D11,"|",REPT(";",LEN(D11)),5))-1)</f>
        <v/>
      </c>
    </row>
    <row r="12" ht="42" customHeight="1" s="21">
      <c r="A12" s="8" t="inlineStr">
        <is>
          <t>100101</t>
        </is>
      </c>
      <c r="B12" s="8" t="inlineStr">
        <is>
          <t>冷轧板材</t>
        </is>
      </c>
      <c r="C12" s="8" t="inlineStr">
        <is>
          <t>603114300</t>
        </is>
      </c>
      <c r="D12" s="8" t="inlineStr">
        <is>
          <t>航空用不锈钢薄板|不锈钢板|1Cr18Ni9Ti|δ7|GJB 2295-1995|冷轧|GB/T 708-2006</t>
        </is>
      </c>
      <c r="E12" s="8" t="inlineStr">
        <is>
          <t>物资名称 航空用不锈钢薄板;物资简称 不锈钢板;牌号 1Cr18Ni9Ti;厚度 δ7;宽 ;长 ;技术标准号 GJB 2295-1995;加工工艺 ;热处理工艺 冷轧;特殊要求 ;规格标准号 GB/T 708-2006</t>
        </is>
      </c>
      <c r="F12" s="4" t="inlineStr">
        <is>
          <t>千克</t>
        </is>
      </c>
      <c r="G12" s="0">
        <f>LEFT(D12,FIND("|",D12,1)-1)</f>
        <v/>
      </c>
      <c r="H12" s="0">
        <f>MID(D12,FIND("|",D12,FIND("|",D12,1))+1,FIND("|",D12,FIND("|",D12,1)+1)-FIND("|",D12,FIND("|",D12,1))-1)</f>
        <v/>
      </c>
      <c r="J12" s="0">
        <f>MID(D12,FIND(",",SUBSTITUTE(D12,"|",REPT(",",LEN(D12)),2))+1,FIND(",",SUBSTITUTE(D12,"|",REPT(",",LEN(D12)),3))-FIND(",",SUBSTITUTE(D12,"|",REPT(",",LEN(D12)),2))-1)</f>
        <v/>
      </c>
      <c r="K12" s="0">
        <f>MID(D12,FIND(",",SUBSTITUTE(D12,"|",REPT(",",LEN(D12)),3))+1,FIND(",",SUBSTITUTE(D12,"|",REPT(",",LEN(D12)),4))-FIND(",",SUBSTITUTE(D12,"|",REPT(",",LEN(D12)),3))-1)</f>
        <v/>
      </c>
      <c r="L12" s="0">
        <f>MID(D12,FIND(",",SUBSTITUTE(D12,"|",REPT(",",LEN(D12)),4))+1,FIND(",",SUBSTITUTE(D12,"|",REPT(",",LEN(D12)),5))-FIND(",",SUBSTITUTE(D12,"|",REPT(",",LEN(D12)),4))-1)</f>
        <v/>
      </c>
      <c r="M12" s="0">
        <f>MID(D12,FIND(";",SUBSTITUTE(D12,"|",REPT(";",LEN(D12)),6))+1,LEN(D12))</f>
        <v/>
      </c>
      <c r="N12" s="0">
        <f>MID(D12,FIND(";",SUBSTITUTE(D12,"|",REPT(";",LEN(D12)),5))+1,FIND(";",SUBSTITUTE(D12,"|",REPT(";",LEN(D12)),6))-FIND(";",SUBSTITUTE(D12,"|",REPT(";",LEN(D12)),5))-1)</f>
        <v/>
      </c>
    </row>
    <row r="13" ht="42" customHeight="1" s="21">
      <c r="A13" s="8" t="inlineStr">
        <is>
          <t>100101</t>
        </is>
      </c>
      <c r="B13" s="8" t="inlineStr">
        <is>
          <t>冷轧板材</t>
        </is>
      </c>
      <c r="C13" s="8" t="inlineStr">
        <is>
          <t>602640100</t>
        </is>
      </c>
      <c r="D13" s="8" t="inlineStr">
        <is>
          <t>冷轧航空用不锈钢薄板|不锈钢板|1Cr18Ni9Ti|δ0.5|GJB 2295-1995|冷轧|GB/T 708-2006</t>
        </is>
      </c>
      <c r="E13" s="8" t="inlineStr">
        <is>
          <t>物资名称 冷轧航空用不锈钢薄板;物资简称 不锈钢板;牌号 1Cr18Ni9Ti;厚度 δ0.5;宽 ;长 ;技术标准号 GJB 2295-1995;加工工艺 ;热处理工艺 冷轧;特殊要求 ;规格标准号 GB/T 708-2006</t>
        </is>
      </c>
      <c r="F13" s="4" t="inlineStr">
        <is>
          <t>千克</t>
        </is>
      </c>
      <c r="G13" s="0">
        <f>LEFT(D13,FIND("|",D13,1)-1)</f>
        <v/>
      </c>
      <c r="H13" s="0">
        <f>MID(D13,FIND("|",D13,FIND("|",D13,1))+1,FIND("|",D13,FIND("|",D13,1)+1)-FIND("|",D13,FIND("|",D13,1))-1)</f>
        <v/>
      </c>
      <c r="J13" s="0">
        <f>MID(D13,FIND(",",SUBSTITUTE(D13,"|",REPT(",",LEN(D13)),2))+1,FIND(",",SUBSTITUTE(D13,"|",REPT(",",LEN(D13)),3))-FIND(",",SUBSTITUTE(D13,"|",REPT(",",LEN(D13)),2))-1)</f>
        <v/>
      </c>
      <c r="K13" s="0">
        <f>MID(D13,FIND(",",SUBSTITUTE(D13,"|",REPT(",",LEN(D13)),3))+1,FIND(",",SUBSTITUTE(D13,"|",REPT(",",LEN(D13)),4))-FIND(",",SUBSTITUTE(D13,"|",REPT(",",LEN(D13)),3))-1)</f>
        <v/>
      </c>
      <c r="L13" s="0">
        <f>MID(D13,FIND(",",SUBSTITUTE(D13,"|",REPT(",",LEN(D13)),4))+1,FIND(",",SUBSTITUTE(D13,"|",REPT(",",LEN(D13)),5))-FIND(",",SUBSTITUTE(D13,"|",REPT(",",LEN(D13)),4))-1)</f>
        <v/>
      </c>
      <c r="M13" s="0">
        <f>MID(D13,FIND(";",SUBSTITUTE(D13,"|",REPT(";",LEN(D13)),6))+1,LEN(D13))</f>
        <v/>
      </c>
      <c r="N13" s="0">
        <f>MID(D13,FIND(";",SUBSTITUTE(D13,"|",REPT(";",LEN(D13)),5))+1,FIND(";",SUBSTITUTE(D13,"|",REPT(";",LEN(D13)),6))-FIND(";",SUBSTITUTE(D13,"|",REPT(";",LEN(D13)),5))-1)</f>
        <v/>
      </c>
    </row>
    <row r="14" ht="28" customHeight="1" s="21">
      <c r="A14" s="8" t="inlineStr">
        <is>
          <t>100101</t>
        </is>
      </c>
      <c r="B14" s="8" t="inlineStr">
        <is>
          <t>冷轧板材</t>
        </is>
      </c>
      <c r="C14" s="8" t="inlineStr">
        <is>
          <t>602484200</t>
        </is>
      </c>
      <c r="D14" s="8" t="inlineStr">
        <is>
          <t>冷轧不锈钢板|钢板|12Cr18Ni9|δ2.5|GB/T 3280-2015|冷轧</t>
        </is>
      </c>
      <c r="E14" s="8" t="inlineStr">
        <is>
          <t xml:space="preserve">物资名称 冷轧不锈钢板;物资简称 钢板;牌号 12Cr18Ni9;厚度 δ2.5;宽 ;长 ;技术标准号 GB/T 3280-2015;加工工艺 冷轧;热处理工艺 ;特殊要求 ;规格标准号 </t>
        </is>
      </c>
      <c r="F14" s="4" t="inlineStr">
        <is>
          <t>千克</t>
        </is>
      </c>
      <c r="G14" s="0">
        <f>LEFT(D14,FIND("|",D14,1)-1)</f>
        <v/>
      </c>
      <c r="H14" s="0">
        <f>MID(D14,FIND("|",D14,FIND("|",D14,1))+1,FIND("|",D14,FIND("|",D14,1)+1)-FIND("|",D14,FIND("|",D14,1))-1)</f>
        <v/>
      </c>
      <c r="J14" s="0">
        <f>MID(D14,FIND(",",SUBSTITUTE(D14,"|",REPT(",",LEN(D14)),2))+1,FIND(",",SUBSTITUTE(D14,"|",REPT(",",LEN(D14)),3))-FIND(",",SUBSTITUTE(D14,"|",REPT(",",LEN(D14)),2))-1)</f>
        <v/>
      </c>
      <c r="K14" s="0">
        <f>MID(D14,FIND(",",SUBSTITUTE(D14,"|",REPT(",",LEN(D14)),3))+1,FIND(",",SUBSTITUTE(D14,"|",REPT(",",LEN(D14)),4))-FIND(",",SUBSTITUTE(D14,"|",REPT(",",LEN(D14)),3))-1)</f>
        <v/>
      </c>
      <c r="L14" s="0">
        <f>MID(D14,FIND(",",SUBSTITUTE(D14,"|",REPT(",",LEN(D14)),4))+1,FIND(",",SUBSTITUTE(D14,"|",REPT(",",LEN(D14)),5))-FIND(",",SUBSTITUTE(D14,"|",REPT(",",LEN(D14)),4))-1)</f>
        <v/>
      </c>
      <c r="N14" s="0">
        <f>MID(D14,FIND(";",SUBSTITUTE(D14,"|",REPT(";",LEN(D14)),5))+1,LEN(D14))</f>
        <v/>
      </c>
    </row>
    <row r="15" ht="42" customHeight="1" s="21">
      <c r="A15" s="8" t="inlineStr">
        <is>
          <t>100101</t>
        </is>
      </c>
      <c r="B15" s="8" t="inlineStr">
        <is>
          <t>冷轧板材</t>
        </is>
      </c>
      <c r="C15" s="8" t="inlineStr">
        <is>
          <t>602371700</t>
        </is>
      </c>
      <c r="D15" s="8" t="inlineStr">
        <is>
          <t>冷轧优质碳素结构钢板|钢板|20|δ1|GB/T 13237-2013|冷轧|FB,PT.A|GB/T 708-2006</t>
        </is>
      </c>
      <c r="E15" s="8" t="inlineStr">
        <is>
          <t>物资名称 冷轧优质碳素结构钢板;物资简称 钢板;牌号 20;厚度 δ1;宽 ;长 ;技术标准号 GB/T 13237-2013;加工工艺 冷轧;热处理工艺 ;特殊要求 FB,PT.A;规格标准号 GB/T 708-2006</t>
        </is>
      </c>
      <c r="F15" s="4" t="inlineStr">
        <is>
          <t>千克</t>
        </is>
      </c>
      <c r="G15" s="0">
        <f>LEFT(D15,FIND("|",D15,1)-1)</f>
        <v/>
      </c>
      <c r="H15" s="0">
        <f>MID(D15,FIND("|",D15,FIND("|",D15,1))+1,FIND("|",D15,FIND("|",D15,1)+1)-FIND("|",D15,FIND("|",D15,1))-1)</f>
        <v/>
      </c>
      <c r="J15" s="0">
        <f>MID(D15,FIND(",",SUBSTITUTE(D15,"|",REPT(",",LEN(D15)),2))+1,FIND(",",SUBSTITUTE(D15,"|",REPT(",",LEN(D15)),3))-FIND(",",SUBSTITUTE(D15,"|",REPT(",",LEN(D15)),2))-1)</f>
        <v/>
      </c>
      <c r="K15" s="0">
        <f>MID(D15,FIND(",",SUBSTITUTE(D15,"|",REPT(",",LEN(D15)),3))+1,FIND(",",SUBSTITUTE(D15,"|",REPT(",",LEN(D15)),4))-FIND(",",SUBSTITUTE(D15,"|",REPT(",",LEN(D15)),3))-1)</f>
        <v/>
      </c>
      <c r="L15" s="0">
        <f>MID(D15,FIND(",",SUBSTITUTE(D15,"|",REPT(",",LEN(D15)),4))+1,FIND(",",SUBSTITUTE(D15,"|",REPT(",",LEN(D15)),5))-FIND(",",SUBSTITUTE(D15,"|",REPT(",",LEN(D15)),4))-1)</f>
        <v/>
      </c>
      <c r="M15" s="0">
        <f>MID(D15,FIND(";",SUBSTITUTE(D15,"|",REPT(";",LEN(D15)),7))+1,LEN(D15))</f>
        <v/>
      </c>
      <c r="N15" s="0">
        <f>MID(D15,FIND(";",SUBSTITUTE(D15,"|",REPT(";",LEN(D15)),5))+1,FIND(";",SUBSTITUTE(D15,"|",REPT(";",LEN(D15)),6))-FIND(";",SUBSTITUTE(D15,"|",REPT(";",LEN(D15)),5))-1)</f>
        <v/>
      </c>
      <c r="P15" s="0">
        <f>MID(D15,FIND(";",SUBSTITUTE(D15,"|",REPT(";",LEN(D15)),6))+1,FIND(";",SUBSTITUTE(D15,"|",REPT(";",LEN(D15)),7))-FIND(";",SUBSTITUTE(D15,"|",REPT(";",LEN(D15)),6))-1)</f>
        <v/>
      </c>
    </row>
    <row r="16" ht="42" customHeight="1" s="21">
      <c r="A16" s="8" t="inlineStr">
        <is>
          <t>100101</t>
        </is>
      </c>
      <c r="B16" s="8" t="inlineStr">
        <is>
          <t>冷轧板材</t>
        </is>
      </c>
      <c r="C16" s="8" t="inlineStr">
        <is>
          <t>602355200</t>
        </is>
      </c>
      <c r="D16" s="8" t="inlineStr">
        <is>
          <t>冷轧不锈钢板|钢板|1Cr18Ni9Ti|δ6|GB 3280-1992|冷轧|GB/T 708-2006</t>
        </is>
      </c>
      <c r="E16" s="8" t="inlineStr">
        <is>
          <t>物资名称 冷轧不锈钢板;物资简称 钢板;牌号 1Cr18Ni9Ti;厚度 δ6;宽 ;长 ;技术标准号 GB 3280-1992;加工工艺 冷轧;热处理工艺 ;特殊要求 ;规格标准号 GB/T 708-2006</t>
        </is>
      </c>
      <c r="F16" s="4" t="inlineStr">
        <is>
          <t>千克</t>
        </is>
      </c>
      <c r="G16" s="0">
        <f>LEFT(D16,FIND("|",D16,1)-1)</f>
        <v/>
      </c>
      <c r="H16" s="0">
        <f>MID(D16,FIND("|",D16,FIND("|",D16,1))+1,FIND("|",D16,FIND("|",D16,1)+1)-FIND("|",D16,FIND("|",D16,1))-1)</f>
        <v/>
      </c>
      <c r="J16" s="0">
        <f>MID(D16,FIND(",",SUBSTITUTE(D16,"|",REPT(",",LEN(D16)),2))+1,FIND(",",SUBSTITUTE(D16,"|",REPT(",",LEN(D16)),3))-FIND(",",SUBSTITUTE(D16,"|",REPT(",",LEN(D16)),2))-1)</f>
        <v/>
      </c>
      <c r="K16" s="0">
        <f>MID(D16,FIND(",",SUBSTITUTE(D16,"|",REPT(",",LEN(D16)),3))+1,FIND(",",SUBSTITUTE(D16,"|",REPT(",",LEN(D16)),4))-FIND(",",SUBSTITUTE(D16,"|",REPT(",",LEN(D16)),3))-1)</f>
        <v/>
      </c>
      <c r="L16" s="0">
        <f>MID(D16,FIND(",",SUBSTITUTE(D16,"|",REPT(",",LEN(D16)),4))+1,FIND(",",SUBSTITUTE(D16,"|",REPT(",",LEN(D16)),5))-FIND(",",SUBSTITUTE(D16,"|",REPT(",",LEN(D16)),4))-1)</f>
        <v/>
      </c>
      <c r="M16" s="0">
        <f>MID(D16,FIND(";",SUBSTITUTE(D16,"|",REPT(";",LEN(D16)),6))+1,LEN(D16))</f>
        <v/>
      </c>
      <c r="N16" s="0">
        <f>MID(D16,FIND(";",SUBSTITUTE(D16,"|",REPT(";",LEN(D16)),5))+1,FIND(";",SUBSTITUTE(D16,"|",REPT(";",LEN(D16)),6))-FIND(";",SUBSTITUTE(D16,"|",REPT(";",LEN(D16)),5))-1)</f>
        <v/>
      </c>
    </row>
    <row r="17" ht="42" customHeight="1" s="21">
      <c r="A17" s="8" t="inlineStr">
        <is>
          <t>100101</t>
        </is>
      </c>
      <c r="B17" s="8" t="inlineStr">
        <is>
          <t>冷轧板材</t>
        </is>
      </c>
      <c r="C17" s="8" t="inlineStr">
        <is>
          <t>602352900</t>
        </is>
      </c>
      <c r="D17" s="8" t="inlineStr">
        <is>
          <t>冷轧优质碳素结构钢板|钢板|20|δ1.2|GB/T 13237-2013|冷轧|FB,PT.A|GB/T 708-2006</t>
        </is>
      </c>
      <c r="E17" s="8" t="inlineStr">
        <is>
          <t>物资名称 冷轧优质碳素结构钢板;物资简称 钢板;牌号 20;厚度 δ1.2;宽 ;长 ;技术标准号 GB/T 13237-2013;加工工艺 冷轧;热处理工艺 ;特殊要求 FB,PT.A;规格标准号 GB/T 708-2006</t>
        </is>
      </c>
      <c r="F17" s="4" t="inlineStr">
        <is>
          <t>千克</t>
        </is>
      </c>
      <c r="G17" s="0">
        <f>LEFT(D17,FIND("|",D17,1)-1)</f>
        <v/>
      </c>
      <c r="H17" s="0">
        <f>MID(D17,FIND("|",D17,FIND("|",D17,1))+1,FIND("|",D17,FIND("|",D17,1)+1)-FIND("|",D17,FIND("|",D17,1))-1)</f>
        <v/>
      </c>
      <c r="J17" s="0">
        <f>MID(D17,FIND(",",SUBSTITUTE(D17,"|",REPT(",",LEN(D17)),2))+1,FIND(",",SUBSTITUTE(D17,"|",REPT(",",LEN(D17)),3))-FIND(",",SUBSTITUTE(D17,"|",REPT(",",LEN(D17)),2))-1)</f>
        <v/>
      </c>
      <c r="K17" s="0">
        <f>MID(D17,FIND(",",SUBSTITUTE(D17,"|",REPT(",",LEN(D17)),3))+1,FIND(",",SUBSTITUTE(D17,"|",REPT(",",LEN(D17)),4))-FIND(",",SUBSTITUTE(D17,"|",REPT(",",LEN(D17)),3))-1)</f>
        <v/>
      </c>
      <c r="L17" s="0">
        <f>MID(D17,FIND(",",SUBSTITUTE(D17,"|",REPT(",",LEN(D17)),4))+1,FIND(",",SUBSTITUTE(D17,"|",REPT(",",LEN(D17)),5))-FIND(",",SUBSTITUTE(D17,"|",REPT(",",LEN(D17)),4))-1)</f>
        <v/>
      </c>
      <c r="M17" s="0">
        <f>MID(D17,FIND(";",SUBSTITUTE(D17,"|",REPT(";",LEN(D17)),7))+1,LEN(D17))</f>
        <v/>
      </c>
      <c r="N17" s="0">
        <f>MID(D17,FIND(";",SUBSTITUTE(D17,"|",REPT(";",LEN(D17)),5))+1,FIND(";",SUBSTITUTE(D17,"|",REPT(";",LEN(D17)),6))-FIND(";",SUBSTITUTE(D17,"|",REPT(";",LEN(D17)),5))-1)</f>
        <v/>
      </c>
      <c r="P17" s="0">
        <f>MID(D17,FIND(";",SUBSTITUTE(D17,"|",REPT(";",LEN(D17)),6))+1,FIND(";",SUBSTITUTE(D17,"|",REPT(";",LEN(D17)),7))-FIND(";",SUBSTITUTE(D17,"|",REPT(";",LEN(D17)),6))-1)</f>
        <v/>
      </c>
    </row>
    <row r="18" ht="42" customHeight="1" s="21">
      <c r="A18" s="8" t="inlineStr">
        <is>
          <t>100101</t>
        </is>
      </c>
      <c r="B18" s="8" t="inlineStr">
        <is>
          <t>冷轧板材</t>
        </is>
      </c>
      <c r="C18" s="8" t="inlineStr">
        <is>
          <t>602352800</t>
        </is>
      </c>
      <c r="D18" s="8" t="inlineStr">
        <is>
          <t>冷轧优质碳素结构钢板|钢板|20|δ0.8|GB/T 13237-2013|冷轧|FB,PT.A|GB/T 708-2006</t>
        </is>
      </c>
      <c r="E18" s="8" t="inlineStr">
        <is>
          <t>物资名称 冷轧优质碳素结构钢板;物资简称 钢板;牌号 20;厚度 δ0.8;宽 ;长 ;技术标准号 GB/T 13237-2013;加工工艺 冷轧;热处理工艺 ;特殊要求 FB,PT.A;规格标准号 GB/T 708-2006</t>
        </is>
      </c>
      <c r="F18" s="4" t="inlineStr">
        <is>
          <t>千克</t>
        </is>
      </c>
      <c r="G18" s="0">
        <f>LEFT(D18,FIND("|",D18,1)-1)</f>
        <v/>
      </c>
      <c r="H18" s="0">
        <f>MID(D18,FIND("|",D18,FIND("|",D18,1))+1,FIND("|",D18,FIND("|",D18,1)+1)-FIND("|",D18,FIND("|",D18,1))-1)</f>
        <v/>
      </c>
      <c r="J18" s="0">
        <f>MID(D18,FIND(",",SUBSTITUTE(D18,"|",REPT(",",LEN(D18)),2))+1,FIND(",",SUBSTITUTE(D18,"|",REPT(",",LEN(D18)),3))-FIND(",",SUBSTITUTE(D18,"|",REPT(",",LEN(D18)),2))-1)</f>
        <v/>
      </c>
      <c r="K18" s="0">
        <f>MID(D18,FIND(",",SUBSTITUTE(D18,"|",REPT(",",LEN(D18)),3))+1,FIND(",",SUBSTITUTE(D18,"|",REPT(",",LEN(D18)),4))-FIND(",",SUBSTITUTE(D18,"|",REPT(",",LEN(D18)),3))-1)</f>
        <v/>
      </c>
      <c r="L18" s="0">
        <f>MID(D18,FIND(",",SUBSTITUTE(D18,"|",REPT(",",LEN(D18)),4))+1,FIND(",",SUBSTITUTE(D18,"|",REPT(",",LEN(D18)),5))-FIND(",",SUBSTITUTE(D18,"|",REPT(",",LEN(D18)),4))-1)</f>
        <v/>
      </c>
      <c r="M18" s="0">
        <f>MID(D18,FIND(";",SUBSTITUTE(D18,"|",REPT(";",LEN(D18)),7))+1,LEN(D18))</f>
        <v/>
      </c>
      <c r="N18" s="0">
        <f>MID(D18,FIND(";",SUBSTITUTE(D18,"|",REPT(";",LEN(D18)),5))+1,FIND(";",SUBSTITUTE(D18,"|",REPT(";",LEN(D18)),6))-FIND(";",SUBSTITUTE(D18,"|",REPT(";",LEN(D18)),5))-1)</f>
        <v/>
      </c>
      <c r="P18" s="0">
        <f>MID(D18,FIND(";",SUBSTITUTE(D18,"|",REPT(";",LEN(D18)),6))+1,FIND(";",SUBSTITUTE(D18,"|",REPT(";",LEN(D18)),7))-FIND(";",SUBSTITUTE(D18,"|",REPT(";",LEN(D18)),6))-1)</f>
        <v/>
      </c>
    </row>
    <row r="19" ht="28" customHeight="1" s="21">
      <c r="A19" s="8" t="inlineStr">
        <is>
          <t>100101</t>
        </is>
      </c>
      <c r="B19" s="8" t="inlineStr">
        <is>
          <t>冷轧板材</t>
        </is>
      </c>
      <c r="C19" s="8" t="inlineStr">
        <is>
          <t>602289300</t>
        </is>
      </c>
      <c r="D19" s="8" t="inlineStr">
        <is>
          <t>冷轧不锈钢板|钢板|1Cr18Ni9Ti|GB 3280-2015|冷轧</t>
        </is>
      </c>
      <c r="E19" s="8" t="inlineStr">
        <is>
          <t xml:space="preserve">物资名称 冷轧不锈钢板;物资简称 钢板;牌号 1Cr18Ni9Ti;厚度 δ;宽 ;长 ;技术标准号 GB 3280-2015;加工工艺 冷轧;热处理工艺 ;特殊要求 ;规格标准号 </t>
        </is>
      </c>
      <c r="F19" s="4" t="inlineStr">
        <is>
          <t>千克</t>
        </is>
      </c>
      <c r="G19" s="0">
        <f>LEFT(D19,FIND("|",D19,1)-1)</f>
        <v/>
      </c>
      <c r="H19" s="0">
        <f>MID(D19,FIND("|",D19,FIND("|",D19,1))+1,FIND("|",D19,FIND("|",D19,1)+1)-FIND("|",D19,FIND("|",D19,1))-1)</f>
        <v/>
      </c>
      <c r="J19" s="0">
        <f>MID(D19,FIND(",",SUBSTITUTE(D19,"|",REPT(",",LEN(D19)),2))+1,FIND(",",SUBSTITUTE(D19,"|",REPT(",",LEN(D19)),3))-FIND(",",SUBSTITUTE(D19,"|",REPT(",",LEN(D19)),2))-1)</f>
        <v/>
      </c>
      <c r="L19" s="0">
        <f>MID(D19,FIND(",",SUBSTITUTE(D19,"|",REPT(",",LEN(D19)),3))+1,FIND(",",SUBSTITUTE(D19,"|",REPT(",",LEN(D19)),4))-FIND(",",SUBSTITUTE(D19,"|",REPT(",",LEN(D19)),3))-1)</f>
        <v/>
      </c>
      <c r="N19" s="0">
        <f>MID(D19,FIND(";",SUBSTITUTE(D19,"|",REPT(";",LEN(D19)),4))+1,LEN(D19))</f>
        <v/>
      </c>
    </row>
    <row r="20" ht="42" customHeight="1" s="21">
      <c r="A20" s="8" t="inlineStr">
        <is>
          <t>100101</t>
        </is>
      </c>
      <c r="B20" s="8" t="inlineStr">
        <is>
          <t>冷轧板材</t>
        </is>
      </c>
      <c r="C20" s="8" t="inlineStr">
        <is>
          <t>602183500</t>
        </is>
      </c>
      <c r="D20" s="8" t="inlineStr">
        <is>
          <t>冷轧不锈钢板|钢板|06Cr19Ni10|δ2.5|GB/T 3280-2015|冷轧|GB/T 708-2006</t>
        </is>
      </c>
      <c r="E20" s="8" t="inlineStr">
        <is>
          <t>物资名称 冷轧不锈钢板;物资简称 钢板;牌号 06Cr19Ni10;厚度 δ2.5;宽 ;长 ;技术标准号 GB/T 3280-2015;加工工艺 冷轧;热处理工艺 ;特殊要求 ;规格标准号 GB/T 708-2006</t>
        </is>
      </c>
      <c r="F20" s="4" t="inlineStr">
        <is>
          <t>千克</t>
        </is>
      </c>
      <c r="G20" s="0">
        <f>LEFT(D20,FIND("|",D20,1)-1)</f>
        <v/>
      </c>
      <c r="H20" s="0">
        <f>MID(D20,FIND("|",D20,FIND("|",D20,1))+1,FIND("|",D20,FIND("|",D20,1)+1)-FIND("|",D20,FIND("|",D20,1))-1)</f>
        <v/>
      </c>
      <c r="J20" s="0">
        <f>MID(D20,FIND(",",SUBSTITUTE(D20,"|",REPT(",",LEN(D20)),2))+1,FIND(",",SUBSTITUTE(D20,"|",REPT(",",LEN(D20)),3))-FIND(",",SUBSTITUTE(D20,"|",REPT(",",LEN(D20)),2))-1)</f>
        <v/>
      </c>
      <c r="K20" s="0">
        <f>MID(D20,FIND(",",SUBSTITUTE(D20,"|",REPT(",",LEN(D20)),3))+1,FIND(",",SUBSTITUTE(D20,"|",REPT(",",LEN(D20)),4))-FIND(",",SUBSTITUTE(D20,"|",REPT(",",LEN(D20)),3))-1)</f>
        <v/>
      </c>
      <c r="L20" s="0">
        <f>MID(D20,FIND(",",SUBSTITUTE(D20,"|",REPT(",",LEN(D20)),4))+1,FIND(",",SUBSTITUTE(D20,"|",REPT(",",LEN(D20)),5))-FIND(",",SUBSTITUTE(D20,"|",REPT(",",LEN(D20)),4))-1)</f>
        <v/>
      </c>
      <c r="M20" s="0">
        <f>MID(D20,FIND(";",SUBSTITUTE(D20,"|",REPT(";",LEN(D20)),6))+1,LEN(D20))</f>
        <v/>
      </c>
      <c r="N20" s="0">
        <f>MID(D20,FIND(";",SUBSTITUTE(D20,"|",REPT(";",LEN(D20)),5))+1,FIND(";",SUBSTITUTE(D20,"|",REPT(";",LEN(D20)),6))-FIND(";",SUBSTITUTE(D20,"|",REPT(";",LEN(D20)),5))-1)</f>
        <v/>
      </c>
    </row>
    <row r="21" ht="42" customHeight="1" s="21">
      <c r="A21" s="8" t="inlineStr">
        <is>
          <t>100101</t>
        </is>
      </c>
      <c r="B21" s="8" t="inlineStr">
        <is>
          <t>冷轧板材</t>
        </is>
      </c>
      <c r="C21" s="8" t="inlineStr">
        <is>
          <t>602183400</t>
        </is>
      </c>
      <c r="D21" s="8" t="inlineStr">
        <is>
          <t>冷轧不锈钢板|钢板|06Cr19Ni10|δ5|GB/T 3280-2015|冷轧|GB/T 708-2006</t>
        </is>
      </c>
      <c r="E21" s="8" t="inlineStr">
        <is>
          <t>物资名称 冷轧不锈钢板;物资简称 钢板;牌号 06Cr19Ni10;厚度 δ5;宽 ;长 ;技术标准号 GB/T 3280-2015;加工工艺 冷轧;热处理工艺 ;特殊要求 ;规格标准号 GB/T 708-2006</t>
        </is>
      </c>
      <c r="F21" s="4" t="inlineStr">
        <is>
          <t>千克</t>
        </is>
      </c>
      <c r="G21" s="0">
        <f>LEFT(D21,FIND("|",D21,1)-1)</f>
        <v/>
      </c>
      <c r="H21" s="0">
        <f>MID(D21,FIND("|",D21,FIND("|",D21,1))+1,FIND("|",D21,FIND("|",D21,1)+1)-FIND("|",D21,FIND("|",D21,1))-1)</f>
        <v/>
      </c>
      <c r="J21" s="0">
        <f>MID(D21,FIND(",",SUBSTITUTE(D21,"|",REPT(",",LEN(D21)),2))+1,FIND(",",SUBSTITUTE(D21,"|",REPT(",",LEN(D21)),3))-FIND(",",SUBSTITUTE(D21,"|",REPT(",",LEN(D21)),2))-1)</f>
        <v/>
      </c>
      <c r="K21" s="0">
        <f>MID(D21,FIND(",",SUBSTITUTE(D21,"|",REPT(",",LEN(D21)),3))+1,FIND(",",SUBSTITUTE(D21,"|",REPT(",",LEN(D21)),4))-FIND(",",SUBSTITUTE(D21,"|",REPT(",",LEN(D21)),3))-1)</f>
        <v/>
      </c>
      <c r="L21" s="0">
        <f>MID(D21,FIND(",",SUBSTITUTE(D21,"|",REPT(",",LEN(D21)),4))+1,FIND(",",SUBSTITUTE(D21,"|",REPT(",",LEN(D21)),5))-FIND(",",SUBSTITUTE(D21,"|",REPT(",",LEN(D21)),4))-1)</f>
        <v/>
      </c>
      <c r="M21" s="0">
        <f>MID(D21,FIND(";",SUBSTITUTE(D21,"|",REPT(";",LEN(D21)),6))+1,LEN(D21))</f>
        <v/>
      </c>
      <c r="N21" s="0">
        <f>MID(D21,FIND(";",SUBSTITUTE(D21,"|",REPT(";",LEN(D21)),5))+1,FIND(";",SUBSTITUTE(D21,"|",REPT(";",LEN(D21)),6))-FIND(";",SUBSTITUTE(D21,"|",REPT(";",LEN(D21)),5))-1)</f>
        <v/>
      </c>
    </row>
    <row r="22" ht="42" customHeight="1" s="21">
      <c r="A22" s="8" t="inlineStr">
        <is>
          <t>100101</t>
        </is>
      </c>
      <c r="B22" s="8" t="inlineStr">
        <is>
          <t>冷轧板材</t>
        </is>
      </c>
      <c r="C22" s="8" t="inlineStr">
        <is>
          <t>602183300</t>
        </is>
      </c>
      <c r="D22" s="8" t="inlineStr">
        <is>
          <t>冷轧不锈钢板|钢板|06Cr19Ni10|δ3|GB/T 3280-2015|冷轧|GB/T 708-2006</t>
        </is>
      </c>
      <c r="E22" s="8" t="inlineStr">
        <is>
          <t>物资名称 冷轧不锈钢板;物资简称 钢板;牌号 06Cr19Ni10;厚度 δ3;宽 ;长 ;技术标准号 GB/T 3280-2015;加工工艺 冷轧;热处理工艺 ;特殊要求 ;规格标准号 GB/T 708-2006</t>
        </is>
      </c>
      <c r="F22" s="4" t="inlineStr">
        <is>
          <t>千克</t>
        </is>
      </c>
      <c r="G22" s="0">
        <f>LEFT(D22,FIND("|",D22,1)-1)</f>
        <v/>
      </c>
      <c r="H22" s="0">
        <f>MID(D22,FIND("|",D22,FIND("|",D22,1))+1,FIND("|",D22,FIND("|",D22,1)+1)-FIND("|",D22,FIND("|",D22,1))-1)</f>
        <v/>
      </c>
      <c r="J22" s="0">
        <f>MID(D22,FIND(",",SUBSTITUTE(D22,"|",REPT(",",LEN(D22)),2))+1,FIND(",",SUBSTITUTE(D22,"|",REPT(",",LEN(D22)),3))-FIND(",",SUBSTITUTE(D22,"|",REPT(",",LEN(D22)),2))-1)</f>
        <v/>
      </c>
      <c r="K22" s="0">
        <f>MID(D22,FIND(",",SUBSTITUTE(D22,"|",REPT(",",LEN(D22)),3))+1,FIND(",",SUBSTITUTE(D22,"|",REPT(",",LEN(D22)),4))-FIND(",",SUBSTITUTE(D22,"|",REPT(",",LEN(D22)),3))-1)</f>
        <v/>
      </c>
      <c r="L22" s="0">
        <f>MID(D22,FIND(",",SUBSTITUTE(D22,"|",REPT(",",LEN(D22)),4))+1,FIND(",",SUBSTITUTE(D22,"|",REPT(",",LEN(D22)),5))-FIND(",",SUBSTITUTE(D22,"|",REPT(",",LEN(D22)),4))-1)</f>
        <v/>
      </c>
      <c r="M22" s="0">
        <f>MID(D22,FIND(";",SUBSTITUTE(D22,"|",REPT(";",LEN(D22)),6))+1,LEN(D22))</f>
        <v/>
      </c>
      <c r="N22" s="0">
        <f>MID(D22,FIND(";",SUBSTITUTE(D22,"|",REPT(";",LEN(D22)),5))+1,FIND(";",SUBSTITUTE(D22,"|",REPT(";",LEN(D22)),6))-FIND(";",SUBSTITUTE(D22,"|",REPT(";",LEN(D22)),5))-1)</f>
        <v/>
      </c>
    </row>
    <row r="23" ht="28" customHeight="1" s="21">
      <c r="A23" s="8" t="inlineStr">
        <is>
          <t>100101</t>
        </is>
      </c>
      <c r="B23" s="8" t="inlineStr">
        <is>
          <t>冷轧板材</t>
        </is>
      </c>
      <c r="C23" s="8" t="inlineStr">
        <is>
          <t>602148600</t>
        </is>
      </c>
      <c r="D23" s="8" t="inlineStr">
        <is>
          <t>冷轧不锈钢板|钢板|12Cr18Ni9|δ3|GB/T 3280-2015|冷轧</t>
        </is>
      </c>
      <c r="E23" s="8" t="inlineStr">
        <is>
          <t xml:space="preserve">物资名称 冷轧不锈钢板;物资简称 钢板;牌号 12Cr18Ni9;厚度 δ3;宽 ;长 ;技术标准号 GB/T 3280-2015;加工工艺 冷轧;热处理工艺 ;特殊要求 ;规格标准号 </t>
        </is>
      </c>
      <c r="F23" s="4" t="inlineStr">
        <is>
          <t>千克</t>
        </is>
      </c>
      <c r="G23" s="0">
        <f>LEFT(D23,FIND("|",D23,1)-1)</f>
        <v/>
      </c>
      <c r="H23" s="0">
        <f>MID(D23,FIND("|",D23,FIND("|",D23,1))+1,FIND("|",D23,FIND("|",D23,1)+1)-FIND("|",D23,FIND("|",D23,1))-1)</f>
        <v/>
      </c>
      <c r="J23" s="0">
        <f>MID(D23,FIND(",",SUBSTITUTE(D23,"|",REPT(",",LEN(D23)),2))+1,FIND(",",SUBSTITUTE(D23,"|",REPT(",",LEN(D23)),3))-FIND(",",SUBSTITUTE(D23,"|",REPT(",",LEN(D23)),2))-1)</f>
        <v/>
      </c>
      <c r="K23" s="0">
        <f>MID(D23,FIND(",",SUBSTITUTE(D23,"|",REPT(",",LEN(D23)),3))+1,FIND(",",SUBSTITUTE(D23,"|",REPT(",",LEN(D23)),4))-FIND(",",SUBSTITUTE(D23,"|",REPT(",",LEN(D23)),3))-1)</f>
        <v/>
      </c>
      <c r="L23" s="0">
        <f>MID(D23,FIND(",",SUBSTITUTE(D23,"|",REPT(",",LEN(D23)),4))+1,FIND(",",SUBSTITUTE(D23,"|",REPT(",",LEN(D23)),5))-FIND(",",SUBSTITUTE(D23,"|",REPT(",",LEN(D23)),4))-1)</f>
        <v/>
      </c>
      <c r="N23" s="0">
        <f>MID(D23,FIND(";",SUBSTITUTE(D23,"|",REPT(";",LEN(D23)),5))+1,LEN(D23))</f>
        <v/>
      </c>
    </row>
    <row r="24" ht="28" customHeight="1" s="21">
      <c r="A24" s="8" t="inlineStr">
        <is>
          <t>100101</t>
        </is>
      </c>
      <c r="B24" s="8" t="inlineStr">
        <is>
          <t>冷轧板材</t>
        </is>
      </c>
      <c r="C24" s="8" t="inlineStr">
        <is>
          <t>602148500</t>
        </is>
      </c>
      <c r="D24" s="8" t="inlineStr">
        <is>
          <t>冷轧不锈钢板|钢板|12Cr18Ni9|δ1.5|GB/T 3280-2015|冷轧</t>
        </is>
      </c>
      <c r="E24" s="8" t="inlineStr">
        <is>
          <t xml:space="preserve">物资名称 冷轧不锈钢板;物资简称 钢板;牌号 12Cr18Ni9;厚度 δ1.5;宽 ;长 ;技术标准号 GB/T 3280-2015;加工工艺 冷轧;热处理工艺 ;特殊要求 ;规格标准号 </t>
        </is>
      </c>
      <c r="F24" s="4" t="inlineStr">
        <is>
          <t>千克</t>
        </is>
      </c>
      <c r="G24" s="0">
        <f>LEFT(D24,FIND("|",D24,1)-1)</f>
        <v/>
      </c>
      <c r="H24" s="0">
        <f>MID(D24,FIND("|",D24,FIND("|",D24,1))+1,FIND("|",D24,FIND("|",D24,1)+1)-FIND("|",D24,FIND("|",D24,1))-1)</f>
        <v/>
      </c>
      <c r="J24" s="0">
        <f>MID(D24,FIND(",",SUBSTITUTE(D24,"|",REPT(",",LEN(D24)),2))+1,FIND(",",SUBSTITUTE(D24,"|",REPT(",",LEN(D24)),3))-FIND(",",SUBSTITUTE(D24,"|",REPT(",",LEN(D24)),2))-1)</f>
        <v/>
      </c>
      <c r="K24" s="0">
        <f>MID(D24,FIND(",",SUBSTITUTE(D24,"|",REPT(",",LEN(D24)),3))+1,FIND(",",SUBSTITUTE(D24,"|",REPT(",",LEN(D24)),4))-FIND(",",SUBSTITUTE(D24,"|",REPT(",",LEN(D24)),3))-1)</f>
        <v/>
      </c>
      <c r="L24" s="0">
        <f>MID(D24,FIND(",",SUBSTITUTE(D24,"|",REPT(",",LEN(D24)),4))+1,FIND(",",SUBSTITUTE(D24,"|",REPT(",",LEN(D24)),5))-FIND(",",SUBSTITUTE(D24,"|",REPT(",",LEN(D24)),4))-1)</f>
        <v/>
      </c>
      <c r="N24" s="0">
        <f>MID(D24,FIND(";",SUBSTITUTE(D24,"|",REPT(";",LEN(D24)),5))+1,LEN(D24))</f>
        <v/>
      </c>
    </row>
    <row r="25" ht="42" customHeight="1" s="21">
      <c r="A25" s="8" t="inlineStr">
        <is>
          <t>100101</t>
        </is>
      </c>
      <c r="B25" s="8" t="inlineStr">
        <is>
          <t>冷轧板材</t>
        </is>
      </c>
      <c r="C25" s="8" t="inlineStr">
        <is>
          <t>601944300</t>
        </is>
      </c>
      <c r="D25" s="8" t="inlineStr">
        <is>
          <t>冷轧航空用不锈钢薄板|不锈钢板|1Cr18Ni9Ti|δ2×1000×2000|GJB 2295-1995|冷轧|GB/T 708-2006</t>
        </is>
      </c>
      <c r="E25" s="8" t="inlineStr">
        <is>
          <t>物资名称 冷轧航空用不锈钢薄板;物资简称 不锈钢板;牌号 1Cr18Ni9Ti;厚度 δ2;宽 1000;长 2000;技术标准号 GJB 2295-1995;加工工艺 ;热处理工艺 冷轧;特殊要求 ;规格标准号 GB/T 708-2006</t>
        </is>
      </c>
      <c r="F25" s="4" t="inlineStr">
        <is>
          <t>千克</t>
        </is>
      </c>
      <c r="G25" s="0">
        <f>LEFT(D25,FIND("|",D25,1)-1)</f>
        <v/>
      </c>
      <c r="H25" s="0">
        <f>MID(D25,FIND("|",D25,FIND("|",D25,1))+1,FIND("|",D25,FIND("|",D25,1)+1)-FIND("|",D25,FIND("|",D25,1))-1)</f>
        <v/>
      </c>
      <c r="J25" s="0">
        <f>MID(D25,FIND(",",SUBSTITUTE(D25,"|",REPT(",",LEN(D25)),2))+1,FIND(",",SUBSTITUTE(D25,"|",REPT(",",LEN(D25)),3))-FIND(",",SUBSTITUTE(D25,"|",REPT(",",LEN(D25)),2))-1)</f>
        <v/>
      </c>
      <c r="K25" s="0">
        <f>MID(D25,FIND(",",SUBSTITUTE(D25,"|",REPT(",",LEN(D25)),3))+1,FIND(",",SUBSTITUTE(D25,"|",REPT(",",LEN(D25)),4))-FIND(",",SUBSTITUTE(D25,"|",REPT(",",LEN(D25)),3))-1)</f>
        <v/>
      </c>
      <c r="L25" s="0">
        <f>MID(D25,FIND(",",SUBSTITUTE(D25,"|",REPT(",",LEN(D25)),4))+1,FIND(",",SUBSTITUTE(D25,"|",REPT(",",LEN(D25)),5))-FIND(",",SUBSTITUTE(D25,"|",REPT(",",LEN(D25)),4))-1)</f>
        <v/>
      </c>
      <c r="M25" s="0">
        <f>MID(D25,FIND(";",SUBSTITUTE(D25,"|",REPT(";",LEN(D25)),6))+1,LEN(D25))</f>
        <v/>
      </c>
      <c r="N25" s="0">
        <f>MID(D25,FIND(";",SUBSTITUTE(D25,"|",REPT(";",LEN(D25)),5))+1,FIND(";",SUBSTITUTE(D25,"|",REPT(";",LEN(D25)),6))-FIND(";",SUBSTITUTE(D25,"|",REPT(";",LEN(D25)),5))-1)</f>
        <v/>
      </c>
    </row>
    <row r="26" ht="42" customHeight="1" s="21">
      <c r="A26" s="8" t="inlineStr">
        <is>
          <t>100101</t>
        </is>
      </c>
      <c r="B26" s="8" t="inlineStr">
        <is>
          <t>冷轧板材</t>
        </is>
      </c>
      <c r="C26" s="8" t="inlineStr">
        <is>
          <t>601792100</t>
        </is>
      </c>
      <c r="D26" s="8" t="inlineStr">
        <is>
          <t>冷轧优质碳素结构钢板|钢板|20|δ2|GB/T 13237-2013|冷轧|GB/T 708-2019</t>
        </is>
      </c>
      <c r="E26" s="8" t="inlineStr">
        <is>
          <t>物资名称 冷轧优质碳素结构钢板;物资简称 钢板;牌号 20;厚度 δ2;宽 ;长 ;技术标准号 GB/T 13237-2013;加工工艺 冷轧;热处理工艺 ;特殊要求 ;规格标准号 GB/T 708-2019</t>
        </is>
      </c>
      <c r="F26" s="4" t="inlineStr">
        <is>
          <t>千克</t>
        </is>
      </c>
      <c r="G26" s="0">
        <f>LEFT(D26,FIND("|",D26,1)-1)</f>
        <v/>
      </c>
      <c r="H26" s="0">
        <f>MID(D26,FIND("|",D26,FIND("|",D26,1))+1,FIND("|",D26,FIND("|",D26,1)+1)-FIND("|",D26,FIND("|",D26,1))-1)</f>
        <v/>
      </c>
      <c r="J26" s="0">
        <f>MID(D26,FIND(",",SUBSTITUTE(D26,"|",REPT(",",LEN(D26)),2))+1,FIND(",",SUBSTITUTE(D26,"|",REPT(",",LEN(D26)),3))-FIND(",",SUBSTITUTE(D26,"|",REPT(",",LEN(D26)),2))-1)</f>
        <v/>
      </c>
      <c r="K26" s="0">
        <f>MID(D26,FIND(",",SUBSTITUTE(D26,"|",REPT(",",LEN(D26)),3))+1,FIND(",",SUBSTITUTE(D26,"|",REPT(",",LEN(D26)),4))-FIND(",",SUBSTITUTE(D26,"|",REPT(",",LEN(D26)),3))-1)</f>
        <v/>
      </c>
      <c r="L26" s="0">
        <f>MID(D26,FIND(",",SUBSTITUTE(D26,"|",REPT(",",LEN(D26)),4))+1,FIND(",",SUBSTITUTE(D26,"|",REPT(",",LEN(D26)),5))-FIND(",",SUBSTITUTE(D26,"|",REPT(",",LEN(D26)),4))-1)</f>
        <v/>
      </c>
      <c r="M26" s="0">
        <f>MID(D26,FIND(";",SUBSTITUTE(D26,"|",REPT(";",LEN(D26)),6))+1,LEN(D26))</f>
        <v/>
      </c>
      <c r="N26" s="0">
        <f>MID(D26,FIND(";",SUBSTITUTE(D26,"|",REPT(";",LEN(D26)),5))+1,FIND(";",SUBSTITUTE(D26,"|",REPT(";",LEN(D26)),6))-FIND(";",SUBSTITUTE(D26,"|",REPT(";",LEN(D26)),5))-1)</f>
        <v/>
      </c>
    </row>
    <row r="27" ht="42" customHeight="1" s="21">
      <c r="A27" s="8" t="inlineStr">
        <is>
          <t>100101</t>
        </is>
      </c>
      <c r="B27" s="8" t="inlineStr">
        <is>
          <t>冷轧板材</t>
        </is>
      </c>
      <c r="C27" s="8" t="inlineStr">
        <is>
          <t>601748900</t>
        </is>
      </c>
      <c r="D27" s="8" t="inlineStr">
        <is>
          <t>冷轧优质碳素结构钢板|钢板|20|δ1|GB/T 13237-2013|GB/T 708-2019</t>
        </is>
      </c>
      <c r="E27" s="8" t="inlineStr">
        <is>
          <t>物资名称 冷轧优质碳素结构钢板;物资简称 钢板;牌号 20;厚度 δ1;宽 ;长 ;技术标准号 GB/T 13237-2013;加工工艺 ;热处理工艺 ;特殊要求 ;规格标准号 GB/T 708-2019</t>
        </is>
      </c>
      <c r="F27" s="4" t="inlineStr">
        <is>
          <t>千克</t>
        </is>
      </c>
      <c r="G27" s="0">
        <f>LEFT(D27,FIND("|",D27,1)-1)</f>
        <v/>
      </c>
      <c r="H27" s="0">
        <f>MID(D27,FIND("|",D27,FIND("|",D27,1))+1,FIND("|",D27,FIND("|",D27,1)+1)-FIND("|",D27,FIND("|",D27,1))-1)</f>
        <v/>
      </c>
      <c r="J27" s="0">
        <f>MID(D27,FIND(",",SUBSTITUTE(D27,"|",REPT(",",LEN(D27)),2))+1,FIND(",",SUBSTITUTE(D27,"|",REPT(",",LEN(D27)),3))-FIND(",",SUBSTITUTE(D27,"|",REPT(",",LEN(D27)),2))-1)</f>
        <v/>
      </c>
      <c r="K27" s="0">
        <f>MID(D27,FIND(",",SUBSTITUTE(D27,"|",REPT(",",LEN(D27)),3))+1,FIND(",",SUBSTITUTE(D27,"|",REPT(",",LEN(D27)),4))-FIND(",",SUBSTITUTE(D27,"|",REPT(",",LEN(D27)),3))-1)</f>
        <v/>
      </c>
      <c r="L27" s="0">
        <f>MID(D27,FIND(",",SUBSTITUTE(D27,"|",REPT(",",LEN(D27)),4))+1,FIND(",",SUBSTITUTE(D27,"|",REPT(",",LEN(D27)),5))-FIND(",",SUBSTITUTE(D27,"|",REPT(",",LEN(D27)),4))-1)</f>
        <v/>
      </c>
      <c r="M27" s="0">
        <f>MID(D27,FIND(";",SUBSTITUTE(D27,"|",REPT(";",LEN(D27)),5))+1,LEN(D27))</f>
        <v/>
      </c>
    </row>
    <row r="28" ht="28" customHeight="1" s="21">
      <c r="A28" s="8" t="inlineStr">
        <is>
          <t>100101</t>
        </is>
      </c>
      <c r="B28" s="8" t="inlineStr">
        <is>
          <t>冷轧板材</t>
        </is>
      </c>
      <c r="C28" s="8" t="inlineStr">
        <is>
          <t>601692000</t>
        </is>
      </c>
      <c r="D28" s="8" t="inlineStr">
        <is>
          <t>钢板|钢板|35CrMnSiA|δ28</t>
        </is>
      </c>
      <c r="E28" s="8" t="inlineStr">
        <is>
          <t xml:space="preserve">物资名称 钢板;物资简称 钢板;牌号 35CrMnSiA;厚度 δ28;宽 ;长 ;技术标准号 ;加工工艺 ;热处理工艺 ;特殊要求 ;规格标准号 </t>
        </is>
      </c>
      <c r="F28" s="4" t="inlineStr">
        <is>
          <t>千克</t>
        </is>
      </c>
      <c r="G28" s="0">
        <f>LEFT(D28,FIND("|",D28,1)-1)</f>
        <v/>
      </c>
      <c r="H28" s="0">
        <f>MID(D28,FIND("|",D28,FIND("|",D28,1))+1,FIND("|",D28,FIND("|",D28,1)+1)-FIND("|",D28,FIND("|",D28,1))-1)</f>
        <v/>
      </c>
      <c r="J28" s="0">
        <f>MID(D28,FIND(",",SUBSTITUTE(D28,"|",REPT(",",LEN(D28)),2))+1,FIND(",",SUBSTITUTE(D28,"|",REPT(",",LEN(D28)),3))-FIND(",",SUBSTITUTE(D28,"|",REPT(",",LEN(D28)),2))-1)</f>
        <v/>
      </c>
      <c r="K28" s="0">
        <f>MID(D28,FIND(";",SUBSTITUTE(D28,"|",REPT(";",LEN(D28)),3))+1,LEN(D28))</f>
        <v/>
      </c>
    </row>
    <row r="29" ht="28" customHeight="1" s="21">
      <c r="A29" s="8" t="inlineStr">
        <is>
          <t>100101</t>
        </is>
      </c>
      <c r="B29" s="8" t="inlineStr">
        <is>
          <t>冷轧板材</t>
        </is>
      </c>
      <c r="C29" s="8" t="inlineStr">
        <is>
          <t>601498300</t>
        </is>
      </c>
      <c r="D29" s="8" t="inlineStr">
        <is>
          <t>冷轧航空用不锈钢薄板|不锈钢板|1Cr18Ni9Ti|δ0.5×8|GJB 2295-1995</t>
        </is>
      </c>
      <c r="E29" s="8" t="inlineStr">
        <is>
          <t xml:space="preserve">物资名称 冷轧航空用不锈钢薄板;物资简称 不锈钢板;牌号 1Cr18Ni9Ti;厚度 δ0.5;宽 8;长 ;技术标准号 GJB 2295-1995;加工工艺 ;热处理工艺 ;特殊要求 ;规格标准号 </t>
        </is>
      </c>
      <c r="F29" s="4" t="inlineStr">
        <is>
          <t>千克</t>
        </is>
      </c>
      <c r="G29" s="0">
        <f>LEFT(D29,FIND("|",D29,1)-1)</f>
        <v/>
      </c>
      <c r="H29" s="0">
        <f>MID(D29,FIND("|",D29,FIND("|",D29,1))+1,FIND("|",D29,FIND("|",D29,1)+1)-FIND("|",D29,FIND("|",D29,1))-1)</f>
        <v/>
      </c>
      <c r="J29" s="0">
        <f>MID(D29,FIND(",",SUBSTITUTE(D29,"|",REPT(",",LEN(D29)),2))+1,FIND(",",SUBSTITUTE(D29,"|",REPT(",",LEN(D29)),3))-FIND(",",SUBSTITUTE(D29,"|",REPT(",",LEN(D29)),2))-1)</f>
        <v/>
      </c>
      <c r="K29" s="0">
        <f>MID(D29,FIND(",",SUBSTITUTE(D29,"|",REPT(",",LEN(D29)),3))+1,FIND(",",SUBSTITUTE(D29,"|",REPT(",",LEN(D29)),4))-FIND(",",SUBSTITUTE(D29,"|",REPT(",",LEN(D29)),3))-1)</f>
        <v/>
      </c>
      <c r="L29" s="0">
        <f>MID(D29,FIND(";",SUBSTITUTE(D29,"|",REPT(";",LEN(D29)),4))+1,LEN(D29))</f>
        <v/>
      </c>
    </row>
    <row r="30" ht="28" customHeight="1" s="21">
      <c r="A30" s="8" t="inlineStr">
        <is>
          <t>100101</t>
        </is>
      </c>
      <c r="B30" s="8" t="inlineStr">
        <is>
          <t>冷轧板材</t>
        </is>
      </c>
      <c r="C30" s="8" t="inlineStr">
        <is>
          <t>601498200</t>
        </is>
      </c>
      <c r="D30" s="8" t="inlineStr">
        <is>
          <t>冷轧优质碳素结构钢板|钢板|45|δ3×100×100|GB/T 13237-1991</t>
        </is>
      </c>
      <c r="E30" s="8" t="inlineStr">
        <is>
          <t xml:space="preserve">物资名称 冷轧优质碳素结构钢板;物资简称 钢板;牌号 45;厚度 δ3;宽 100;长 100;技术标准号 GB/T 13237-1991;加工工艺 ;热处理工艺 ;特殊要求 ;规格标准号 </t>
        </is>
      </c>
      <c r="F30" s="4" t="inlineStr">
        <is>
          <t>千克</t>
        </is>
      </c>
      <c r="G30" s="0">
        <f>LEFT(D30,FIND("|",D30,1)-1)</f>
        <v/>
      </c>
      <c r="H30" s="0">
        <f>MID(D30,FIND("|",D30,FIND("|",D30,1))+1,FIND("|",D30,FIND("|",D30,1)+1)-FIND("|",D30,FIND("|",D30,1))-1)</f>
        <v/>
      </c>
      <c r="J30" s="0">
        <f>MID(D30,FIND(",",SUBSTITUTE(D30,"|",REPT(",",LEN(D30)),2))+1,FIND(",",SUBSTITUTE(D30,"|",REPT(",",LEN(D30)),3))-FIND(",",SUBSTITUTE(D30,"|",REPT(",",LEN(D30)),2))-1)</f>
        <v/>
      </c>
      <c r="K30" s="0">
        <f>MID(D30,FIND(",",SUBSTITUTE(D30,"|",REPT(",",LEN(D30)),3))+1,FIND(",",SUBSTITUTE(D30,"|",REPT(",",LEN(D30)),4))-FIND(",",SUBSTITUTE(D30,"|",REPT(",",LEN(D30)),3))-1)</f>
        <v/>
      </c>
      <c r="L30" s="0">
        <f>MID(D30,FIND(";",SUBSTITUTE(D30,"|",REPT(";",LEN(D30)),4))+1,LEN(D30))</f>
        <v/>
      </c>
    </row>
    <row r="31" ht="28" customHeight="1" s="21">
      <c r="A31" s="8" t="inlineStr">
        <is>
          <t>100101</t>
        </is>
      </c>
      <c r="B31" s="8" t="inlineStr">
        <is>
          <t>冷轧板材</t>
        </is>
      </c>
      <c r="C31" s="8" t="inlineStr">
        <is>
          <t>601496200</t>
        </is>
      </c>
      <c r="D31" s="8" t="inlineStr">
        <is>
          <t>冷轧航空用不锈钢薄板|不锈钢板|1Cr18Ni9Ti|δ3|GJB 2295-1995|冷轧</t>
        </is>
      </c>
      <c r="E31" s="8" t="inlineStr">
        <is>
          <t xml:space="preserve">物资名称 冷轧航空用不锈钢薄板;物资简称 不锈钢板;牌号 1Cr18Ni9Ti;厚度 δ3;宽 ;长 ;技术标准号 GJB 2295-1995;加工工艺 冷轧;热处理工艺 ;特殊要求 ;规格标准号 </t>
        </is>
      </c>
      <c r="F31" s="4" t="inlineStr">
        <is>
          <t>千克</t>
        </is>
      </c>
      <c r="G31" s="0">
        <f>LEFT(D31,FIND("|",D31,1)-1)</f>
        <v/>
      </c>
      <c r="H31" s="0">
        <f>MID(D31,FIND("|",D31,FIND("|",D31,1))+1,FIND("|",D31,FIND("|",D31,1)+1)-FIND("|",D31,FIND("|",D31,1))-1)</f>
        <v/>
      </c>
      <c r="J31" s="0">
        <f>MID(D31,FIND(",",SUBSTITUTE(D31,"|",REPT(",",LEN(D31)),2))+1,FIND(",",SUBSTITUTE(D31,"|",REPT(",",LEN(D31)),3))-FIND(",",SUBSTITUTE(D31,"|",REPT(",",LEN(D31)),2))-1)</f>
        <v/>
      </c>
      <c r="K31" s="0">
        <f>MID(D31,FIND(",",SUBSTITUTE(D31,"|",REPT(",",LEN(D31)),3))+1,FIND(",",SUBSTITUTE(D31,"|",REPT(",",LEN(D31)),4))-FIND(",",SUBSTITUTE(D31,"|",REPT(",",LEN(D31)),3))-1)</f>
        <v/>
      </c>
      <c r="L31" s="0">
        <f>MID(D31,FIND(",",SUBSTITUTE(D31,"|",REPT(",",LEN(D31)),4))+1,FIND(",",SUBSTITUTE(D31,"|",REPT(",",LEN(D31)),5))-FIND(",",SUBSTITUTE(D31,"|",REPT(",",LEN(D31)),4))-1)</f>
        <v/>
      </c>
      <c r="N31" s="0">
        <f>MID(D31,FIND(";",SUBSTITUTE(D31,"|",REPT(";",LEN(D31)),5))+1,LEN(D31))</f>
        <v/>
      </c>
    </row>
    <row r="32" ht="42" customHeight="1" s="21">
      <c r="A32" s="8" t="inlineStr">
        <is>
          <t>100101</t>
        </is>
      </c>
      <c r="B32" s="8" t="inlineStr">
        <is>
          <t>冷轧板材</t>
        </is>
      </c>
      <c r="C32" s="8" t="inlineStr">
        <is>
          <t>601496100</t>
        </is>
      </c>
      <c r="D32" s="8" t="inlineStr">
        <is>
          <t>冷轧航空用不锈钢薄板|不锈钢板|1Cr18Ni9Ti|δ1.5|GJB 2295-1995|冷轧</t>
        </is>
      </c>
      <c r="E32" s="8" t="inlineStr">
        <is>
          <t xml:space="preserve">物资名称 冷轧航空用不锈钢薄板;物资简称 不锈钢板;牌号 1Cr18Ni9Ti;厚度 δ1.5;宽 ;长 ;技术标准号 GJB 2295-1995;加工工艺 冷轧;热处理工艺 ;特殊要求 ;规格标准号 </t>
        </is>
      </c>
      <c r="F32" s="4" t="inlineStr">
        <is>
          <t>千克</t>
        </is>
      </c>
      <c r="G32" s="0">
        <f>LEFT(D32,FIND("|",D32,1)-1)</f>
        <v/>
      </c>
      <c r="H32" s="0">
        <f>MID(D32,FIND("|",D32,FIND("|",D32,1))+1,FIND("|",D32,FIND("|",D32,1)+1)-FIND("|",D32,FIND("|",D32,1))-1)</f>
        <v/>
      </c>
      <c r="J32" s="0">
        <f>MID(D32,FIND(",",SUBSTITUTE(D32,"|",REPT(",",LEN(D32)),2))+1,FIND(",",SUBSTITUTE(D32,"|",REPT(",",LEN(D32)),3))-FIND(",",SUBSTITUTE(D32,"|",REPT(",",LEN(D32)),2))-1)</f>
        <v/>
      </c>
      <c r="K32" s="0">
        <f>MID(D32,FIND(",",SUBSTITUTE(D32,"|",REPT(",",LEN(D32)),3))+1,FIND(",",SUBSTITUTE(D32,"|",REPT(",",LEN(D32)),4))-FIND(",",SUBSTITUTE(D32,"|",REPT(",",LEN(D32)),3))-1)</f>
        <v/>
      </c>
      <c r="L32" s="0">
        <f>MID(D32,FIND(",",SUBSTITUTE(D32,"|",REPT(",",LEN(D32)),4))+1,FIND(",",SUBSTITUTE(D32,"|",REPT(",",LEN(D32)),5))-FIND(",",SUBSTITUTE(D32,"|",REPT(",",LEN(D32)),4))-1)</f>
        <v/>
      </c>
      <c r="N32" s="0">
        <f>MID(D32,FIND(";",SUBSTITUTE(D32,"|",REPT(";",LEN(D32)),5))+1,LEN(D32))</f>
        <v/>
      </c>
    </row>
    <row r="33" ht="42" customHeight="1" s="21">
      <c r="A33" s="8" t="inlineStr">
        <is>
          <t>100101</t>
        </is>
      </c>
      <c r="B33" s="8" t="inlineStr">
        <is>
          <t>冷轧板材</t>
        </is>
      </c>
      <c r="C33" s="8" t="inlineStr">
        <is>
          <t>601454300</t>
        </is>
      </c>
      <c r="D33" s="8" t="inlineStr">
        <is>
          <t>冷轧航空用不锈钢薄板|钢板|1Cr18Ni9Ti|δ1.5|GJB 2295-1995|冷轧|GB/T 708-2006</t>
        </is>
      </c>
      <c r="E33" s="8" t="inlineStr">
        <is>
          <t>物资名称 冷轧航空用不锈钢薄板;物资简称 钢板;牌号 1Cr18Ni9Ti;厚度 δ1.5;宽 ;长 ;技术标准号 GJB 2295-1995;加工工艺 冷轧;热处理工艺 ;特殊要求 ;规格标准号 GB/T 708-2006</t>
        </is>
      </c>
      <c r="F33" s="4" t="inlineStr">
        <is>
          <t>千克</t>
        </is>
      </c>
      <c r="G33" s="0">
        <f>LEFT(D33,FIND("|",D33,1)-1)</f>
        <v/>
      </c>
      <c r="H33" s="0">
        <f>MID(D33,FIND("|",D33,FIND("|",D33,1))+1,FIND("|",D33,FIND("|",D33,1)+1)-FIND("|",D33,FIND("|",D33,1))-1)</f>
        <v/>
      </c>
      <c r="J33" s="0">
        <f>MID(D33,FIND(",",SUBSTITUTE(D33,"|",REPT(",",LEN(D33)),2))+1,FIND(",",SUBSTITUTE(D33,"|",REPT(",",LEN(D33)),3))-FIND(",",SUBSTITUTE(D33,"|",REPT(",",LEN(D33)),2))-1)</f>
        <v/>
      </c>
      <c r="K33" s="0">
        <f>MID(D33,FIND(",",SUBSTITUTE(D33,"|",REPT(",",LEN(D33)),3))+1,FIND(",",SUBSTITUTE(D33,"|",REPT(",",LEN(D33)),4))-FIND(",",SUBSTITUTE(D33,"|",REPT(",",LEN(D33)),3))-1)</f>
        <v/>
      </c>
      <c r="L33" s="0">
        <f>MID(D33,FIND(",",SUBSTITUTE(D33,"|",REPT(",",LEN(D33)),4))+1,FIND(",",SUBSTITUTE(D33,"|",REPT(",",LEN(D33)),5))-FIND(",",SUBSTITUTE(D33,"|",REPT(",",LEN(D33)),4))-1)</f>
        <v/>
      </c>
      <c r="M33" s="0">
        <f>MID(D33,FIND(";",SUBSTITUTE(D33,"|",REPT(";",LEN(D33)),6))+1,LEN(D33))</f>
        <v/>
      </c>
      <c r="N33" s="0">
        <f>MID(D33,FIND(",",SUBSTITUTE(D33,"|",REPT(",",LEN(D33)),5))+1,FIND(",",SUBSTITUTE(D33,"|",REPT(",",LEN(D33)),6))-FIND(",",SUBSTITUTE(D33,"|",REPT(",",LEN(D33)),5))-1)</f>
        <v/>
      </c>
    </row>
    <row r="34" ht="42" customHeight="1" s="21">
      <c r="A34" s="8" t="inlineStr">
        <is>
          <t>100101</t>
        </is>
      </c>
      <c r="B34" s="8" t="inlineStr">
        <is>
          <t>冷轧板材</t>
        </is>
      </c>
      <c r="C34" s="8" t="inlineStr">
        <is>
          <t>601454200</t>
        </is>
      </c>
      <c r="D34" s="8" t="inlineStr">
        <is>
          <t>冷轧航空用不锈钢薄板|钢板|1Cr18Ni9Ti|δ3|GJB 2295-1995|冷轧|GB/T 708-2006</t>
        </is>
      </c>
      <c r="E34" s="8" t="inlineStr">
        <is>
          <t>物资名称 冷轧航空用不锈钢薄板;物资简称 钢板;牌号 1Cr18Ni9Ti;厚度 δ3;宽 ;长 ;技术标准号 GJB 2295-1995;加工工艺 冷轧;热处理工艺 ;特殊要求 ;规格标准号 GB/T 708-2006</t>
        </is>
      </c>
      <c r="F34" s="4" t="inlineStr">
        <is>
          <t>千克</t>
        </is>
      </c>
      <c r="G34" s="0">
        <f>LEFT(D34,FIND("|",D34,1)-1)</f>
        <v/>
      </c>
      <c r="H34" s="0">
        <f>MID(D34,FIND("|",D34,FIND("|",D34,1))+1,FIND("|",D34,FIND("|",D34,1)+1)-FIND("|",D34,FIND("|",D34,1))-1)</f>
        <v/>
      </c>
      <c r="J34" s="0">
        <f>MID(D34,FIND(",",SUBSTITUTE(D34,"|",REPT(",",LEN(D34)),2))+1,FIND(",",SUBSTITUTE(D34,"|",REPT(",",LEN(D34)),3))-FIND(",",SUBSTITUTE(D34,"|",REPT(",",LEN(D34)),2))-1)</f>
        <v/>
      </c>
      <c r="K34" s="0">
        <f>MID(D34,FIND(",",SUBSTITUTE(D34,"|",REPT(",",LEN(D34)),3))+1,FIND(",",SUBSTITUTE(D34,"|",REPT(",",LEN(D34)),4))-FIND(",",SUBSTITUTE(D34,"|",REPT(",",LEN(D34)),3))-1)</f>
        <v/>
      </c>
      <c r="L34" s="0">
        <f>MID(D34,FIND(",",SUBSTITUTE(D34,"|",REPT(",",LEN(D34)),4))+1,FIND(",",SUBSTITUTE(D34,"|",REPT(",",LEN(D34)),5))-FIND(",",SUBSTITUTE(D34,"|",REPT(",",LEN(D34)),4))-1)</f>
        <v/>
      </c>
      <c r="M34" s="0">
        <f>MID(D34,FIND(";",SUBSTITUTE(D34,"|",REPT(";",LEN(D34)),6))+1,LEN(D34))</f>
        <v/>
      </c>
      <c r="N34" s="0">
        <f>MID(D34,FIND(",",SUBSTITUTE(D34,"|",REPT(",",LEN(D34)),5))+1,FIND(",",SUBSTITUTE(D34,"|",REPT(",",LEN(D34)),6))-FIND(",",SUBSTITUTE(D34,"|",REPT(",",LEN(D34)),5))-1)</f>
        <v/>
      </c>
    </row>
    <row r="35" ht="42" customHeight="1" s="21">
      <c r="A35" s="8" t="inlineStr">
        <is>
          <t>100101</t>
        </is>
      </c>
      <c r="B35" s="8" t="inlineStr">
        <is>
          <t>冷轧板材</t>
        </is>
      </c>
      <c r="C35" s="8" t="inlineStr">
        <is>
          <t>601445200</t>
        </is>
      </c>
      <c r="D35" s="8" t="inlineStr">
        <is>
          <t>冷轧不锈钢板|钢板|06Cr19Ni10|δ1|GB/T 3280-2007|冷轧|GB/T708-2006</t>
        </is>
      </c>
      <c r="E35" s="8" t="inlineStr">
        <is>
          <t>物资名称 冷轧不锈钢板;物资简称 钢板;牌号 06Cr19Ni10;厚度 δ1;宽 ;长 ;技术标准号 GB/T 3280-2007;加工工艺 冷轧;热处理工艺 ;特殊要求 ;规格标准号 GB/T708-2006</t>
        </is>
      </c>
      <c r="F35" s="4" t="inlineStr">
        <is>
          <t>千克</t>
        </is>
      </c>
      <c r="G35" s="0">
        <f>LEFT(D35,FIND("|",D35,1)-1)</f>
        <v/>
      </c>
      <c r="H35" s="0">
        <f>MID(D35,FIND("|",D35,FIND("|",D35,1))+1,FIND("|",D35,FIND("|",D35,1)+1)-FIND("|",D35,FIND("|",D35,1))-1)</f>
        <v/>
      </c>
      <c r="J35" s="0">
        <f>MID(D35,FIND(",",SUBSTITUTE(D35,"|",REPT(",",LEN(D35)),2))+1,FIND(",",SUBSTITUTE(D35,"|",REPT(",",LEN(D35)),3))-FIND(",",SUBSTITUTE(D35,"|",REPT(",",LEN(D35)),2))-1)</f>
        <v/>
      </c>
      <c r="K35" s="0">
        <f>MID(D35,FIND(",",SUBSTITUTE(D35,"|",REPT(",",LEN(D35)),3))+1,FIND(",",SUBSTITUTE(D35,"|",REPT(",",LEN(D35)),4))-FIND(",",SUBSTITUTE(D35,"|",REPT(",",LEN(D35)),3))-1)</f>
        <v/>
      </c>
      <c r="L35" s="0">
        <f>MID(D35,FIND(",",SUBSTITUTE(D35,"|",REPT(",",LEN(D35)),4))+1,FIND(",",SUBSTITUTE(D35,"|",REPT(",",LEN(D35)),5))-FIND(",",SUBSTITUTE(D35,"|",REPT(",",LEN(D35)),4))-1)</f>
        <v/>
      </c>
      <c r="M35" s="0">
        <f>MID(D35,FIND(";",SUBSTITUTE(D35,"|",REPT(";",LEN(D35)),6))+1,LEN(D35))</f>
        <v/>
      </c>
      <c r="N35" s="0">
        <f>MID(D35,FIND(",",SUBSTITUTE(D35,"|",REPT(",",LEN(D35)),5))+1,FIND(",",SUBSTITUTE(D35,"|",REPT(",",LEN(D35)),6))-FIND(",",SUBSTITUTE(D35,"|",REPT(",",LEN(D35)),5))-1)</f>
        <v/>
      </c>
    </row>
    <row r="36" ht="42" customHeight="1" s="21">
      <c r="A36" s="8" t="inlineStr">
        <is>
          <t>100101</t>
        </is>
      </c>
      <c r="B36" s="8" t="inlineStr">
        <is>
          <t>冷轧板材</t>
        </is>
      </c>
      <c r="C36" s="8" t="inlineStr">
        <is>
          <t>601437700</t>
        </is>
      </c>
      <c r="D36" s="8" t="inlineStr">
        <is>
          <t>冷轧航空用不锈钢板|优质钢板|1Cr18Ni9Ti|δ2.5×1000×2000|GJB 2295A-2006|冷轧|GB/T 708-1988</t>
        </is>
      </c>
      <c r="E36" s="8" t="inlineStr">
        <is>
          <t>物资名称 冷轧航空用不锈钢板;物资简称 优质钢板;牌号 1Cr18Ni9Ti;厚度 δ2.5;宽 1000;长 2000;技术标准号 GJB 2295A-2006;加工工艺 冷轧;热处理工艺 ;特殊要求 ;规格标准号 GB/T 708-1988</t>
        </is>
      </c>
      <c r="F36" s="4" t="inlineStr">
        <is>
          <t>千克</t>
        </is>
      </c>
      <c r="G36" s="0">
        <f>LEFT(D36,FIND("|",D36,1)-1)</f>
        <v/>
      </c>
      <c r="H36" s="0">
        <f>MID(D36,FIND("|",D36,FIND("|",D36,1))+1,FIND("|",D36,FIND("|",D36,1)+1)-FIND("|",D36,FIND("|",D36,1))-1)</f>
        <v/>
      </c>
      <c r="J36" s="0">
        <f>MID(D36,FIND(",",SUBSTITUTE(D36,"|",REPT(",",LEN(D36)),2))+1,FIND(",",SUBSTITUTE(D36,"|",REPT(",",LEN(D36)),3))-FIND(",",SUBSTITUTE(D36,"|",REPT(",",LEN(D36)),2))-1)</f>
        <v/>
      </c>
      <c r="K36" s="0">
        <f>MID(D36,FIND(",",SUBSTITUTE(D36,"|",REPT(",",LEN(D36)),3))+1,FIND(",",SUBSTITUTE(D36,"|",REPT(",",LEN(D36)),4))-FIND(",",SUBSTITUTE(D36,"|",REPT(",",LEN(D36)),3))-1)</f>
        <v/>
      </c>
      <c r="L36" s="0">
        <f>MID(D36,FIND(",",SUBSTITUTE(D36,"|",REPT(",",LEN(D36)),4))+1,FIND(",",SUBSTITUTE(D36,"|",REPT(",",LEN(D36)),5))-FIND(",",SUBSTITUTE(D36,"|",REPT(",",LEN(D36)),4))-1)</f>
        <v/>
      </c>
      <c r="M36" s="0">
        <f>MID(D36,FIND(";",SUBSTITUTE(D36,"|",REPT(";",LEN(D36)),6))+1,LEN(D36))</f>
        <v/>
      </c>
      <c r="N36" s="0">
        <f>MID(D36,FIND(",",SUBSTITUTE(D36,"|",REPT(",",LEN(D36)),5))+1,FIND(",",SUBSTITUTE(D36,"|",REPT(",",LEN(D36)),6))-FIND(",",SUBSTITUTE(D36,"|",REPT(",",LEN(D36)),5))-1)</f>
        <v/>
      </c>
    </row>
    <row r="37" ht="42" customHeight="1" s="21">
      <c r="A37" s="8" t="inlineStr">
        <is>
          <t>100101</t>
        </is>
      </c>
      <c r="B37" s="8" t="inlineStr">
        <is>
          <t>冷轧板材</t>
        </is>
      </c>
      <c r="C37" s="8" t="inlineStr">
        <is>
          <t>601432100</t>
        </is>
      </c>
      <c r="D37" s="8" t="inlineStr">
        <is>
          <t>冷轧优质碳素结构钢板|钢板|20|δ1.5|GB/T 13237-1991|冷轧|B,Ⅱ,P|GB/T 708-2006</t>
        </is>
      </c>
      <c r="E37" s="8" t="inlineStr">
        <is>
          <t>物资名称 冷轧优质碳素结构钢板;物资简称 钢板;牌号 20;厚度 δ1.5;宽 ;长 ;技术标准号 GB/T 13237-1991;加工工艺 冷轧;热处理工艺 ;特殊要求 B,Ⅱ,P;规格标准号 GB/T 708-2006</t>
        </is>
      </c>
      <c r="F37" s="4" t="inlineStr">
        <is>
          <t>千克</t>
        </is>
      </c>
      <c r="G37" s="0">
        <f>LEFT(D37,FIND("|",D37,1)-1)</f>
        <v/>
      </c>
      <c r="H37" s="0">
        <f>MID(D37,FIND("|",D37,FIND("|",D37,1))+1,FIND("|",D37,FIND("|",D37,1)+1)-FIND("|",D37,FIND("|",D37,1))-1)</f>
        <v/>
      </c>
      <c r="J37" s="0">
        <f>MID(D37,FIND(",",SUBSTITUTE(D37,"|",REPT(",",LEN(D37)),2))+1,FIND(",",SUBSTITUTE(D37,"|",REPT(",",LEN(D37)),3))-FIND(",",SUBSTITUTE(D37,"|",REPT(",",LEN(D37)),2))-1)</f>
        <v/>
      </c>
      <c r="K37" s="0">
        <f>MID(D37,FIND(",",SUBSTITUTE(D37,"|",REPT(",",LEN(D37)),3))+1,FIND(",",SUBSTITUTE(D37,"|",REPT(",",LEN(D37)),4))-FIND(",",SUBSTITUTE(D37,"|",REPT(",",LEN(D37)),3))-1)</f>
        <v/>
      </c>
      <c r="L37" s="0">
        <f>MID(D37,FIND(",",SUBSTITUTE(D37,"|",REPT(",",LEN(D37)),4))+1,FIND(",",SUBSTITUTE(D37,"|",REPT(",",LEN(D37)),5))-FIND(",",SUBSTITUTE(D37,"|",REPT(",",LEN(D37)),4))-1)</f>
        <v/>
      </c>
      <c r="M37" s="0">
        <f>MID(D37,FIND(";",SUBSTITUTE(D37,"|",REPT(";",LEN(D37)),7))+1,LEN(D37))</f>
        <v/>
      </c>
      <c r="N37" s="0">
        <f>MID(D37,FIND(",",SUBSTITUTE(D37,"|",REPT(",",LEN(D37)),5))+1,FIND(",",SUBSTITUTE(D37,"|",REPT(",",LEN(D37)),6))-FIND(",",SUBSTITUTE(D37,"|",REPT(",",LEN(D37)),5))-1)</f>
        <v/>
      </c>
      <c r="P37" s="0">
        <f>MID(D37,FIND(";",SUBSTITUTE(D37,"|",REPT(";",LEN(D37)),6))+1,FIND(";",SUBSTITUTE(D37,"|",REPT(";",LEN(D37)),7))-FIND(";",SUBSTITUTE(D37,"|",REPT(";",LEN(D37)),6))-1)</f>
        <v/>
      </c>
    </row>
    <row r="38" ht="28" customHeight="1" s="21">
      <c r="A38" s="8" t="inlineStr">
        <is>
          <t>100101</t>
        </is>
      </c>
      <c r="B38" s="8" t="inlineStr">
        <is>
          <t>冷轧板材</t>
        </is>
      </c>
      <c r="C38" s="8" t="inlineStr">
        <is>
          <t>601417700</t>
        </is>
      </c>
      <c r="D38" s="8" t="inlineStr">
        <is>
          <t>冷轧钢板|钢板|Q235|δ0.8|GB/T700-1988|冷轧</t>
        </is>
      </c>
      <c r="E38" s="8" t="inlineStr">
        <is>
          <t xml:space="preserve">物资名称 冷轧钢板;物资简称 钢板;牌号 Q235;厚度 δ0.8;宽 ;长 ;技术标准号 GB/T700-1988;加工工艺 冷轧;热处理工艺 ;特殊要求 ;规格标准号 </t>
        </is>
      </c>
      <c r="F38" s="4" t="inlineStr">
        <is>
          <t>千克</t>
        </is>
      </c>
      <c r="G38" s="0">
        <f>LEFT(D38,FIND("|",D38,1)-1)</f>
        <v/>
      </c>
      <c r="H38" s="0">
        <f>MID(D38,FIND("|",D38,FIND("|",D38,1))+1,FIND("|",D38,FIND("|",D38,1)+1)-FIND("|",D38,FIND("|",D38,1))-1)</f>
        <v/>
      </c>
      <c r="J38" s="0">
        <f>MID(D38,FIND(",",SUBSTITUTE(D38,"|",REPT(",",LEN(D38)),2))+1,FIND(",",SUBSTITUTE(D38,"|",REPT(",",LEN(D38)),3))-FIND(",",SUBSTITUTE(D38,"|",REPT(",",LEN(D38)),2))-1)</f>
        <v/>
      </c>
      <c r="K38" s="0">
        <f>MID(D38,FIND(",",SUBSTITUTE(D38,"|",REPT(",",LEN(D38)),3))+1,FIND(",",SUBSTITUTE(D38,"|",REPT(",",LEN(D38)),4))-FIND(",",SUBSTITUTE(D38,"|",REPT(",",LEN(D38)),3))-1)</f>
        <v/>
      </c>
      <c r="L38" s="0">
        <f>MID(D38,FIND(",",SUBSTITUTE(D38,"|",REPT(",",LEN(D38)),4))+1,FIND(",",SUBSTITUTE(D38,"|",REPT(",",LEN(D38)),5))-FIND(",",SUBSTITUTE(D38,"|",REPT(",",LEN(D38)),4))-1)</f>
        <v/>
      </c>
      <c r="N38" s="0">
        <f>MID(D38,FIND(";",SUBSTITUTE(D38,"|",REPT(";",LEN(D38)),5))+1,LEN(D38))</f>
        <v/>
      </c>
    </row>
    <row r="39" ht="42" customHeight="1" s="21">
      <c r="A39" s="8" t="inlineStr">
        <is>
          <t>100101</t>
        </is>
      </c>
      <c r="B39" s="8" t="inlineStr">
        <is>
          <t>冷轧板材</t>
        </is>
      </c>
      <c r="C39" s="8" t="inlineStr">
        <is>
          <t>601315800</t>
        </is>
      </c>
      <c r="D39" s="8" t="inlineStr">
        <is>
          <t>冷轧优质碳素结构钢板|钢板|10F|δ1.2|GB/T 13237-1991|冷轧|B,Ⅱ,S|GB/T 708-1988</t>
        </is>
      </c>
      <c r="E39" s="8" t="inlineStr">
        <is>
          <t>物资名称 冷轧优质碳素结构钢板;物资简称 钢板;牌号 10F;厚度 δ1.2;宽 ;长 ;技术标准号 GB/T 13237-1991;加工工艺 冷轧;热处理工艺 ;特殊要求 B,Ⅱ,S;规格标准号 GB/T 708-1988</t>
        </is>
      </c>
      <c r="F39" s="4" t="inlineStr">
        <is>
          <t>千克</t>
        </is>
      </c>
      <c r="G39" s="0">
        <f>LEFT(D39,FIND("|",D39,1)-1)</f>
        <v/>
      </c>
      <c r="H39" s="0">
        <f>MID(D39,FIND("|",D39,FIND("|",D39,1))+1,FIND("|",D39,FIND("|",D39,1)+1)-FIND("|",D39,FIND("|",D39,1))-1)</f>
        <v/>
      </c>
      <c r="J39" s="0">
        <f>MID(D39,FIND(",",SUBSTITUTE(D39,"|",REPT(",",LEN(D39)),2))+1,FIND(",",SUBSTITUTE(D39,"|",REPT(",",LEN(D39)),3))-FIND(",",SUBSTITUTE(D39,"|",REPT(",",LEN(D39)),2))-1)</f>
        <v/>
      </c>
      <c r="K39" s="0">
        <f>MID(D39,FIND(",",SUBSTITUTE(D39,"|",REPT(",",LEN(D39)),3))+1,FIND(",",SUBSTITUTE(D39,"|",REPT(",",LEN(D39)),4))-FIND(",",SUBSTITUTE(D39,"|",REPT(",",LEN(D39)),3))-1)</f>
        <v/>
      </c>
      <c r="L39" s="0">
        <f>MID(D39,FIND(",",SUBSTITUTE(D39,"|",REPT(",",LEN(D39)),4))+1,FIND(",",SUBSTITUTE(D39,"|",REPT(",",LEN(D39)),5))-FIND(",",SUBSTITUTE(D39,"|",REPT(",",LEN(D39)),4))-1)</f>
        <v/>
      </c>
      <c r="M39" s="0">
        <f>MID(D39,FIND(";",SUBSTITUTE(D39,"|",REPT(";",LEN(D39)),7))+1,LEN(D39))</f>
        <v/>
      </c>
      <c r="N39" s="0">
        <f>MID(D39,FIND(",",SUBSTITUTE(D39,"|",REPT(",",LEN(D39)),5))+1,FIND(",",SUBSTITUTE(D39,"|",REPT(",",LEN(D39)),6))-FIND(",",SUBSTITUTE(D39,"|",REPT(",",LEN(D39)),5))-1)</f>
        <v/>
      </c>
      <c r="P39" s="0">
        <f>MID(D39,FIND(";",SUBSTITUTE(D39,"|",REPT(";",LEN(D39)),6))+1,FIND(";",SUBSTITUTE(D39,"|",REPT(";",LEN(D39)),7))-FIND(";",SUBSTITUTE(D39,"|",REPT(";",LEN(D39)),6))-1)</f>
        <v/>
      </c>
    </row>
    <row r="40" ht="28" customHeight="1" s="21">
      <c r="A40" s="8" t="inlineStr">
        <is>
          <t>100101</t>
        </is>
      </c>
      <c r="B40" s="8" t="inlineStr">
        <is>
          <t>冷轧板材</t>
        </is>
      </c>
      <c r="C40" s="8" t="inlineStr">
        <is>
          <t>601315700</t>
        </is>
      </c>
      <c r="D40" s="8" t="inlineStr">
        <is>
          <t>冷轧优质碳素结构钢板|钢板|20|δ5×1300×2010|冷轧</t>
        </is>
      </c>
      <c r="E40" s="8" t="inlineStr">
        <is>
          <t xml:space="preserve">物资名称 冷轧优质碳素结构钢板;物资简称 钢板;牌号 20;厚度 δ5;宽 1300;长 2010;技术标准号 ;加工工艺 冷轧;热处理工艺 ;特殊要求 ;规格标准号 </t>
        </is>
      </c>
      <c r="F40" s="4" t="inlineStr">
        <is>
          <t>千克</t>
        </is>
      </c>
      <c r="G40" s="0">
        <f>LEFT(D40,FIND("|",D40,1)-1)</f>
        <v/>
      </c>
      <c r="H40" s="0">
        <f>MID(D40,FIND("|",D40,FIND("|",D40,1))+1,FIND("|",D40,FIND("|",D40,1)+1)-FIND("|",D40,FIND("|",D40,1))-1)</f>
        <v/>
      </c>
      <c r="J40" s="0">
        <f>MID(D40,FIND(",",SUBSTITUTE(D40,"|",REPT(",",LEN(D40)),2))+1,FIND(",",SUBSTITUTE(D40,"|",REPT(",",LEN(D40)),3))-FIND(",",SUBSTITUTE(D40,"|",REPT(",",LEN(D40)),2))-1)</f>
        <v/>
      </c>
      <c r="K40" s="0">
        <f>MID(D40,FIND(",",SUBSTITUTE(D40,"|",REPT(",",LEN(D40)),3))+1,FIND(",",SUBSTITUTE(D40,"|",REPT(",",LEN(D40)),4))-FIND(",",SUBSTITUTE(D40,"|",REPT(",",LEN(D40)),3))-1)</f>
        <v/>
      </c>
      <c r="N40" s="0">
        <f>MID(D40,FIND(";",SUBSTITUTE(D40,"|",REPT(";",LEN(D40)),4))+1,LEN(D40))</f>
        <v/>
      </c>
    </row>
    <row r="41" ht="28" customHeight="1" s="21">
      <c r="A41" s="8" t="inlineStr">
        <is>
          <t>100101</t>
        </is>
      </c>
      <c r="B41" s="8" t="inlineStr">
        <is>
          <t>冷轧板材</t>
        </is>
      </c>
      <c r="C41" s="8" t="inlineStr">
        <is>
          <t>601315600</t>
        </is>
      </c>
      <c r="D41" s="8" t="inlineStr">
        <is>
          <t>冷轧优质碳素结构钢板|钢板|Q235A|δ6|冷轧</t>
        </is>
      </c>
      <c r="E41" s="8" t="inlineStr">
        <is>
          <t xml:space="preserve">物资名称 冷轧优质碳素结构钢板;物资简称 钢板;牌号 Q235A;厚度 δ6;宽 ;长 ;技术标准号 ;加工工艺 冷轧;热处理工艺 ;特殊要求 ;规格标准号 </t>
        </is>
      </c>
      <c r="F41" s="4" t="inlineStr">
        <is>
          <t>千克</t>
        </is>
      </c>
      <c r="G41" s="0">
        <f>LEFT(D41,FIND("|",D41,1)-1)</f>
        <v/>
      </c>
      <c r="H41" s="0">
        <f>MID(D41,FIND("|",D41,FIND("|",D41,1))+1,FIND("|",D41,FIND("|",D41,1)+1)-FIND("|",D41,FIND("|",D41,1))-1)</f>
        <v/>
      </c>
      <c r="J41" s="0">
        <f>MID(D41,FIND(",",SUBSTITUTE(D41,"|",REPT(",",LEN(D41)),2))+1,FIND(",",SUBSTITUTE(D41,"|",REPT(",",LEN(D41)),3))-FIND(",",SUBSTITUTE(D41,"|",REPT(",",LEN(D41)),2))-1)</f>
        <v/>
      </c>
      <c r="K41" s="0">
        <f>MID(D41,FIND(",",SUBSTITUTE(D41,"|",REPT(",",LEN(D41)),3))+1,FIND(",",SUBSTITUTE(D41,"|",REPT(",",LEN(D41)),4))-FIND(",",SUBSTITUTE(D41,"|",REPT(",",LEN(D41)),3))-1)</f>
        <v/>
      </c>
      <c r="N41" s="0">
        <f>MID(D41,FIND(";",SUBSTITUTE(D41,"|",REPT(";",LEN(D41)),4))+1,LEN(D41))</f>
        <v/>
      </c>
    </row>
    <row r="42" ht="28" customHeight="1" s="21">
      <c r="A42" s="8" t="inlineStr">
        <is>
          <t>100101</t>
        </is>
      </c>
      <c r="B42" s="8" t="inlineStr">
        <is>
          <t>冷轧板材</t>
        </is>
      </c>
      <c r="C42" s="8" t="inlineStr">
        <is>
          <t>601315500</t>
        </is>
      </c>
      <c r="D42" s="8" t="inlineStr">
        <is>
          <t>钢板|钢板|ST12|δ1</t>
        </is>
      </c>
      <c r="E42" s="8" t="inlineStr">
        <is>
          <t xml:space="preserve">物资名称 钢板;物资简称 钢板;牌号 ST12;厚度 δ1;宽 ;长 ;技术标准号 ;加工工艺 ;热处理工艺 ;特殊要求 ;规格标准号 </t>
        </is>
      </c>
      <c r="F42" s="4" t="inlineStr">
        <is>
          <t>千克</t>
        </is>
      </c>
      <c r="G42" s="0">
        <f>LEFT(D42,FIND("|",D42,1)-1)</f>
        <v/>
      </c>
      <c r="H42" s="0">
        <f>MID(D42,FIND("|",D42,FIND("|",D42,1))+1,FIND("|",D42,FIND("|",D42,1)+1)-FIND("|",D42,FIND("|",D42,1))-1)</f>
        <v/>
      </c>
      <c r="J42" s="0">
        <f>MID(D42,FIND(",",SUBSTITUTE(D42,"|",REPT(",",LEN(D42)),2))+1,FIND(",",SUBSTITUTE(D42,"|",REPT(",",LEN(D42)),3))-FIND(",",SUBSTITUTE(D42,"|",REPT(",",LEN(D42)),2))-1)</f>
        <v/>
      </c>
      <c r="K42" s="0">
        <f>MID(D42,FIND(";",SUBSTITUTE(D42,"|",REPT(";",LEN(D42)),3))+1,LEN(D42))</f>
        <v/>
      </c>
    </row>
    <row r="43" ht="42" customHeight="1" s="21">
      <c r="A43" s="8" t="inlineStr">
        <is>
          <t>100101</t>
        </is>
      </c>
      <c r="B43" s="8" t="inlineStr">
        <is>
          <t>冷轧板材</t>
        </is>
      </c>
      <c r="C43" s="8" t="inlineStr">
        <is>
          <t>601003200</t>
        </is>
      </c>
      <c r="D43" s="8" t="inlineStr">
        <is>
          <t>冷轧航空用不锈钢薄板|不锈钢板|1Cr18Ni9Ti|δ2|GJB 2295-1995|冷轧|GB/T 708-2006</t>
        </is>
      </c>
      <c r="E43" s="8" t="inlineStr">
        <is>
          <t>物资名称 冷轧航空用不锈钢薄板;物资简称 不锈钢板;牌号 1Cr18Ni9Ti;厚度 δ2;宽 ;长 ;技术标准号 GJB 2295-1995;加工工艺 冷轧;热处理工艺 ;特殊要求 ;规格标准号 GB/T 708-2006</t>
        </is>
      </c>
      <c r="F43" s="4" t="inlineStr">
        <is>
          <t>千克</t>
        </is>
      </c>
      <c r="G43" s="0">
        <f>LEFT(D43,FIND("|",D43,1)-1)</f>
        <v/>
      </c>
      <c r="H43" s="0">
        <f>MID(D43,FIND("|",D43,FIND("|",D43,1))+1,FIND("|",D43,FIND("|",D43,1)+1)-FIND("|",D43,FIND("|",D43,1))-1)</f>
        <v/>
      </c>
      <c r="J43" s="0">
        <f>MID(D43,FIND(",",SUBSTITUTE(D43,"|",REPT(",",LEN(D43)),2))+1,FIND(",",SUBSTITUTE(D43,"|",REPT(",",LEN(D43)),3))-FIND(",",SUBSTITUTE(D43,"|",REPT(",",LEN(D43)),2))-1)</f>
        <v/>
      </c>
      <c r="K43" s="0">
        <f>MID(D43,FIND(",",SUBSTITUTE(D43,"|",REPT(",",LEN(D43)),3))+1,FIND(",",SUBSTITUTE(D43,"|",REPT(",",LEN(D43)),4))-FIND(",",SUBSTITUTE(D43,"|",REPT(",",LEN(D43)),3))-1)</f>
        <v/>
      </c>
      <c r="L43" s="0">
        <f>MID(D43,FIND(",",SUBSTITUTE(D43,"|",REPT(",",LEN(D43)),4))+1,FIND(",",SUBSTITUTE(D43,"|",REPT(",",LEN(D43)),5))-FIND(",",SUBSTITUTE(D43,"|",REPT(",",LEN(D43)),4))-1)</f>
        <v/>
      </c>
      <c r="M43" s="0">
        <f>MID(D43,FIND(";",SUBSTITUTE(D43,"|",REPT(";",LEN(D43)),6))+1,LEN(D43))</f>
        <v/>
      </c>
      <c r="N43" s="0">
        <f>MID(D43,FIND(",",SUBSTITUTE(D43,"|",REPT(",",LEN(D43)),5))+1,FIND(",",SUBSTITUTE(D43,"|",REPT(",",LEN(D43)),6))-FIND(",",SUBSTITUTE(D43,"|",REPT(",",LEN(D43)),5))-1)</f>
        <v/>
      </c>
    </row>
    <row r="44" ht="42" customHeight="1" s="21">
      <c r="A44" s="8" t="inlineStr">
        <is>
          <t>100101</t>
        </is>
      </c>
      <c r="B44" s="8" t="inlineStr">
        <is>
          <t>冷轧板材</t>
        </is>
      </c>
      <c r="C44" s="8" t="inlineStr">
        <is>
          <t>600999200</t>
        </is>
      </c>
      <c r="D44" s="8" t="inlineStr">
        <is>
          <t>冷轧不锈钢板|钢板|1Cr18Ni9Ti|δ10|GB 3280-1992|冷轧|GB/T 708-2006</t>
        </is>
      </c>
      <c r="E44" s="8" t="inlineStr">
        <is>
          <t>物资名称 冷轧不锈钢板;物资简称 钢板;牌号 1Cr18Ni9Ti;厚度 δ10;宽 ;长 ;技术标准号 GB 3280-1992;加工工艺 冷轧;热处理工艺 ;特殊要求 ;规格标准号 GB/T 708-2006</t>
        </is>
      </c>
      <c r="F44" s="4" t="inlineStr">
        <is>
          <t>千克</t>
        </is>
      </c>
      <c r="G44" s="0">
        <f>LEFT(D44,FIND("|",D44,1)-1)</f>
        <v/>
      </c>
      <c r="H44" s="0">
        <f>MID(D44,FIND("|",D44,FIND("|",D44,1))+1,FIND("|",D44,FIND("|",D44,1)+1)-FIND("|",D44,FIND("|",D44,1))-1)</f>
        <v/>
      </c>
      <c r="J44" s="0">
        <f>MID(D44,FIND(",",SUBSTITUTE(D44,"|",REPT(",",LEN(D44)),2))+1,FIND(",",SUBSTITUTE(D44,"|",REPT(",",LEN(D44)),3))-FIND(",",SUBSTITUTE(D44,"|",REPT(",",LEN(D44)),2))-1)</f>
        <v/>
      </c>
      <c r="K44" s="0">
        <f>MID(D44,FIND(",",SUBSTITUTE(D44,"|",REPT(",",LEN(D44)),3))+1,FIND(",",SUBSTITUTE(D44,"|",REPT(",",LEN(D44)),4))-FIND(",",SUBSTITUTE(D44,"|",REPT(",",LEN(D44)),3))-1)</f>
        <v/>
      </c>
      <c r="L44" s="0">
        <f>MID(D44,FIND(",",SUBSTITUTE(D44,"|",REPT(",",LEN(D44)),4))+1,FIND(",",SUBSTITUTE(D44,"|",REPT(",",LEN(D44)),5))-FIND(",",SUBSTITUTE(D44,"|",REPT(",",LEN(D44)),4))-1)</f>
        <v/>
      </c>
      <c r="M44" s="0">
        <f>MID(D44,FIND(";",SUBSTITUTE(D44,"|",REPT(";",LEN(D44)),6))+1,LEN(D44))</f>
        <v/>
      </c>
      <c r="N44" s="0">
        <f>MID(D44,FIND(",",SUBSTITUTE(D44,"|",REPT(",",LEN(D44)),5))+1,FIND(",",SUBSTITUTE(D44,"|",REPT(",",LEN(D44)),6))-FIND(",",SUBSTITUTE(D44,"|",REPT(",",LEN(D44)),5))-1)</f>
        <v/>
      </c>
    </row>
    <row r="45" ht="42" customHeight="1" s="21">
      <c r="A45" s="8" t="inlineStr">
        <is>
          <t>100101</t>
        </is>
      </c>
      <c r="B45" s="8" t="inlineStr">
        <is>
          <t>冷轧板材</t>
        </is>
      </c>
      <c r="C45" s="8" t="inlineStr">
        <is>
          <t>600999100</t>
        </is>
      </c>
      <c r="D45" s="8" t="inlineStr">
        <is>
          <t>冷轧不锈钢板|钢板|12Cr18Ni9|δ0.15|GB/T 3280-2007|冷轧|GB/T 708-2006</t>
        </is>
      </c>
      <c r="E45" s="8" t="inlineStr">
        <is>
          <t>物资名称 冷轧不锈钢板;物资简称 钢板;牌号 12Cr18Ni9;厚度 δ0.15;宽 ;长 ;技术标准号 GB/T 3280-2007;加工工艺 冷轧;热处理工艺 ;特殊要求 ;规格标准号 GB/T 708-2006</t>
        </is>
      </c>
      <c r="F45" s="4" t="inlineStr">
        <is>
          <t>千克</t>
        </is>
      </c>
      <c r="G45" s="0">
        <f>LEFT(D45,FIND("|",D45,1)-1)</f>
        <v/>
      </c>
      <c r="H45" s="0">
        <f>MID(D45,FIND("|",D45,FIND("|",D45,1))+1,FIND("|",D45,FIND("|",D45,1)+1)-FIND("|",D45,FIND("|",D45,1))-1)</f>
        <v/>
      </c>
      <c r="J45" s="0">
        <f>MID(D45,FIND(",",SUBSTITUTE(D45,"|",REPT(",",LEN(D45)),2))+1,FIND(",",SUBSTITUTE(D45,"|",REPT(",",LEN(D45)),3))-FIND(",",SUBSTITUTE(D45,"|",REPT(",",LEN(D45)),2))-1)</f>
        <v/>
      </c>
      <c r="K45" s="0">
        <f>MID(D45,FIND(",",SUBSTITUTE(D45,"|",REPT(",",LEN(D45)),3))+1,FIND(",",SUBSTITUTE(D45,"|",REPT(",",LEN(D45)),4))-FIND(",",SUBSTITUTE(D45,"|",REPT(",",LEN(D45)),3))-1)</f>
        <v/>
      </c>
      <c r="L45" s="0">
        <f>MID(D45,FIND(",",SUBSTITUTE(D45,"|",REPT(",",LEN(D45)),4))+1,FIND(",",SUBSTITUTE(D45,"|",REPT(",",LEN(D45)),5))-FIND(",",SUBSTITUTE(D45,"|",REPT(",",LEN(D45)),4))-1)</f>
        <v/>
      </c>
      <c r="M45" s="0">
        <f>MID(D45,FIND(";",SUBSTITUTE(D45,"|",REPT(";",LEN(D45)),6))+1,LEN(D45))</f>
        <v/>
      </c>
      <c r="N45" s="0">
        <f>MID(D45,FIND(",",SUBSTITUTE(D45,"|",REPT(",",LEN(D45)),5))+1,FIND(",",SUBSTITUTE(D45,"|",REPT(",",LEN(D45)),6))-FIND(",",SUBSTITUTE(D45,"|",REPT(",",LEN(D45)),5))-1)</f>
        <v/>
      </c>
    </row>
    <row r="46" ht="42" customHeight="1" s="21">
      <c r="A46" s="8" t="inlineStr">
        <is>
          <t>100101</t>
        </is>
      </c>
      <c r="B46" s="8" t="inlineStr">
        <is>
          <t>冷轧板材</t>
        </is>
      </c>
      <c r="C46" s="8" t="inlineStr">
        <is>
          <t>600999000</t>
        </is>
      </c>
      <c r="D46" s="8" t="inlineStr">
        <is>
          <t>冷轧不锈钢板|钢板|12Cr18Ni9|δ0.25|GB/T 3280-2007|冷轧|GB/T 708-2006</t>
        </is>
      </c>
      <c r="E46" s="8" t="inlineStr">
        <is>
          <t>物资名称 冷轧不锈钢板;物资简称 钢板;牌号 12Cr18Ni9;厚度 δ0.25;宽 ;长 ;技术标准号 GB/T 3280-2007;加工工艺 冷轧;热处理工艺 ;特殊要求 ;规格标准号 GB/T 708-2006</t>
        </is>
      </c>
      <c r="F46" s="4" t="inlineStr">
        <is>
          <t>千克</t>
        </is>
      </c>
      <c r="G46" s="0">
        <f>LEFT(D46,FIND("|",D46,1)-1)</f>
        <v/>
      </c>
      <c r="H46" s="0">
        <f>MID(D46,FIND("|",D46,FIND("|",D46,1))+1,FIND("|",D46,FIND("|",D46,1)+1)-FIND("|",D46,FIND("|",D46,1))-1)</f>
        <v/>
      </c>
      <c r="J46" s="0">
        <f>MID(D46,FIND(",",SUBSTITUTE(D46,"|",REPT(",",LEN(D46)),2))+1,FIND(",",SUBSTITUTE(D46,"|",REPT(",",LEN(D46)),3))-FIND(",",SUBSTITUTE(D46,"|",REPT(",",LEN(D46)),2))-1)</f>
        <v/>
      </c>
      <c r="K46" s="0">
        <f>MID(D46,FIND(",",SUBSTITUTE(D46,"|",REPT(",",LEN(D46)),3))+1,FIND(",",SUBSTITUTE(D46,"|",REPT(",",LEN(D46)),4))-FIND(",",SUBSTITUTE(D46,"|",REPT(",",LEN(D46)),3))-1)</f>
        <v/>
      </c>
      <c r="L46" s="0">
        <f>MID(D46,FIND(",",SUBSTITUTE(D46,"|",REPT(",",LEN(D46)),4))+1,FIND(",",SUBSTITUTE(D46,"|",REPT(",",LEN(D46)),5))-FIND(",",SUBSTITUTE(D46,"|",REPT(",",LEN(D46)),4))-1)</f>
        <v/>
      </c>
      <c r="M46" s="0">
        <f>MID(D46,FIND(";",SUBSTITUTE(D46,"|",REPT(";",LEN(D46)),6))+1,LEN(D46))</f>
        <v/>
      </c>
      <c r="N46" s="0">
        <f>MID(D46,FIND(",",SUBSTITUTE(D46,"|",REPT(",",LEN(D46)),5))+1,FIND(",",SUBSTITUTE(D46,"|",REPT(",",LEN(D46)),6))-FIND(",",SUBSTITUTE(D46,"|",REPT(",",LEN(D46)),5))-1)</f>
        <v/>
      </c>
    </row>
    <row r="47" ht="42" customHeight="1" s="21">
      <c r="A47" s="8" t="inlineStr">
        <is>
          <t>100101</t>
        </is>
      </c>
      <c r="B47" s="8" t="inlineStr">
        <is>
          <t>冷轧板材</t>
        </is>
      </c>
      <c r="C47" s="8" t="inlineStr">
        <is>
          <t>600994500</t>
        </is>
      </c>
      <c r="D47" s="8" t="inlineStr">
        <is>
          <t>冷轧不锈钢板|钢板|12Cr18Ni9|δ0.7|GB/T 3280-2007|冷轧|GB/T 708-2006</t>
        </is>
      </c>
      <c r="E47" s="8" t="inlineStr">
        <is>
          <t>物资名称 冷轧不锈钢板;物资简称 钢板;牌号 12Cr18Ni9;厚度 δ0.7;宽 ;长 ;技术标准号 GB/T 3280-2007;加工工艺 冷轧;热处理工艺 ;特殊要求 ;规格标准号 GB/T 708-2006</t>
        </is>
      </c>
      <c r="F47" s="4" t="inlineStr">
        <is>
          <t>千克</t>
        </is>
      </c>
      <c r="G47" s="0">
        <f>LEFT(D47,FIND("|",D47,1)-1)</f>
        <v/>
      </c>
      <c r="H47" s="0">
        <f>MID(D47,FIND("|",D47,FIND("|",D47,1))+1,FIND("|",D47,FIND("|",D47,1)+1)-FIND("|",D47,FIND("|",D47,1))-1)</f>
        <v/>
      </c>
      <c r="J47" s="0">
        <f>MID(D47,FIND(",",SUBSTITUTE(D47,"|",REPT(",",LEN(D47)),2))+1,FIND(",",SUBSTITUTE(D47,"|",REPT(",",LEN(D47)),3))-FIND(",",SUBSTITUTE(D47,"|",REPT(",",LEN(D47)),2))-1)</f>
        <v/>
      </c>
      <c r="K47" s="0">
        <f>MID(D47,FIND(",",SUBSTITUTE(D47,"|",REPT(",",LEN(D47)),3))+1,FIND(",",SUBSTITUTE(D47,"|",REPT(",",LEN(D47)),4))-FIND(",",SUBSTITUTE(D47,"|",REPT(",",LEN(D47)),3))-1)</f>
        <v/>
      </c>
      <c r="L47" s="0">
        <f>MID(D47,FIND(",",SUBSTITUTE(D47,"|",REPT(",",LEN(D47)),4))+1,FIND(",",SUBSTITUTE(D47,"|",REPT(",",LEN(D47)),5))-FIND(",",SUBSTITUTE(D47,"|",REPT(",",LEN(D47)),4))-1)</f>
        <v/>
      </c>
      <c r="M47" s="0">
        <f>MID(D47,FIND(";",SUBSTITUTE(D47,"|",REPT(";",LEN(D47)),6))+1,LEN(D47))</f>
        <v/>
      </c>
      <c r="N47" s="0">
        <f>MID(D47,FIND(",",SUBSTITUTE(D47,"|",REPT(",",LEN(D47)),5))+1,FIND(",",SUBSTITUTE(D47,"|",REPT(",",LEN(D47)),6))-FIND(",",SUBSTITUTE(D47,"|",REPT(",",LEN(D47)),5))-1)</f>
        <v/>
      </c>
    </row>
    <row r="48" ht="42" customHeight="1" s="21">
      <c r="A48" s="8" t="inlineStr">
        <is>
          <t>100101</t>
        </is>
      </c>
      <c r="B48" s="8" t="inlineStr">
        <is>
          <t>冷轧板材</t>
        </is>
      </c>
      <c r="C48" s="8" t="inlineStr">
        <is>
          <t>600994400</t>
        </is>
      </c>
      <c r="D48" s="8" t="inlineStr">
        <is>
          <t>冷轧不锈钢板|钢板|12Cr18Ni9|δ1|GB/T 3280-2007|冷轧|GB/T 708-2006</t>
        </is>
      </c>
      <c r="E48" s="8" t="inlineStr">
        <is>
          <t>物资名称 冷轧不锈钢板;物资简称 钢板;牌号 12Cr18Ni9;厚度 δ1;宽 ;长 ;技术标准号 GB/T 3280-2007;加工工艺 冷轧;热处理工艺 ;特殊要求 ;规格标准号 GB/T 708-2006</t>
        </is>
      </c>
      <c r="F48" s="4" t="inlineStr">
        <is>
          <t>千克</t>
        </is>
      </c>
      <c r="G48" s="0">
        <f>LEFT(D48,FIND("|",D48,1)-1)</f>
        <v/>
      </c>
      <c r="H48" s="0">
        <f>MID(D48,FIND("|",D48,FIND("|",D48,1))+1,FIND("|",D48,FIND("|",D48,1)+1)-FIND("|",D48,FIND("|",D48,1))-1)</f>
        <v/>
      </c>
      <c r="J48" s="0">
        <f>MID(D48,FIND(",",SUBSTITUTE(D48,"|",REPT(",",LEN(D48)),2))+1,FIND(",",SUBSTITUTE(D48,"|",REPT(",",LEN(D48)),3))-FIND(",",SUBSTITUTE(D48,"|",REPT(",",LEN(D48)),2))-1)</f>
        <v/>
      </c>
      <c r="K48" s="0">
        <f>MID(D48,FIND(",",SUBSTITUTE(D48,"|",REPT(",",LEN(D48)),3))+1,FIND(",",SUBSTITUTE(D48,"|",REPT(",",LEN(D48)),4))-FIND(",",SUBSTITUTE(D48,"|",REPT(",",LEN(D48)),3))-1)</f>
        <v/>
      </c>
      <c r="L48" s="0">
        <f>MID(D48,FIND(",",SUBSTITUTE(D48,"|",REPT(",",LEN(D48)),4))+1,FIND(",",SUBSTITUTE(D48,"|",REPT(",",LEN(D48)),5))-FIND(",",SUBSTITUTE(D48,"|",REPT(",",LEN(D48)),4))-1)</f>
        <v/>
      </c>
      <c r="M48" s="0">
        <f>MID(D48,FIND(";",SUBSTITUTE(D48,"|",REPT(";",LEN(D48)),6))+1,LEN(D48))</f>
        <v/>
      </c>
      <c r="N48" s="0">
        <f>MID(D48,FIND(",",SUBSTITUTE(D48,"|",REPT(",",LEN(D48)),5))+1,FIND(",",SUBSTITUTE(D48,"|",REPT(",",LEN(D48)),6))-FIND(",",SUBSTITUTE(D48,"|",REPT(",",LEN(D48)),5))-1)</f>
        <v/>
      </c>
    </row>
    <row r="49" ht="42" customHeight="1" s="21">
      <c r="A49" s="8" t="inlineStr">
        <is>
          <t>100101</t>
        </is>
      </c>
      <c r="B49" s="8" t="inlineStr">
        <is>
          <t>冷轧板材</t>
        </is>
      </c>
      <c r="C49" s="8" t="inlineStr">
        <is>
          <t>600994300</t>
        </is>
      </c>
      <c r="D49" s="8" t="inlineStr">
        <is>
          <t>冷轧不锈钢板|钢板|12Cr18Ni9|δ2|GB/T 3280-2007|冷轧|GB/T 708-2006</t>
        </is>
      </c>
      <c r="E49" s="8" t="inlineStr">
        <is>
          <t>物资名称 冷轧不锈钢板;物资简称 钢板;牌号 12Cr18Ni9;厚度 δ2;宽 ;长 ;技术标准号 GB/T 3280-2007;加工工艺 冷轧;热处理工艺 ;特殊要求 ;规格标准号 GB/T 708-2006</t>
        </is>
      </c>
      <c r="F49" s="4" t="inlineStr">
        <is>
          <t>千克</t>
        </is>
      </c>
      <c r="G49" s="0">
        <f>LEFT(D49,FIND("|",D49,1)-1)</f>
        <v/>
      </c>
      <c r="H49" s="0">
        <f>MID(D49,FIND("|",D49,FIND("|",D49,1))+1,FIND("|",D49,FIND("|",D49,1)+1)-FIND("|",D49,FIND("|",D49,1))-1)</f>
        <v/>
      </c>
      <c r="J49" s="0">
        <f>MID(D49,FIND(",",SUBSTITUTE(D49,"|",REPT(",",LEN(D49)),2))+1,FIND(",",SUBSTITUTE(D49,"|",REPT(",",LEN(D49)),3))-FIND(",",SUBSTITUTE(D49,"|",REPT(",",LEN(D49)),2))-1)</f>
        <v/>
      </c>
      <c r="K49" s="0">
        <f>MID(D49,FIND(",",SUBSTITUTE(D49,"|",REPT(",",LEN(D49)),3))+1,FIND(",",SUBSTITUTE(D49,"|",REPT(",",LEN(D49)),4))-FIND(",",SUBSTITUTE(D49,"|",REPT(",",LEN(D49)),3))-1)</f>
        <v/>
      </c>
      <c r="L49" s="0">
        <f>MID(D49,FIND(",",SUBSTITUTE(D49,"|",REPT(",",LEN(D49)),4))+1,FIND(",",SUBSTITUTE(D49,"|",REPT(",",LEN(D49)),5))-FIND(",",SUBSTITUTE(D49,"|",REPT(",",LEN(D49)),4))-1)</f>
        <v/>
      </c>
      <c r="M49" s="0">
        <f>MID(D49,FIND(";",SUBSTITUTE(D49,"|",REPT(";",LEN(D49)),6))+1,LEN(D49))</f>
        <v/>
      </c>
      <c r="N49" s="0">
        <f>MID(D49,FIND(",",SUBSTITUTE(D49,"|",REPT(",",LEN(D49)),5))+1,FIND(",",SUBSTITUTE(D49,"|",REPT(",",LEN(D49)),6))-FIND(",",SUBSTITUTE(D49,"|",REPT(",",LEN(D49)),5))-1)</f>
        <v/>
      </c>
    </row>
    <row r="50" ht="42" customHeight="1" s="21">
      <c r="A50" s="8" t="inlineStr">
        <is>
          <t>100101</t>
        </is>
      </c>
      <c r="B50" s="8" t="inlineStr">
        <is>
          <t>冷轧板材</t>
        </is>
      </c>
      <c r="C50" s="8" t="inlineStr">
        <is>
          <t>600994200</t>
        </is>
      </c>
      <c r="D50" s="8" t="inlineStr">
        <is>
          <t>冷轧不锈钢板|钢板|12Cr18Ni9|δ10|GB/T 3280-2007|冷轧|GB/T 708-2006</t>
        </is>
      </c>
      <c r="E50" s="8" t="inlineStr">
        <is>
          <t>物资名称 冷轧不锈钢板;物资简称 钢板;牌号 12Cr18Ni9;厚度 δ10;宽 ;长 ;技术标准号 GB/T 3280-2007;加工工艺 冷轧;热处理工艺 ;特殊要求 ;规格标准号 GB/T 708-2006</t>
        </is>
      </c>
      <c r="F50" s="4" t="inlineStr">
        <is>
          <t>千克</t>
        </is>
      </c>
      <c r="G50" s="0">
        <f>LEFT(D50,FIND("|",D50,1)-1)</f>
        <v/>
      </c>
      <c r="H50" s="0">
        <f>MID(D50,FIND("|",D50,FIND("|",D50,1))+1,FIND("|",D50,FIND("|",D50,1)+1)-FIND("|",D50,FIND("|",D50,1))-1)</f>
        <v/>
      </c>
      <c r="J50" s="0">
        <f>MID(D50,FIND(",",SUBSTITUTE(D50,"|",REPT(",",LEN(D50)),2))+1,FIND(",",SUBSTITUTE(D50,"|",REPT(",",LEN(D50)),3))-FIND(",",SUBSTITUTE(D50,"|",REPT(",",LEN(D50)),2))-1)</f>
        <v/>
      </c>
      <c r="K50" s="0">
        <f>MID(D50,FIND(",",SUBSTITUTE(D50,"|",REPT(",",LEN(D50)),3))+1,FIND(",",SUBSTITUTE(D50,"|",REPT(",",LEN(D50)),4))-FIND(",",SUBSTITUTE(D50,"|",REPT(",",LEN(D50)),3))-1)</f>
        <v/>
      </c>
      <c r="L50" s="0">
        <f>MID(D50,FIND(",",SUBSTITUTE(D50,"|",REPT(",",LEN(D50)),4))+1,FIND(",",SUBSTITUTE(D50,"|",REPT(",",LEN(D50)),5))-FIND(",",SUBSTITUTE(D50,"|",REPT(",",LEN(D50)),4))-1)</f>
        <v/>
      </c>
      <c r="M50" s="0">
        <f>MID(D50,FIND(";",SUBSTITUTE(D50,"|",REPT(";",LEN(D50)),6))+1,LEN(D50))</f>
        <v/>
      </c>
      <c r="N50" s="0">
        <f>MID(D50,FIND(",",SUBSTITUTE(D50,"|",REPT(",",LEN(D50)),5))+1,FIND(",",SUBSTITUTE(D50,"|",REPT(",",LEN(D50)),6))-FIND(",",SUBSTITUTE(D50,"|",REPT(",",LEN(D50)),5))-1)</f>
        <v/>
      </c>
    </row>
    <row r="51" ht="42" customHeight="1" s="21">
      <c r="A51" s="8" t="inlineStr">
        <is>
          <t>100101</t>
        </is>
      </c>
      <c r="B51" s="8" t="inlineStr">
        <is>
          <t>冷轧板材</t>
        </is>
      </c>
      <c r="C51" s="8" t="inlineStr">
        <is>
          <t>600983800</t>
        </is>
      </c>
      <c r="D51" s="8" t="inlineStr">
        <is>
          <t>冷轧优质碳素结构钢板|钢板|20|δ3|GB/T 11253-1989|B,Ⅱ,P|GB/T 708-1988</t>
        </is>
      </c>
      <c r="E51" s="8" t="inlineStr">
        <is>
          <t>物资名称 冷轧优质碳素结构钢板;物资简称 钢板;牌号 20;厚度 δ3;宽 ;长 ;技术标准号 GB/T 11253-1989;加工工艺 ;热处理工艺 ;特殊要求 B,Ⅱ,P;规格标准号 GB/T 708-1988</t>
        </is>
      </c>
      <c r="F51" s="4" t="inlineStr">
        <is>
          <t>千克</t>
        </is>
      </c>
      <c r="G51" s="0">
        <f>LEFT(D51,FIND("|",D51,1)-1)</f>
        <v/>
      </c>
      <c r="H51" s="0">
        <f>MID(D51,FIND("|",D51,FIND("|",D51,1))+1,FIND("|",D51,FIND("|",D51,1)+1)-FIND("|",D51,FIND("|",D51,1))-1)</f>
        <v/>
      </c>
      <c r="J51" s="0">
        <f>MID(D51,FIND(",",SUBSTITUTE(D51,"|",REPT(",",LEN(D51)),2))+1,FIND(",",SUBSTITUTE(D51,"|",REPT(",",LEN(D51)),3))-FIND(",",SUBSTITUTE(D51,"|",REPT(",",LEN(D51)),2))-1)</f>
        <v/>
      </c>
      <c r="K51" s="0">
        <f>MID(D51,FIND(",",SUBSTITUTE(D51,"|",REPT(",",LEN(D51)),3))+1,FIND(",",SUBSTITUTE(D51,"|",REPT(",",LEN(D51)),4))-FIND(",",SUBSTITUTE(D51,"|",REPT(",",LEN(D51)),3))-1)</f>
        <v/>
      </c>
      <c r="L51" s="0">
        <f>MID(D51,FIND(",",SUBSTITUTE(D51,"|",REPT(",",LEN(D51)),4))+1,FIND(",",SUBSTITUTE(D51,"|",REPT(",",LEN(D51)),5))-FIND(",",SUBSTITUTE(D51,"|",REPT(",",LEN(D51)),4))-1)</f>
        <v/>
      </c>
      <c r="M51" s="0">
        <f>MID(D51,FIND(";",SUBSTITUTE(D51,"|",REPT(";",LEN(D51)),6))+1,LEN(D51))</f>
        <v/>
      </c>
      <c r="P51" s="0">
        <f>MID(D51,FIND(";",SUBSTITUTE(D51,"|",REPT(";",LEN(D51)),5))+1,FIND(";",SUBSTITUTE(D51,"|",REPT(";",LEN(D51)),6))-FIND(";",SUBSTITUTE(D51,"|",REPT(";",LEN(D51)),5))-1)</f>
        <v/>
      </c>
    </row>
    <row r="52" ht="42" customHeight="1" s="21">
      <c r="A52" s="8" t="inlineStr">
        <is>
          <t>100101</t>
        </is>
      </c>
      <c r="B52" s="8" t="inlineStr">
        <is>
          <t>冷轧板材</t>
        </is>
      </c>
      <c r="C52" s="8" t="inlineStr">
        <is>
          <t>600979200</t>
        </is>
      </c>
      <c r="D52" s="8" t="inlineStr">
        <is>
          <t>冷轧优质碳素结构钢板|钢板|20|δ1.2|GB/T 13237-1991|Ⅱ,P|GB/T 708-2006</t>
        </is>
      </c>
      <c r="E52" s="8" t="inlineStr">
        <is>
          <t>物资名称 冷轧优质碳素结构钢板;物资简称 钢板;牌号 20;厚度 δ1.2;宽 ;长 ;技术标准号 GB/T 13237-1991;加工工艺 ;热处理工艺 ;特殊要求 Ⅱ,P;规格标准号 GB/T 708-2006</t>
        </is>
      </c>
      <c r="F52" s="4" t="inlineStr">
        <is>
          <t>千克</t>
        </is>
      </c>
      <c r="G52" s="0">
        <f>LEFT(D52,FIND("|",D52,1)-1)</f>
        <v/>
      </c>
      <c r="H52" s="0">
        <f>MID(D52,FIND("|",D52,FIND("|",D52,1))+1,FIND("|",D52,FIND("|",D52,1)+1)-FIND("|",D52,FIND("|",D52,1))-1)</f>
        <v/>
      </c>
      <c r="J52" s="0">
        <f>MID(D52,FIND(",",SUBSTITUTE(D52,"|",REPT(",",LEN(D52)),2))+1,FIND(",",SUBSTITUTE(D52,"|",REPT(",",LEN(D52)),3))-FIND(",",SUBSTITUTE(D52,"|",REPT(",",LEN(D52)),2))-1)</f>
        <v/>
      </c>
      <c r="K52" s="0">
        <f>MID(D52,FIND(",",SUBSTITUTE(D52,"|",REPT(",",LEN(D52)),3))+1,FIND(",",SUBSTITUTE(D52,"|",REPT(",",LEN(D52)),4))-FIND(",",SUBSTITUTE(D52,"|",REPT(",",LEN(D52)),3))-1)</f>
        <v/>
      </c>
      <c r="L52" s="0">
        <f>MID(D52,FIND(",",SUBSTITUTE(D52,"|",REPT(",",LEN(D52)),4))+1,FIND(",",SUBSTITUTE(D52,"|",REPT(",",LEN(D52)),5))-FIND(",",SUBSTITUTE(D52,"|",REPT(",",LEN(D52)),4))-1)</f>
        <v/>
      </c>
      <c r="M52" s="0">
        <f>MID(D52,FIND(";",SUBSTITUTE(D52,"|",REPT(";",LEN(D52)),6))+1,LEN(D52))</f>
        <v/>
      </c>
      <c r="P52" s="0">
        <f>MID(D52,FIND(";",SUBSTITUTE(D52,"|",REPT(";",LEN(D52)),5))+1,FIND(";",SUBSTITUTE(D52,"|",REPT(";",LEN(D52)),6))-FIND(";",SUBSTITUTE(D52,"|",REPT(";",LEN(D52)),5))-1)</f>
        <v/>
      </c>
    </row>
    <row r="53" ht="28" customHeight="1" s="21">
      <c r="A53" s="8" t="inlineStr">
        <is>
          <t>100101</t>
        </is>
      </c>
      <c r="B53" s="8" t="inlineStr">
        <is>
          <t>冷轧板材</t>
        </is>
      </c>
      <c r="C53" s="8" t="inlineStr">
        <is>
          <t>600978400</t>
        </is>
      </c>
      <c r="D53" s="8" t="inlineStr">
        <is>
          <t>冷轧优质碳素结构钢板|钢板|20|δ1.2|GB/T 13237-1991|冷轧</t>
        </is>
      </c>
      <c r="E53" s="8" t="inlineStr">
        <is>
          <t xml:space="preserve">物资名称 冷轧优质碳素结构钢板;物资简称 钢板;牌号 20;厚度 δ1.2;宽 ;长 ;技术标准号 GB/T 13237-1991;加工工艺 冷轧;热处理工艺 ;特殊要求 ;规格标准号 </t>
        </is>
      </c>
      <c r="F53" s="4" t="inlineStr">
        <is>
          <t>千克</t>
        </is>
      </c>
      <c r="G53" s="0">
        <f>LEFT(D53,FIND("|",D53,1)-1)</f>
        <v/>
      </c>
      <c r="H53" s="0">
        <f>MID(D53,FIND("|",D53,FIND("|",D53,1))+1,FIND("|",D53,FIND("|",D53,1)+1)-FIND("|",D53,FIND("|",D53,1))-1)</f>
        <v/>
      </c>
      <c r="J53" s="0">
        <f>MID(D53,FIND(",",SUBSTITUTE(D53,"|",REPT(",",LEN(D53)),2))+1,FIND(",",SUBSTITUTE(D53,"|",REPT(",",LEN(D53)),3))-FIND(",",SUBSTITUTE(D53,"|",REPT(",",LEN(D53)),2))-1)</f>
        <v/>
      </c>
      <c r="K53" s="0">
        <f>MID(D53,FIND(",",SUBSTITUTE(D53,"|",REPT(",",LEN(D53)),3))+1,FIND(",",SUBSTITUTE(D53,"|",REPT(",",LEN(D53)),4))-FIND(",",SUBSTITUTE(D53,"|",REPT(",",LEN(D53)),3))-1)</f>
        <v/>
      </c>
      <c r="L53" s="0">
        <f>MID(D53,FIND(",",SUBSTITUTE(D53,"|",REPT(",",LEN(D53)),4))+1,FIND(",",SUBSTITUTE(D53,"|",REPT(",",LEN(D53)),5))-FIND(",",SUBSTITUTE(D53,"|",REPT(",",LEN(D53)),4))-1)</f>
        <v/>
      </c>
      <c r="N53" s="0">
        <f>MID(D53,FIND(";",SUBSTITUTE(D53,"|",REPT(";",LEN(D53)),5))+1,LEN(D53))</f>
        <v/>
      </c>
    </row>
    <row r="54" ht="42" customHeight="1" s="21">
      <c r="A54" s="8" t="inlineStr">
        <is>
          <t>100101</t>
        </is>
      </c>
      <c r="B54" s="8" t="inlineStr">
        <is>
          <t>冷轧板材</t>
        </is>
      </c>
      <c r="C54" s="8" t="inlineStr">
        <is>
          <t>600977300</t>
        </is>
      </c>
      <c r="D54" s="8" t="inlineStr">
        <is>
          <t>冷轧优质碳素结构钢板|钢板|20|δ1|GB/T 13237-1991|B,Ⅱ,P|GB/T 708-1988</t>
        </is>
      </c>
      <c r="E54" s="8" t="inlineStr">
        <is>
          <t>物资名称 冷轧优质碳素结构钢板;物资简称 钢板;牌号 20;厚度 δ1;宽 ;长 ;技术标准号 GB/T 13237-1991;加工工艺 ;热处理工艺 ;特殊要求 B,Ⅱ,P;规格标准号 GB/T 708-1988</t>
        </is>
      </c>
      <c r="F54" s="4" t="inlineStr">
        <is>
          <t>千克</t>
        </is>
      </c>
      <c r="G54" s="0">
        <f>LEFT(D54,FIND("|",D54,1)-1)</f>
        <v/>
      </c>
      <c r="H54" s="0">
        <f>MID(D54,FIND("|",D54,FIND("|",D54,1))+1,FIND("|",D54,FIND("|",D54,1)+1)-FIND("|",D54,FIND("|",D54,1))-1)</f>
        <v/>
      </c>
      <c r="J54" s="0">
        <f>MID(D54,FIND(",",SUBSTITUTE(D54,"|",REPT(",",LEN(D54)),2))+1,FIND(",",SUBSTITUTE(D54,"|",REPT(",",LEN(D54)),3))-FIND(",",SUBSTITUTE(D54,"|",REPT(",",LEN(D54)),2))-1)</f>
        <v/>
      </c>
      <c r="K54" s="0">
        <f>MID(D54,FIND(",",SUBSTITUTE(D54,"|",REPT(",",LEN(D54)),3))+1,FIND(",",SUBSTITUTE(D54,"|",REPT(",",LEN(D54)),4))-FIND(",",SUBSTITUTE(D54,"|",REPT(",",LEN(D54)),3))-1)</f>
        <v/>
      </c>
      <c r="L54" s="0">
        <f>MID(D54,FIND(",",SUBSTITUTE(D54,"|",REPT(",",LEN(D54)),4))+1,FIND(",",SUBSTITUTE(D54,"|",REPT(",",LEN(D54)),5))-FIND(",",SUBSTITUTE(D54,"|",REPT(",",LEN(D54)),4))-1)</f>
        <v/>
      </c>
      <c r="M54" s="0">
        <f>MID(D54,FIND(";",SUBSTITUTE(D54,"|",REPT(";",LEN(D54)),6))+1,LEN(D54))</f>
        <v/>
      </c>
      <c r="P54" s="0">
        <f>MID(D54,FIND(";",SUBSTITUTE(D54,"|",REPT(";",LEN(D54)),5))+1,FIND(";",SUBSTITUTE(D54,"|",REPT(";",LEN(D54)),6))-FIND(";",SUBSTITUTE(D54,"|",REPT(";",LEN(D54)),5))-1)</f>
        <v/>
      </c>
    </row>
    <row r="55" ht="42" customHeight="1" s="21">
      <c r="A55" s="8" t="inlineStr">
        <is>
          <t>100101</t>
        </is>
      </c>
      <c r="B55" s="8" t="inlineStr">
        <is>
          <t>冷轧板材</t>
        </is>
      </c>
      <c r="C55" s="8" t="inlineStr">
        <is>
          <t>600977200</t>
        </is>
      </c>
      <c r="D55" s="8" t="inlineStr">
        <is>
          <t>冷轧优质碳素结构钢板|钢板|20|δ2|GB/T 13237-1991|B,Ⅱ,P|GB/T 708-1988</t>
        </is>
      </c>
      <c r="E55" s="8" t="inlineStr">
        <is>
          <t>物资名称 冷轧优质碳素结构钢板;物资简称 钢板;牌号 20;厚度 δ2;宽 ;长 ;技术标准号 GB/T 13237-1991;加工工艺 ;热处理工艺 ;特殊要求 B,Ⅱ,P;规格标准号 GB/T 708-1988</t>
        </is>
      </c>
      <c r="F55" s="4" t="inlineStr">
        <is>
          <t>千克</t>
        </is>
      </c>
      <c r="G55" s="0">
        <f>LEFT(D55,FIND("|",D55,1)-1)</f>
        <v/>
      </c>
      <c r="H55" s="0">
        <f>MID(D55,FIND("|",D55,FIND("|",D55,1))+1,FIND("|",D55,FIND("|",D55,1)+1)-FIND("|",D55,FIND("|",D55,1))-1)</f>
        <v/>
      </c>
      <c r="J55" s="0">
        <f>MID(D55,FIND(",",SUBSTITUTE(D55,"|",REPT(",",LEN(D55)),2))+1,FIND(",",SUBSTITUTE(D55,"|",REPT(",",LEN(D55)),3))-FIND(",",SUBSTITUTE(D55,"|",REPT(",",LEN(D55)),2))-1)</f>
        <v/>
      </c>
      <c r="K55" s="0">
        <f>MID(D55,FIND(",",SUBSTITUTE(D55,"|",REPT(",",LEN(D55)),3))+1,FIND(",",SUBSTITUTE(D55,"|",REPT(",",LEN(D55)),4))-FIND(",",SUBSTITUTE(D55,"|",REPT(",",LEN(D55)),3))-1)</f>
        <v/>
      </c>
      <c r="L55" s="0">
        <f>MID(D55,FIND(",",SUBSTITUTE(D55,"|",REPT(",",LEN(D55)),4))+1,FIND(",",SUBSTITUTE(D55,"|",REPT(",",LEN(D55)),5))-FIND(",",SUBSTITUTE(D55,"|",REPT(",",LEN(D55)),4))-1)</f>
        <v/>
      </c>
      <c r="M55" s="0">
        <f>MID(D55,FIND(";",SUBSTITUTE(D55,"|",REPT(";",LEN(D55)),6))+1,LEN(D55))</f>
        <v/>
      </c>
      <c r="P55" s="0">
        <f>MID(D55,FIND(";",SUBSTITUTE(D55,"|",REPT(";",LEN(D55)),5))+1,FIND(";",SUBSTITUTE(D55,"|",REPT(";",LEN(D55)),6))-FIND(";",SUBSTITUTE(D55,"|",REPT(";",LEN(D55)),5))-1)</f>
        <v/>
      </c>
    </row>
    <row r="56" ht="28" customHeight="1" s="21">
      <c r="A56" s="8" t="inlineStr">
        <is>
          <t>100101</t>
        </is>
      </c>
      <c r="B56" s="8" t="inlineStr">
        <is>
          <t>冷轧板材</t>
        </is>
      </c>
      <c r="C56" s="8" t="inlineStr">
        <is>
          <t>600969000</t>
        </is>
      </c>
      <c r="D56" s="8" t="inlineStr">
        <is>
          <t>钢板|钢板|08F-Ⅱ-P|δB-1.5|GB/T 710-1991|GB/T 708-1988</t>
        </is>
      </c>
      <c r="E56" s="8" t="inlineStr">
        <is>
          <t>物资名称 钢板;物资简称 钢板;牌号 08F-Ⅱ-P;厚度 δB-1.5;宽 ;长 ;技术标准号 GB/T 710-1991;加工工艺 ;热处理工艺 ;特殊要求 ;规格标准号 GB/T 708-1988</t>
        </is>
      </c>
      <c r="F56" s="4" t="inlineStr">
        <is>
          <t>千克</t>
        </is>
      </c>
      <c r="G56" s="0">
        <f>LEFT(D56,FIND("|",D56,1)-1)</f>
        <v/>
      </c>
      <c r="H56" s="0">
        <f>MID(D56,FIND("|",D56,FIND("|",D56,1))+1,FIND("|",D56,FIND("|",D56,1)+1)-FIND("|",D56,FIND("|",D56,1))-1)</f>
        <v/>
      </c>
      <c r="J56" s="0">
        <f>MID(D56,FIND(",",SUBSTITUTE(D56,"|",REPT(",",LEN(D56)),2))+1,FIND(",",SUBSTITUTE(D56,"|",REPT(",",LEN(D56)),3))-FIND(",",SUBSTITUTE(D56,"|",REPT(",",LEN(D56)),2))-1)</f>
        <v/>
      </c>
      <c r="K56" s="0">
        <f>MID(D56,FIND(",",SUBSTITUTE(D56,"|",REPT(",",LEN(D56)),3))+1,FIND(",",SUBSTITUTE(D56,"|",REPT(",",LEN(D56)),4))-FIND(",",SUBSTITUTE(D56,"|",REPT(",",LEN(D56)),3))-1)</f>
        <v/>
      </c>
      <c r="L56" s="0">
        <f>MID(D56,FIND(",",SUBSTITUTE(D56,"|",REPT(",",LEN(D56)),4))+1,FIND(",",SUBSTITUTE(D56,"|",REPT(",",LEN(D56)),5))-FIND(",",SUBSTITUTE(D56,"|",REPT(",",LEN(D56)),4))-1)</f>
        <v/>
      </c>
      <c r="M56" s="0">
        <f>MID(D56,FIND(";",SUBSTITUTE(D56,"|",REPT(";",LEN(D56)),5))+1,LEN(D56))</f>
        <v/>
      </c>
    </row>
    <row r="57" ht="28" customHeight="1" s="21">
      <c r="A57" s="8" t="inlineStr">
        <is>
          <t>100101</t>
        </is>
      </c>
      <c r="B57" s="8" t="inlineStr">
        <is>
          <t>冷轧板材</t>
        </is>
      </c>
      <c r="C57" s="8" t="inlineStr">
        <is>
          <t>600950500</t>
        </is>
      </c>
      <c r="D57" s="8" t="inlineStr">
        <is>
          <t>钢板|钢板|45\C|δ1.0|GB/T 13237-1991|GB/T 708-88</t>
        </is>
      </c>
      <c r="E57" s="8" t="inlineStr">
        <is>
          <t>物资名称 钢板;物资简称 钢板;牌号 45\C;厚度 δ1.0;宽 ;长 ;技术标准号 GB/T 13237-1991;加工工艺 ;热处理工艺 ;特殊要求 ;规格标准号 GB/T 708-88</t>
        </is>
      </c>
      <c r="F57" s="4" t="inlineStr">
        <is>
          <t>千克</t>
        </is>
      </c>
      <c r="G57" s="0">
        <f>LEFT(D57,FIND("|",D57,1)-1)</f>
        <v/>
      </c>
      <c r="H57" s="0">
        <f>MID(D57,FIND("|",D57,FIND("|",D57,1))+1,FIND("|",D57,FIND("|",D57,1)+1)-FIND("|",D57,FIND("|",D57,1))-1)</f>
        <v/>
      </c>
      <c r="J57" s="0">
        <f>MID(D57,FIND(",",SUBSTITUTE(D57,"|",REPT(",",LEN(D57)),2))+1,FIND(",",SUBSTITUTE(D57,"|",REPT(",",LEN(D57)),3))-FIND(",",SUBSTITUTE(D57,"|",REPT(",",LEN(D57)),2))-1)</f>
        <v/>
      </c>
      <c r="K57" s="0">
        <f>MID(D57,FIND(",",SUBSTITUTE(D57,"|",REPT(",",LEN(D57)),3))+1,FIND(",",SUBSTITUTE(D57,"|",REPT(",",LEN(D57)),4))-FIND(",",SUBSTITUTE(D57,"|",REPT(",",LEN(D57)),3))-1)</f>
        <v/>
      </c>
      <c r="L57" s="0">
        <f>MID(D57,FIND(",",SUBSTITUTE(D57,"|",REPT(",",LEN(D57)),4))+1,FIND(",",SUBSTITUTE(D57,"|",REPT(",",LEN(D57)),5))-FIND(",",SUBSTITUTE(D57,"|",REPT(",",LEN(D57)),4))-1)</f>
        <v/>
      </c>
      <c r="M57" s="0">
        <f>MID(D57,FIND(";",SUBSTITUTE(D57,"|",REPT(";",LEN(D57)),5))+1,LEN(D57))</f>
        <v/>
      </c>
    </row>
    <row r="58" ht="42" customHeight="1" s="21">
      <c r="A58" s="8" t="inlineStr">
        <is>
          <t>100101</t>
        </is>
      </c>
      <c r="B58" s="8" t="inlineStr">
        <is>
          <t>冷轧板材</t>
        </is>
      </c>
      <c r="C58" s="8" t="inlineStr">
        <is>
          <t>600947000</t>
        </is>
      </c>
      <c r="D58" s="8" t="inlineStr">
        <is>
          <t>冷轧优质碳素结构钢板|钢板|20|δ2|GB/T 13237-2013|冷轧|FB|GB/T 708-2006</t>
        </is>
      </c>
      <c r="E58" s="8" t="inlineStr">
        <is>
          <t>物资名称 冷轧优质碳素结构钢板;物资简称 钢板;牌号 20;厚度 δ2;宽 ;长 ;技术标准号 GB/T 13237-2013;加工工艺 冷轧;热处理工艺 ;特殊要求 FB;规格标准号 GB/T 708-2006</t>
        </is>
      </c>
      <c r="F58" s="4" t="inlineStr">
        <is>
          <t>千克</t>
        </is>
      </c>
      <c r="G58" s="0">
        <f>LEFT(D58,FIND("|",D58,1)-1)</f>
        <v/>
      </c>
      <c r="H58" s="0">
        <f>MID(D58,FIND("|",D58,FIND("|",D58,1))+1,FIND("|",D58,FIND("|",D58,1)+1)-FIND("|",D58,FIND("|",D58,1))-1)</f>
        <v/>
      </c>
      <c r="J58" s="0">
        <f>MID(D58,FIND(",",SUBSTITUTE(D58,"|",REPT(",",LEN(D58)),2))+1,FIND(",",SUBSTITUTE(D58,"|",REPT(",",LEN(D58)),3))-FIND(",",SUBSTITUTE(D58,"|",REPT(",",LEN(D58)),2))-1)</f>
        <v/>
      </c>
      <c r="K58" s="0">
        <f>MID(D58,FIND(",",SUBSTITUTE(D58,"|",REPT(",",LEN(D58)),3))+1,FIND(",",SUBSTITUTE(D58,"|",REPT(",",LEN(D58)),4))-FIND(",",SUBSTITUTE(D58,"|",REPT(",",LEN(D58)),3))-1)</f>
        <v/>
      </c>
      <c r="L58" s="0">
        <f>MID(D58,FIND(",",SUBSTITUTE(D58,"|",REPT(",",LEN(D58)),4))+1,FIND(",",SUBSTITUTE(D58,"|",REPT(",",LEN(D58)),5))-FIND(",",SUBSTITUTE(D58,"|",REPT(",",LEN(D58)),4))-1)</f>
        <v/>
      </c>
      <c r="M58" s="0">
        <f>MID(D58,FIND(";",SUBSTITUTE(D58,"|",REPT(";",LEN(D58)),7))+1,LEN(D58))</f>
        <v/>
      </c>
      <c r="N58" s="0">
        <f>MID(D58,FIND(";",SUBSTITUTE(D58,"|",REPT(";",LEN(D58)),5))+1,FIND(";",SUBSTITUTE(D58,"|",REPT(";",LEN(D58)),6))-FIND(";",SUBSTITUTE(D58,"|",REPT(";",LEN(D58)),5))-1)</f>
        <v/>
      </c>
      <c r="P58" s="0">
        <f>MID(D58,FIND(";",SUBSTITUTE(D58,"|",REPT(";",LEN(D58)),6))+1,FIND(";",SUBSTITUTE(D58,"|",REPT(";",LEN(D58)),7))-FIND(";",SUBSTITUTE(D58,"|",REPT(";",LEN(D58)),6))-1)</f>
        <v/>
      </c>
    </row>
    <row r="59" ht="28" customHeight="1" s="21">
      <c r="A59" s="8" t="inlineStr">
        <is>
          <t>100101</t>
        </is>
      </c>
      <c r="B59" s="8" t="inlineStr">
        <is>
          <t>冷轧板材</t>
        </is>
      </c>
      <c r="C59" s="8" t="inlineStr">
        <is>
          <t>600939700</t>
        </is>
      </c>
      <c r="D59" s="8" t="inlineStr">
        <is>
          <t>钢板|钢板|20-Ⅱ-P|δB-3|GB/T 13237-1991|GB/T 708-1988</t>
        </is>
      </c>
      <c r="E59" s="8" t="inlineStr">
        <is>
          <t>物资名称 钢板;物资简称 钢板;牌号 20-Ⅱ-P;厚度 δB-3;宽 ;长 ;技术标准号 GB/T 13237-1991;加工工艺 ;热处理工艺 ;特殊要求 ;规格标准号 GB/T 708-1988</t>
        </is>
      </c>
      <c r="F59" s="4" t="inlineStr">
        <is>
          <t>千克</t>
        </is>
      </c>
      <c r="G59" s="0">
        <f>LEFT(D59,FIND("|",D59,1)-1)</f>
        <v/>
      </c>
      <c r="H59" s="0">
        <f>MID(D59,FIND("|",D59,FIND("|",D59,1))+1,FIND("|",D59,FIND("|",D59,1)+1)-FIND("|",D59,FIND("|",D59,1))-1)</f>
        <v/>
      </c>
      <c r="J59" s="0">
        <f>MID(D59,FIND(",",SUBSTITUTE(D59,"|",REPT(",",LEN(D59)),2))+1,FIND(",",SUBSTITUTE(D59,"|",REPT(",",LEN(D59)),3))-FIND(",",SUBSTITUTE(D59,"|",REPT(",",LEN(D59)),2))-1)</f>
        <v/>
      </c>
      <c r="K59" s="0">
        <f>MID(D59,FIND(",",SUBSTITUTE(D59,"|",REPT(",",LEN(D59)),3))+1,FIND(",",SUBSTITUTE(D59,"|",REPT(",",LEN(D59)),4))-FIND(",",SUBSTITUTE(D59,"|",REPT(",",LEN(D59)),3))-1)</f>
        <v/>
      </c>
      <c r="L59" s="0">
        <f>MID(D59,FIND(",",SUBSTITUTE(D59,"|",REPT(",",LEN(D59)),4))+1,FIND(",",SUBSTITUTE(D59,"|",REPT(",",LEN(D59)),5))-FIND(",",SUBSTITUTE(D59,"|",REPT(",",LEN(D59)),4))-1)</f>
        <v/>
      </c>
      <c r="M59" s="0">
        <f>MID(D59,FIND(";",SUBSTITUTE(D59,"|",REPT(";",LEN(D59)),5))+1,LEN(D59))</f>
        <v/>
      </c>
    </row>
    <row r="60" ht="28" customHeight="1" s="21">
      <c r="A60" s="8" t="inlineStr">
        <is>
          <t>100101</t>
        </is>
      </c>
      <c r="B60" s="8" t="inlineStr">
        <is>
          <t>冷轧板材</t>
        </is>
      </c>
      <c r="C60" s="8" t="inlineStr">
        <is>
          <t>600939600</t>
        </is>
      </c>
      <c r="D60" s="8" t="inlineStr">
        <is>
          <t>钢板|钢板|20-Ⅱ-P|δB-1.5|GB/T 13237-1991|GB/T 708-1988</t>
        </is>
      </c>
      <c r="E60" s="8" t="inlineStr">
        <is>
          <t>物资名称 钢板;物资简称 钢板;牌号 20-Ⅱ-P;厚度 δB-1.5;宽 ;长 ;技术标准号 GB/T 13237-1991;加工工艺 ;热处理工艺 ;特殊要求 ;规格标准号 GB/T 708-1988</t>
        </is>
      </c>
      <c r="F60" s="4" t="inlineStr">
        <is>
          <t>千克</t>
        </is>
      </c>
      <c r="G60" s="0">
        <f>LEFT(D60,FIND("|",D60,1)-1)</f>
        <v/>
      </c>
      <c r="H60" s="0">
        <f>MID(D60,FIND("|",D60,FIND("|",D60,1))+1,FIND("|",D60,FIND("|",D60,1)+1)-FIND("|",D60,FIND("|",D60,1))-1)</f>
        <v/>
      </c>
      <c r="J60" s="0">
        <f>MID(D60,FIND(",",SUBSTITUTE(D60,"|",REPT(",",LEN(D60)),2))+1,FIND(",",SUBSTITUTE(D60,"|",REPT(",",LEN(D60)),3))-FIND(",",SUBSTITUTE(D60,"|",REPT(",",LEN(D60)),2))-1)</f>
        <v/>
      </c>
      <c r="K60" s="0">
        <f>MID(D60,FIND(",",SUBSTITUTE(D60,"|",REPT(",",LEN(D60)),3))+1,FIND(",",SUBSTITUTE(D60,"|",REPT(",",LEN(D60)),4))-FIND(",",SUBSTITUTE(D60,"|",REPT(",",LEN(D60)),3))-1)</f>
        <v/>
      </c>
      <c r="L60" s="0">
        <f>MID(D60,FIND(",",SUBSTITUTE(D60,"|",REPT(",",LEN(D60)),4))+1,FIND(",",SUBSTITUTE(D60,"|",REPT(",",LEN(D60)),5))-FIND(",",SUBSTITUTE(D60,"|",REPT(",",LEN(D60)),4))-1)</f>
        <v/>
      </c>
      <c r="M60" s="0">
        <f>MID(D60,FIND(";",SUBSTITUTE(D60,"|",REPT(";",LEN(D60)),5))+1,LEN(D60))</f>
        <v/>
      </c>
    </row>
    <row r="61" ht="28" customHeight="1" s="21">
      <c r="A61" s="8" t="inlineStr">
        <is>
          <t>100101</t>
        </is>
      </c>
      <c r="B61" s="8" t="inlineStr">
        <is>
          <t>冷轧板材</t>
        </is>
      </c>
      <c r="C61" s="8" t="inlineStr">
        <is>
          <t>600939500</t>
        </is>
      </c>
      <c r="D61" s="8" t="inlineStr">
        <is>
          <t>钢板|钢板|20-Ⅱ-P|δB-1|GB/T 13237-1991|GB/T 708-1988</t>
        </is>
      </c>
      <c r="E61" s="8" t="inlineStr">
        <is>
          <t>物资名称 钢板;物资简称 钢板;牌号 20-Ⅱ-P;厚度 δB-1;宽 ;长 ;技术标准号 GB/T 13237-1991;加工工艺 ;热处理工艺 ;特殊要求 ;规格标准号 GB/T 708-1988</t>
        </is>
      </c>
      <c r="F61" s="4" t="inlineStr">
        <is>
          <t>千克</t>
        </is>
      </c>
      <c r="G61" s="0">
        <f>LEFT(D61,FIND("|",D61,1)-1)</f>
        <v/>
      </c>
      <c r="H61" s="0">
        <f>MID(D61,FIND("|",D61,FIND("|",D61,1))+1,FIND("|",D61,FIND("|",D61,1)+1)-FIND("|",D61,FIND("|",D61,1))-1)</f>
        <v/>
      </c>
      <c r="J61" s="0">
        <f>MID(D61,FIND(",",SUBSTITUTE(D61,"|",REPT(",",LEN(D61)),2))+1,FIND(",",SUBSTITUTE(D61,"|",REPT(",",LEN(D61)),3))-FIND(",",SUBSTITUTE(D61,"|",REPT(",",LEN(D61)),2))-1)</f>
        <v/>
      </c>
      <c r="K61" s="0">
        <f>MID(D61,FIND(",",SUBSTITUTE(D61,"|",REPT(",",LEN(D61)),3))+1,FIND(",",SUBSTITUTE(D61,"|",REPT(",",LEN(D61)),4))-FIND(",",SUBSTITUTE(D61,"|",REPT(",",LEN(D61)),3))-1)</f>
        <v/>
      </c>
      <c r="L61" s="0">
        <f>MID(D61,FIND(",",SUBSTITUTE(D61,"|",REPT(",",LEN(D61)),4))+1,FIND(",",SUBSTITUTE(D61,"|",REPT(",",LEN(D61)),5))-FIND(",",SUBSTITUTE(D61,"|",REPT(",",LEN(D61)),4))-1)</f>
        <v/>
      </c>
      <c r="M61" s="0">
        <f>MID(D61,FIND(";",SUBSTITUTE(D61,"|",REPT(";",LEN(D61)),5))+1,LEN(D61))</f>
        <v/>
      </c>
    </row>
    <row r="62" ht="28" customHeight="1" s="21">
      <c r="A62" s="8" t="inlineStr">
        <is>
          <t>100101</t>
        </is>
      </c>
      <c r="B62" s="8" t="inlineStr">
        <is>
          <t>冷轧板材</t>
        </is>
      </c>
      <c r="C62" s="8" t="inlineStr">
        <is>
          <t>600939400</t>
        </is>
      </c>
      <c r="D62" s="8" t="inlineStr">
        <is>
          <t>钢板|钢板|1Cr18Ni9Ti|δ0.2|GB/T 3280-1992|GB/T 708-1988</t>
        </is>
      </c>
      <c r="E62" s="8" t="inlineStr">
        <is>
          <t>物资名称 钢板;物资简称 钢板;牌号 1Cr18Ni9Ti;厚度 δ0.2;宽 ;长 ;技术标准号 GB/T 3280-1992;加工工艺 ;热处理工艺 ;特殊要求 ;规格标准号 GB/T 708-1988</t>
        </is>
      </c>
      <c r="F62" s="4" t="inlineStr">
        <is>
          <t>千克</t>
        </is>
      </c>
      <c r="G62" s="0">
        <f>LEFT(D62,FIND("|",D62,1)-1)</f>
        <v/>
      </c>
      <c r="H62" s="0">
        <f>MID(D62,FIND("|",D62,FIND("|",D62,1))+1,FIND("|",D62,FIND("|",D62,1)+1)-FIND("|",D62,FIND("|",D62,1))-1)</f>
        <v/>
      </c>
      <c r="J62" s="0">
        <f>MID(D62,FIND(",",SUBSTITUTE(D62,"|",REPT(",",LEN(D62)),2))+1,FIND(",",SUBSTITUTE(D62,"|",REPT(",",LEN(D62)),3))-FIND(",",SUBSTITUTE(D62,"|",REPT(",",LEN(D62)),2))-1)</f>
        <v/>
      </c>
      <c r="K62" s="0">
        <f>MID(D62,FIND(",",SUBSTITUTE(D62,"|",REPT(",",LEN(D62)),3))+1,FIND(",",SUBSTITUTE(D62,"|",REPT(",",LEN(D62)),4))-FIND(",",SUBSTITUTE(D62,"|",REPT(",",LEN(D62)),3))-1)</f>
        <v/>
      </c>
      <c r="L62" s="0">
        <f>MID(D62,FIND(",",SUBSTITUTE(D62,"|",REPT(",",LEN(D62)),4))+1,FIND(",",SUBSTITUTE(D62,"|",REPT(",",LEN(D62)),5))-FIND(",",SUBSTITUTE(D62,"|",REPT(",",LEN(D62)),4))-1)</f>
        <v/>
      </c>
      <c r="M62" s="0">
        <f>MID(D62,FIND(";",SUBSTITUTE(D62,"|",REPT(";",LEN(D62)),5))+1,LEN(D62))</f>
        <v/>
      </c>
    </row>
    <row r="63" ht="28" customHeight="1" s="21">
      <c r="A63" s="8" t="inlineStr">
        <is>
          <t>100101</t>
        </is>
      </c>
      <c r="B63" s="8" t="inlineStr">
        <is>
          <t>冷轧板材</t>
        </is>
      </c>
      <c r="C63" s="8" t="inlineStr">
        <is>
          <t>600939300</t>
        </is>
      </c>
      <c r="D63" s="8" t="inlineStr">
        <is>
          <t>钢板|钢板|0Cr18Ni9|δ0.5|GB/T 3280-1992|GB/T 708-1988</t>
        </is>
      </c>
      <c r="E63" s="8" t="inlineStr">
        <is>
          <t>物资名称 钢板;物资简称 钢板;牌号 0Cr18Ni9;厚度 δ0.5;宽 ;长 ;技术标准号 GB/T 3280-1992;加工工艺 ;热处理工艺 ;特殊要求 ;规格标准号 GB/T 708-1988</t>
        </is>
      </c>
      <c r="F63" s="4" t="inlineStr">
        <is>
          <t>千克</t>
        </is>
      </c>
      <c r="G63" s="0">
        <f>LEFT(D63,FIND("|",D63,1)-1)</f>
        <v/>
      </c>
      <c r="H63" s="0">
        <f>MID(D63,FIND("|",D63,FIND("|",D63,1))+1,FIND("|",D63,FIND("|",D63,1)+1)-FIND("|",D63,FIND("|",D63,1))-1)</f>
        <v/>
      </c>
      <c r="J63" s="0">
        <f>MID(D63,FIND(",",SUBSTITUTE(D63,"|",REPT(",",LEN(D63)),2))+1,FIND(",",SUBSTITUTE(D63,"|",REPT(",",LEN(D63)),3))-FIND(",",SUBSTITUTE(D63,"|",REPT(",",LEN(D63)),2))-1)</f>
        <v/>
      </c>
      <c r="K63" s="0">
        <f>MID(D63,FIND(",",SUBSTITUTE(D63,"|",REPT(",",LEN(D63)),3))+1,FIND(",",SUBSTITUTE(D63,"|",REPT(",",LEN(D63)),4))-FIND(",",SUBSTITUTE(D63,"|",REPT(",",LEN(D63)),3))-1)</f>
        <v/>
      </c>
      <c r="L63" s="0">
        <f>MID(D63,FIND(",",SUBSTITUTE(D63,"|",REPT(",",LEN(D63)),4))+1,FIND(",",SUBSTITUTE(D63,"|",REPT(",",LEN(D63)),5))-FIND(",",SUBSTITUTE(D63,"|",REPT(",",LEN(D63)),4))-1)</f>
        <v/>
      </c>
      <c r="M63" s="0">
        <f>MID(D63,FIND(";",SUBSTITUTE(D63,"|",REPT(";",LEN(D63)),5))+1,LEN(D63))</f>
        <v/>
      </c>
    </row>
    <row r="64" ht="28" customHeight="1" s="21">
      <c r="A64" s="8" t="inlineStr">
        <is>
          <t>100101</t>
        </is>
      </c>
      <c r="B64" s="8" t="inlineStr">
        <is>
          <t>冷轧板材</t>
        </is>
      </c>
      <c r="C64" s="8" t="inlineStr">
        <is>
          <t>600933500</t>
        </is>
      </c>
      <c r="D64" s="8" t="inlineStr">
        <is>
          <t>钢板|钢板|08F-Ⅱ-P|δB-1.5|GB 710-1991|GB/T 708-1988</t>
        </is>
      </c>
      <c r="E64" s="8" t="inlineStr">
        <is>
          <t>物资名称 钢板;物资简称 钢板;牌号 08F-Ⅱ-P;厚度 δB-1.5;宽 ;长 ;技术标准号 GB 710-1991;加工工艺 ;热处理工艺 ;特殊要求 ;规格标准号 GB/T 708-1988</t>
        </is>
      </c>
      <c r="F64" s="4" t="inlineStr">
        <is>
          <t>千克</t>
        </is>
      </c>
      <c r="G64" s="0">
        <f>LEFT(D64,FIND("|",D64,1)-1)</f>
        <v/>
      </c>
      <c r="H64" s="0">
        <f>MID(D64,FIND("|",D64,FIND("|",D64,1))+1,FIND("|",D64,FIND("|",D64,1)+1)-FIND("|",D64,FIND("|",D64,1))-1)</f>
        <v/>
      </c>
      <c r="J64" s="0">
        <f>MID(D64,FIND(",",SUBSTITUTE(D64,"|",REPT(",",LEN(D64)),2))+1,FIND(",",SUBSTITUTE(D64,"|",REPT(",",LEN(D64)),3))-FIND(",",SUBSTITUTE(D64,"|",REPT(",",LEN(D64)),2))-1)</f>
        <v/>
      </c>
      <c r="K64" s="0">
        <f>MID(D64,FIND(",",SUBSTITUTE(D64,"|",REPT(",",LEN(D64)),3))+1,FIND(",",SUBSTITUTE(D64,"|",REPT(",",LEN(D64)),4))-FIND(",",SUBSTITUTE(D64,"|",REPT(",",LEN(D64)),3))-1)</f>
        <v/>
      </c>
      <c r="L64" s="0">
        <f>MID(D64,FIND(",",SUBSTITUTE(D64,"|",REPT(",",LEN(D64)),4))+1,FIND(",",SUBSTITUTE(D64,"|",REPT(",",LEN(D64)),5))-FIND(",",SUBSTITUTE(D64,"|",REPT(",",LEN(D64)),4))-1)</f>
        <v/>
      </c>
      <c r="M64" s="0">
        <f>MID(D64,FIND(";",SUBSTITUTE(D64,"|",REPT(";",LEN(D64)),5))+1,LEN(D64))</f>
        <v/>
      </c>
    </row>
    <row r="65" ht="28" customHeight="1" s="21">
      <c r="A65" s="8" t="inlineStr">
        <is>
          <t>100101</t>
        </is>
      </c>
      <c r="B65" s="8" t="inlineStr">
        <is>
          <t>冷轧板材</t>
        </is>
      </c>
      <c r="C65" s="8" t="inlineStr">
        <is>
          <t>600933400</t>
        </is>
      </c>
      <c r="D65" s="8" t="inlineStr">
        <is>
          <t>钢板|钢板|20-Ⅱ-P|δB-1|GB 710-1991|GB/T 708-1988</t>
        </is>
      </c>
      <c r="E65" s="8" t="inlineStr">
        <is>
          <t>物资名称 钢板;物资简称 钢板;牌号 20-Ⅱ-P;厚度 δB-1;宽 ;长 ;技术标准号 GB 710-1991;加工工艺 ;热处理工艺 ;特殊要求 ;规格标准号 GB/T 708-1988</t>
        </is>
      </c>
      <c r="F65" s="4" t="inlineStr">
        <is>
          <t>千克</t>
        </is>
      </c>
      <c r="G65" s="0">
        <f>LEFT(D65,FIND("|",D65,1)-1)</f>
        <v/>
      </c>
      <c r="H65" s="0">
        <f>MID(D65,FIND("|",D65,FIND("|",D65,1))+1,FIND("|",D65,FIND("|",D65,1)+1)-FIND("|",D65,FIND("|",D65,1))-1)</f>
        <v/>
      </c>
      <c r="J65" s="0">
        <f>MID(D65,FIND(",",SUBSTITUTE(D65,"|",REPT(",",LEN(D65)),2))+1,FIND(",",SUBSTITUTE(D65,"|",REPT(",",LEN(D65)),3))-FIND(",",SUBSTITUTE(D65,"|",REPT(",",LEN(D65)),2))-1)</f>
        <v/>
      </c>
      <c r="K65" s="0">
        <f>MID(D65,FIND(",",SUBSTITUTE(D65,"|",REPT(",",LEN(D65)),3))+1,FIND(",",SUBSTITUTE(D65,"|",REPT(",",LEN(D65)),4))-FIND(",",SUBSTITUTE(D65,"|",REPT(",",LEN(D65)),3))-1)</f>
        <v/>
      </c>
      <c r="L65" s="0">
        <f>MID(D65,FIND(",",SUBSTITUTE(D65,"|",REPT(",",LEN(D65)),4))+1,FIND(",",SUBSTITUTE(D65,"|",REPT(",",LEN(D65)),5))-FIND(",",SUBSTITUTE(D65,"|",REPT(",",LEN(D65)),4))-1)</f>
        <v/>
      </c>
      <c r="M65" s="0">
        <f>MID(D65,FIND(";",SUBSTITUTE(D65,"|",REPT(";",LEN(D65)),5))+1,LEN(D65))</f>
        <v/>
      </c>
    </row>
    <row r="66" ht="28" customHeight="1" s="21">
      <c r="A66" s="8" t="inlineStr">
        <is>
          <t>100101</t>
        </is>
      </c>
      <c r="B66" s="8" t="inlineStr">
        <is>
          <t>冷轧板材</t>
        </is>
      </c>
      <c r="C66" s="8" t="inlineStr">
        <is>
          <t>600846200</t>
        </is>
      </c>
      <c r="D66" s="8" t="inlineStr">
        <is>
          <t>冷轧不锈钢板|钢板|1Cr18Ni9Ti|δ1.0|GB 3280-1992|GB/T 708-2006</t>
        </is>
      </c>
      <c r="E66" s="8" t="inlineStr">
        <is>
          <t>物资名称 冷轧不锈钢板;物资简称 钢板;牌号 1Cr18Ni9Ti;厚度 δ1.0;宽 ;长 ;技术标准号 GB 3280-1992;加工工艺 ;热处理工艺 ;特殊要求 ;规格标准号 GB/T 708-2006</t>
        </is>
      </c>
      <c r="F66" s="4" t="inlineStr">
        <is>
          <t>千克</t>
        </is>
      </c>
      <c r="G66" s="0">
        <f>LEFT(D66,FIND("|",D66,1)-1)</f>
        <v/>
      </c>
      <c r="H66" s="0">
        <f>MID(D66,FIND("|",D66,FIND("|",D66,1))+1,FIND("|",D66,FIND("|",D66,1)+1)-FIND("|",D66,FIND("|",D66,1))-1)</f>
        <v/>
      </c>
      <c r="J66" s="0">
        <f>MID(D66,FIND(",",SUBSTITUTE(D66,"|",REPT(",",LEN(D66)),2))+1,FIND(",",SUBSTITUTE(D66,"|",REPT(",",LEN(D66)),3))-FIND(",",SUBSTITUTE(D66,"|",REPT(",",LEN(D66)),2))-1)</f>
        <v/>
      </c>
      <c r="K66" s="0">
        <f>MID(D66,FIND(",",SUBSTITUTE(D66,"|",REPT(",",LEN(D66)),3))+1,FIND(",",SUBSTITUTE(D66,"|",REPT(",",LEN(D66)),4))-FIND(",",SUBSTITUTE(D66,"|",REPT(",",LEN(D66)),3))-1)</f>
        <v/>
      </c>
      <c r="L66" s="0">
        <f>MID(D66,FIND(",",SUBSTITUTE(D66,"|",REPT(",",LEN(D66)),4))+1,FIND(",",SUBSTITUTE(D66,"|",REPT(",",LEN(D66)),5))-FIND(",",SUBSTITUTE(D66,"|",REPT(",",LEN(D66)),4))-1)</f>
        <v/>
      </c>
      <c r="M66" s="0">
        <f>MID(D66,FIND(";",SUBSTITUTE(D66,"|",REPT(";",LEN(D66)),5))+1,LEN(D66))</f>
        <v/>
      </c>
    </row>
    <row r="67" ht="28" customHeight="1" s="21">
      <c r="A67" s="8" t="inlineStr">
        <is>
          <t>100101</t>
        </is>
      </c>
      <c r="B67" s="8" t="inlineStr">
        <is>
          <t>冷轧板材</t>
        </is>
      </c>
      <c r="C67" s="8" t="inlineStr">
        <is>
          <t>600842800</t>
        </is>
      </c>
      <c r="D67" s="8" t="inlineStr">
        <is>
          <t>冷轧不锈钢板|钢板|12Cr18Ni9|δ1.5|GB/T 3280-2007|GB/T 708-2006</t>
        </is>
      </c>
      <c r="E67" s="8" t="inlineStr">
        <is>
          <t>物资名称 冷轧不锈钢板;物资简称 钢板;牌号 12Cr18Ni9;厚度 δ1.5;宽 ;长 ;技术标准号 GB/T 3280-2007;加工工艺 ;热处理工艺 ;特殊要求 ;规格标准号 GB/T 708-2006</t>
        </is>
      </c>
      <c r="F67" s="4" t="inlineStr">
        <is>
          <t>千克</t>
        </is>
      </c>
      <c r="G67" s="0">
        <f>LEFT(D67,FIND("|",D67,1)-1)</f>
        <v/>
      </c>
      <c r="H67" s="0">
        <f>MID(D67,FIND("|",D67,FIND("|",D67,1))+1,FIND("|",D67,FIND("|",D67,1)+1)-FIND("|",D67,FIND("|",D67,1))-1)</f>
        <v/>
      </c>
      <c r="J67" s="0">
        <f>MID(D67,FIND(",",SUBSTITUTE(D67,"|",REPT(",",LEN(D67)),2))+1,FIND(",",SUBSTITUTE(D67,"|",REPT(",",LEN(D67)),3))-FIND(",",SUBSTITUTE(D67,"|",REPT(",",LEN(D67)),2))-1)</f>
        <v/>
      </c>
      <c r="K67" s="0">
        <f>MID(D67,FIND(",",SUBSTITUTE(D67,"|",REPT(",",LEN(D67)),3))+1,FIND(",",SUBSTITUTE(D67,"|",REPT(",",LEN(D67)),4))-FIND(",",SUBSTITUTE(D67,"|",REPT(",",LEN(D67)),3))-1)</f>
        <v/>
      </c>
      <c r="L67" s="0">
        <f>MID(D67,FIND(",",SUBSTITUTE(D67,"|",REPT(",",LEN(D67)),4))+1,FIND(",",SUBSTITUTE(D67,"|",REPT(",",LEN(D67)),5))-FIND(",",SUBSTITUTE(D67,"|",REPT(",",LEN(D67)),4))-1)</f>
        <v/>
      </c>
      <c r="M67" s="0">
        <f>MID(D67,FIND(";",SUBSTITUTE(D67,"|",REPT(";",LEN(D67)),5))+1,LEN(D67))</f>
        <v/>
      </c>
    </row>
    <row r="68" ht="42" customHeight="1" s="21">
      <c r="A68" s="8" t="inlineStr">
        <is>
          <t>100101</t>
        </is>
      </c>
      <c r="B68" s="8" t="inlineStr">
        <is>
          <t>冷轧板材</t>
        </is>
      </c>
      <c r="C68" s="8" t="inlineStr">
        <is>
          <t>600842200</t>
        </is>
      </c>
      <c r="D68" s="8" t="inlineStr">
        <is>
          <t>冷轧航空用不锈钢薄板|不锈钢板|1Cr18Ni9Ti|δ0.4|GJB 2295-1995|冷轧</t>
        </is>
      </c>
      <c r="E68" s="8" t="inlineStr">
        <is>
          <t xml:space="preserve">物资名称 冷轧航空用不锈钢薄板;物资简称 不锈钢板;牌号 1Cr18Ni9Ti;厚度 δ0.4;宽 ;长 ;技术标准号 GJB 2295-1995;加工工艺 冷轧;热处理工艺 ;特殊要求 ;规格标准号 </t>
        </is>
      </c>
      <c r="F68" s="4" t="inlineStr">
        <is>
          <t>千克</t>
        </is>
      </c>
      <c r="G68" s="0">
        <f>LEFT(D68,FIND("|",D68,1)-1)</f>
        <v/>
      </c>
      <c r="H68" s="0">
        <f>MID(D68,FIND("|",D68,FIND("|",D68,1))+1,FIND("|",D68,FIND("|",D68,1)+1)-FIND("|",D68,FIND("|",D68,1))-1)</f>
        <v/>
      </c>
      <c r="J68" s="0">
        <f>MID(D68,FIND(",",SUBSTITUTE(D68,"|",REPT(",",LEN(D68)),2))+1,FIND(",",SUBSTITUTE(D68,"|",REPT(",",LEN(D68)),3))-FIND(",",SUBSTITUTE(D68,"|",REPT(",",LEN(D68)),2))-1)</f>
        <v/>
      </c>
      <c r="K68" s="0">
        <f>MID(D68,FIND(",",SUBSTITUTE(D68,"|",REPT(",",LEN(D68)),3))+1,FIND(",",SUBSTITUTE(D68,"|",REPT(",",LEN(D68)),4))-FIND(",",SUBSTITUTE(D68,"|",REPT(",",LEN(D68)),3))-1)</f>
        <v/>
      </c>
      <c r="L68" s="0">
        <f>MID(D68,FIND(",",SUBSTITUTE(D68,"|",REPT(",",LEN(D68)),4))+1,FIND(",",SUBSTITUTE(D68,"|",REPT(",",LEN(D68)),5))-FIND(",",SUBSTITUTE(D68,"|",REPT(",",LEN(D68)),4))-1)</f>
        <v/>
      </c>
      <c r="N68" s="0">
        <f>MID(D68,FIND(";",SUBSTITUTE(D68,"|",REPT(";",LEN(D68)),5))+1,LEN(D68))</f>
        <v/>
      </c>
    </row>
    <row r="69" ht="42" customHeight="1" s="21">
      <c r="A69" s="8" t="inlineStr">
        <is>
          <t>100101</t>
        </is>
      </c>
      <c r="B69" s="8" t="inlineStr">
        <is>
          <t>冷轧板材</t>
        </is>
      </c>
      <c r="C69" s="8" t="inlineStr">
        <is>
          <t>600842100</t>
        </is>
      </c>
      <c r="D69" s="8" t="inlineStr">
        <is>
          <t>冷轧航空用不锈钢薄板|不锈钢板|1Cr18Ni9Ti|δ2.5|GJB 2295-1995|GB/T 708-2006</t>
        </is>
      </c>
      <c r="E69" s="8" t="inlineStr">
        <is>
          <t>物资名称 冷轧航空用不锈钢薄板;物资简称 不锈钢板;牌号 1Cr18Ni9Ti;厚度 δ2.5;宽 ;长 ;技术标准号 GJB 2295-1995;加工工艺 ;热处理工艺 ;特殊要求 ;规格标准号 GB/T 708-2006</t>
        </is>
      </c>
      <c r="F69" s="4" t="inlineStr">
        <is>
          <t>千克</t>
        </is>
      </c>
      <c r="G69" s="0">
        <f>LEFT(D69,FIND("|",D69,1)-1)</f>
        <v/>
      </c>
      <c r="H69" s="0">
        <f>MID(D69,FIND("|",D69,FIND("|",D69,1))+1,FIND("|",D69,FIND("|",D69,1)+1)-FIND("|",D69,FIND("|",D69,1))-1)</f>
        <v/>
      </c>
      <c r="J69" s="0">
        <f>MID(D69,FIND(",",SUBSTITUTE(D69,"|",REPT(",",LEN(D69)),2))+1,FIND(",",SUBSTITUTE(D69,"|",REPT(",",LEN(D69)),3))-FIND(",",SUBSTITUTE(D69,"|",REPT(",",LEN(D69)),2))-1)</f>
        <v/>
      </c>
      <c r="K69" s="0">
        <f>MID(D69,FIND(",",SUBSTITUTE(D69,"|",REPT(",",LEN(D69)),3))+1,FIND(",",SUBSTITUTE(D69,"|",REPT(",",LEN(D69)),4))-FIND(",",SUBSTITUTE(D69,"|",REPT(",",LEN(D69)),3))-1)</f>
        <v/>
      </c>
      <c r="L69" s="0">
        <f>MID(D69,FIND(",",SUBSTITUTE(D69,"|",REPT(",",LEN(D69)),4))+1,FIND(",",SUBSTITUTE(D69,"|",REPT(",",LEN(D69)),5))-FIND(",",SUBSTITUTE(D69,"|",REPT(",",LEN(D69)),4))-1)</f>
        <v/>
      </c>
      <c r="M69" s="0">
        <f>MID(D69,FIND(";",SUBSTITUTE(D69,"|",REPT(";",LEN(D69)),5))+1,LEN(D69))</f>
        <v/>
      </c>
    </row>
    <row r="70" ht="42" customHeight="1" s="21">
      <c r="A70" s="8" t="inlineStr">
        <is>
          <t>100101</t>
        </is>
      </c>
      <c r="B70" s="8" t="inlineStr">
        <is>
          <t>冷轧板材</t>
        </is>
      </c>
      <c r="C70" s="8" t="inlineStr">
        <is>
          <t>600839100</t>
        </is>
      </c>
      <c r="D70" s="8" t="inlineStr">
        <is>
          <t>冷轧航空用不锈钢薄板|不锈钢板|1Cr18Ni9Ti|GJB 2295-1995|GB/T 708-2006</t>
        </is>
      </c>
      <c r="E70" s="8" t="inlineStr">
        <is>
          <t>物资名称 冷轧航空用不锈钢薄板;物资简称 不锈钢板;牌号 1Cr18Ni9Ti;厚度 δ;宽 ;长 ;技术标准号 GJB 2295-1995;加工工艺 ;热处理工艺 ;特殊要求 ;规格标准号 GB/T 708-2006</t>
        </is>
      </c>
      <c r="F70" s="4" t="inlineStr">
        <is>
          <t>千克</t>
        </is>
      </c>
      <c r="G70" s="0">
        <f>LEFT(D70,FIND("|",D70,1)-1)</f>
        <v/>
      </c>
      <c r="H70" s="0">
        <f>MID(D70,FIND("|",D70,FIND("|",D70,1))+1,FIND("|",D70,FIND("|",D70,1)+1)-FIND("|",D70,FIND("|",D70,1))-1)</f>
        <v/>
      </c>
      <c r="J70" s="0">
        <f>MID(D70,FIND(",",SUBSTITUTE(D70,"|",REPT(",",LEN(D70)),2))+1,FIND(",",SUBSTITUTE(D70,"|",REPT(",",LEN(D70)),3))-FIND(",",SUBSTITUTE(D70,"|",REPT(",",LEN(D70)),2))-1)</f>
        <v/>
      </c>
      <c r="L70" s="0">
        <f>MID(D70,FIND(",",SUBSTITUTE(D70,"|",REPT(",",LEN(D70)),3))+1,FIND(",",SUBSTITUTE(D70,"|",REPT(",",LEN(D70)),4))-FIND(",",SUBSTITUTE(D70,"|",REPT(",",LEN(D70)),3))-1)</f>
        <v/>
      </c>
      <c r="M70" s="0">
        <f>MID(D70,FIND(";",SUBSTITUTE(D70,"|",REPT(";",LEN(D70)),4))+1,LEN(D70))</f>
        <v/>
      </c>
    </row>
    <row r="71" ht="28" customHeight="1" s="21">
      <c r="A71" s="8" t="inlineStr">
        <is>
          <t>100101</t>
        </is>
      </c>
      <c r="B71" s="8" t="inlineStr">
        <is>
          <t>冷轧板材</t>
        </is>
      </c>
      <c r="C71" s="8" t="inlineStr">
        <is>
          <t>600759500</t>
        </is>
      </c>
      <c r="D71" s="20" t="inlineStr">
        <is>
          <t>冷轧钢板|钢板|Q195|δ1|GB/T 11253-2007|冷轧|试接口|GB/T 708-2006</t>
        </is>
      </c>
      <c r="E71" s="8" t="inlineStr">
        <is>
          <t>物资名称 冷轧钢板;物资简称 钢板;牌号 Q195;厚度 δ1;宽 ;长 ;技术标准号 GB/T 11253-2007;加工工艺 冷轧;热处理工艺 ;规格标准号 GB/T 708-2006</t>
        </is>
      </c>
      <c r="F71" s="4" t="inlineStr">
        <is>
          <t>千克</t>
        </is>
      </c>
      <c r="G71" s="0">
        <f>LEFT(D71,FIND("|",D71,1)-1)</f>
        <v/>
      </c>
      <c r="H71" s="0">
        <f>MID(D71,FIND("|",D71,FIND("|",D71,1))+1,FIND("|",D71,FIND("|",D71,1)+1)-FIND("|",D71,FIND("|",D71,1))-1)</f>
        <v/>
      </c>
      <c r="J71" s="0">
        <f>MID(D71,FIND(",",SUBSTITUTE(D71,"|",REPT(",",LEN(D71)),2))+1,FIND(",",SUBSTITUTE(D71,"|",REPT(",",LEN(D71)),3))-FIND(",",SUBSTITUTE(D71,"|",REPT(",",LEN(D71)),2))-1)</f>
        <v/>
      </c>
      <c r="K71" s="0">
        <f>MID(D71,FIND(",",SUBSTITUTE(D71,"|",REPT(",",LEN(D71)),3))+1,FIND(",",SUBSTITUTE(D71,"|",REPT(",",LEN(D71)),4))-FIND(",",SUBSTITUTE(D71,"|",REPT(",",LEN(D71)),3))-1)</f>
        <v/>
      </c>
      <c r="L71" s="0">
        <f>MID(D71,FIND(",",SUBSTITUTE(D71,"|",REPT(",",LEN(D71)),4))+1,FIND(",",SUBSTITUTE(D71,"|",REPT(",",LEN(D71)),5))-FIND(",",SUBSTITUTE(D71,"|",REPT(",",LEN(D71)),4))-1)</f>
        <v/>
      </c>
      <c r="M71" s="0">
        <f>MID(D71,FIND(";",SUBSTITUTE(D71,"|",REPT(";",LEN(D71)),7))+1,LEN(D71))</f>
        <v/>
      </c>
      <c r="N71" s="0">
        <f>MID(D71,FIND(";",SUBSTITUTE(D71,"|",REPT(";",LEN(D71)),5))+1,FIND(";",SUBSTITUTE(D71,"|",REPT(";",LEN(D71)),6))-FIND(";",SUBSTITUTE(D71,"|",REPT(";",LEN(D71)),5))-1)</f>
        <v/>
      </c>
      <c r="P71" s="0">
        <f>MID(D71,FIND(";",SUBSTITUTE(D71,"|",REPT(";",LEN(D71)),6))+1,FIND(";",SUBSTITUTE(D71,"|",REPT(";",LEN(D71)),7))-FIND(";",SUBSTITUTE(D71,"|",REPT(";",LEN(D71)),6))-1)</f>
        <v/>
      </c>
    </row>
    <row r="72" ht="28" customHeight="1" s="21">
      <c r="A72" s="8" t="inlineStr">
        <is>
          <t>100101</t>
        </is>
      </c>
      <c r="B72" s="8" t="inlineStr">
        <is>
          <t>冷轧板材</t>
        </is>
      </c>
      <c r="C72" s="8" t="inlineStr">
        <is>
          <t>600597000</t>
        </is>
      </c>
      <c r="D72" s="8" t="inlineStr">
        <is>
          <t>冷轧钢板|钢板|Q195|δ1|GB/T 11253-2007|冷轧|GB/T 708-2006</t>
        </is>
      </c>
      <c r="E72" s="8" t="inlineStr">
        <is>
          <t>物资名称 冷轧钢板;物资简称 钢板;牌号 Q195;厚度 δ1;宽 ;长 ;技术标准号 GB/T 11253-2007;加工工艺 冷轧;热处理工艺 ;特殊要求 ;规格标准号 GB/T 708-2006</t>
        </is>
      </c>
      <c r="F72" s="4" t="inlineStr">
        <is>
          <t>千克</t>
        </is>
      </c>
      <c r="G72" s="0">
        <f>LEFT(D72,FIND("|",D72,1)-1)</f>
        <v/>
      </c>
      <c r="H72" s="0">
        <f>MID(D72,FIND("|",D72,FIND("|",D72,1))+1,FIND("|",D72,FIND("|",D72,1)+1)-FIND("|",D72,FIND("|",D72,1))-1)</f>
        <v/>
      </c>
      <c r="J72" s="0">
        <f>MID(D72,FIND(",",SUBSTITUTE(D72,"|",REPT(",",LEN(D72)),2))+1,FIND(",",SUBSTITUTE(D72,"|",REPT(",",LEN(D72)),3))-FIND(",",SUBSTITUTE(D72,"|",REPT(",",LEN(D72)),2))-1)</f>
        <v/>
      </c>
      <c r="K72" s="0">
        <f>MID(D72,FIND(",",SUBSTITUTE(D72,"|",REPT(",",LEN(D72)),3))+1,FIND(",",SUBSTITUTE(D72,"|",REPT(",",LEN(D72)),4))-FIND(",",SUBSTITUTE(D72,"|",REPT(",",LEN(D72)),3))-1)</f>
        <v/>
      </c>
      <c r="L72" s="0">
        <f>MID(D72,FIND(",",SUBSTITUTE(D72,"|",REPT(",",LEN(D72)),4))+1,FIND(",",SUBSTITUTE(D72,"|",REPT(",",LEN(D72)),5))-FIND(",",SUBSTITUTE(D72,"|",REPT(",",LEN(D72)),4))-1)</f>
        <v/>
      </c>
      <c r="M72" s="0">
        <f>MID(D72,FIND(";",SUBSTITUTE(D72,"|",REPT(";",LEN(D72)),6))+1,LEN(D72))</f>
        <v/>
      </c>
      <c r="N72" s="0">
        <f>MID(D72,FIND(";",SUBSTITUTE(D72,"|",REPT(";",LEN(D72)),5))+1,FIND(";",SUBSTITUTE(D72,"|",REPT(";",LEN(D72)),6))-FIND(";",SUBSTITUTE(D72,"|",REPT(";",LEN(D72)),5))-1)</f>
        <v/>
      </c>
    </row>
    <row r="73" ht="28" customHeight="1" s="21">
      <c r="A73" s="8" t="inlineStr">
        <is>
          <t>100101</t>
        </is>
      </c>
      <c r="B73" s="8" t="inlineStr">
        <is>
          <t>冷轧板材</t>
        </is>
      </c>
      <c r="C73" s="8" t="inlineStr">
        <is>
          <t>600596900</t>
        </is>
      </c>
      <c r="D73" s="8" t="inlineStr">
        <is>
          <t>冷轧钢板|钢板|Q275|δ1|GB/T 11253-2007|冷轧|GB/T 708-2006</t>
        </is>
      </c>
      <c r="E73" s="8" t="inlineStr">
        <is>
          <t>物资名称 冷轧钢板;物资简称 钢板;牌号 Q275;厚度 δ1;宽 ;长 ;技术标准号 GB/T 11253-2007;加工工艺 冷轧;热处理工艺 ;特殊要求 ;规格标准号 GB/T 708-2006</t>
        </is>
      </c>
      <c r="F73" s="4" t="inlineStr">
        <is>
          <t>千克</t>
        </is>
      </c>
      <c r="G73" s="0">
        <f>LEFT(D73,FIND("|",D73,1)-1)</f>
        <v/>
      </c>
      <c r="H73" s="0">
        <f>MID(D73,FIND("|",D73,FIND("|",D73,1))+1,FIND("|",D73,FIND("|",D73,1)+1)-FIND("|",D73,FIND("|",D73,1))-1)</f>
        <v/>
      </c>
      <c r="J73" s="0">
        <f>MID(D73,FIND(",",SUBSTITUTE(D73,"|",REPT(",",LEN(D73)),2))+1,FIND(",",SUBSTITUTE(D73,"|",REPT(",",LEN(D73)),3))-FIND(",",SUBSTITUTE(D73,"|",REPT(",",LEN(D73)),2))-1)</f>
        <v/>
      </c>
      <c r="K73" s="0">
        <f>MID(D73,FIND(",",SUBSTITUTE(D73,"|",REPT(",",LEN(D73)),3))+1,FIND(",",SUBSTITUTE(D73,"|",REPT(",",LEN(D73)),4))-FIND(",",SUBSTITUTE(D73,"|",REPT(",",LEN(D73)),3))-1)</f>
        <v/>
      </c>
      <c r="L73" s="0">
        <f>MID(D73,FIND(",",SUBSTITUTE(D73,"|",REPT(",",LEN(D73)),4))+1,FIND(",",SUBSTITUTE(D73,"|",REPT(",",LEN(D73)),5))-FIND(",",SUBSTITUTE(D73,"|",REPT(",",LEN(D73)),4))-1)</f>
        <v/>
      </c>
      <c r="M73" s="0">
        <f>MID(D73,FIND(";",SUBSTITUTE(D73,"|",REPT(";",LEN(D73)),6))+1,LEN(D73))</f>
        <v/>
      </c>
      <c r="N73" s="0">
        <f>MID(D73,FIND(";",SUBSTITUTE(D73,"|",REPT(";",LEN(D73)),5))+1,FIND(";",SUBSTITUTE(D73,"|",REPT(";",LEN(D73)),6))-FIND(";",SUBSTITUTE(D73,"|",REPT(";",LEN(D73)),5))-1)</f>
        <v/>
      </c>
    </row>
    <row r="74" ht="28" customHeight="1" s="21">
      <c r="A74" s="8" t="inlineStr">
        <is>
          <t>100101</t>
        </is>
      </c>
      <c r="B74" s="8" t="inlineStr">
        <is>
          <t>冷轧板材</t>
        </is>
      </c>
      <c r="C74" s="8" t="inlineStr">
        <is>
          <t>600596800</t>
        </is>
      </c>
      <c r="D74" s="8" t="inlineStr">
        <is>
          <t>冷轧钢板|钢板|Q215|δ2.5|GB/T 11253-2007|冷轧|GB/T 708-2006</t>
        </is>
      </c>
      <c r="E74" s="8" t="inlineStr">
        <is>
          <t>物资名称 冷轧钢板;物资简称 钢板;牌号 Q215;厚度 δ2.5;宽 ;长 ;技术标准号 GB/T 11253-2007;加工工艺 冷轧;热处理工艺 ;特殊要求 ;规格标准号 GB/T 708-2006</t>
        </is>
      </c>
      <c r="F74" s="4" t="inlineStr">
        <is>
          <t>千克</t>
        </is>
      </c>
      <c r="G74" s="0">
        <f>LEFT(D74,FIND("|",D74,1)-1)</f>
        <v/>
      </c>
      <c r="H74" s="0">
        <f>MID(D74,FIND("|",D74,FIND("|",D74,1))+1,FIND("|",D74,FIND("|",D74,1)+1)-FIND("|",D74,FIND("|",D74,1))-1)</f>
        <v/>
      </c>
      <c r="J74" s="0">
        <f>MID(D74,FIND(",",SUBSTITUTE(D74,"|",REPT(",",LEN(D74)),2))+1,FIND(",",SUBSTITUTE(D74,"|",REPT(",",LEN(D74)),3))-FIND(",",SUBSTITUTE(D74,"|",REPT(",",LEN(D74)),2))-1)</f>
        <v/>
      </c>
      <c r="K74" s="0">
        <f>MID(D74,FIND(",",SUBSTITUTE(D74,"|",REPT(",",LEN(D74)),3))+1,FIND(",",SUBSTITUTE(D74,"|",REPT(",",LEN(D74)),4))-FIND(",",SUBSTITUTE(D74,"|",REPT(",",LEN(D74)),3))-1)</f>
        <v/>
      </c>
      <c r="L74" s="0">
        <f>MID(D74,FIND(",",SUBSTITUTE(D74,"|",REPT(",",LEN(D74)),4))+1,FIND(",",SUBSTITUTE(D74,"|",REPT(",",LEN(D74)),5))-FIND(",",SUBSTITUTE(D74,"|",REPT(",",LEN(D74)),4))-1)</f>
        <v/>
      </c>
      <c r="M74" s="0">
        <f>MID(D74,FIND(";",SUBSTITUTE(D74,"|",REPT(";",LEN(D74)),6))+1,LEN(D74))</f>
        <v/>
      </c>
      <c r="N74" s="0">
        <f>MID(D74,FIND(";",SUBSTITUTE(D74,"|",REPT(";",LEN(D74)),5))+1,FIND(";",SUBSTITUTE(D74,"|",REPT(";",LEN(D74)),6))-FIND(";",SUBSTITUTE(D74,"|",REPT(";",LEN(D74)),5))-1)</f>
        <v/>
      </c>
    </row>
    <row r="75" ht="28" customHeight="1" s="21">
      <c r="A75" s="8" t="inlineStr">
        <is>
          <t>100101</t>
        </is>
      </c>
      <c r="B75" s="8" t="inlineStr">
        <is>
          <t>冷轧板材</t>
        </is>
      </c>
      <c r="C75" s="8" t="inlineStr">
        <is>
          <t>600596700</t>
        </is>
      </c>
      <c r="D75" s="8" t="inlineStr">
        <is>
          <t>冷轧钢板|钢板|Q235|δ0.5|GB/T 11253-2007|冷轧|GB/T 708-2006</t>
        </is>
      </c>
      <c r="E75" s="8" t="inlineStr">
        <is>
          <t>物资名称 冷轧钢板;物资简称 钢板;牌号 Q235;厚度 δ0.5;宽 ;长 ;技术标准号 GB/T 11253-2007;加工工艺 冷轧;热处理工艺 ;特殊要求 ;规格标准号 GB/T 708-2006</t>
        </is>
      </c>
      <c r="F75" s="4" t="inlineStr">
        <is>
          <t>千克</t>
        </is>
      </c>
      <c r="G75" s="0">
        <f>LEFT(D75,FIND("|",D75,1)-1)</f>
        <v/>
      </c>
      <c r="H75" s="0">
        <f>MID(D75,FIND("|",D75,FIND("|",D75,1))+1,FIND("|",D75,FIND("|",D75,1)+1)-FIND("|",D75,FIND("|",D75,1))-1)</f>
        <v/>
      </c>
      <c r="J75" s="0">
        <f>MID(D75,FIND(",",SUBSTITUTE(D75,"|",REPT(",",LEN(D75)),2))+1,FIND(",",SUBSTITUTE(D75,"|",REPT(",",LEN(D75)),3))-FIND(",",SUBSTITUTE(D75,"|",REPT(",",LEN(D75)),2))-1)</f>
        <v/>
      </c>
      <c r="K75" s="0">
        <f>MID(D75,FIND(",",SUBSTITUTE(D75,"|",REPT(",",LEN(D75)),3))+1,FIND(",",SUBSTITUTE(D75,"|",REPT(",",LEN(D75)),4))-FIND(",",SUBSTITUTE(D75,"|",REPT(",",LEN(D75)),3))-1)</f>
        <v/>
      </c>
      <c r="L75" s="0">
        <f>MID(D75,FIND(",",SUBSTITUTE(D75,"|",REPT(",",LEN(D75)),4))+1,FIND(",",SUBSTITUTE(D75,"|",REPT(",",LEN(D75)),5))-FIND(",",SUBSTITUTE(D75,"|",REPT(",",LEN(D75)),4))-1)</f>
        <v/>
      </c>
      <c r="M75" s="0">
        <f>MID(D75,FIND(";",SUBSTITUTE(D75,"|",REPT(";",LEN(D75)),6))+1,LEN(D75))</f>
        <v/>
      </c>
      <c r="N75" s="0">
        <f>MID(D75,FIND(";",SUBSTITUTE(D75,"|",REPT(";",LEN(D75)),5))+1,FIND(";",SUBSTITUTE(D75,"|",REPT(";",LEN(D75)),6))-FIND(";",SUBSTITUTE(D75,"|",REPT(";",LEN(D75)),5))-1)</f>
        <v/>
      </c>
    </row>
    <row r="76" ht="28" customHeight="1" s="21">
      <c r="A76" s="8" t="inlineStr">
        <is>
          <t>100101</t>
        </is>
      </c>
      <c r="B76" s="8" t="inlineStr">
        <is>
          <t>冷轧板材</t>
        </is>
      </c>
      <c r="C76" s="8" t="inlineStr">
        <is>
          <t>600596600</t>
        </is>
      </c>
      <c r="D76" s="8" t="inlineStr">
        <is>
          <t>冷轧钢板|钢板|Q235|δ1.2|GB/T 11253-2007|冷轧|GB/T 708-2006</t>
        </is>
      </c>
      <c r="E76" s="8" t="inlineStr">
        <is>
          <t>物资名称 冷轧钢板;物资简称 钢板;牌号 Q235;厚度 δ1.2;宽 ;长 ;技术标准号 GB/T 11253-2007;加工工艺 冷轧;热处理工艺 ;特殊要求 ;规格标准号 GB/T 708-2006</t>
        </is>
      </c>
      <c r="F76" s="4" t="inlineStr">
        <is>
          <t>千克</t>
        </is>
      </c>
      <c r="G76" s="0">
        <f>LEFT(D76,FIND("|",D76,1)-1)</f>
        <v/>
      </c>
      <c r="H76" s="0">
        <f>MID(D76,FIND("|",D76,FIND("|",D76,1))+1,FIND("|",D76,FIND("|",D76,1)+1)-FIND("|",D76,FIND("|",D76,1))-1)</f>
        <v/>
      </c>
      <c r="J76" s="0">
        <f>MID(D76,FIND(",",SUBSTITUTE(D76,"|",REPT(",",LEN(D76)),2))+1,FIND(",",SUBSTITUTE(D76,"|",REPT(",",LEN(D76)),3))-FIND(",",SUBSTITUTE(D76,"|",REPT(",",LEN(D76)),2))-1)</f>
        <v/>
      </c>
      <c r="K76" s="0">
        <f>MID(D76,FIND(",",SUBSTITUTE(D76,"|",REPT(",",LEN(D76)),3))+1,FIND(",",SUBSTITUTE(D76,"|",REPT(",",LEN(D76)),4))-FIND(",",SUBSTITUTE(D76,"|",REPT(",",LEN(D76)),3))-1)</f>
        <v/>
      </c>
      <c r="L76" s="0">
        <f>MID(D76,FIND(",",SUBSTITUTE(D76,"|",REPT(",",LEN(D76)),4))+1,FIND(",",SUBSTITUTE(D76,"|",REPT(",",LEN(D76)),5))-FIND(",",SUBSTITUTE(D76,"|",REPT(",",LEN(D76)),4))-1)</f>
        <v/>
      </c>
      <c r="M76" s="0">
        <f>MID(D76,FIND(";",SUBSTITUTE(D76,"|",REPT(";",LEN(D76)),6))+1,LEN(D76))</f>
        <v/>
      </c>
      <c r="N76" s="0">
        <f>MID(D76,FIND(";",SUBSTITUTE(D76,"|",REPT(";",LEN(D76)),5))+1,FIND(";",SUBSTITUTE(D76,"|",REPT(";",LEN(D76)),6))-FIND(";",SUBSTITUTE(D76,"|",REPT(";",LEN(D76)),5))-1)</f>
        <v/>
      </c>
    </row>
    <row r="77" ht="28" customHeight="1" s="21">
      <c r="A77" s="8" t="inlineStr">
        <is>
          <t>100101</t>
        </is>
      </c>
      <c r="B77" s="8" t="inlineStr">
        <is>
          <t>冷轧板材</t>
        </is>
      </c>
      <c r="C77" s="8" t="inlineStr">
        <is>
          <t>600596500</t>
        </is>
      </c>
      <c r="D77" s="8" t="inlineStr">
        <is>
          <t>冷轧优质碳素结构钢板|钢板|10|GB/T 13237-2013|GB/T 708-2006</t>
        </is>
      </c>
      <c r="E77" s="8" t="inlineStr">
        <is>
          <t>物资名称 冷轧优质碳素结构钢板;物资简称 钢板;牌号 10;厚度 ;宽 ;长 ;技术标准号 GB/T 13237-2013;加工工艺 ;热处理工艺 ;特殊要求 ;规格标准号 GB/T 708-2006</t>
        </is>
      </c>
      <c r="F77" s="4" t="inlineStr">
        <is>
          <t>千克</t>
        </is>
      </c>
      <c r="G77" s="0">
        <f>LEFT(D77,FIND("|",D77,1)-1)</f>
        <v/>
      </c>
      <c r="H77" s="0">
        <f>MID(D77,FIND("|",D77,FIND("|",D77,1))+1,FIND("|",D77,FIND("|",D77,1)+1)-FIND("|",D77,FIND("|",D77,1))-1)</f>
        <v/>
      </c>
      <c r="J77" s="0">
        <f>MID(D77,FIND(",",SUBSTITUTE(D77,"|",REPT(",",LEN(D77)),2))+1,FIND(",",SUBSTITUTE(D77,"|",REPT(",",LEN(D77)),3))-FIND(",",SUBSTITUTE(D77,"|",REPT(",",LEN(D77)),2))-1)</f>
        <v/>
      </c>
      <c r="L77" s="0">
        <f>MID(D77,FIND(",",SUBSTITUTE(D77,"|",REPT(",",LEN(D77)),3))+1,FIND(",",SUBSTITUTE(D77,"|",REPT(",",LEN(D77)),4))-FIND(",",SUBSTITUTE(D77,"|",REPT(",",LEN(D77)),3))-1)</f>
        <v/>
      </c>
      <c r="M77" s="0">
        <f>MID(D77,FIND(";",SUBSTITUTE(D77,"|",REPT(";",LEN(D77)),4))+1,LEN(D77))</f>
        <v/>
      </c>
    </row>
    <row r="78" ht="42" customHeight="1" s="21">
      <c r="A78" s="8" t="inlineStr">
        <is>
          <t>100101</t>
        </is>
      </c>
      <c r="B78" s="8" t="inlineStr">
        <is>
          <t>冷轧板材</t>
        </is>
      </c>
      <c r="C78" s="8" t="inlineStr">
        <is>
          <t>600596400</t>
        </is>
      </c>
      <c r="D78" s="8" t="inlineStr">
        <is>
          <t>冷轧优质碳素结构钢板|钢板|10|δ3|GB/T 13237-2013|冷轧|GB/T 708-2006</t>
        </is>
      </c>
      <c r="E78" s="8" t="inlineStr">
        <is>
          <t>物资名称 冷轧优质碳素结构钢板;物资简称 钢板;牌号 10;厚度 δ3;宽 ;长 ;技术标准号 GB/T 13237-2013;加工工艺 冷轧;热处理工艺 ;特殊要求 ;规格标准号 GB/T 708-2006</t>
        </is>
      </c>
      <c r="F78" s="4" t="inlineStr">
        <is>
          <t>千克</t>
        </is>
      </c>
      <c r="G78" s="0">
        <f>LEFT(D78,FIND("|",D78,1)-1)</f>
        <v/>
      </c>
      <c r="H78" s="0">
        <f>MID(D78,FIND("|",D78,FIND("|",D78,1))+1,FIND("|",D78,FIND("|",D78,1)+1)-FIND("|",D78,FIND("|",D78,1))-1)</f>
        <v/>
      </c>
      <c r="J78" s="0">
        <f>MID(D78,FIND(",",SUBSTITUTE(D78,"|",REPT(",",LEN(D78)),2))+1,FIND(",",SUBSTITUTE(D78,"|",REPT(",",LEN(D78)),3))-FIND(",",SUBSTITUTE(D78,"|",REPT(",",LEN(D78)),2))-1)</f>
        <v/>
      </c>
      <c r="K78" s="0">
        <f>MID(D78,FIND(",",SUBSTITUTE(D78,"|",REPT(",",LEN(D78)),3))+1,FIND(",",SUBSTITUTE(D78,"|",REPT(",",LEN(D78)),4))-FIND(",",SUBSTITUTE(D78,"|",REPT(",",LEN(D78)),3))-1)</f>
        <v/>
      </c>
      <c r="L78" s="0">
        <f>MID(D78,FIND(",",SUBSTITUTE(D78,"|",REPT(",",LEN(D78)),4))+1,FIND(",",SUBSTITUTE(D78,"|",REPT(",",LEN(D78)),5))-FIND(",",SUBSTITUTE(D78,"|",REPT(",",LEN(D78)),4))-1)</f>
        <v/>
      </c>
      <c r="M78" s="0">
        <f>MID(D78,FIND(";",SUBSTITUTE(D78,"|",REPT(";",LEN(D78)),6))+1,LEN(D78))</f>
        <v/>
      </c>
      <c r="N78" s="0">
        <f>MID(D78,FIND(";",SUBSTITUTE(D78,"|",REPT(";",LEN(D78)),5))+1,FIND(";",SUBSTITUTE(D78,"|",REPT(";",LEN(D78)),6))-FIND(";",SUBSTITUTE(D78,"|",REPT(";",LEN(D78)),5))-1)</f>
        <v/>
      </c>
    </row>
    <row r="79" ht="28" customHeight="1" s="21">
      <c r="A79" s="8" t="inlineStr">
        <is>
          <t>100101</t>
        </is>
      </c>
      <c r="B79" s="8" t="inlineStr">
        <is>
          <t>冷轧板材</t>
        </is>
      </c>
      <c r="C79" s="8" t="inlineStr">
        <is>
          <t>600596300</t>
        </is>
      </c>
      <c r="D79" s="8" t="inlineStr">
        <is>
          <t>冷轧优质碳素结构钢板|钢板|20|GB/T 13237-2013|GB/T 708-2006</t>
        </is>
      </c>
      <c r="E79" s="8" t="inlineStr">
        <is>
          <t>物资名称 冷轧优质碳素结构钢板;物资简称 钢板;牌号 20;厚度 ;宽 ;长 ;技术标准号 GB/T 13237-2013;加工工艺 ;热处理工艺 ;特殊要求 ;规格标准号 GB/T 708-2006</t>
        </is>
      </c>
      <c r="F79" s="4" t="inlineStr">
        <is>
          <t>千克</t>
        </is>
      </c>
      <c r="G79" s="0">
        <f>LEFT(D79,FIND("|",D79,1)-1)</f>
        <v/>
      </c>
      <c r="H79" s="0">
        <f>MID(D79,FIND("|",D79,FIND("|",D79,1))+1,FIND("|",D79,FIND("|",D79,1)+1)-FIND("|",D79,FIND("|",D79,1))-1)</f>
        <v/>
      </c>
      <c r="J79" s="0">
        <f>MID(D79,FIND(",",SUBSTITUTE(D79,"|",REPT(",",LEN(D79)),2))+1,FIND(",",SUBSTITUTE(D79,"|",REPT(",",LEN(D79)),3))-FIND(",",SUBSTITUTE(D79,"|",REPT(",",LEN(D79)),2))-1)</f>
        <v/>
      </c>
      <c r="L79" s="0">
        <f>MID(D79,FIND(",",SUBSTITUTE(D79,"|",REPT(",",LEN(D79)),3))+1,FIND(",",SUBSTITUTE(D79,"|",REPT(",",LEN(D79)),4))-FIND(",",SUBSTITUTE(D79,"|",REPT(",",LEN(D79)),3))-1)</f>
        <v/>
      </c>
      <c r="M79" s="0">
        <f>MID(D79,FIND(";",SUBSTITUTE(D79,"|",REPT(";",LEN(D79)),4))+1,LEN(D79))</f>
        <v/>
      </c>
    </row>
    <row r="80" ht="42" customHeight="1" s="21">
      <c r="A80" s="8" t="inlineStr">
        <is>
          <t>100101</t>
        </is>
      </c>
      <c r="B80" s="8" t="inlineStr">
        <is>
          <t>冷轧板材</t>
        </is>
      </c>
      <c r="C80" s="8" t="inlineStr">
        <is>
          <t>600596200</t>
        </is>
      </c>
      <c r="D80" s="8" t="inlineStr">
        <is>
          <t>冷轧优质碳素结构钢板|钢板|20|δ0.8|GB/T 13237-2013|冷轧|GB/T 708-2006</t>
        </is>
      </c>
      <c r="E80" s="8" t="inlineStr">
        <is>
          <t>物资名称 冷轧优质碳素结构钢板;物资简称 钢板;牌号 20;厚度 δ0.8;宽 ;长 ;技术标准号 GB/T 13237-2013;加工工艺 冷轧;热处理工艺 ;特殊要求 ;规格标准号 GB/T 708-2006</t>
        </is>
      </c>
      <c r="F80" s="4" t="inlineStr">
        <is>
          <t>千克</t>
        </is>
      </c>
      <c r="G80" s="0">
        <f>LEFT(D80,FIND("|",D80,1)-1)</f>
        <v/>
      </c>
      <c r="H80" s="0">
        <f>MID(D80,FIND("|",D80,FIND("|",D80,1))+1,FIND("|",D80,FIND("|",D80,1)+1)-FIND("|",D80,FIND("|",D80,1))-1)</f>
        <v/>
      </c>
      <c r="J80" s="0">
        <f>MID(D80,FIND(",",SUBSTITUTE(D80,"|",REPT(",",LEN(D80)),2))+1,FIND(",",SUBSTITUTE(D80,"|",REPT(",",LEN(D80)),3))-FIND(",",SUBSTITUTE(D80,"|",REPT(",",LEN(D80)),2))-1)</f>
        <v/>
      </c>
      <c r="K80" s="0">
        <f>MID(D80,FIND(",",SUBSTITUTE(D80,"|",REPT(",",LEN(D80)),3))+1,FIND(",",SUBSTITUTE(D80,"|",REPT(",",LEN(D80)),4))-FIND(",",SUBSTITUTE(D80,"|",REPT(",",LEN(D80)),3))-1)</f>
        <v/>
      </c>
      <c r="L80" s="0">
        <f>MID(D80,FIND(",",SUBSTITUTE(D80,"|",REPT(",",LEN(D80)),4))+1,FIND(",",SUBSTITUTE(D80,"|",REPT(",",LEN(D80)),5))-FIND(",",SUBSTITUTE(D80,"|",REPT(",",LEN(D80)),4))-1)</f>
        <v/>
      </c>
      <c r="M80" s="0">
        <f>MID(D80,FIND(";",SUBSTITUTE(D80,"|",REPT(";",LEN(D80)),6))+1,LEN(D80))</f>
        <v/>
      </c>
      <c r="N80" s="0">
        <f>MID(D80,FIND(";",SUBSTITUTE(D80,"|",REPT(";",LEN(D80)),5))+1,FIND(";",SUBSTITUTE(D80,"|",REPT(";",LEN(D80)),6))-FIND(";",SUBSTITUTE(D80,"|",REPT(";",LEN(D80)),5))-1)</f>
        <v/>
      </c>
    </row>
    <row r="81" ht="42" customHeight="1" s="21">
      <c r="A81" s="8" t="inlineStr">
        <is>
          <t>100101</t>
        </is>
      </c>
      <c r="B81" s="8" t="inlineStr">
        <is>
          <t>冷轧板材</t>
        </is>
      </c>
      <c r="C81" s="8" t="inlineStr">
        <is>
          <t>600596100</t>
        </is>
      </c>
      <c r="D81" s="8" t="inlineStr">
        <is>
          <t>冷轧优质碳素结构钢板|钢板|20|δ1|GB/T 13237-2013|冷轧|FB|GB/T 708-2006</t>
        </is>
      </c>
      <c r="E81" s="8" t="inlineStr">
        <is>
          <t>物资名称 冷轧优质碳素结构钢板;物资简称 钢板;牌号 20;厚度 δ1;宽 ;长 ;技术标准号 GB/T 13237-2013;加工工艺 冷轧;热处理工艺 ;特殊要求 FB;规格标准号 GB/T 708-2006</t>
        </is>
      </c>
      <c r="F81" s="4" t="inlineStr">
        <is>
          <t>千克</t>
        </is>
      </c>
      <c r="G81" s="0">
        <f>LEFT(D81,FIND("|",D81,1)-1)</f>
        <v/>
      </c>
      <c r="H81" s="0">
        <f>MID(D81,FIND("|",D81,FIND("|",D81,1))+1,FIND("|",D81,FIND("|",D81,1)+1)-FIND("|",D81,FIND("|",D81,1))-1)</f>
        <v/>
      </c>
      <c r="J81" s="0">
        <f>MID(D81,FIND(",",SUBSTITUTE(D81,"|",REPT(",",LEN(D81)),2))+1,FIND(",",SUBSTITUTE(D81,"|",REPT(",",LEN(D81)),3))-FIND(",",SUBSTITUTE(D81,"|",REPT(",",LEN(D81)),2))-1)</f>
        <v/>
      </c>
      <c r="K81" s="0">
        <f>MID(D81,FIND(",",SUBSTITUTE(D81,"|",REPT(",",LEN(D81)),3))+1,FIND(",",SUBSTITUTE(D81,"|",REPT(",",LEN(D81)),4))-FIND(",",SUBSTITUTE(D81,"|",REPT(",",LEN(D81)),3))-1)</f>
        <v/>
      </c>
      <c r="L81" s="0">
        <f>MID(D81,FIND(",",SUBSTITUTE(D81,"|",REPT(",",LEN(D81)),4))+1,FIND(",",SUBSTITUTE(D81,"|",REPT(",",LEN(D81)),5))-FIND(",",SUBSTITUTE(D81,"|",REPT(",",LEN(D81)),4))-1)</f>
        <v/>
      </c>
      <c r="M81" s="0">
        <f>MID(D81,FIND(";",SUBSTITUTE(D81,"|",REPT(";",LEN(D81)),7))+1,LEN(D81))</f>
        <v/>
      </c>
      <c r="N81" s="0">
        <f>MID(D81,FIND(";",SUBSTITUTE(D81,"|",REPT(";",LEN(D81)),5))+1,FIND(";",SUBSTITUTE(D81,"|",REPT(";",LEN(D81)),6))-FIND(";",SUBSTITUTE(D81,"|",REPT(";",LEN(D81)),5))-1)</f>
        <v/>
      </c>
      <c r="P81" s="0">
        <f>MID(D81,FIND(";",SUBSTITUTE(D81,"|",REPT(";",LEN(D81)),6))+1,FIND(";",SUBSTITUTE(D81,"|",REPT(";",LEN(D81)),7))-FIND(";",SUBSTITUTE(D81,"|",REPT(";",LEN(D81)),6))-1)</f>
        <v/>
      </c>
    </row>
    <row r="82" ht="42" customHeight="1" s="21">
      <c r="A82" s="8" t="inlineStr">
        <is>
          <t>100101</t>
        </is>
      </c>
      <c r="B82" s="8" t="inlineStr">
        <is>
          <t>冷轧板材</t>
        </is>
      </c>
      <c r="C82" s="8" t="inlineStr">
        <is>
          <t>600596000</t>
        </is>
      </c>
      <c r="D82" s="8" t="inlineStr">
        <is>
          <t>冷轧优质碳素结构钢板|钢板|20|δ1.2|GB/T 13237-2013|冷轧|GB/T 708-2006</t>
        </is>
      </c>
      <c r="E82" s="8" t="inlineStr">
        <is>
          <t>物资名称 冷轧优质碳素结构钢板;物资简称 钢板;牌号 20;厚度 δ1.2;宽 ;长 ;技术标准号 GB/T 13237-2013;加工工艺 冷轧;热处理工艺 ;特殊要求 ;规格标准号 GB/T 708-2006</t>
        </is>
      </c>
      <c r="F82" s="4" t="inlineStr">
        <is>
          <t>千克</t>
        </is>
      </c>
      <c r="G82" s="0">
        <f>LEFT(D82,FIND("|",D82,1)-1)</f>
        <v/>
      </c>
      <c r="H82" s="0">
        <f>MID(D82,FIND("|",D82,FIND("|",D82,1))+1,FIND("|",D82,FIND("|",D82,1)+1)-FIND("|",D82,FIND("|",D82,1))-1)</f>
        <v/>
      </c>
      <c r="J82" s="0">
        <f>MID(D82,FIND(",",SUBSTITUTE(D82,"|",REPT(",",LEN(D82)),2))+1,FIND(",",SUBSTITUTE(D82,"|",REPT(",",LEN(D82)),3))-FIND(",",SUBSTITUTE(D82,"|",REPT(",",LEN(D82)),2))-1)</f>
        <v/>
      </c>
      <c r="K82" s="0">
        <f>MID(D82,FIND(",",SUBSTITUTE(D82,"|",REPT(",",LEN(D82)),3))+1,FIND(",",SUBSTITUTE(D82,"|",REPT(",",LEN(D82)),4))-FIND(",",SUBSTITUTE(D82,"|",REPT(",",LEN(D82)),3))-1)</f>
        <v/>
      </c>
      <c r="L82" s="0">
        <f>MID(D82,FIND(",",SUBSTITUTE(D82,"|",REPT(",",LEN(D82)),4))+1,FIND(",",SUBSTITUTE(D82,"|",REPT(",",LEN(D82)),5))-FIND(",",SUBSTITUTE(D82,"|",REPT(",",LEN(D82)),4))-1)</f>
        <v/>
      </c>
      <c r="M82" s="0">
        <f>MID(D82,FIND(";",SUBSTITUTE(D82,"|",REPT(";",LEN(D82)),6))+1,LEN(D82))</f>
        <v/>
      </c>
      <c r="N82" s="0">
        <f>MID(D82,FIND(";",SUBSTITUTE(D82,"|",REPT(";",LEN(D82)),5))+1,FIND(";",SUBSTITUTE(D82,"|",REPT(";",LEN(D82)),6))-FIND(";",SUBSTITUTE(D82,"|",REPT(";",LEN(D82)),5))-1)</f>
        <v/>
      </c>
    </row>
    <row r="83" ht="42" customHeight="1" s="21">
      <c r="A83" s="8" t="inlineStr">
        <is>
          <t>100101</t>
        </is>
      </c>
      <c r="B83" s="8" t="inlineStr">
        <is>
          <t>冷轧板材</t>
        </is>
      </c>
      <c r="C83" s="8" t="inlineStr">
        <is>
          <t>600595900</t>
        </is>
      </c>
      <c r="D83" s="8" t="inlineStr">
        <is>
          <t>冷轧优质碳素结构钢板|钢板|20|δ1.5|GB/T 13237-2013|冷轧|FB|GB/T 708-2006</t>
        </is>
      </c>
      <c r="E83" s="8" t="inlineStr">
        <is>
          <t>物资名称 冷轧优质碳素结构钢板;物资简称 钢板;牌号 20;厚度 δ1.5;宽 ;长 ;技术标准号 GB/T 13237-2013;加工工艺 冷轧;热处理工艺 ;特殊要求 FB;规格标准号 GB/T 708-2006</t>
        </is>
      </c>
      <c r="F83" s="4" t="inlineStr">
        <is>
          <t>千克</t>
        </is>
      </c>
      <c r="G83" s="0">
        <f>LEFT(D83,FIND("|",D83,1)-1)</f>
        <v/>
      </c>
      <c r="H83" s="0">
        <f>MID(D83,FIND("|",D83,FIND("|",D83,1))+1,FIND("|",D83,FIND("|",D83,1)+1)-FIND("|",D83,FIND("|",D83,1))-1)</f>
        <v/>
      </c>
      <c r="J83" s="0">
        <f>MID(D83,FIND(",",SUBSTITUTE(D83,"|",REPT(",",LEN(D83)),2))+1,FIND(",",SUBSTITUTE(D83,"|",REPT(",",LEN(D83)),3))-FIND(",",SUBSTITUTE(D83,"|",REPT(",",LEN(D83)),2))-1)</f>
        <v/>
      </c>
      <c r="K83" s="0">
        <f>MID(D83,FIND(",",SUBSTITUTE(D83,"|",REPT(",",LEN(D83)),3))+1,FIND(",",SUBSTITUTE(D83,"|",REPT(",",LEN(D83)),4))-FIND(",",SUBSTITUTE(D83,"|",REPT(",",LEN(D83)),3))-1)</f>
        <v/>
      </c>
      <c r="L83" s="0">
        <f>MID(D83,FIND(",",SUBSTITUTE(D83,"|",REPT(",",LEN(D83)),4))+1,FIND(",",SUBSTITUTE(D83,"|",REPT(",",LEN(D83)),5))-FIND(",",SUBSTITUTE(D83,"|",REPT(",",LEN(D83)),4))-1)</f>
        <v/>
      </c>
      <c r="M83" s="0">
        <f>MID(D83,FIND(";",SUBSTITUTE(D83,"|",REPT(";",LEN(D83)),7))+1,LEN(D83))</f>
        <v/>
      </c>
      <c r="N83" s="0">
        <f>MID(D83,FIND(";",SUBSTITUTE(D83,"|",REPT(";",LEN(D83)),5))+1,FIND(";",SUBSTITUTE(D83,"|",REPT(";",LEN(D83)),6))-FIND(";",SUBSTITUTE(D83,"|",REPT(";",LEN(D83)),5))-1)</f>
        <v/>
      </c>
      <c r="P83" s="0">
        <f>MID(D83,FIND(";",SUBSTITUTE(D83,"|",REPT(";",LEN(D83)),6))+1,FIND(";",SUBSTITUTE(D83,"|",REPT(";",LEN(D83)),7))-FIND(";",SUBSTITUTE(D83,"|",REPT(";",LEN(D83)),6))-1)</f>
        <v/>
      </c>
    </row>
    <row r="84" ht="42" customHeight="1" s="21">
      <c r="A84" s="8" t="inlineStr">
        <is>
          <t>100101</t>
        </is>
      </c>
      <c r="B84" s="8" t="inlineStr">
        <is>
          <t>冷轧板材</t>
        </is>
      </c>
      <c r="C84" s="8" t="inlineStr">
        <is>
          <t>600595800</t>
        </is>
      </c>
      <c r="D84" s="8" t="inlineStr">
        <is>
          <t>冷轧优质碳素结构钢板|钢板|20|δ2|GB/T 13237-2013|冷轧|退火|GB/T 708-2006</t>
        </is>
      </c>
      <c r="E84" s="8" t="inlineStr">
        <is>
          <t>物资名称 冷轧优质碳素结构钢板;物资简称 钢板;牌号 20;厚度 δ2;宽 ;长 ;技术标准号 GB/T 13237-2013;加工工艺 冷轧;热处理工艺 退火;特殊要求 ;规格标准号 GB/T 708-2006</t>
        </is>
      </c>
      <c r="F84" s="4" t="inlineStr">
        <is>
          <t>千克</t>
        </is>
      </c>
      <c r="G84" s="0">
        <f>LEFT(D84,FIND("|",D84,1)-1)</f>
        <v/>
      </c>
      <c r="H84" s="0">
        <f>MID(D84,FIND("|",D84,FIND("|",D84,1))+1,FIND("|",D84,FIND("|",D84,1)+1)-FIND("|",D84,FIND("|",D84,1))-1)</f>
        <v/>
      </c>
      <c r="J84" s="0">
        <f>MID(D84,FIND(",",SUBSTITUTE(D84,"|",REPT(",",LEN(D84)),2))+1,FIND(",",SUBSTITUTE(D84,"|",REPT(",",LEN(D84)),3))-FIND(",",SUBSTITUTE(D84,"|",REPT(",",LEN(D84)),2))-1)</f>
        <v/>
      </c>
      <c r="K84" s="0">
        <f>MID(D84,FIND(",",SUBSTITUTE(D84,"|",REPT(",",LEN(D84)),3))+1,FIND(",",SUBSTITUTE(D84,"|",REPT(",",LEN(D84)),4))-FIND(",",SUBSTITUTE(D84,"|",REPT(",",LEN(D84)),3))-1)</f>
        <v/>
      </c>
      <c r="L84" s="0">
        <f>MID(D84,FIND(",",SUBSTITUTE(D84,"|",REPT(",",LEN(D84)),4))+1,FIND(",",SUBSTITUTE(D84,"|",REPT(",",LEN(D84)),5))-FIND(",",SUBSTITUTE(D84,"|",REPT(",",LEN(D84)),4))-1)</f>
        <v/>
      </c>
      <c r="M84" s="0">
        <f>MID(D84,FIND(";",SUBSTITUTE(D84,"|",REPT(";",LEN(D84)),7))+1,LEN(D84))</f>
        <v/>
      </c>
      <c r="N84" s="0">
        <f>MID(D84,FIND(";",SUBSTITUTE(D84,"|",REPT(";",LEN(D84)),5))+1,FIND(";",SUBSTITUTE(D84,"|",REPT(";",LEN(D84)),6))-FIND(";",SUBSTITUTE(D84,"|",REPT(";",LEN(D84)),5))-1)</f>
        <v/>
      </c>
      <c r="O84" s="0">
        <f>MID(D84,FIND(";",SUBSTITUTE(D84,"|",REPT(";",LEN(D84)),6))+1,FIND(";",SUBSTITUTE(D84,"|",REPT(";",LEN(D84)),7))-FIND(";",SUBSTITUTE(D84,"|",REPT(";",LEN(D84)),6))-1)</f>
        <v/>
      </c>
    </row>
    <row r="85" ht="42" customHeight="1" s="21">
      <c r="A85" s="8" t="inlineStr">
        <is>
          <t>100101</t>
        </is>
      </c>
      <c r="B85" s="8" t="inlineStr">
        <is>
          <t>冷轧板材</t>
        </is>
      </c>
      <c r="C85" s="8" t="inlineStr">
        <is>
          <t>600595700</t>
        </is>
      </c>
      <c r="D85" s="8" t="inlineStr">
        <is>
          <t>冷轧优质碳素结构钢板|钢板|20|δ3|GB/T 13237-2013|冷轧|退火|GB/T 708-2006</t>
        </is>
      </c>
      <c r="E85" s="8" t="inlineStr">
        <is>
          <t>物资名称 冷轧优质碳素结构钢板;物资简称 钢板;牌号 20;厚度 δ3;宽 ;长 ;技术标准号 GB/T 13237-2013;加工工艺 冷轧;热处理工艺 退火;特殊要求 ;规格标准号 GB/T 708-2006</t>
        </is>
      </c>
      <c r="F85" s="4" t="inlineStr">
        <is>
          <t>千克</t>
        </is>
      </c>
      <c r="G85" s="0">
        <f>LEFT(D85,FIND("|",D85,1)-1)</f>
        <v/>
      </c>
      <c r="H85" s="0">
        <f>MID(D85,FIND("|",D85,FIND("|",D85,1))+1,FIND("|",D85,FIND("|",D85,1)+1)-FIND("|",D85,FIND("|",D85,1))-1)</f>
        <v/>
      </c>
      <c r="J85" s="0">
        <f>MID(D85,FIND(",",SUBSTITUTE(D85,"|",REPT(",",LEN(D85)),2))+1,FIND(",",SUBSTITUTE(D85,"|",REPT(",",LEN(D85)),3))-FIND(",",SUBSTITUTE(D85,"|",REPT(",",LEN(D85)),2))-1)</f>
        <v/>
      </c>
      <c r="K85" s="0">
        <f>MID(D85,FIND(",",SUBSTITUTE(D85,"|",REPT(",",LEN(D85)),3))+1,FIND(",",SUBSTITUTE(D85,"|",REPT(",",LEN(D85)),4))-FIND(",",SUBSTITUTE(D85,"|",REPT(",",LEN(D85)),3))-1)</f>
        <v/>
      </c>
      <c r="L85" s="0">
        <f>MID(D85,FIND(",",SUBSTITUTE(D85,"|",REPT(",",LEN(D85)),4))+1,FIND(",",SUBSTITUTE(D85,"|",REPT(",",LEN(D85)),5))-FIND(",",SUBSTITUTE(D85,"|",REPT(",",LEN(D85)),4))-1)</f>
        <v/>
      </c>
      <c r="M85" s="0">
        <f>MID(D85,FIND(";",SUBSTITUTE(D85,"|",REPT(";",LEN(D85)),7))+1,LEN(D85))</f>
        <v/>
      </c>
      <c r="N85" s="0">
        <f>MID(D85,FIND(";",SUBSTITUTE(D85,"|",REPT(";",LEN(D85)),5))+1,FIND(";",SUBSTITUTE(D85,"|",REPT(";",LEN(D85)),6))-FIND(";",SUBSTITUTE(D85,"|",REPT(";",LEN(D85)),5))-1)</f>
        <v/>
      </c>
      <c r="O85" s="0">
        <f>MID(D85,FIND(";",SUBSTITUTE(D85,"|",REPT(";",LEN(D85)),6))+1,FIND(";",SUBSTITUTE(D85,"|",REPT(";",LEN(D85)),7))-FIND(";",SUBSTITUTE(D85,"|",REPT(";",LEN(D85)),6))-1)</f>
        <v/>
      </c>
    </row>
    <row r="86" ht="42" customHeight="1" s="21">
      <c r="A86" s="8" t="inlineStr">
        <is>
          <t>100101</t>
        </is>
      </c>
      <c r="B86" s="8" t="inlineStr">
        <is>
          <t>冷轧板材</t>
        </is>
      </c>
      <c r="C86" s="8" t="inlineStr">
        <is>
          <t>600595600</t>
        </is>
      </c>
      <c r="D86" s="8" t="inlineStr">
        <is>
          <t>冷轧优质碳素结构钢板|钢板|20|δ3|GB/T 13237-2013|冷轧|FB|GB/T 708-2006</t>
        </is>
      </c>
      <c r="E86" s="8" t="inlineStr">
        <is>
          <t>物资名称 冷轧优质碳素结构钢板;物资简称 钢板;牌号 20;厚度 δ3;宽 ;长 ;技术标准号 GB/T 13237-2013;加工工艺 冷轧;热处理工艺 ;特殊要求 FB;规格标准号 GB/T 708-2006</t>
        </is>
      </c>
      <c r="F86" s="4" t="inlineStr">
        <is>
          <t>千克</t>
        </is>
      </c>
      <c r="G86" s="0">
        <f>LEFT(D86,FIND("|",D86,1)-1)</f>
        <v/>
      </c>
      <c r="H86" s="0">
        <f>MID(D86,FIND("|",D86,FIND("|",D86,1))+1,FIND("|",D86,FIND("|",D86,1)+1)-FIND("|",D86,FIND("|",D86,1))-1)</f>
        <v/>
      </c>
      <c r="J86" s="0">
        <f>MID(D86,FIND(",",SUBSTITUTE(D86,"|",REPT(",",LEN(D86)),2))+1,FIND(",",SUBSTITUTE(D86,"|",REPT(",",LEN(D86)),3))-FIND(",",SUBSTITUTE(D86,"|",REPT(",",LEN(D86)),2))-1)</f>
        <v/>
      </c>
      <c r="K86" s="0">
        <f>MID(D86,FIND(",",SUBSTITUTE(D86,"|",REPT(",",LEN(D86)),3))+1,FIND(",",SUBSTITUTE(D86,"|",REPT(",",LEN(D86)),4))-FIND(",",SUBSTITUTE(D86,"|",REPT(",",LEN(D86)),3))-1)</f>
        <v/>
      </c>
      <c r="L86" s="0">
        <f>MID(D86,FIND(",",SUBSTITUTE(D86,"|",REPT(",",LEN(D86)),4))+1,FIND(",",SUBSTITUTE(D86,"|",REPT(",",LEN(D86)),5))-FIND(",",SUBSTITUTE(D86,"|",REPT(",",LEN(D86)),4))-1)</f>
        <v/>
      </c>
      <c r="M86" s="0">
        <f>MID(D86,FIND(";",SUBSTITUTE(D86,"|",REPT(";",LEN(D86)),7))+1,LEN(D86))</f>
        <v/>
      </c>
      <c r="N86" s="0">
        <f>MID(D86,FIND(";",SUBSTITUTE(D86,"|",REPT(";",LEN(D86)),5))+1,FIND(";",SUBSTITUTE(D86,"|",REPT(";",LEN(D86)),6))-FIND(";",SUBSTITUTE(D86,"|",REPT(";",LEN(D86)),5))-1)</f>
        <v/>
      </c>
      <c r="P86" s="0">
        <f>MID(D86,FIND(";",SUBSTITUTE(D86,"|",REPT(";",LEN(D86)),6))+1,FIND(";",SUBSTITUTE(D86,"|",REPT(";",LEN(D86)),7))-FIND(";",SUBSTITUTE(D86,"|",REPT(";",LEN(D86)),6))-1)</f>
        <v/>
      </c>
    </row>
    <row r="87" ht="28" customHeight="1" s="21">
      <c r="A87" s="8" t="inlineStr">
        <is>
          <t>100101</t>
        </is>
      </c>
      <c r="B87" s="8" t="inlineStr">
        <is>
          <t>冷轧板材</t>
        </is>
      </c>
      <c r="C87" s="8" t="inlineStr">
        <is>
          <t>600595500</t>
        </is>
      </c>
      <c r="D87" s="8" t="inlineStr">
        <is>
          <t>冷轧优质碳素结构钢板|钢板|40|GB/T 13237-2013|GB/T 708-2006</t>
        </is>
      </c>
      <c r="E87" s="8" t="inlineStr">
        <is>
          <t>物资名称 冷轧优质碳素结构钢板;物资简称 钢板;牌号 40;厚度 ;宽 ;长 ;技术标准号 GB/T 13237-2013;加工工艺 ;热处理工艺 ;特殊要求 ;规格标准号 GB/T 708-2006</t>
        </is>
      </c>
      <c r="F87" s="4" t="inlineStr">
        <is>
          <t>千克</t>
        </is>
      </c>
      <c r="G87" s="0">
        <f>LEFT(D87,FIND("|",D87,1)-1)</f>
        <v/>
      </c>
      <c r="H87" s="0">
        <f>MID(D87,FIND("|",D87,FIND("|",D87,1))+1,FIND("|",D87,FIND("|",D87,1)+1)-FIND("|",D87,FIND("|",D87,1))-1)</f>
        <v/>
      </c>
      <c r="J87" s="0">
        <f>MID(D87,FIND(",",SUBSTITUTE(D87,"|",REPT(",",LEN(D87)),2))+1,FIND(",",SUBSTITUTE(D87,"|",REPT(",",LEN(D87)),3))-FIND(",",SUBSTITUTE(D87,"|",REPT(",",LEN(D87)),2))-1)</f>
        <v/>
      </c>
      <c r="L87" s="0">
        <f>MID(D87,FIND(",",SUBSTITUTE(D87,"|",REPT(",",LEN(D87)),3))+1,FIND(",",SUBSTITUTE(D87,"|",REPT(",",LEN(D87)),4))-FIND(",",SUBSTITUTE(D87,"|",REPT(",",LEN(D87)),3))-1)</f>
        <v/>
      </c>
      <c r="M87" s="0">
        <f>MID(D87,FIND(";",SUBSTITUTE(D87,"|",REPT(";",LEN(D87)),4))+1,LEN(D87))</f>
        <v/>
      </c>
    </row>
    <row r="88" ht="42" customHeight="1" s="21">
      <c r="A88" s="8" t="inlineStr">
        <is>
          <t>100101</t>
        </is>
      </c>
      <c r="B88" s="8" t="inlineStr">
        <is>
          <t>冷轧板材</t>
        </is>
      </c>
      <c r="C88" s="8" t="inlineStr">
        <is>
          <t>600595400</t>
        </is>
      </c>
      <c r="D88" s="8" t="inlineStr">
        <is>
          <t>冷轧优质碳素结构钢板|钢板|40|δ0.8|GB/T 13237-2013|冷轧|GB/T 708-2006</t>
        </is>
      </c>
      <c r="E88" s="8" t="inlineStr">
        <is>
          <t>物资名称 冷轧优质碳素结构钢板;物资简称 钢板;牌号 40;厚度 δ0.8;宽 ;长 ;技术标准号 GB/T 13237-2013;加工工艺 冷轧;热处理工艺 ;特殊要求 ;规格标准号 GB/T 708-2006</t>
        </is>
      </c>
      <c r="F88" s="4" t="inlineStr">
        <is>
          <t>千克</t>
        </is>
      </c>
      <c r="G88" s="0">
        <f>LEFT(D88,FIND("|",D88,1)-1)</f>
        <v/>
      </c>
      <c r="H88" s="0">
        <f>MID(D88,FIND("|",D88,FIND("|",D88,1))+1,FIND("|",D88,FIND("|",D88,1)+1)-FIND("|",D88,FIND("|",D88,1))-1)</f>
        <v/>
      </c>
      <c r="J88" s="0">
        <f>MID(D88,FIND(",",SUBSTITUTE(D88,"|",REPT(",",LEN(D88)),2))+1,FIND(",",SUBSTITUTE(D88,"|",REPT(",",LEN(D88)),3))-FIND(",",SUBSTITUTE(D88,"|",REPT(",",LEN(D88)),2))-1)</f>
        <v/>
      </c>
      <c r="K88" s="0">
        <f>MID(D88,FIND(",",SUBSTITUTE(D88,"|",REPT(",",LEN(D88)),3))+1,FIND(",",SUBSTITUTE(D88,"|",REPT(",",LEN(D88)),4))-FIND(",",SUBSTITUTE(D88,"|",REPT(",",LEN(D88)),3))-1)</f>
        <v/>
      </c>
      <c r="L88" s="0">
        <f>MID(D88,FIND(",",SUBSTITUTE(D88,"|",REPT(",",LEN(D88)),4))+1,FIND(",",SUBSTITUTE(D88,"|",REPT(",",LEN(D88)),5))-FIND(",",SUBSTITUTE(D88,"|",REPT(",",LEN(D88)),4))-1)</f>
        <v/>
      </c>
      <c r="M88" s="0">
        <f>MID(D88,FIND(";",SUBSTITUTE(D88,"|",REPT(";",LEN(D88)),6))+1,LEN(D88))</f>
        <v/>
      </c>
      <c r="N88" s="0">
        <f>MID(D88,FIND(";",SUBSTITUTE(D88,"|",REPT(";",LEN(D88)),5))+1,FIND(";",SUBSTITUTE(D88,"|",REPT(";",LEN(D88)),6))-FIND(";",SUBSTITUTE(D88,"|",REPT(";",LEN(D88)),5))-1)</f>
        <v/>
      </c>
    </row>
    <row r="89" ht="42" customHeight="1" s="21">
      <c r="A89" s="8" t="inlineStr">
        <is>
          <t>100101</t>
        </is>
      </c>
      <c r="B89" s="8" t="inlineStr">
        <is>
          <t>冷轧板材</t>
        </is>
      </c>
      <c r="C89" s="8" t="inlineStr">
        <is>
          <t>600595300</t>
        </is>
      </c>
      <c r="D89" s="8" t="inlineStr">
        <is>
          <t>冷轧优质碳素结构钢板|钢板|40|δ1.5|GB/T 13237-2013|冷轧|GB/T 708-2006</t>
        </is>
      </c>
      <c r="E89" s="8" t="inlineStr">
        <is>
          <t>物资名称 冷轧优质碳素结构钢板;物资简称 钢板;牌号 40;厚度 δ1.5;宽 ;长 ;技术标准号 GB/T 13237-2013;加工工艺 冷轧;热处理工艺 ;特殊要求 ;规格标准号 GB/T 708-2006</t>
        </is>
      </c>
      <c r="F89" s="4" t="inlineStr">
        <is>
          <t>千克</t>
        </is>
      </c>
      <c r="G89" s="0">
        <f>LEFT(D89,FIND("|",D89,1)-1)</f>
        <v/>
      </c>
      <c r="H89" s="0">
        <f>MID(D89,FIND("|",D89,FIND("|",D89,1))+1,FIND("|",D89,FIND("|",D89,1)+1)-FIND("|",D89,FIND("|",D89,1))-1)</f>
        <v/>
      </c>
      <c r="J89" s="0">
        <f>MID(D89,FIND(",",SUBSTITUTE(D89,"|",REPT(",",LEN(D89)),2))+1,FIND(",",SUBSTITUTE(D89,"|",REPT(",",LEN(D89)),3))-FIND(",",SUBSTITUTE(D89,"|",REPT(",",LEN(D89)),2))-1)</f>
        <v/>
      </c>
      <c r="K89" s="0">
        <f>MID(D89,FIND(",",SUBSTITUTE(D89,"|",REPT(",",LEN(D89)),3))+1,FIND(",",SUBSTITUTE(D89,"|",REPT(",",LEN(D89)),4))-FIND(",",SUBSTITUTE(D89,"|",REPT(",",LEN(D89)),3))-1)</f>
        <v/>
      </c>
      <c r="L89" s="0">
        <f>MID(D89,FIND(",",SUBSTITUTE(D89,"|",REPT(",",LEN(D89)),4))+1,FIND(",",SUBSTITUTE(D89,"|",REPT(",",LEN(D89)),5))-FIND(",",SUBSTITUTE(D89,"|",REPT(",",LEN(D89)),4))-1)</f>
        <v/>
      </c>
      <c r="M89" s="0">
        <f>MID(D89,FIND(";",SUBSTITUTE(D89,"|",REPT(";",LEN(D89)),6))+1,LEN(D89))</f>
        <v/>
      </c>
      <c r="N89" s="0">
        <f>MID(D89,FIND(";",SUBSTITUTE(D89,"|",REPT(";",LEN(D89)),5))+1,FIND(";",SUBSTITUTE(D89,"|",REPT(";",LEN(D89)),6))-FIND(";",SUBSTITUTE(D89,"|",REPT(";",LEN(D89)),5))-1)</f>
        <v/>
      </c>
    </row>
    <row r="90" ht="42" customHeight="1" s="21">
      <c r="A90" s="8" t="inlineStr">
        <is>
          <t>100101</t>
        </is>
      </c>
      <c r="B90" s="8" t="inlineStr">
        <is>
          <t>冷轧板材</t>
        </is>
      </c>
      <c r="C90" s="8" t="inlineStr">
        <is>
          <t>600595200</t>
        </is>
      </c>
      <c r="D90" s="8" t="inlineStr">
        <is>
          <t>冷轧优质碳素结构钢板|钢板|40|δ2.8|GB/T 13237-2013|冷轧|GB/T 708-2006</t>
        </is>
      </c>
      <c r="E90" s="8" t="inlineStr">
        <is>
          <t>物资名称 冷轧优质碳素结构钢板;物资简称 钢板;牌号 40;厚度 δ2.8;宽 ;长 ;技术标准号 GB/T 13237-2013;加工工艺 冷轧;热处理工艺 ;特殊要求 ;规格标准号 GB/T 708-2006</t>
        </is>
      </c>
      <c r="F90" s="4" t="inlineStr">
        <is>
          <t>千克</t>
        </is>
      </c>
      <c r="G90" s="0">
        <f>LEFT(D90,FIND("|",D90,1)-1)</f>
        <v/>
      </c>
      <c r="H90" s="0">
        <f>MID(D90,FIND("|",D90,FIND("|",D90,1))+1,FIND("|",D90,FIND("|",D90,1)+1)-FIND("|",D90,FIND("|",D90,1))-1)</f>
        <v/>
      </c>
      <c r="J90" s="0">
        <f>MID(D90,FIND(",",SUBSTITUTE(D90,"|",REPT(",",LEN(D90)),2))+1,FIND(",",SUBSTITUTE(D90,"|",REPT(",",LEN(D90)),3))-FIND(",",SUBSTITUTE(D90,"|",REPT(",",LEN(D90)),2))-1)</f>
        <v/>
      </c>
      <c r="K90" s="0">
        <f>MID(D90,FIND(",",SUBSTITUTE(D90,"|",REPT(",",LEN(D90)),3))+1,FIND(",",SUBSTITUTE(D90,"|",REPT(",",LEN(D90)),4))-FIND(",",SUBSTITUTE(D90,"|",REPT(",",LEN(D90)),3))-1)</f>
        <v/>
      </c>
      <c r="L90" s="0">
        <f>MID(D90,FIND(",",SUBSTITUTE(D90,"|",REPT(",",LEN(D90)),4))+1,FIND(",",SUBSTITUTE(D90,"|",REPT(",",LEN(D90)),5))-FIND(",",SUBSTITUTE(D90,"|",REPT(",",LEN(D90)),4))-1)</f>
        <v/>
      </c>
      <c r="M90" s="0">
        <f>MID(D90,FIND(";",SUBSTITUTE(D90,"|",REPT(";",LEN(D90)),6))+1,LEN(D90))</f>
        <v/>
      </c>
      <c r="N90" s="0">
        <f>MID(D90,FIND(";",SUBSTITUTE(D90,"|",REPT(";",LEN(D90)),5))+1,FIND(";",SUBSTITUTE(D90,"|",REPT(";",LEN(D90)),6))-FIND(";",SUBSTITUTE(D90,"|",REPT(";",LEN(D90)),5))-1)</f>
        <v/>
      </c>
    </row>
    <row r="91" ht="28" customHeight="1" s="21">
      <c r="A91" s="8" t="inlineStr">
        <is>
          <t>100101</t>
        </is>
      </c>
      <c r="B91" s="8" t="inlineStr">
        <is>
          <t>冷轧板材</t>
        </is>
      </c>
      <c r="C91" s="8" t="inlineStr">
        <is>
          <t>600595100</t>
        </is>
      </c>
      <c r="D91" s="8" t="inlineStr">
        <is>
          <t>冷轧优质碳素结构钢板|钢板|45|GB/T 13237-2013|GB/T 708-2006</t>
        </is>
      </c>
      <c r="E91" s="8" t="inlineStr">
        <is>
          <t>物资名称 冷轧优质碳素结构钢板;物资简称 钢板;牌号 45;厚度 ;宽 ;长 ;技术标准号 GB/T 13237-2013;加工工艺 ;热处理工艺 ;特殊要求 ;规格标准号 GB/T 708-2006</t>
        </is>
      </c>
      <c r="F91" s="4" t="inlineStr">
        <is>
          <t>千克</t>
        </is>
      </c>
      <c r="G91" s="0">
        <f>LEFT(D91,FIND("|",D91,1)-1)</f>
        <v/>
      </c>
      <c r="H91" s="0">
        <f>MID(D91,FIND("|",D91,FIND("|",D91,1))+1,FIND("|",D91,FIND("|",D91,1)+1)-FIND("|",D91,FIND("|",D91,1))-1)</f>
        <v/>
      </c>
      <c r="J91" s="0">
        <f>MID(D91,FIND(",",SUBSTITUTE(D91,"|",REPT(",",LEN(D91)),2))+1,FIND(",",SUBSTITUTE(D91,"|",REPT(",",LEN(D91)),3))-FIND(",",SUBSTITUTE(D91,"|",REPT(",",LEN(D91)),2))-1)</f>
        <v/>
      </c>
      <c r="L91" s="0">
        <f>MID(D91,FIND(",",SUBSTITUTE(D91,"|",REPT(",",LEN(D91)),3))+1,FIND(",",SUBSTITUTE(D91,"|",REPT(",",LEN(D91)),4))-FIND(",",SUBSTITUTE(D91,"|",REPT(",",LEN(D91)),3))-1)</f>
        <v/>
      </c>
      <c r="M91" s="0">
        <f>MID(D91,FIND(";",SUBSTITUTE(D91,"|",REPT(";",LEN(D91)),4))+1,LEN(D91))</f>
        <v/>
      </c>
    </row>
    <row r="92" ht="42" customHeight="1" s="21">
      <c r="A92" s="8" t="inlineStr">
        <is>
          <t>100101</t>
        </is>
      </c>
      <c r="B92" s="8" t="inlineStr">
        <is>
          <t>冷轧板材</t>
        </is>
      </c>
      <c r="C92" s="8" t="inlineStr">
        <is>
          <t>600595000</t>
        </is>
      </c>
      <c r="D92" s="8" t="inlineStr">
        <is>
          <t>冷轧优质碳素结构钢板|钢板|45|δ1.5|GB/T 13237-2013|冷轧|GB/T 708-2006</t>
        </is>
      </c>
      <c r="E92" s="8" t="inlineStr">
        <is>
          <t>物资名称 冷轧优质碳素结构钢板;物资简称 钢板;牌号 45;厚度 δ1.5;宽 ;长 ;技术标准号 GB/T 13237-2013;加工工艺 冷轧;热处理工艺 ;特殊要求 ;规格标准号 GB/T 708-2006</t>
        </is>
      </c>
      <c r="F92" s="4" t="inlineStr">
        <is>
          <t>千克</t>
        </is>
      </c>
      <c r="G92" s="0">
        <f>LEFT(D92,FIND("|",D92,1)-1)</f>
        <v/>
      </c>
      <c r="H92" s="0">
        <f>MID(D92,FIND("|",D92,FIND("|",D92,1))+1,FIND("|",D92,FIND("|",D92,1)+1)-FIND("|",D92,FIND("|",D92,1))-1)</f>
        <v/>
      </c>
      <c r="J92" s="0">
        <f>MID(D92,FIND(",",SUBSTITUTE(D92,"|",REPT(",",LEN(D92)),2))+1,FIND(",",SUBSTITUTE(D92,"|",REPT(",",LEN(D92)),3))-FIND(",",SUBSTITUTE(D92,"|",REPT(",",LEN(D92)),2))-1)</f>
        <v/>
      </c>
      <c r="K92" s="0">
        <f>MID(D92,FIND(",",SUBSTITUTE(D92,"|",REPT(",",LEN(D92)),3))+1,FIND(",",SUBSTITUTE(D92,"|",REPT(",",LEN(D92)),4))-FIND(",",SUBSTITUTE(D92,"|",REPT(",",LEN(D92)),3))-1)</f>
        <v/>
      </c>
      <c r="L92" s="0">
        <f>MID(D92,FIND(",",SUBSTITUTE(D92,"|",REPT(",",LEN(D92)),4))+1,FIND(",",SUBSTITUTE(D92,"|",REPT(",",LEN(D92)),5))-FIND(",",SUBSTITUTE(D92,"|",REPT(",",LEN(D92)),4))-1)</f>
        <v/>
      </c>
      <c r="M92" s="0">
        <f>MID(D92,FIND(";",SUBSTITUTE(D92,"|",REPT(";",LEN(D92)),6))+1,LEN(D92))</f>
        <v/>
      </c>
      <c r="N92" s="0">
        <f>MID(D92,FIND(";",SUBSTITUTE(D92,"|",REPT(";",LEN(D92)),5))+1,FIND(";",SUBSTITUTE(D92,"|",REPT(";",LEN(D92)),6))-FIND(";",SUBSTITUTE(D92,"|",REPT(";",LEN(D92)),5))-1)</f>
        <v/>
      </c>
    </row>
    <row r="93" ht="42" customHeight="1" s="21">
      <c r="A93" s="8" t="inlineStr">
        <is>
          <t>100101</t>
        </is>
      </c>
      <c r="B93" s="8" t="inlineStr">
        <is>
          <t>冷轧板材</t>
        </is>
      </c>
      <c r="C93" s="8" t="inlineStr">
        <is>
          <t>600594900</t>
        </is>
      </c>
      <c r="D93" s="8" t="inlineStr">
        <is>
          <t>冷轧优质碳素结构钢板|钢板|45|δ2|GB/T 13237-2013|冷轧|GB/T 708-2006</t>
        </is>
      </c>
      <c r="E93" s="8" t="inlineStr">
        <is>
          <t>物资名称 冷轧优质碳素结构钢板;物资简称 钢板;牌号 45;厚度 δ2;宽 ;长 ;技术标准号 GB/T 13237-2013;加工工艺 冷轧;热处理工艺 ;特殊要求 ;规格标准号 GB/T 708-2006</t>
        </is>
      </c>
      <c r="F93" s="4" t="inlineStr">
        <is>
          <t>千克</t>
        </is>
      </c>
      <c r="G93" s="0">
        <f>LEFT(D93,FIND("|",D93,1)-1)</f>
        <v/>
      </c>
      <c r="H93" s="0">
        <f>MID(D93,FIND("|",D93,FIND("|",D93,1))+1,FIND("|",D93,FIND("|",D93,1)+1)-FIND("|",D93,FIND("|",D93,1))-1)</f>
        <v/>
      </c>
      <c r="J93" s="0">
        <f>MID(D93,FIND(",",SUBSTITUTE(D93,"|",REPT(",",LEN(D93)),2))+1,FIND(",",SUBSTITUTE(D93,"|",REPT(",",LEN(D93)),3))-FIND(",",SUBSTITUTE(D93,"|",REPT(",",LEN(D93)),2))-1)</f>
        <v/>
      </c>
      <c r="K93" s="0">
        <f>MID(D93,FIND(",",SUBSTITUTE(D93,"|",REPT(",",LEN(D93)),3))+1,FIND(",",SUBSTITUTE(D93,"|",REPT(",",LEN(D93)),4))-FIND(",",SUBSTITUTE(D93,"|",REPT(",",LEN(D93)),3))-1)</f>
        <v/>
      </c>
      <c r="L93" s="0">
        <f>MID(D93,FIND(",",SUBSTITUTE(D93,"|",REPT(",",LEN(D93)),4))+1,FIND(",",SUBSTITUTE(D93,"|",REPT(",",LEN(D93)),5))-FIND(",",SUBSTITUTE(D93,"|",REPT(",",LEN(D93)),4))-1)</f>
        <v/>
      </c>
      <c r="M93" s="0">
        <f>MID(D93,FIND(";",SUBSTITUTE(D93,"|",REPT(";",LEN(D93)),6))+1,LEN(D93))</f>
        <v/>
      </c>
      <c r="N93" s="0">
        <f>MID(D93,FIND(";",SUBSTITUTE(D93,"|",REPT(";",LEN(D93)),5))+1,FIND(";",SUBSTITUTE(D93,"|",REPT(";",LEN(D93)),6))-FIND(";",SUBSTITUTE(D93,"|",REPT(";",LEN(D93)),5))-1)</f>
        <v/>
      </c>
    </row>
    <row r="94" ht="42" customHeight="1" s="21">
      <c r="A94" s="8" t="inlineStr">
        <is>
          <t>100101</t>
        </is>
      </c>
      <c r="B94" s="8" t="inlineStr">
        <is>
          <t>冷轧板材</t>
        </is>
      </c>
      <c r="C94" s="8" t="inlineStr">
        <is>
          <t>600594800</t>
        </is>
      </c>
      <c r="D94" s="8" t="inlineStr">
        <is>
          <t>冷轧优质碳素结构钢板|钢板|45|δ2.5|GB/T 13237-2013|冷轧|GB/T 708-2006</t>
        </is>
      </c>
      <c r="E94" s="8" t="inlineStr">
        <is>
          <t>物资名称 冷轧优质碳素结构钢板;物资简称 钢板;牌号 45;厚度 δ2.5;宽 ;长 ;技术标准号 GB/T 13237-2013;加工工艺 冷轧;热处理工艺 ;特殊要求 ;规格标准号 GB/T 708-2006</t>
        </is>
      </c>
      <c r="F94" s="4" t="inlineStr">
        <is>
          <t>千克</t>
        </is>
      </c>
      <c r="G94" s="0">
        <f>LEFT(D94,FIND("|",D94,1)-1)</f>
        <v/>
      </c>
      <c r="H94" s="0">
        <f>MID(D94,FIND("|",D94,FIND("|",D94,1))+1,FIND("|",D94,FIND("|",D94,1)+1)-FIND("|",D94,FIND("|",D94,1))-1)</f>
        <v/>
      </c>
      <c r="J94" s="0">
        <f>MID(D94,FIND(",",SUBSTITUTE(D94,"|",REPT(",",LEN(D94)),2))+1,FIND(",",SUBSTITUTE(D94,"|",REPT(",",LEN(D94)),3))-FIND(",",SUBSTITUTE(D94,"|",REPT(",",LEN(D94)),2))-1)</f>
        <v/>
      </c>
      <c r="K94" s="0">
        <f>MID(D94,FIND(",",SUBSTITUTE(D94,"|",REPT(",",LEN(D94)),3))+1,FIND(",",SUBSTITUTE(D94,"|",REPT(",",LEN(D94)),4))-FIND(",",SUBSTITUTE(D94,"|",REPT(",",LEN(D94)),3))-1)</f>
        <v/>
      </c>
      <c r="L94" s="0">
        <f>MID(D94,FIND(",",SUBSTITUTE(D94,"|",REPT(",",LEN(D94)),4))+1,FIND(",",SUBSTITUTE(D94,"|",REPT(",",LEN(D94)),5))-FIND(",",SUBSTITUTE(D94,"|",REPT(",",LEN(D94)),4))-1)</f>
        <v/>
      </c>
      <c r="M94" s="0">
        <f>MID(D94,FIND(";",SUBSTITUTE(D94,"|",REPT(";",LEN(D94)),6))+1,LEN(D94))</f>
        <v/>
      </c>
      <c r="N94" s="0">
        <f>MID(D94,FIND(";",SUBSTITUTE(D94,"|",REPT(";",LEN(D94)),5))+1,FIND(";",SUBSTITUTE(D94,"|",REPT(";",LEN(D94)),6))-FIND(";",SUBSTITUTE(D94,"|",REPT(";",LEN(D94)),5))-1)</f>
        <v/>
      </c>
    </row>
    <row r="95" ht="28" customHeight="1" s="21">
      <c r="A95" s="8" t="inlineStr">
        <is>
          <t>100101</t>
        </is>
      </c>
      <c r="B95" s="8" t="inlineStr">
        <is>
          <t>冷轧板材</t>
        </is>
      </c>
      <c r="C95" s="8" t="inlineStr">
        <is>
          <t>600594700</t>
        </is>
      </c>
      <c r="D95" s="8" t="inlineStr">
        <is>
          <t>冷轧不锈钢板|钢板|1Cr18Ni9Ti|GB 3280-1992|GB/T 708-2006</t>
        </is>
      </c>
      <c r="E95" s="8" t="inlineStr">
        <is>
          <t>物资名称 冷轧不锈钢板;物资简称 钢板;牌号 1Cr18Ni9Ti;厚度 ;宽 ;长 ;技术标准号 GB 3280-1992;加工工艺 ;热处理工艺 ;特殊要求 ;规格标准号 GB/T 708-2006</t>
        </is>
      </c>
      <c r="F95" s="4" t="inlineStr">
        <is>
          <t>千克</t>
        </is>
      </c>
      <c r="G95" s="0">
        <f>LEFT(D95,FIND("|",D95,1)-1)</f>
        <v/>
      </c>
      <c r="H95" s="0">
        <f>MID(D95,FIND("|",D95,FIND("|",D95,1))+1,FIND("|",D95,FIND("|",D95,1)+1)-FIND("|",D95,FIND("|",D95,1))-1)</f>
        <v/>
      </c>
      <c r="J95" s="0">
        <f>MID(D95,FIND(",",SUBSTITUTE(D95,"|",REPT(",",LEN(D95)),2))+1,FIND(",",SUBSTITUTE(D95,"|",REPT(",",LEN(D95)),3))-FIND(",",SUBSTITUTE(D95,"|",REPT(",",LEN(D95)),2))-1)</f>
        <v/>
      </c>
      <c r="L95" s="0">
        <f>MID(D95,FIND(",",SUBSTITUTE(D95,"|",REPT(",",LEN(D95)),3))+1,FIND(",",SUBSTITUTE(D95,"|",REPT(",",LEN(D95)),4))-FIND(",",SUBSTITUTE(D95,"|",REPT(",",LEN(D95)),3))-1)</f>
        <v/>
      </c>
      <c r="M95" s="0">
        <f>MID(D95,FIND(";",SUBSTITUTE(D95,"|",REPT(";",LEN(D95)),4))+1,LEN(D95))</f>
        <v/>
      </c>
    </row>
    <row r="96" ht="42" customHeight="1" s="21">
      <c r="A96" s="8" t="inlineStr">
        <is>
          <t>100101</t>
        </is>
      </c>
      <c r="B96" s="8" t="inlineStr">
        <is>
          <t>冷轧板材</t>
        </is>
      </c>
      <c r="C96" s="8" t="inlineStr">
        <is>
          <t>600594600</t>
        </is>
      </c>
      <c r="D96" s="8" t="inlineStr">
        <is>
          <t>冷轧不锈钢板|钢板|1Cr18Ni9Ti|δ0.2|GB 3280-1992|冷轧|GB/T 708-2006</t>
        </is>
      </c>
      <c r="E96" s="8" t="inlineStr">
        <is>
          <t>物资名称 冷轧不锈钢板;物资简称 钢板;牌号 1Cr18Ni9Ti;厚度 δ0.2;宽 ;长 ;技术标准号 GB 3280-1992;加工工艺 冷轧;热处理工艺 ;特殊要求 ;规格标准号 GB/T 708-2006</t>
        </is>
      </c>
      <c r="F96" s="4" t="inlineStr">
        <is>
          <t>千克</t>
        </is>
      </c>
      <c r="G96" s="0">
        <f>LEFT(D96,FIND("|",D96,1)-1)</f>
        <v/>
      </c>
      <c r="H96" s="0">
        <f>MID(D96,FIND("|",D96,FIND("|",D96,1))+1,FIND("|",D96,FIND("|",D96,1)+1)-FIND("|",D96,FIND("|",D96,1))-1)</f>
        <v/>
      </c>
      <c r="J96" s="0">
        <f>MID(D96,FIND(",",SUBSTITUTE(D96,"|",REPT(",",LEN(D96)),2))+1,FIND(",",SUBSTITUTE(D96,"|",REPT(",",LEN(D96)),3))-FIND(",",SUBSTITUTE(D96,"|",REPT(",",LEN(D96)),2))-1)</f>
        <v/>
      </c>
      <c r="K96" s="0">
        <f>MID(D96,FIND(",",SUBSTITUTE(D96,"|",REPT(",",LEN(D96)),3))+1,FIND(",",SUBSTITUTE(D96,"|",REPT(",",LEN(D96)),4))-FIND(",",SUBSTITUTE(D96,"|",REPT(",",LEN(D96)),3))-1)</f>
        <v/>
      </c>
      <c r="L96" s="0">
        <f>MID(D96,FIND(",",SUBSTITUTE(D96,"|",REPT(",",LEN(D96)),4))+1,FIND(",",SUBSTITUTE(D96,"|",REPT(",",LEN(D96)),5))-FIND(",",SUBSTITUTE(D96,"|",REPT(",",LEN(D96)),4))-1)</f>
        <v/>
      </c>
      <c r="M96" s="0">
        <f>MID(D96,FIND(";",SUBSTITUTE(D96,"|",REPT(";",LEN(D96)),6))+1,LEN(D96))</f>
        <v/>
      </c>
      <c r="N96" s="0">
        <f>MID(D96,FIND(";",SUBSTITUTE(D96,"|",REPT(";",LEN(D96)),5))+1,FIND(";",SUBSTITUTE(D96,"|",REPT(";",LEN(D96)),6))-FIND(";",SUBSTITUTE(D96,"|",REPT(";",LEN(D96)),5))-1)</f>
        <v/>
      </c>
    </row>
    <row r="97" ht="42" customHeight="1" s="21">
      <c r="A97" s="8" t="inlineStr">
        <is>
          <t>100101</t>
        </is>
      </c>
      <c r="B97" s="8" t="inlineStr">
        <is>
          <t>冷轧板材</t>
        </is>
      </c>
      <c r="C97" s="8" t="inlineStr">
        <is>
          <t>600594500</t>
        </is>
      </c>
      <c r="D97" s="8" t="inlineStr">
        <is>
          <t>冷轧不锈钢板|钢板|1Cr18Ni9Ti|δ0.8|GB 3280-1992|冷轧|GB/T 708-2006</t>
        </is>
      </c>
      <c r="E97" s="8" t="inlineStr">
        <is>
          <t>物资名称 冷轧不锈钢板;物资简称 钢板;牌号 1Cr18Ni9Ti;厚度 δ0.8;宽 ;长 ;技术标准号 GB 3280-1992;加工工艺 冷轧;热处理工艺 ;特殊要求 ;规格标准号 GB/T 708-2006</t>
        </is>
      </c>
      <c r="F97" s="4" t="inlineStr">
        <is>
          <t>千克</t>
        </is>
      </c>
      <c r="G97" s="0">
        <f>LEFT(D97,FIND("|",D97,1)-1)</f>
        <v/>
      </c>
      <c r="H97" s="0">
        <f>MID(D97,FIND("|",D97,FIND("|",D97,1))+1,FIND("|",D97,FIND("|",D97,1)+1)-FIND("|",D97,FIND("|",D97,1))-1)</f>
        <v/>
      </c>
      <c r="J97" s="0">
        <f>MID(D97,FIND(",",SUBSTITUTE(D97,"|",REPT(",",LEN(D97)),2))+1,FIND(",",SUBSTITUTE(D97,"|",REPT(",",LEN(D97)),3))-FIND(",",SUBSTITUTE(D97,"|",REPT(",",LEN(D97)),2))-1)</f>
        <v/>
      </c>
      <c r="K97" s="0">
        <f>MID(D97,FIND(",",SUBSTITUTE(D97,"|",REPT(",",LEN(D97)),3))+1,FIND(",",SUBSTITUTE(D97,"|",REPT(",",LEN(D97)),4))-FIND(",",SUBSTITUTE(D97,"|",REPT(",",LEN(D97)),3))-1)</f>
        <v/>
      </c>
      <c r="L97" s="0">
        <f>MID(D97,FIND(",",SUBSTITUTE(D97,"|",REPT(",",LEN(D97)),4))+1,FIND(",",SUBSTITUTE(D97,"|",REPT(",",LEN(D97)),5))-FIND(",",SUBSTITUTE(D97,"|",REPT(",",LEN(D97)),4))-1)</f>
        <v/>
      </c>
      <c r="M97" s="0">
        <f>MID(D97,FIND(";",SUBSTITUTE(D97,"|",REPT(";",LEN(D97)),6))+1,LEN(D97))</f>
        <v/>
      </c>
      <c r="N97" s="0">
        <f>MID(D97,FIND(";",SUBSTITUTE(D97,"|",REPT(";",LEN(D97)),5))+1,FIND(";",SUBSTITUTE(D97,"|",REPT(";",LEN(D97)),6))-FIND(";",SUBSTITUTE(D97,"|",REPT(";",LEN(D97)),5))-1)</f>
        <v/>
      </c>
    </row>
    <row r="98" ht="42" customHeight="1" s="21">
      <c r="A98" s="8" t="inlineStr">
        <is>
          <t>100101</t>
        </is>
      </c>
      <c r="B98" s="8" t="inlineStr">
        <is>
          <t>冷轧板材</t>
        </is>
      </c>
      <c r="C98" s="8" t="inlineStr">
        <is>
          <t>600594400</t>
        </is>
      </c>
      <c r="D98" s="8" t="inlineStr">
        <is>
          <t>冷轧不锈钢板|钢板|1Cr18Ni9Ti|δ1.2|GB 3280-1992|冷轧|GB/T 708-2006</t>
        </is>
      </c>
      <c r="E98" s="8" t="inlineStr">
        <is>
          <t>物资名称 冷轧不锈钢板;物资简称 钢板;牌号 1Cr18Ni9Ti;厚度 δ1.2;宽 ;长 ;技术标准号 GB 3280-1992;加工工艺 冷轧;热处理工艺 ;特殊要求 ;规格标准号 GB/T 708-2006</t>
        </is>
      </c>
      <c r="F98" s="4" t="inlineStr">
        <is>
          <t>千克</t>
        </is>
      </c>
      <c r="G98" s="0">
        <f>LEFT(D98,FIND("|",D98,1)-1)</f>
        <v/>
      </c>
      <c r="H98" s="0">
        <f>MID(D98,FIND("|",D98,FIND("|",D98,1))+1,FIND("|",D98,FIND("|",D98,1)+1)-FIND("|",D98,FIND("|",D98,1))-1)</f>
        <v/>
      </c>
      <c r="J98" s="0">
        <f>MID(D98,FIND(",",SUBSTITUTE(D98,"|",REPT(",",LEN(D98)),2))+1,FIND(",",SUBSTITUTE(D98,"|",REPT(",",LEN(D98)),3))-FIND(",",SUBSTITUTE(D98,"|",REPT(",",LEN(D98)),2))-1)</f>
        <v/>
      </c>
      <c r="K98" s="0">
        <f>MID(D98,FIND(",",SUBSTITUTE(D98,"|",REPT(",",LEN(D98)),3))+1,FIND(",",SUBSTITUTE(D98,"|",REPT(",",LEN(D98)),4))-FIND(",",SUBSTITUTE(D98,"|",REPT(",",LEN(D98)),3))-1)</f>
        <v/>
      </c>
      <c r="L98" s="0">
        <f>MID(D98,FIND(",",SUBSTITUTE(D98,"|",REPT(",",LEN(D98)),4))+1,FIND(",",SUBSTITUTE(D98,"|",REPT(",",LEN(D98)),5))-FIND(",",SUBSTITUTE(D98,"|",REPT(",",LEN(D98)),4))-1)</f>
        <v/>
      </c>
      <c r="M98" s="0">
        <f>MID(D98,FIND(";",SUBSTITUTE(D98,"|",REPT(";",LEN(D98)),6))+1,LEN(D98))</f>
        <v/>
      </c>
      <c r="N98" s="0">
        <f>MID(D98,FIND(";",SUBSTITUTE(D98,"|",REPT(";",LEN(D98)),5))+1,FIND(";",SUBSTITUTE(D98,"|",REPT(";",LEN(D98)),6))-FIND(";",SUBSTITUTE(D98,"|",REPT(";",LEN(D98)),5))-1)</f>
        <v/>
      </c>
    </row>
    <row r="99" ht="42" customHeight="1" s="21">
      <c r="A99" s="8" t="inlineStr">
        <is>
          <t>100101</t>
        </is>
      </c>
      <c r="B99" s="8" t="inlineStr">
        <is>
          <t>冷轧板材</t>
        </is>
      </c>
      <c r="C99" s="8" t="inlineStr">
        <is>
          <t>600594300</t>
        </is>
      </c>
      <c r="D99" s="8" t="inlineStr">
        <is>
          <t>冷轧不锈钢板|钢板|1Cr18Ni9Ti|δ2|GB 3280-1992|冷轧|GB/T 708-2006</t>
        </is>
      </c>
      <c r="E99" s="8" t="inlineStr">
        <is>
          <t>物资名称 冷轧不锈钢板;物资简称 钢板;牌号 1Cr18Ni9Ti;厚度 δ2;宽 ;长 ;技术标准号 GB 3280-1992;加工工艺 冷轧;热处理工艺 ;特殊要求 ;规格标准号 GB/T 708-2006</t>
        </is>
      </c>
      <c r="F99" s="4" t="inlineStr">
        <is>
          <t>千克</t>
        </is>
      </c>
      <c r="G99" s="0">
        <f>LEFT(D99,FIND("|",D99,1)-1)</f>
        <v/>
      </c>
      <c r="H99" s="0">
        <f>MID(D99,FIND("|",D99,FIND("|",D99,1))+1,FIND("|",D99,FIND("|",D99,1)+1)-FIND("|",D99,FIND("|",D99,1))-1)</f>
        <v/>
      </c>
      <c r="J99" s="0">
        <f>MID(D99,FIND(",",SUBSTITUTE(D99,"|",REPT(",",LEN(D99)),2))+1,FIND(",",SUBSTITUTE(D99,"|",REPT(",",LEN(D99)),3))-FIND(",",SUBSTITUTE(D99,"|",REPT(",",LEN(D99)),2))-1)</f>
        <v/>
      </c>
      <c r="K99" s="0">
        <f>MID(D99,FIND(",",SUBSTITUTE(D99,"|",REPT(",",LEN(D99)),3))+1,FIND(",",SUBSTITUTE(D99,"|",REPT(",",LEN(D99)),4))-FIND(",",SUBSTITUTE(D99,"|",REPT(",",LEN(D99)),3))-1)</f>
        <v/>
      </c>
      <c r="L99" s="0">
        <f>MID(D99,FIND(",",SUBSTITUTE(D99,"|",REPT(",",LEN(D99)),4))+1,FIND(",",SUBSTITUTE(D99,"|",REPT(",",LEN(D99)),5))-FIND(",",SUBSTITUTE(D99,"|",REPT(",",LEN(D99)),4))-1)</f>
        <v/>
      </c>
      <c r="M99" s="0">
        <f>MID(D99,FIND(";",SUBSTITUTE(D99,"|",REPT(";",LEN(D99)),6))+1,LEN(D99))</f>
        <v/>
      </c>
      <c r="N99" s="0">
        <f>MID(D99,FIND(";",SUBSTITUTE(D99,"|",REPT(";",LEN(D99)),5))+1,FIND(";",SUBSTITUTE(D99,"|",REPT(";",LEN(D99)),6))-FIND(";",SUBSTITUTE(D99,"|",REPT(";",LEN(D99)),5))-1)</f>
        <v/>
      </c>
    </row>
    <row r="100" ht="28" customHeight="1" s="21">
      <c r="A100" s="8" t="inlineStr">
        <is>
          <t>100101</t>
        </is>
      </c>
      <c r="B100" s="8" t="inlineStr">
        <is>
          <t>冷轧板材</t>
        </is>
      </c>
      <c r="C100" s="8" t="inlineStr">
        <is>
          <t>600594200</t>
        </is>
      </c>
      <c r="D100" s="8" t="inlineStr">
        <is>
          <t>冷轧不锈钢板|钢板|06Cr19Ni10|GB/T 3280-2007|GB/T 708-2006</t>
        </is>
      </c>
      <c r="E100" s="8" t="inlineStr">
        <is>
          <t>物资名称 冷轧不锈钢板;物资简称 钢板;牌号 06Cr19Ni10;厚度 ;宽 ;长 ;技术标准号 GB/T 3280-2007;加工工艺 ;热处理工艺 ;特殊要求 ;规格标准号 GB/T 708-2006</t>
        </is>
      </c>
      <c r="F100" s="4" t="inlineStr">
        <is>
          <t>千克</t>
        </is>
      </c>
      <c r="G100" s="0">
        <f>LEFT(D100,FIND("|",D100,1)-1)</f>
        <v/>
      </c>
      <c r="H100" s="0">
        <f>MID(D100,FIND("|",D100,FIND("|",D100,1))+1,FIND("|",D100,FIND("|",D100,1)+1)-FIND("|",D100,FIND("|",D100,1))-1)</f>
        <v/>
      </c>
      <c r="J100" s="0">
        <f>MID(D100,FIND(",",SUBSTITUTE(D100,"|",REPT(",",LEN(D100)),2))+1,FIND(",",SUBSTITUTE(D100,"|",REPT(",",LEN(D100)),3))-FIND(",",SUBSTITUTE(D100,"|",REPT(",",LEN(D100)),2))-1)</f>
        <v/>
      </c>
      <c r="L100" s="0">
        <f>MID(D100,FIND(",",SUBSTITUTE(D100,"|",REPT(",",LEN(D100)),3))+1,FIND(",",SUBSTITUTE(D100,"|",REPT(",",LEN(D100)),4))-FIND(",",SUBSTITUTE(D100,"|",REPT(",",LEN(D100)),3))-1)</f>
        <v/>
      </c>
      <c r="M100" s="0">
        <f>MID(D100,FIND(";",SUBSTITUTE(D100,"|",REPT(";",LEN(D100)),4))+1,LEN(D100))</f>
        <v/>
      </c>
    </row>
    <row r="101" ht="42" customHeight="1" s="21">
      <c r="A101" s="8" t="inlineStr">
        <is>
          <t>100101</t>
        </is>
      </c>
      <c r="B101" s="8" t="inlineStr">
        <is>
          <t>冷轧板材</t>
        </is>
      </c>
      <c r="C101" s="8" t="inlineStr">
        <is>
          <t>600594100</t>
        </is>
      </c>
      <c r="D101" s="8" t="inlineStr">
        <is>
          <t>冷轧不锈钢板|钢板|06Cr19Ni10|δ1.5|GB/T 3280-2007|冷轧|GB/T 708-2006</t>
        </is>
      </c>
      <c r="E101" s="8" t="inlineStr">
        <is>
          <t>物资名称 冷轧不锈钢板;物资简称 钢板;牌号 06Cr19Ni10;厚度 δ1.5;宽 ;长 ;技术标准号 GB/T 3280-2007;加工工艺 冷轧;热处理工艺 ;特殊要求 ;规格标准号 GB/T 708-2006</t>
        </is>
      </c>
      <c r="F101" s="4" t="inlineStr">
        <is>
          <t>千克</t>
        </is>
      </c>
      <c r="G101" s="0">
        <f>LEFT(D101,FIND("|",D101,1)-1)</f>
        <v/>
      </c>
      <c r="H101" s="0">
        <f>MID(D101,FIND("|",D101,FIND("|",D101,1))+1,FIND("|",D101,FIND("|",D101,1)+1)-FIND("|",D101,FIND("|",D101,1))-1)</f>
        <v/>
      </c>
      <c r="J101" s="0">
        <f>MID(D101,FIND(",",SUBSTITUTE(D101,"|",REPT(",",LEN(D101)),2))+1,FIND(",",SUBSTITUTE(D101,"|",REPT(",",LEN(D101)),3))-FIND(",",SUBSTITUTE(D101,"|",REPT(",",LEN(D101)),2))-1)</f>
        <v/>
      </c>
      <c r="K101" s="0">
        <f>MID(D101,FIND(",",SUBSTITUTE(D101,"|",REPT(",",LEN(D101)),3))+1,FIND(",",SUBSTITUTE(D101,"|",REPT(",",LEN(D101)),4))-FIND(",",SUBSTITUTE(D101,"|",REPT(",",LEN(D101)),3))-1)</f>
        <v/>
      </c>
      <c r="L101" s="0">
        <f>MID(D101,FIND(",",SUBSTITUTE(D101,"|",REPT(",",LEN(D101)),4))+1,FIND(",",SUBSTITUTE(D101,"|",REPT(",",LEN(D101)),5))-FIND(",",SUBSTITUTE(D101,"|",REPT(",",LEN(D101)),4))-1)</f>
        <v/>
      </c>
      <c r="M101" s="0">
        <f>MID(D101,FIND(";",SUBSTITUTE(D101,"|",REPT(";",LEN(D101)),6))+1,LEN(D101))</f>
        <v/>
      </c>
      <c r="N101" s="0">
        <f>MID(D101,FIND(";",SUBSTITUTE(D101,"|",REPT(";",LEN(D101)),5))+1,FIND(";",SUBSTITUTE(D101,"|",REPT(";",LEN(D101)),6))-FIND(";",SUBSTITUTE(D101,"|",REPT(";",LEN(D101)),5))-1)</f>
        <v/>
      </c>
    </row>
    <row r="102" ht="28" customHeight="1" s="21">
      <c r="A102" s="8" t="inlineStr">
        <is>
          <t>100101</t>
        </is>
      </c>
      <c r="B102" s="8" t="inlineStr">
        <is>
          <t>冷轧板材</t>
        </is>
      </c>
      <c r="C102" s="8" t="inlineStr">
        <is>
          <t>600594000</t>
        </is>
      </c>
      <c r="D102" s="8" t="inlineStr">
        <is>
          <t>冷轧不锈钢板|钢板|12Cr18Ni9|GB/T 3280-2007|GB/T 708-2006</t>
        </is>
      </c>
      <c r="E102" s="8" t="inlineStr">
        <is>
          <t>物资名称 冷轧不锈钢板;物资简称 钢板;牌号 12Cr18Ni9;厚度 ;宽 ;长 ;技术标准号 GB/T 3280-2007;加工工艺 ;热处理工艺 ;特殊要求 ;规格标准号 GB/T 708-2006</t>
        </is>
      </c>
      <c r="F102" s="4" t="inlineStr">
        <is>
          <t>千克</t>
        </is>
      </c>
      <c r="G102" s="0">
        <f>LEFT(D102,FIND("|",D102,1)-1)</f>
        <v/>
      </c>
      <c r="H102" s="0">
        <f>MID(D102,FIND("|",D102,FIND("|",D102,1))+1,FIND("|",D102,FIND("|",D102,1)+1)-FIND("|",D102,FIND("|",D102,1))-1)</f>
        <v/>
      </c>
      <c r="J102" s="0">
        <f>MID(D102,FIND(",",SUBSTITUTE(D102,"|",REPT(",",LEN(D102)),2))+1,FIND(",",SUBSTITUTE(D102,"|",REPT(",",LEN(D102)),3))-FIND(",",SUBSTITUTE(D102,"|",REPT(",",LEN(D102)),2))-1)</f>
        <v/>
      </c>
      <c r="L102" s="0">
        <f>MID(D102,FIND(",",SUBSTITUTE(D102,"|",REPT(",",LEN(D102)),3))+1,FIND(",",SUBSTITUTE(D102,"|",REPT(",",LEN(D102)),4))-FIND(",",SUBSTITUTE(D102,"|",REPT(",",LEN(D102)),3))-1)</f>
        <v/>
      </c>
      <c r="M102" s="0">
        <f>MID(D102,FIND(";",SUBSTITUTE(D102,"|",REPT(";",LEN(D102)),4))+1,LEN(D102))</f>
        <v/>
      </c>
    </row>
    <row r="103" ht="42" customHeight="1" s="21">
      <c r="A103" s="8" t="inlineStr">
        <is>
          <t>100101</t>
        </is>
      </c>
      <c r="B103" s="8" t="inlineStr">
        <is>
          <t>冷轧板材</t>
        </is>
      </c>
      <c r="C103" s="8" t="inlineStr">
        <is>
          <t>600593900</t>
        </is>
      </c>
      <c r="D103" s="8" t="inlineStr">
        <is>
          <t>冷轧不锈钢板|钢板|12Cr18Ni9|δ0.8|GB/T 3280-2007|冷轧|GB/T 708-2006</t>
        </is>
      </c>
      <c r="E103" s="8" t="inlineStr">
        <is>
          <t>物资名称 冷轧不锈钢板;物资简称 钢板;牌号 12Cr18Ni9;厚度 δ0.8;宽 ;长 ;技术标准号 GB/T 3280-2007;加工工艺 冷轧;热处理工艺 ;特殊要求 ;规格标准号 GB/T 708-2006</t>
        </is>
      </c>
      <c r="F103" s="4" t="inlineStr">
        <is>
          <t>千克</t>
        </is>
      </c>
      <c r="G103" s="0">
        <f>LEFT(D103,FIND("|",D103,1)-1)</f>
        <v/>
      </c>
      <c r="H103" s="0">
        <f>MID(D103,FIND("|",D103,FIND("|",D103,1))+1,FIND("|",D103,FIND("|",D103,1)+1)-FIND("|",D103,FIND("|",D103,1))-1)</f>
        <v/>
      </c>
      <c r="J103" s="0">
        <f>MID(D103,FIND(",",SUBSTITUTE(D103,"|",REPT(",",LEN(D103)),2))+1,FIND(",",SUBSTITUTE(D103,"|",REPT(",",LEN(D103)),3))-FIND(",",SUBSTITUTE(D103,"|",REPT(",",LEN(D103)),2))-1)</f>
        <v/>
      </c>
      <c r="K103" s="0">
        <f>MID(D103,FIND(",",SUBSTITUTE(D103,"|",REPT(",",LEN(D103)),3))+1,FIND(",",SUBSTITUTE(D103,"|",REPT(",",LEN(D103)),4))-FIND(",",SUBSTITUTE(D103,"|",REPT(",",LEN(D103)),3))-1)</f>
        <v/>
      </c>
      <c r="L103" s="0">
        <f>MID(D103,FIND(",",SUBSTITUTE(D103,"|",REPT(",",LEN(D103)),4))+1,FIND(",",SUBSTITUTE(D103,"|",REPT(",",LEN(D103)),5))-FIND(",",SUBSTITUTE(D103,"|",REPT(",",LEN(D103)),4))-1)</f>
        <v/>
      </c>
      <c r="M103" s="0">
        <f>MID(D103,FIND(";",SUBSTITUTE(D103,"|",REPT(";",LEN(D103)),6))+1,LEN(D103))</f>
        <v/>
      </c>
      <c r="N103" s="0">
        <f>MID(D103,FIND(";",SUBSTITUTE(D103,"|",REPT(";",LEN(D103)),5))+1,FIND(";",SUBSTITUTE(D103,"|",REPT(";",LEN(D103)),6))-FIND(";",SUBSTITUTE(D103,"|",REPT(";",LEN(D103)),5))-1)</f>
        <v/>
      </c>
    </row>
    <row r="104" ht="28" customHeight="1" s="21">
      <c r="A104" s="8" t="inlineStr">
        <is>
          <t>100101</t>
        </is>
      </c>
      <c r="B104" s="8" t="inlineStr">
        <is>
          <t>冷轧板材</t>
        </is>
      </c>
      <c r="C104" s="8" t="inlineStr">
        <is>
          <t>600593800</t>
        </is>
      </c>
      <c r="D104" s="8" t="inlineStr">
        <is>
          <t>冷轧不锈钢板|钢板|20Cr13|GB/T 3280-2007|GB/T 708-2006</t>
        </is>
      </c>
      <c r="E104" s="8" t="inlineStr">
        <is>
          <t>物资名称 冷轧不锈钢板;物资简称 钢板;牌号 20Cr13;厚度 ;宽 ;长 ;技术标准号 GB/T 3280-2007;加工工艺 ;热处理工艺 ;特殊要求 ;规格标准号 GB/T 708-2006</t>
        </is>
      </c>
      <c r="F104" s="4" t="inlineStr">
        <is>
          <t>千克</t>
        </is>
      </c>
      <c r="G104" s="0">
        <f>LEFT(D104,FIND("|",D104,1)-1)</f>
        <v/>
      </c>
      <c r="H104" s="0">
        <f>MID(D104,FIND("|",D104,FIND("|",D104,1))+1,FIND("|",D104,FIND("|",D104,1)+1)-FIND("|",D104,FIND("|",D104,1))-1)</f>
        <v/>
      </c>
      <c r="J104" s="0">
        <f>MID(D104,FIND(",",SUBSTITUTE(D104,"|",REPT(",",LEN(D104)),2))+1,FIND(",",SUBSTITUTE(D104,"|",REPT(",",LEN(D104)),3))-FIND(",",SUBSTITUTE(D104,"|",REPT(",",LEN(D104)),2))-1)</f>
        <v/>
      </c>
      <c r="L104" s="0">
        <f>MID(D104,FIND(",",SUBSTITUTE(D104,"|",REPT(",",LEN(D104)),3))+1,FIND(",",SUBSTITUTE(D104,"|",REPT(",",LEN(D104)),4))-FIND(",",SUBSTITUTE(D104,"|",REPT(",",LEN(D104)),3))-1)</f>
        <v/>
      </c>
      <c r="M104" s="0">
        <f>MID(D104,FIND(";",SUBSTITUTE(D104,"|",REPT(";",LEN(D104)),4))+1,LEN(D104))</f>
        <v/>
      </c>
    </row>
    <row r="105" ht="42" customHeight="1" s="21">
      <c r="A105" s="8" t="inlineStr">
        <is>
          <t>100101</t>
        </is>
      </c>
      <c r="B105" s="8" t="inlineStr">
        <is>
          <t>冷轧板材</t>
        </is>
      </c>
      <c r="C105" s="8" t="inlineStr">
        <is>
          <t>600593700</t>
        </is>
      </c>
      <c r="D105" s="8" t="inlineStr">
        <is>
          <t>冷轧不锈钢板|钢板|20Cr13|δ0.8|GB/T 3280-2007|冷轧|GB/T 708-2006</t>
        </is>
      </c>
      <c r="E105" s="8" t="inlineStr">
        <is>
          <t>物资名称 冷轧不锈钢板;物资简称 钢板;牌号 20Cr13;厚度 δ0.8;宽 ;长 ;技术标准号 GB/T 3280-2007;加工工艺 冷轧;热处理工艺 ;特殊要求 ;规格标准号 GB/T 708-2006</t>
        </is>
      </c>
      <c r="F105" s="4" t="inlineStr">
        <is>
          <t>千克</t>
        </is>
      </c>
      <c r="G105" s="0">
        <f>LEFT(D105,FIND("|",D105,1)-1)</f>
        <v/>
      </c>
      <c r="H105" s="0">
        <f>MID(D105,FIND("|",D105,FIND("|",D105,1))+1,FIND("|",D105,FIND("|",D105,1)+1)-FIND("|",D105,FIND("|",D105,1))-1)</f>
        <v/>
      </c>
      <c r="J105" s="0">
        <f>MID(D105,FIND(",",SUBSTITUTE(D105,"|",REPT(",",LEN(D105)),2))+1,FIND(",",SUBSTITUTE(D105,"|",REPT(",",LEN(D105)),3))-FIND(",",SUBSTITUTE(D105,"|",REPT(",",LEN(D105)),2))-1)</f>
        <v/>
      </c>
      <c r="K105" s="0">
        <f>MID(D105,FIND(",",SUBSTITUTE(D105,"|",REPT(",",LEN(D105)),3))+1,FIND(",",SUBSTITUTE(D105,"|",REPT(",",LEN(D105)),4))-FIND(",",SUBSTITUTE(D105,"|",REPT(",",LEN(D105)),3))-1)</f>
        <v/>
      </c>
      <c r="L105" s="0">
        <f>MID(D105,FIND(",",SUBSTITUTE(D105,"|",REPT(",",LEN(D105)),4))+1,FIND(",",SUBSTITUTE(D105,"|",REPT(",",LEN(D105)),5))-FIND(",",SUBSTITUTE(D105,"|",REPT(",",LEN(D105)),4))-1)</f>
        <v/>
      </c>
      <c r="M105" s="0">
        <f>MID(D105,FIND(";",SUBSTITUTE(D105,"|",REPT(";",LEN(D105)),6))+1,LEN(D105))</f>
        <v/>
      </c>
      <c r="N105" s="0">
        <f>MID(D105,FIND(";",SUBSTITUTE(D105,"|",REPT(";",LEN(D105)),5))+1,FIND(";",SUBSTITUTE(D105,"|",REPT(";",LEN(D105)),6))-FIND(";",SUBSTITUTE(D105,"|",REPT(";",LEN(D105)),5))-1)</f>
        <v/>
      </c>
    </row>
    <row r="106" ht="28" customHeight="1" s="21">
      <c r="A106" s="8" t="inlineStr">
        <is>
          <t>100101</t>
        </is>
      </c>
      <c r="B106" s="8" t="inlineStr">
        <is>
          <t>冷轧板材</t>
        </is>
      </c>
      <c r="C106" s="8" t="inlineStr">
        <is>
          <t>600593600</t>
        </is>
      </c>
      <c r="D106" s="8" t="inlineStr">
        <is>
          <t>冷轧不锈钢板|钢板|20Cr13|δ1|GB/T 3280-2007|冷轧|GB/T 708-2006</t>
        </is>
      </c>
      <c r="E106" s="8" t="inlineStr">
        <is>
          <t>物资名称 冷轧不锈钢板;物资简称 钢板;牌号 20Cr13;厚度 δ1;宽 ;长 ;技术标准号 GB/T 3280-2007;加工工艺 冷轧;热处理工艺 ;特殊要求 ;规格标准号 GB/T 708-2006</t>
        </is>
      </c>
      <c r="F106" s="4" t="inlineStr">
        <is>
          <t>千克</t>
        </is>
      </c>
      <c r="G106" s="0">
        <f>LEFT(D106,FIND("|",D106,1)-1)</f>
        <v/>
      </c>
      <c r="H106" s="0">
        <f>MID(D106,FIND("|",D106,FIND("|",D106,1))+1,FIND("|",D106,FIND("|",D106,1)+1)-FIND("|",D106,FIND("|",D106,1))-1)</f>
        <v/>
      </c>
      <c r="J106" s="0">
        <f>MID(D106,FIND(",",SUBSTITUTE(D106,"|",REPT(",",LEN(D106)),2))+1,FIND(",",SUBSTITUTE(D106,"|",REPT(",",LEN(D106)),3))-FIND(",",SUBSTITUTE(D106,"|",REPT(",",LEN(D106)),2))-1)</f>
        <v/>
      </c>
      <c r="K106" s="0">
        <f>MID(D106,FIND(",",SUBSTITUTE(D106,"|",REPT(",",LEN(D106)),3))+1,FIND(",",SUBSTITUTE(D106,"|",REPT(",",LEN(D106)),4))-FIND(",",SUBSTITUTE(D106,"|",REPT(",",LEN(D106)),3))-1)</f>
        <v/>
      </c>
      <c r="L106" s="0">
        <f>MID(D106,FIND(",",SUBSTITUTE(D106,"|",REPT(",",LEN(D106)),4))+1,FIND(",",SUBSTITUTE(D106,"|",REPT(",",LEN(D106)),5))-FIND(",",SUBSTITUTE(D106,"|",REPT(",",LEN(D106)),4))-1)</f>
        <v/>
      </c>
      <c r="M106" s="0">
        <f>MID(D106,FIND(";",SUBSTITUTE(D106,"|",REPT(";",LEN(D106)),6))+1,LEN(D106))</f>
        <v/>
      </c>
      <c r="N106" s="0">
        <f>MID(D106,FIND(";",SUBSTITUTE(D106,"|",REPT(";",LEN(D106)),5))+1,FIND(";",SUBSTITUTE(D106,"|",REPT(";",LEN(D106)),6))-FIND(";",SUBSTITUTE(D106,"|",REPT(";",LEN(D106)),5))-1)</f>
        <v/>
      </c>
    </row>
    <row r="107" ht="28" customHeight="1" s="21">
      <c r="A107" s="8" t="inlineStr">
        <is>
          <t>100101</t>
        </is>
      </c>
      <c r="B107" s="8" t="inlineStr">
        <is>
          <t>冷轧板材</t>
        </is>
      </c>
      <c r="C107" s="8" t="inlineStr">
        <is>
          <t>600593500</t>
        </is>
      </c>
      <c r="D107" s="8" t="inlineStr">
        <is>
          <t>冷轧耐热钢板|钢板|06Cr19Ni9|GB/T 4238-2007|GB/T 3280-2007</t>
        </is>
      </c>
      <c r="E107" s="8" t="inlineStr">
        <is>
          <t>物资名称 冷轧耐热钢板;物资简称 钢板;牌号 06Cr19Ni9;厚度 ;宽 ;长 ;技术标准号 GB/T 4238-2007;加工工艺 ;热处理工艺 ;特殊要求 ;规格标准号 GB/T 3280-2007</t>
        </is>
      </c>
      <c r="F107" s="4" t="inlineStr">
        <is>
          <t>千克</t>
        </is>
      </c>
      <c r="G107" s="0">
        <f>LEFT(D107,FIND("|",D107,1)-1)</f>
        <v/>
      </c>
      <c r="H107" s="0">
        <f>MID(D107,FIND("|",D107,FIND("|",D107,1))+1,FIND("|",D107,FIND("|",D107,1)+1)-FIND("|",D107,FIND("|",D107,1))-1)</f>
        <v/>
      </c>
      <c r="J107" s="0">
        <f>MID(D107,FIND(",",SUBSTITUTE(D107,"|",REPT(",",LEN(D107)),2))+1,FIND(",",SUBSTITUTE(D107,"|",REPT(",",LEN(D107)),3))-FIND(",",SUBSTITUTE(D107,"|",REPT(",",LEN(D107)),2))-1)</f>
        <v/>
      </c>
      <c r="L107" s="0">
        <f>MID(D107,FIND(",",SUBSTITUTE(D107,"|",REPT(",",LEN(D107)),3))+1,FIND(",",SUBSTITUTE(D107,"|",REPT(",",LEN(D107)),4))-FIND(",",SUBSTITUTE(D107,"|",REPT(",",LEN(D107)),3))-1)</f>
        <v/>
      </c>
      <c r="M107" s="0">
        <f>MID(D107,FIND(";",SUBSTITUTE(D107,"|",REPT(";",LEN(D107)),4))+1,LEN(D107))</f>
        <v/>
      </c>
    </row>
    <row r="108" ht="42" customHeight="1" s="21">
      <c r="A108" s="8" t="inlineStr">
        <is>
          <t>100101</t>
        </is>
      </c>
      <c r="B108" s="8" t="inlineStr">
        <is>
          <t>冷轧板材</t>
        </is>
      </c>
      <c r="C108" s="8" t="inlineStr">
        <is>
          <t>600593400</t>
        </is>
      </c>
      <c r="D108" s="8" t="inlineStr">
        <is>
          <t>冷轧耐热钢板|钢板|06Cr19Ni9|δ0.5|GB/T 4238-2007|冷轧|GB/T 3280-2007</t>
        </is>
      </c>
      <c r="E108" s="8" t="inlineStr">
        <is>
          <t>物资名称 冷轧耐热钢板;物资简称 钢板;牌号 06Cr19Ni9;厚度 δ0.5;宽 ;长 ;技术标准号 GB/T 4238-2007;加工工艺 冷轧;热处理工艺 ;特殊要求 ;规格标准号 GB/T 3280-2007</t>
        </is>
      </c>
      <c r="F108" s="4" t="inlineStr">
        <is>
          <t>千克</t>
        </is>
      </c>
      <c r="G108" s="0">
        <f>LEFT(D108,FIND("|",D108,1)-1)</f>
        <v/>
      </c>
      <c r="H108" s="0">
        <f>MID(D108,FIND("|",D108,FIND("|",D108,1))+1,FIND("|",D108,FIND("|",D108,1)+1)-FIND("|",D108,FIND("|",D108,1))-1)</f>
        <v/>
      </c>
      <c r="J108" s="0">
        <f>MID(D108,FIND(",",SUBSTITUTE(D108,"|",REPT(",",LEN(D108)),2))+1,FIND(",",SUBSTITUTE(D108,"|",REPT(",",LEN(D108)),3))-FIND(",",SUBSTITUTE(D108,"|",REPT(",",LEN(D108)),2))-1)</f>
        <v/>
      </c>
      <c r="K108" s="0">
        <f>MID(D108,FIND(",",SUBSTITUTE(D108,"|",REPT(",",LEN(D108)),3))+1,FIND(",",SUBSTITUTE(D108,"|",REPT(",",LEN(D108)),4))-FIND(",",SUBSTITUTE(D108,"|",REPT(",",LEN(D108)),3))-1)</f>
        <v/>
      </c>
      <c r="L108" s="0">
        <f>MID(D108,FIND(",",SUBSTITUTE(D108,"|",REPT(",",LEN(D108)),4))+1,FIND(",",SUBSTITUTE(D108,"|",REPT(",",LEN(D108)),5))-FIND(",",SUBSTITUTE(D108,"|",REPT(",",LEN(D108)),4))-1)</f>
        <v/>
      </c>
      <c r="M108" s="0">
        <f>MID(D108,FIND(";",SUBSTITUTE(D108,"|",REPT(";",LEN(D108)),6))+1,LEN(D108))</f>
        <v/>
      </c>
      <c r="N108" s="0">
        <f>MID(D108,FIND(";",SUBSTITUTE(D108,"|",REPT(";",LEN(D108)),5))+1,FIND(";",SUBSTITUTE(D108,"|",REPT(";",LEN(D108)),6))-FIND(";",SUBSTITUTE(D108,"|",REPT(";",LEN(D108)),5))-1)</f>
        <v/>
      </c>
    </row>
    <row r="109" ht="28" customHeight="1" s="21">
      <c r="A109" s="8" t="inlineStr">
        <is>
          <t>100101</t>
        </is>
      </c>
      <c r="B109" s="8" t="inlineStr">
        <is>
          <t>冷轧板材</t>
        </is>
      </c>
      <c r="C109" s="8" t="inlineStr">
        <is>
          <t>600593300</t>
        </is>
      </c>
      <c r="D109" s="8" t="inlineStr">
        <is>
          <t>冷轧耐热钢板|钢板|1Cr18Ni9Ti|GB 4238-1992|冷轧|GB/T 708-2006</t>
        </is>
      </c>
      <c r="E109" s="8" t="inlineStr">
        <is>
          <t>物资名称 冷轧耐热钢板;物资简称 钢板;牌号 1Cr18Ni9Ti;厚度 ;宽 ;长 ;技术标准号 GB 4238-1992;加工工艺 冷轧;热处理工艺 ;特殊要求 ;规格标准号 GB/T 708-2006</t>
        </is>
      </c>
      <c r="F109" s="4" t="inlineStr">
        <is>
          <t>千克</t>
        </is>
      </c>
      <c r="G109" s="0">
        <f>LEFT(D109,FIND("|",D109,1)-1)</f>
        <v/>
      </c>
      <c r="H109" s="0">
        <f>MID(D109,FIND("|",D109,FIND("|",D109,1))+1,FIND("|",D109,FIND("|",D109,1)+1)-FIND("|",D109,FIND("|",D109,1))-1)</f>
        <v/>
      </c>
      <c r="J109" s="0">
        <f>MID(D109,FIND(",",SUBSTITUTE(D109,"|",REPT(",",LEN(D109)),2))+1,FIND(",",SUBSTITUTE(D109,"|",REPT(",",LEN(D109)),3))-FIND(",",SUBSTITUTE(D109,"|",REPT(",",LEN(D109)),2))-1)</f>
        <v/>
      </c>
      <c r="L109" s="0">
        <f>MID(D109,FIND(",",SUBSTITUTE(D109,"|",REPT(",",LEN(D109)),3))+1,FIND(",",SUBSTITUTE(D109,"|",REPT(",",LEN(D109)),4))-FIND(",",SUBSTITUTE(D109,"|",REPT(",",LEN(D109)),3))-1)</f>
        <v/>
      </c>
      <c r="M109" s="0">
        <f>MID(D109,FIND(";",SUBSTITUTE(D109,"|",REPT(";",LEN(D109)),5))+1,LEN(D109))</f>
        <v/>
      </c>
      <c r="N109" s="0">
        <f>MID(D109,FIND(";",SUBSTITUTE(D109,"|",REPT(";",LEN(D109)),4))+1,FIND(";",SUBSTITUTE(D109,"|",REPT(";",LEN(D109)),5))-FIND(";",SUBSTITUTE(D109,"|",REPT(";",LEN(D109)),4))-1)</f>
        <v/>
      </c>
    </row>
    <row r="110" ht="42" customHeight="1" s="21">
      <c r="A110" s="8" t="inlineStr">
        <is>
          <t>100101</t>
        </is>
      </c>
      <c r="B110" s="8" t="inlineStr">
        <is>
          <t>冷轧板材</t>
        </is>
      </c>
      <c r="C110" s="8" t="inlineStr">
        <is>
          <t>600593200</t>
        </is>
      </c>
      <c r="D110" s="8" t="inlineStr">
        <is>
          <t>冷轧耐热钢板|钢板|1Cr18Ni9Ti|δ0.8|GB 4238-1992|冷轧|GB/T 708-2006</t>
        </is>
      </c>
      <c r="E110" s="8" t="inlineStr">
        <is>
          <t>物资名称 冷轧耐热钢板;物资简称 钢板;牌号 1Cr18Ni9Ti;厚度 δ0.8;宽 ;长 ;技术标准号 GB 4238-1992;加工工艺 冷轧;热处理工艺 ;特殊要求 ;规格标准号 GB/T 708-2006</t>
        </is>
      </c>
      <c r="F110" s="4" t="inlineStr">
        <is>
          <t>千克</t>
        </is>
      </c>
      <c r="G110" s="0">
        <f>LEFT(D110,FIND("|",D110,1)-1)</f>
        <v/>
      </c>
      <c r="H110" s="0">
        <f>MID(D110,FIND("|",D110,FIND("|",D110,1))+1,FIND("|",D110,FIND("|",D110,1)+1)-FIND("|",D110,FIND("|",D110,1))-1)</f>
        <v/>
      </c>
      <c r="J110" s="0">
        <f>MID(D110,FIND(",",SUBSTITUTE(D110,"|",REPT(",",LEN(D110)),2))+1,FIND(",",SUBSTITUTE(D110,"|",REPT(",",LEN(D110)),3))-FIND(",",SUBSTITUTE(D110,"|",REPT(",",LEN(D110)),2))-1)</f>
        <v/>
      </c>
      <c r="K110" s="0">
        <f>MID(D110,FIND(",",SUBSTITUTE(D110,"|",REPT(",",LEN(D110)),3))+1,FIND(",",SUBSTITUTE(D110,"|",REPT(",",LEN(D110)),4))-FIND(",",SUBSTITUTE(D110,"|",REPT(",",LEN(D110)),3))-1)</f>
        <v/>
      </c>
      <c r="L110" s="0">
        <f>MID(D110,FIND(",",SUBSTITUTE(D110,"|",REPT(",",LEN(D110)),4))+1,FIND(",",SUBSTITUTE(D110,"|",REPT(",",LEN(D110)),5))-FIND(",",SUBSTITUTE(D110,"|",REPT(",",LEN(D110)),4))-1)</f>
        <v/>
      </c>
      <c r="M110" s="0">
        <f>MID(D110,FIND(";",SUBSTITUTE(D110,"|",REPT(";",LEN(D110)),6))+1,LEN(D110))</f>
        <v/>
      </c>
      <c r="N110" s="0">
        <f>MID(D110,FIND(";",SUBSTITUTE(D110,"|",REPT(";",LEN(D110)),5))+1,FIND(";",SUBSTITUTE(D110,"|",REPT(";",LEN(D110)),6))-FIND(";",SUBSTITUTE(D110,"|",REPT(";",LEN(D110)),5))-1)</f>
        <v/>
      </c>
    </row>
    <row r="111" ht="42" customHeight="1" s="21">
      <c r="A111" s="8" t="inlineStr">
        <is>
          <t>100101</t>
        </is>
      </c>
      <c r="B111" s="8" t="inlineStr">
        <is>
          <t>冷轧板材</t>
        </is>
      </c>
      <c r="C111" s="8" t="inlineStr">
        <is>
          <t>600593100</t>
        </is>
      </c>
      <c r="D111" s="8" t="inlineStr">
        <is>
          <t>冷轧耐热钢板|钢板|1Cr18Ni9Ti|δ1|GB 4238-1992|冷轧|GB/T 708-2006</t>
        </is>
      </c>
      <c r="E111" s="8" t="inlineStr">
        <is>
          <t>物资名称 冷轧耐热钢板;物资简称 钢板;牌号 1Cr18Ni9Ti;厚度 δ1;宽 ;长 ;技术标准号 GB 4238-1992;加工工艺 冷轧;热处理工艺 ;特殊要求 ;规格标准号 GB/T 708-2006</t>
        </is>
      </c>
      <c r="F111" s="4" t="inlineStr">
        <is>
          <t>千克</t>
        </is>
      </c>
      <c r="G111" s="0">
        <f>LEFT(D111,FIND("|",D111,1)-1)</f>
        <v/>
      </c>
      <c r="H111" s="0">
        <f>MID(D111,FIND("|",D111,FIND("|",D111,1))+1,FIND("|",D111,FIND("|",D111,1)+1)-FIND("|",D111,FIND("|",D111,1))-1)</f>
        <v/>
      </c>
      <c r="J111" s="0">
        <f>MID(D111,FIND(",",SUBSTITUTE(D111,"|",REPT(",",LEN(D111)),2))+1,FIND(",",SUBSTITUTE(D111,"|",REPT(",",LEN(D111)),3))-FIND(",",SUBSTITUTE(D111,"|",REPT(",",LEN(D111)),2))-1)</f>
        <v/>
      </c>
      <c r="K111" s="0">
        <f>MID(D111,FIND(",",SUBSTITUTE(D111,"|",REPT(",",LEN(D111)),3))+1,FIND(",",SUBSTITUTE(D111,"|",REPT(",",LEN(D111)),4))-FIND(",",SUBSTITUTE(D111,"|",REPT(",",LEN(D111)),3))-1)</f>
        <v/>
      </c>
      <c r="L111" s="0">
        <f>MID(D111,FIND(",",SUBSTITUTE(D111,"|",REPT(",",LEN(D111)),4))+1,FIND(",",SUBSTITUTE(D111,"|",REPT(",",LEN(D111)),5))-FIND(",",SUBSTITUTE(D111,"|",REPT(",",LEN(D111)),4))-1)</f>
        <v/>
      </c>
      <c r="M111" s="0">
        <f>MID(D111,FIND(";",SUBSTITUTE(D111,"|",REPT(";",LEN(D111)),6))+1,LEN(D111))</f>
        <v/>
      </c>
      <c r="N111" s="0">
        <f>MID(D111,FIND(";",SUBSTITUTE(D111,"|",REPT(";",LEN(D111)),5))+1,FIND(";",SUBSTITUTE(D111,"|",REPT(";",LEN(D111)),6))-FIND(";",SUBSTITUTE(D111,"|",REPT(";",LEN(D111)),5))-1)</f>
        <v/>
      </c>
    </row>
    <row r="112" ht="42" customHeight="1" s="21">
      <c r="A112" s="8" t="inlineStr">
        <is>
          <t>100101</t>
        </is>
      </c>
      <c r="B112" s="8" t="inlineStr">
        <is>
          <t>冷轧板材</t>
        </is>
      </c>
      <c r="C112" s="8" t="inlineStr">
        <is>
          <t>600593000</t>
        </is>
      </c>
      <c r="D112" s="8" t="inlineStr">
        <is>
          <t>冷轧耐热钢板|钢板|1Cr18Ni9Ti|δ1.2|GB 4238-1992|冷轧|GB/T 708-2006</t>
        </is>
      </c>
      <c r="E112" s="8" t="inlineStr">
        <is>
          <t>物资名称 冷轧耐热钢板;物资简称 钢板;牌号 1Cr18Ni9Ti;厚度 δ1.2;宽 ;长 ;技术标准号 GB 4238-1992;加工工艺 冷轧;热处理工艺 ;特殊要求 ;规格标准号 GB/T 708-2006</t>
        </is>
      </c>
      <c r="F112" s="4" t="inlineStr">
        <is>
          <t>千克</t>
        </is>
      </c>
      <c r="G112" s="0">
        <f>LEFT(D112,FIND("|",D112,1)-1)</f>
        <v/>
      </c>
      <c r="H112" s="0">
        <f>MID(D112,FIND("|",D112,FIND("|",D112,1))+1,FIND("|",D112,FIND("|",D112,1)+1)-FIND("|",D112,FIND("|",D112,1))-1)</f>
        <v/>
      </c>
      <c r="J112" s="0">
        <f>MID(D112,FIND(",",SUBSTITUTE(D112,"|",REPT(",",LEN(D112)),2))+1,FIND(",",SUBSTITUTE(D112,"|",REPT(",",LEN(D112)),3))-FIND(",",SUBSTITUTE(D112,"|",REPT(",",LEN(D112)),2))-1)</f>
        <v/>
      </c>
      <c r="K112" s="0">
        <f>MID(D112,FIND(",",SUBSTITUTE(D112,"|",REPT(",",LEN(D112)),3))+1,FIND(",",SUBSTITUTE(D112,"|",REPT(",",LEN(D112)),4))-FIND(",",SUBSTITUTE(D112,"|",REPT(",",LEN(D112)),3))-1)</f>
        <v/>
      </c>
      <c r="L112" s="0">
        <f>MID(D112,FIND(",",SUBSTITUTE(D112,"|",REPT(",",LEN(D112)),4))+1,FIND(",",SUBSTITUTE(D112,"|",REPT(",",LEN(D112)),5))-FIND(",",SUBSTITUTE(D112,"|",REPT(",",LEN(D112)),4))-1)</f>
        <v/>
      </c>
      <c r="M112" s="0">
        <f>MID(D112,FIND(";",SUBSTITUTE(D112,"|",REPT(";",LEN(D112)),6))+1,LEN(D112))</f>
        <v/>
      </c>
      <c r="N112" s="0">
        <f>MID(D112,FIND(";",SUBSTITUTE(D112,"|",REPT(";",LEN(D112)),5))+1,FIND(";",SUBSTITUTE(D112,"|",REPT(";",LEN(D112)),6))-FIND(";",SUBSTITUTE(D112,"|",REPT(";",LEN(D112)),5))-1)</f>
        <v/>
      </c>
    </row>
    <row r="113" ht="42" customHeight="1" s="21">
      <c r="A113" s="8" t="inlineStr">
        <is>
          <t>100101</t>
        </is>
      </c>
      <c r="B113" s="8" t="inlineStr">
        <is>
          <t>冷轧板材</t>
        </is>
      </c>
      <c r="C113" s="8" t="inlineStr">
        <is>
          <t>600592900</t>
        </is>
      </c>
      <c r="D113" s="8" t="inlineStr">
        <is>
          <t>冷轧耐热钢板|钢板|1Cr18Ni9Ti|δ1.5|GB 4238-1992|冷轧|GB/T 708-2006</t>
        </is>
      </c>
      <c r="E113" s="8" t="inlineStr">
        <is>
          <t>物资名称 冷轧耐热钢板;物资简称 钢板;牌号 1Cr18Ni9Ti;厚度 δ1.5;宽 ;长 ;技术标准号 GB 4238-1992;加工工艺 冷轧;热处理工艺 ;特殊要求 ;规格标准号 GB/T 708-2006</t>
        </is>
      </c>
      <c r="F113" s="4" t="inlineStr">
        <is>
          <t>千克</t>
        </is>
      </c>
      <c r="G113" s="0">
        <f>LEFT(D113,FIND("|",D113,1)-1)</f>
        <v/>
      </c>
      <c r="H113" s="0">
        <f>MID(D113,FIND("|",D113,FIND("|",D113,1))+1,FIND("|",D113,FIND("|",D113,1)+1)-FIND("|",D113,FIND("|",D113,1))-1)</f>
        <v/>
      </c>
      <c r="J113" s="0">
        <f>MID(D113,FIND(",",SUBSTITUTE(D113,"|",REPT(",",LEN(D113)),2))+1,FIND(",",SUBSTITUTE(D113,"|",REPT(",",LEN(D113)),3))-FIND(",",SUBSTITUTE(D113,"|",REPT(",",LEN(D113)),2))-1)</f>
        <v/>
      </c>
      <c r="K113" s="0">
        <f>MID(D113,FIND(",",SUBSTITUTE(D113,"|",REPT(",",LEN(D113)),3))+1,FIND(",",SUBSTITUTE(D113,"|",REPT(",",LEN(D113)),4))-FIND(",",SUBSTITUTE(D113,"|",REPT(",",LEN(D113)),3))-1)</f>
        <v/>
      </c>
      <c r="L113" s="0">
        <f>MID(D113,FIND(",",SUBSTITUTE(D113,"|",REPT(",",LEN(D113)),4))+1,FIND(",",SUBSTITUTE(D113,"|",REPT(",",LEN(D113)),5))-FIND(",",SUBSTITUTE(D113,"|",REPT(",",LEN(D113)),4))-1)</f>
        <v/>
      </c>
      <c r="M113" s="0">
        <f>MID(D113,FIND(";",SUBSTITUTE(D113,"|",REPT(";",LEN(D113)),6))+1,LEN(D113))</f>
        <v/>
      </c>
      <c r="N113" s="0">
        <f>MID(D113,FIND(";",SUBSTITUTE(D113,"|",REPT(";",LEN(D113)),5))+1,FIND(";",SUBSTITUTE(D113,"|",REPT(";",LEN(D113)),6))-FIND(";",SUBSTITUTE(D113,"|",REPT(";",LEN(D113)),5))-1)</f>
        <v/>
      </c>
    </row>
    <row r="114" ht="42" customHeight="1" s="21">
      <c r="A114" s="8" t="inlineStr">
        <is>
          <t>100101</t>
        </is>
      </c>
      <c r="B114" s="8" t="inlineStr">
        <is>
          <t>冷轧板材</t>
        </is>
      </c>
      <c r="C114" s="8" t="inlineStr">
        <is>
          <t>600592800</t>
        </is>
      </c>
      <c r="D114" s="8" t="inlineStr">
        <is>
          <t>冷轧耐热钢板|钢板|1Cr18Ni9Ti|δ2|GB 4238-1992|冷轧|GB/T 708-2006</t>
        </is>
      </c>
      <c r="E114" s="8" t="inlineStr">
        <is>
          <t>物资名称 冷轧耐热钢板;物资简称 钢板;牌号 1Cr18Ni9Ti;厚度 δ2;宽 ;长 ;技术标准号 GB 4238-1992;加工工艺 冷轧;热处理工艺 ;特殊要求 ;规格标准号 GB/T 708-2006</t>
        </is>
      </c>
      <c r="F114" s="4" t="inlineStr">
        <is>
          <t>千克</t>
        </is>
      </c>
      <c r="G114" s="0">
        <f>LEFT(D114,FIND("|",D114,1)-1)</f>
        <v/>
      </c>
      <c r="H114" s="0">
        <f>MID(D114,FIND("|",D114,FIND("|",D114,1))+1,FIND("|",D114,FIND("|",D114,1)+1)-FIND("|",D114,FIND("|",D114,1))-1)</f>
        <v/>
      </c>
      <c r="J114" s="0">
        <f>MID(D114,FIND(",",SUBSTITUTE(D114,"|",REPT(",",LEN(D114)),2))+1,FIND(",",SUBSTITUTE(D114,"|",REPT(",",LEN(D114)),3))-FIND(",",SUBSTITUTE(D114,"|",REPT(",",LEN(D114)),2))-1)</f>
        <v/>
      </c>
      <c r="K114" s="0">
        <f>MID(D114,FIND(",",SUBSTITUTE(D114,"|",REPT(",",LEN(D114)),3))+1,FIND(",",SUBSTITUTE(D114,"|",REPT(",",LEN(D114)),4))-FIND(",",SUBSTITUTE(D114,"|",REPT(",",LEN(D114)),3))-1)</f>
        <v/>
      </c>
      <c r="L114" s="0">
        <f>MID(D114,FIND(",",SUBSTITUTE(D114,"|",REPT(",",LEN(D114)),4))+1,FIND(",",SUBSTITUTE(D114,"|",REPT(",",LEN(D114)),5))-FIND(",",SUBSTITUTE(D114,"|",REPT(",",LEN(D114)),4))-1)</f>
        <v/>
      </c>
      <c r="M114" s="0">
        <f>MID(D114,FIND(";",SUBSTITUTE(D114,"|",REPT(";",LEN(D114)),6))+1,LEN(D114))</f>
        <v/>
      </c>
      <c r="N114" s="0">
        <f>MID(D114,FIND(";",SUBSTITUTE(D114,"|",REPT(";",LEN(D114)),5))+1,FIND(";",SUBSTITUTE(D114,"|",REPT(";",LEN(D114)),6))-FIND(";",SUBSTITUTE(D114,"|",REPT(";",LEN(D114)),5))-1)</f>
        <v/>
      </c>
    </row>
    <row r="115" ht="42" customHeight="1" s="21">
      <c r="A115" s="8" t="inlineStr">
        <is>
          <t>100101</t>
        </is>
      </c>
      <c r="B115" s="8" t="inlineStr">
        <is>
          <t>冷轧板材</t>
        </is>
      </c>
      <c r="C115" s="8" t="inlineStr">
        <is>
          <t>600592700</t>
        </is>
      </c>
      <c r="D115" s="8" t="inlineStr">
        <is>
          <t>冷轧耐热钢板|钢板|1Cr18Ni9Ti|δ2.5|GB 4238-1992|冷轧|GB/T 708-2006</t>
        </is>
      </c>
      <c r="E115" s="8" t="inlineStr">
        <is>
          <t>物资名称 冷轧耐热钢板;物资简称 钢板;牌号 1Cr18Ni9Ti;厚度 δ2.5;宽 ;长 ;技术标准号 GB 4238-1992;加工工艺 冷轧;热处理工艺 ;特殊要求 ;规格标准号 GB/T 708-2006</t>
        </is>
      </c>
      <c r="F115" s="4" t="inlineStr">
        <is>
          <t>千克</t>
        </is>
      </c>
      <c r="G115" s="0">
        <f>LEFT(D115,FIND("|",D115,1)-1)</f>
        <v/>
      </c>
      <c r="H115" s="0">
        <f>MID(D115,FIND("|",D115,FIND("|",D115,1))+1,FIND("|",D115,FIND("|",D115,1)+1)-FIND("|",D115,FIND("|",D115,1))-1)</f>
        <v/>
      </c>
      <c r="J115" s="0">
        <f>MID(D115,FIND(",",SUBSTITUTE(D115,"|",REPT(",",LEN(D115)),2))+1,FIND(",",SUBSTITUTE(D115,"|",REPT(",",LEN(D115)),3))-FIND(",",SUBSTITUTE(D115,"|",REPT(",",LEN(D115)),2))-1)</f>
        <v/>
      </c>
      <c r="K115" s="0">
        <f>MID(D115,FIND(",",SUBSTITUTE(D115,"|",REPT(",",LEN(D115)),3))+1,FIND(",",SUBSTITUTE(D115,"|",REPT(",",LEN(D115)),4))-FIND(",",SUBSTITUTE(D115,"|",REPT(",",LEN(D115)),3))-1)</f>
        <v/>
      </c>
      <c r="L115" s="0">
        <f>MID(D115,FIND(",",SUBSTITUTE(D115,"|",REPT(",",LEN(D115)),4))+1,FIND(",",SUBSTITUTE(D115,"|",REPT(",",LEN(D115)),5))-FIND(",",SUBSTITUTE(D115,"|",REPT(",",LEN(D115)),4))-1)</f>
        <v/>
      </c>
      <c r="M115" s="0">
        <f>MID(D115,FIND(";",SUBSTITUTE(D115,"|",REPT(";",LEN(D115)),6))+1,LEN(D115))</f>
        <v/>
      </c>
      <c r="N115" s="0">
        <f>MID(D115,FIND(";",SUBSTITUTE(D115,"|",REPT(";",LEN(D115)),5))+1,FIND(";",SUBSTITUTE(D115,"|",REPT(";",LEN(D115)),6))-FIND(";",SUBSTITUTE(D115,"|",REPT(";",LEN(D115)),5))-1)</f>
        <v/>
      </c>
    </row>
    <row r="116" ht="42" customHeight="1" s="21">
      <c r="A116" s="8" t="inlineStr">
        <is>
          <t>100101</t>
        </is>
      </c>
      <c r="B116" s="8" t="inlineStr">
        <is>
          <t>冷轧板材</t>
        </is>
      </c>
      <c r="C116" s="8" t="inlineStr">
        <is>
          <t>600592600</t>
        </is>
      </c>
      <c r="D116" s="8" t="inlineStr">
        <is>
          <t>冷轧耐热钢板|钢板|1Cr18Ni9Ti|δ3|GB 4238-1992|冷轧|GB/T 708-2006</t>
        </is>
      </c>
      <c r="E116" s="8" t="inlineStr">
        <is>
          <t>物资名称 冷轧耐热钢板;物资简称 钢板;牌号 1Cr18Ni9Ti;厚度 δ3;宽 ;长 ;技术标准号 GB 4238-1992;加工工艺 冷轧;热处理工艺 ;特殊要求 ;规格标准号 GB/T 708-2006</t>
        </is>
      </c>
      <c r="F116" s="4" t="inlineStr">
        <is>
          <t>千克</t>
        </is>
      </c>
      <c r="G116" s="0">
        <f>LEFT(D116,FIND("|",D116,1)-1)</f>
        <v/>
      </c>
      <c r="H116" s="0">
        <f>MID(D116,FIND("|",D116,FIND("|",D116,1))+1,FIND("|",D116,FIND("|",D116,1)+1)-FIND("|",D116,FIND("|",D116,1))-1)</f>
        <v/>
      </c>
      <c r="J116" s="0">
        <f>MID(D116,FIND(",",SUBSTITUTE(D116,"|",REPT(",",LEN(D116)),2))+1,FIND(",",SUBSTITUTE(D116,"|",REPT(",",LEN(D116)),3))-FIND(",",SUBSTITUTE(D116,"|",REPT(",",LEN(D116)),2))-1)</f>
        <v/>
      </c>
      <c r="K116" s="0">
        <f>MID(D116,FIND(",",SUBSTITUTE(D116,"|",REPT(",",LEN(D116)),3))+1,FIND(",",SUBSTITUTE(D116,"|",REPT(",",LEN(D116)),4))-FIND(",",SUBSTITUTE(D116,"|",REPT(",",LEN(D116)),3))-1)</f>
        <v/>
      </c>
      <c r="L116" s="0">
        <f>MID(D116,FIND(",",SUBSTITUTE(D116,"|",REPT(",",LEN(D116)),4))+1,FIND(",",SUBSTITUTE(D116,"|",REPT(",",LEN(D116)),5))-FIND(",",SUBSTITUTE(D116,"|",REPT(",",LEN(D116)),4))-1)</f>
        <v/>
      </c>
      <c r="M116" s="0">
        <f>MID(D116,FIND(";",SUBSTITUTE(D116,"|",REPT(";",LEN(D116)),6))+1,LEN(D116))</f>
        <v/>
      </c>
      <c r="N116" s="0">
        <f>MID(D116,FIND(";",SUBSTITUTE(D116,"|",REPT(";",LEN(D116)),5))+1,FIND(";",SUBSTITUTE(D116,"|",REPT(";",LEN(D116)),6))-FIND(";",SUBSTITUTE(D116,"|",REPT(";",LEN(D116)),5))-1)</f>
        <v/>
      </c>
    </row>
    <row r="117" ht="42" customHeight="1" s="21">
      <c r="A117" s="8" t="inlineStr">
        <is>
          <t>100101</t>
        </is>
      </c>
      <c r="B117" s="8" t="inlineStr">
        <is>
          <t>冷轧板材</t>
        </is>
      </c>
      <c r="C117" s="8" t="inlineStr">
        <is>
          <t>600592500</t>
        </is>
      </c>
      <c r="D117" s="8" t="inlineStr">
        <is>
          <t>冷轧耐热钢板|钢板|1Cr18Ni9Ti|δ4|GB 4238-1992|冷轧|GB/T 708-2006</t>
        </is>
      </c>
      <c r="E117" s="8" t="inlineStr">
        <is>
          <t>物资名称 冷轧耐热钢板;物资简称 钢板;牌号 1Cr18Ni9Ti;厚度 δ4;宽 ;长 ;技术标准号 GB 4238-1992;加工工艺 冷轧;热处理工艺 ;特殊要求 ;规格标准号 GB/T 708-2006</t>
        </is>
      </c>
      <c r="F117" s="4" t="inlineStr">
        <is>
          <t>千克</t>
        </is>
      </c>
      <c r="G117" s="0">
        <f>LEFT(D117,FIND("|",D117,1)-1)</f>
        <v/>
      </c>
      <c r="H117" s="0">
        <f>MID(D117,FIND("|",D117,FIND("|",D117,1))+1,FIND("|",D117,FIND("|",D117,1)+1)-FIND("|",D117,FIND("|",D117,1))-1)</f>
        <v/>
      </c>
      <c r="J117" s="0">
        <f>MID(D117,FIND(",",SUBSTITUTE(D117,"|",REPT(",",LEN(D117)),2))+1,FIND(",",SUBSTITUTE(D117,"|",REPT(",",LEN(D117)),3))-FIND(",",SUBSTITUTE(D117,"|",REPT(",",LEN(D117)),2))-1)</f>
        <v/>
      </c>
      <c r="K117" s="0">
        <f>MID(D117,FIND(",",SUBSTITUTE(D117,"|",REPT(",",LEN(D117)),3))+1,FIND(",",SUBSTITUTE(D117,"|",REPT(",",LEN(D117)),4))-FIND(",",SUBSTITUTE(D117,"|",REPT(",",LEN(D117)),3))-1)</f>
        <v/>
      </c>
      <c r="L117" s="0">
        <f>MID(D117,FIND(",",SUBSTITUTE(D117,"|",REPT(",",LEN(D117)),4))+1,FIND(",",SUBSTITUTE(D117,"|",REPT(",",LEN(D117)),5))-FIND(",",SUBSTITUTE(D117,"|",REPT(",",LEN(D117)),4))-1)</f>
        <v/>
      </c>
      <c r="M117" s="0">
        <f>MID(D117,FIND(";",SUBSTITUTE(D117,"|",REPT(";",LEN(D117)),6))+1,LEN(D117))</f>
        <v/>
      </c>
      <c r="N117" s="0">
        <f>MID(D117,FIND(";",SUBSTITUTE(D117,"|",REPT(";",LEN(D117)),5))+1,FIND(";",SUBSTITUTE(D117,"|",REPT(";",LEN(D117)),6))-FIND(";",SUBSTITUTE(D117,"|",REPT(";",LEN(D117)),5))-1)</f>
        <v/>
      </c>
    </row>
    <row r="118" ht="42" customHeight="1" s="21">
      <c r="A118" s="8" t="inlineStr">
        <is>
          <t>100102</t>
        </is>
      </c>
      <c r="B118" s="8" t="inlineStr">
        <is>
          <t>热轧板材</t>
        </is>
      </c>
      <c r="C118" s="8" t="inlineStr">
        <is>
          <t>603563500</t>
        </is>
      </c>
      <c r="D118" s="8" t="inlineStr">
        <is>
          <t>热轧优质碳素结构钢板|钢板|45|δ10|GB/T 711-2017|热轧|GB/T 711-2017</t>
        </is>
      </c>
      <c r="E118" s="8" t="inlineStr">
        <is>
          <t>物资名称 热轧优质碳素结构钢板;物资简称 钢板;牌号 45;厚度 δ10;宽 ;长 ;技术标准号 GB/T 711-2017;加工工艺 热轧;热处理工艺 ;特殊要求 ;规格标准号 GB/T 711-2017</t>
        </is>
      </c>
      <c r="F118" s="4" t="inlineStr">
        <is>
          <t>千克</t>
        </is>
      </c>
      <c r="G118" s="0">
        <f>LEFT(D118,FIND("|",D118,1)-1)</f>
        <v/>
      </c>
      <c r="H118" s="0">
        <f>MID(D118,FIND("|",D118,FIND("|",D118,1))+1,FIND("|",D118,FIND("|",D118,1)+1)-FIND("|",D118,FIND("|",D118,1))-1)</f>
        <v/>
      </c>
      <c r="J118" s="0">
        <f>MID(D118,FIND(",",SUBSTITUTE(D118,"|",REPT(",",LEN(D118)),2))+1,FIND(",",SUBSTITUTE(D118,"|",REPT(",",LEN(D118)),3))-FIND(",",SUBSTITUTE(D118,"|",REPT(",",LEN(D118)),2))-1)</f>
        <v/>
      </c>
      <c r="K118" s="0">
        <f>MID(D118,FIND(",",SUBSTITUTE(D118,"|",REPT(",",LEN(D118)),3))+1,FIND(",",SUBSTITUTE(D118,"|",REPT(",",LEN(D118)),4))-FIND(",",SUBSTITUTE(D118,"|",REPT(",",LEN(D118)),3))-1)</f>
        <v/>
      </c>
      <c r="L118" s="0">
        <f>MID(D118,FIND(",",SUBSTITUTE(D118,"|",REPT(",",LEN(D118)),4))+1,FIND(",",SUBSTITUTE(D118,"|",REPT(",",LEN(D118)),5))-FIND(",",SUBSTITUTE(D118,"|",REPT(",",LEN(D118)),4))-1)</f>
        <v/>
      </c>
      <c r="M118" s="0">
        <f>MID(D118,FIND(";",SUBSTITUTE(D118,"|",REPT(";",LEN(D118)),6))+1,LEN(D118))</f>
        <v/>
      </c>
      <c r="N118" s="0">
        <f>MID(D118,FIND(";",SUBSTITUTE(D118,"|",REPT(";",LEN(D118)),5))+1,FIND(";",SUBSTITUTE(D118,"|",REPT(";",LEN(D118)),6))-FIND(";",SUBSTITUTE(D118,"|",REPT(";",LEN(D118)),5))-1)</f>
        <v/>
      </c>
    </row>
    <row r="119" ht="42" customHeight="1" s="21">
      <c r="A119" s="8" t="inlineStr">
        <is>
          <t>100102</t>
        </is>
      </c>
      <c r="B119" s="8" t="inlineStr">
        <is>
          <t>热轧板材</t>
        </is>
      </c>
      <c r="C119" s="8" t="inlineStr">
        <is>
          <t>603553000</t>
        </is>
      </c>
      <c r="D119" s="8" t="inlineStr">
        <is>
          <t>热轧合金结构钢板|钢板|30CrMnSiA|GB/T 11251-2020|热轧|GB/T 709-2019</t>
        </is>
      </c>
      <c r="E119" s="8" t="inlineStr">
        <is>
          <t>物资名称 热轧合金结构钢板;物资简称 钢板;牌号 30CrMnSiA;厚度 δ;宽 ;长 ;技术标准号 GB/T 11251-2020;加工工艺 热轧;热处理工艺 ;特殊要求 ;规格标准号 GB/T 709-2019</t>
        </is>
      </c>
      <c r="F119" s="4" t="inlineStr">
        <is>
          <t>千克</t>
        </is>
      </c>
      <c r="G119" s="0">
        <f>LEFT(D119,FIND("|",D119,1)-1)</f>
        <v/>
      </c>
      <c r="H119" s="0">
        <f>MID(D119,FIND("|",D119,FIND("|",D119,1))+1,FIND("|",D119,FIND("|",D119,1)+1)-FIND("|",D119,FIND("|",D119,1))-1)</f>
        <v/>
      </c>
      <c r="J119" s="0">
        <f>MID(D119,FIND(",",SUBSTITUTE(D119,"|",REPT(",",LEN(D119)),2))+1,FIND(",",SUBSTITUTE(D119,"|",REPT(",",LEN(D119)),3))-FIND(",",SUBSTITUTE(D119,"|",REPT(",",LEN(D119)),2))-1)</f>
        <v/>
      </c>
      <c r="L119" s="0">
        <f>MID(D119,FIND(",",SUBSTITUTE(D119,"|",REPT(",",LEN(D119)),3))+1,FIND(",",SUBSTITUTE(D119,"|",REPT(",",LEN(D119)),4))-FIND(",",SUBSTITUTE(D119,"|",REPT(",",LEN(D119)),3))-1)</f>
        <v/>
      </c>
      <c r="M119" s="0">
        <f>MID(D119,FIND(";",SUBSTITUTE(D119,"|",REPT(";",LEN(D119)),5))+1,LEN(D119))</f>
        <v/>
      </c>
      <c r="N119" s="0">
        <f>MID(D119,FIND(";",SUBSTITUTE(D119,"|",REPT(";",LEN(D119)),4))+1,FIND(";",SUBSTITUTE(D119,"|",REPT(";",LEN(D119)),5))-FIND(";",SUBSTITUTE(D119,"|",REPT(";",LEN(D119)),4))-1)</f>
        <v/>
      </c>
    </row>
    <row r="120" ht="42" customHeight="1" s="21">
      <c r="A120" s="8" t="inlineStr">
        <is>
          <t>100102</t>
        </is>
      </c>
      <c r="B120" s="8" t="inlineStr">
        <is>
          <t>热轧板材</t>
        </is>
      </c>
      <c r="C120" s="8" t="inlineStr">
        <is>
          <t>603551500</t>
        </is>
      </c>
      <c r="D120" s="8" t="inlineStr">
        <is>
          <t>热轧合金结构钢板|钢板|30CrMnSiA|δ60|GB/T 11251-2009|热轧|GB/T 709-2019</t>
        </is>
      </c>
      <c r="E120" s="8" t="inlineStr">
        <is>
          <t>物资名称 热轧合金结构钢板;物资简称 钢板;牌号 30CrMnSiA;厚度 δ60;宽 ;长 ;技术标准号 GB/T 11251-2009;加工工艺 热轧;热处理工艺 ;特殊要求 ;规格标准号 GB/T 709-2019</t>
        </is>
      </c>
      <c r="F120" s="4" t="inlineStr">
        <is>
          <t>千克</t>
        </is>
      </c>
      <c r="G120" s="0">
        <f>LEFT(D120,FIND("|",D120,1)-1)</f>
        <v/>
      </c>
      <c r="H120" s="0">
        <f>MID(D120,FIND("|",D120,FIND("|",D120,1))+1,FIND("|",D120,FIND("|",D120,1)+1)-FIND("|",D120,FIND("|",D120,1))-1)</f>
        <v/>
      </c>
      <c r="J120" s="0">
        <f>MID(D120,FIND(",",SUBSTITUTE(D120,"|",REPT(",",LEN(D120)),2))+1,FIND(",",SUBSTITUTE(D120,"|",REPT(",",LEN(D120)),3))-FIND(",",SUBSTITUTE(D120,"|",REPT(",",LEN(D120)),2))-1)</f>
        <v/>
      </c>
      <c r="K120" s="0">
        <f>MID(D120,FIND(",",SUBSTITUTE(D120,"|",REPT(",",LEN(D120)),3))+1,FIND(",",SUBSTITUTE(D120,"|",REPT(",",LEN(D120)),4))-FIND(",",SUBSTITUTE(D120,"|",REPT(",",LEN(D120)),3))-1)</f>
        <v/>
      </c>
      <c r="L120" s="0">
        <f>MID(D120,FIND(",",SUBSTITUTE(D120,"|",REPT(",",LEN(D120)),4))+1,FIND(",",SUBSTITUTE(D120,"|",REPT(",",LEN(D120)),5))-FIND(",",SUBSTITUTE(D120,"|",REPT(",",LEN(D120)),4))-1)</f>
        <v/>
      </c>
      <c r="M120" s="0">
        <f>MID(D120,FIND(";",SUBSTITUTE(D120,"|",REPT(";",LEN(D120)),6))+1,LEN(D120))</f>
        <v/>
      </c>
      <c r="N120" s="0">
        <f>MID(D120,FIND(";",SUBSTITUTE(D120,"|",REPT(";",LEN(D120)),5))+1,FIND(";",SUBSTITUTE(D120,"|",REPT(";",LEN(D120)),6))-FIND(";",SUBSTITUTE(D120,"|",REPT(";",LEN(D120)),5))-1)</f>
        <v/>
      </c>
    </row>
    <row r="121" ht="42" customHeight="1" s="21">
      <c r="A121" s="8" t="inlineStr">
        <is>
          <t>100102</t>
        </is>
      </c>
      <c r="B121" s="8" t="inlineStr">
        <is>
          <t>热轧板材</t>
        </is>
      </c>
      <c r="C121" s="8" t="inlineStr">
        <is>
          <t>603542300</t>
        </is>
      </c>
      <c r="D121" s="8" t="inlineStr">
        <is>
          <t>热轧航空用合金结构钢板|钢板|30CrMnSiA|GJB 2150A-2018|热轧|GB/T 709-2019</t>
        </is>
      </c>
      <c r="E121" s="8" t="inlineStr">
        <is>
          <t>物资名称 热轧航空用合金结构钢板;物资简称 钢板;牌号 30CrMnSiA;厚度 δ;宽 ;长 ;技术标准号 GJB 2150A-2018;加工工艺 热轧;热处理工艺 ;特殊要求 ;规格标准号 GB/T 709-2019</t>
        </is>
      </c>
      <c r="F121" s="4" t="inlineStr">
        <is>
          <t>千克</t>
        </is>
      </c>
      <c r="G121" s="0">
        <f>LEFT(D121,FIND("|",D121,1)-1)</f>
        <v/>
      </c>
      <c r="H121" s="0">
        <f>MID(D121,FIND("|",D121,FIND("|",D121,1))+1,FIND("|",D121,FIND("|",D121,1)+1)-FIND("|",D121,FIND("|",D121,1))-1)</f>
        <v/>
      </c>
      <c r="J121" s="0">
        <f>MID(D121,FIND(",",SUBSTITUTE(D121,"|",REPT(",",LEN(D121)),2))+1,FIND(",",SUBSTITUTE(D121,"|",REPT(",",LEN(D121)),3))-FIND(",",SUBSTITUTE(D121,"|",REPT(",",LEN(D121)),2))-1)</f>
        <v/>
      </c>
      <c r="L121" s="0">
        <f>MID(D121,FIND(",",SUBSTITUTE(D121,"|",REPT(",",LEN(D121)),3))+1,FIND(",",SUBSTITUTE(D121,"|",REPT(",",LEN(D121)),4))-FIND(",",SUBSTITUTE(D121,"|",REPT(",",LEN(D121)),3))-1)</f>
        <v/>
      </c>
      <c r="M121" s="0">
        <f>MID(D121,FIND(";",SUBSTITUTE(D121,"|",REPT(";",LEN(D121)),5))+1,LEN(D121))</f>
        <v/>
      </c>
      <c r="N121" s="0">
        <f>MID(D121,FIND(";",SUBSTITUTE(D121,"|",REPT(";",LEN(D121)),4))+1,FIND(";",SUBSTITUTE(D121,"|",REPT(";",LEN(D121)),5))-FIND(";",SUBSTITUTE(D121,"|",REPT(";",LEN(D121)),4))-1)</f>
        <v/>
      </c>
    </row>
    <row r="122" ht="42" customHeight="1" s="21">
      <c r="A122" s="8" t="inlineStr">
        <is>
          <t>100102</t>
        </is>
      </c>
      <c r="B122" s="8" t="inlineStr">
        <is>
          <t>热轧板材</t>
        </is>
      </c>
      <c r="C122" s="8" t="inlineStr">
        <is>
          <t>602975000</t>
        </is>
      </c>
      <c r="D122" s="8" t="inlineStr">
        <is>
          <t>热轧不锈钢板|钢板|1Cr18Ni9Ti|δ14|GB/T 4237-2015|热轧|GB/T 709-2006</t>
        </is>
      </c>
      <c r="E122" s="8" t="inlineStr">
        <is>
          <t>物资名称 热轧不锈钢板;物资简称 钢板;牌号 1Cr18Ni9Ti;厚度 δ14;宽 ;长 ;技术标准号 GB/T 4237-2015;加工工艺 热轧;热处理工艺 ;特殊要求 ;规格标准号 GB/T 709-2006</t>
        </is>
      </c>
      <c r="F122" s="4" t="inlineStr">
        <is>
          <t>千克</t>
        </is>
      </c>
      <c r="G122" s="0">
        <f>LEFT(D122,FIND("|",D122,1)-1)</f>
        <v/>
      </c>
      <c r="H122" s="0">
        <f>MID(D122,FIND("|",D122,FIND("|",D122,1))+1,FIND("|",D122,FIND("|",D122,1)+1)-FIND("|",D122,FIND("|",D122,1))-1)</f>
        <v/>
      </c>
      <c r="J122" s="0">
        <f>MID(D122,FIND(",",SUBSTITUTE(D122,"|",REPT(",",LEN(D122)),2))+1,FIND(",",SUBSTITUTE(D122,"|",REPT(",",LEN(D122)),3))-FIND(",",SUBSTITUTE(D122,"|",REPT(",",LEN(D122)),2))-1)</f>
        <v/>
      </c>
      <c r="K122" s="0">
        <f>MID(D122,FIND(",",SUBSTITUTE(D122,"|",REPT(",",LEN(D122)),3))+1,FIND(",",SUBSTITUTE(D122,"|",REPT(",",LEN(D122)),4))-FIND(",",SUBSTITUTE(D122,"|",REPT(",",LEN(D122)),3))-1)</f>
        <v/>
      </c>
      <c r="L122" s="0">
        <f>MID(D122,FIND(",",SUBSTITUTE(D122,"|",REPT(",",LEN(D122)),4))+1,FIND(",",SUBSTITUTE(D122,"|",REPT(",",LEN(D122)),5))-FIND(",",SUBSTITUTE(D122,"|",REPT(",",LEN(D122)),4))-1)</f>
        <v/>
      </c>
      <c r="M122" s="0">
        <f>MID(D122,FIND(";",SUBSTITUTE(D122,"|",REPT(";",LEN(D122)),6))+1,LEN(D122))</f>
        <v/>
      </c>
      <c r="N122" s="0">
        <f>MID(D122,FIND(";",SUBSTITUTE(D122,"|",REPT(";",LEN(D122)),5))+1,FIND(";",SUBSTITUTE(D122,"|",REPT(";",LEN(D122)),6))-FIND(";",SUBSTITUTE(D122,"|",REPT(";",LEN(D122)),5))-1)</f>
        <v/>
      </c>
    </row>
    <row r="123" ht="42" customHeight="1" s="21">
      <c r="A123" s="8" t="inlineStr">
        <is>
          <t>100102</t>
        </is>
      </c>
      <c r="B123" s="8" t="inlineStr">
        <is>
          <t>热轧板材</t>
        </is>
      </c>
      <c r="C123" s="8" t="inlineStr">
        <is>
          <t>602374200</t>
        </is>
      </c>
      <c r="D123" s="8" t="inlineStr">
        <is>
          <t>热轧优质碳素结构钢板|钢板|10|GB/T 710-2008|热轧|GB/T 709-2006</t>
        </is>
      </c>
      <c r="E123" s="8" t="inlineStr">
        <is>
          <t>物资名称 热轧优质碳素结构钢板;物资简称 钢板;牌号 10;厚度 δ;宽 ;长 ;技术标准号 GB/T 710-2008;加工工艺 热轧;热处理工艺 ;特殊要求 ;规格标准号 GB/T 709-2006</t>
        </is>
      </c>
      <c r="F123" s="4" t="inlineStr">
        <is>
          <t>千克</t>
        </is>
      </c>
      <c r="G123" s="0">
        <f>LEFT(D123,FIND("|",D123,1)-1)</f>
        <v/>
      </c>
      <c r="H123" s="0">
        <f>MID(D123,FIND("|",D123,FIND("|",D123,1))+1,FIND("|",D123,FIND("|",D123,1)+1)-FIND("|",D123,FIND("|",D123,1))-1)</f>
        <v/>
      </c>
      <c r="J123" s="0">
        <f>MID(D123,FIND(",",SUBSTITUTE(D123,"|",REPT(",",LEN(D123)),2))+1,FIND(",",SUBSTITUTE(D123,"|",REPT(",",LEN(D123)),3))-FIND(",",SUBSTITUTE(D123,"|",REPT(",",LEN(D123)),2))-1)</f>
        <v/>
      </c>
      <c r="L123" s="0">
        <f>MID(D123,FIND(",",SUBSTITUTE(D123,"|",REPT(",",LEN(D123)),3))+1,FIND(",",SUBSTITUTE(D123,"|",REPT(",",LEN(D123)),4))-FIND(",",SUBSTITUTE(D123,"|",REPT(",",LEN(D123)),3))-1)</f>
        <v/>
      </c>
      <c r="M123" s="0">
        <f>MID(D123,FIND(";",SUBSTITUTE(D123,"|",REPT(";",LEN(D123)),5))+1,LEN(D123))</f>
        <v/>
      </c>
      <c r="N123" s="0">
        <f>MID(D123,FIND(";",SUBSTITUTE(D123,"|",REPT(";",LEN(D123)),4))+1,FIND(";",SUBSTITUTE(D123,"|",REPT(";",LEN(D123)),5))-FIND(";",SUBSTITUTE(D123,"|",REPT(";",LEN(D123)),4))-1)</f>
        <v/>
      </c>
    </row>
    <row r="124" ht="42" customHeight="1" s="21">
      <c r="A124" s="8" t="inlineStr">
        <is>
          <t>100102</t>
        </is>
      </c>
      <c r="B124" s="8" t="inlineStr">
        <is>
          <t>热轧板材</t>
        </is>
      </c>
      <c r="C124" s="8" t="inlineStr">
        <is>
          <t>602366500</t>
        </is>
      </c>
      <c r="D124" s="8" t="inlineStr">
        <is>
          <t>热轧优质碳素结构钢板|钢板|20|GB/T 711-2017|热轧|GB/T 709-2019</t>
        </is>
      </c>
      <c r="E124" s="8" t="inlineStr">
        <is>
          <t>物资名称 热轧优质碳素结构钢板;物资简称 钢板;牌号 20;厚度 δ;宽 ;长 ;技术标准号 GB/T 711-2017;加工工艺 热轧;热处理工艺 ;特殊要求 ;规格标准号 GB/T 709-2019</t>
        </is>
      </c>
      <c r="F124" s="4" t="inlineStr">
        <is>
          <t>千克</t>
        </is>
      </c>
      <c r="G124" s="0">
        <f>LEFT(D124,FIND("|",D124,1)-1)</f>
        <v/>
      </c>
      <c r="H124" s="0">
        <f>MID(D124,FIND("|",D124,FIND("|",D124,1))+1,FIND("|",D124,FIND("|",D124,1)+1)-FIND("|",D124,FIND("|",D124,1))-1)</f>
        <v/>
      </c>
      <c r="J124" s="0">
        <f>MID(D124,FIND(",",SUBSTITUTE(D124,"|",REPT(",",LEN(D124)),2))+1,FIND(",",SUBSTITUTE(D124,"|",REPT(",",LEN(D124)),3))-FIND(",",SUBSTITUTE(D124,"|",REPT(",",LEN(D124)),2))-1)</f>
        <v/>
      </c>
      <c r="L124" s="0">
        <f>MID(D124,FIND(",",SUBSTITUTE(D124,"|",REPT(",",LEN(D124)),3))+1,FIND(",",SUBSTITUTE(D124,"|",REPT(",",LEN(D124)),4))-FIND(",",SUBSTITUTE(D124,"|",REPT(",",LEN(D124)),3))-1)</f>
        <v/>
      </c>
      <c r="M124" s="0">
        <f>MID(D124,FIND(";",SUBSTITUTE(D124,"|",REPT(";",LEN(D124)),5))+1,LEN(D124))</f>
        <v/>
      </c>
      <c r="N124" s="0">
        <f>MID(D124,FIND(";",SUBSTITUTE(D124,"|",REPT(";",LEN(D124)),4))+1,FIND(";",SUBSTITUTE(D124,"|",REPT(";",LEN(D124)),5))-FIND(";",SUBSTITUTE(D124,"|",REPT(";",LEN(D124)),4))-1)</f>
        <v/>
      </c>
    </row>
    <row r="125" ht="42" customHeight="1" s="21">
      <c r="A125" s="8" t="inlineStr">
        <is>
          <t>100102</t>
        </is>
      </c>
      <c r="B125" s="8" t="inlineStr">
        <is>
          <t>热轧板材</t>
        </is>
      </c>
      <c r="C125" s="8" t="inlineStr">
        <is>
          <t>602207600</t>
        </is>
      </c>
      <c r="D125" s="8" t="inlineStr">
        <is>
          <t>热轧不锈钢板|钢板|06Cr19Ni10|δ20|GB/T 4237-2015|热轧|GB/T 709-2006</t>
        </is>
      </c>
      <c r="E125" s="8" t="inlineStr">
        <is>
          <t>物资名称 热轧不锈钢板;物资简称 钢板;牌号 06Cr19Ni10;厚度 δ20;宽 ;长 ;技术标准号 GB/T 4237-2015;加工工艺 热轧;热处理工艺 ;特殊要求 ;规格标准号 GB/T 709-2006</t>
        </is>
      </c>
      <c r="F125" s="4" t="inlineStr">
        <is>
          <t>千克</t>
        </is>
      </c>
      <c r="G125" s="0">
        <f>LEFT(D125,FIND("|",D125,1)-1)</f>
        <v/>
      </c>
      <c r="H125" s="0">
        <f>MID(D125,FIND("|",D125,FIND("|",D125,1))+1,FIND("|",D125,FIND("|",D125,1)+1)-FIND("|",D125,FIND("|",D125,1))-1)</f>
        <v/>
      </c>
      <c r="J125" s="0">
        <f>MID(D125,FIND(",",SUBSTITUTE(D125,"|",REPT(",",LEN(D125)),2))+1,FIND(",",SUBSTITUTE(D125,"|",REPT(",",LEN(D125)),3))-FIND(",",SUBSTITUTE(D125,"|",REPT(",",LEN(D125)),2))-1)</f>
        <v/>
      </c>
      <c r="K125" s="0">
        <f>MID(D125,FIND(",",SUBSTITUTE(D125,"|",REPT(",",LEN(D125)),3))+1,FIND(",",SUBSTITUTE(D125,"|",REPT(",",LEN(D125)),4))-FIND(",",SUBSTITUTE(D125,"|",REPT(",",LEN(D125)),3))-1)</f>
        <v/>
      </c>
      <c r="L125" s="0">
        <f>MID(D125,FIND(",",SUBSTITUTE(D125,"|",REPT(",",LEN(D125)),4))+1,FIND(",",SUBSTITUTE(D125,"|",REPT(",",LEN(D125)),5))-FIND(",",SUBSTITUTE(D125,"|",REPT(",",LEN(D125)),4))-1)</f>
        <v/>
      </c>
      <c r="M125" s="0">
        <f>MID(D125,FIND(";",SUBSTITUTE(D125,"|",REPT(";",LEN(D125)),6))+1,LEN(D125))</f>
        <v/>
      </c>
      <c r="N125" s="0">
        <f>MID(D125,FIND(";",SUBSTITUTE(D125,"|",REPT(";",LEN(D125)),5))+1,FIND(";",SUBSTITUTE(D125,"|",REPT(";",LEN(D125)),6))-FIND(";",SUBSTITUTE(D125,"|",REPT(";",LEN(D125)),5))-1)</f>
        <v/>
      </c>
    </row>
    <row r="126" ht="42" customHeight="1" s="21">
      <c r="A126" s="8" t="inlineStr">
        <is>
          <t>100102</t>
        </is>
      </c>
      <c r="B126" s="8" t="inlineStr">
        <is>
          <t>热轧板材</t>
        </is>
      </c>
      <c r="C126" s="8" t="inlineStr">
        <is>
          <t>602207500</t>
        </is>
      </c>
      <c r="D126" s="8" t="inlineStr">
        <is>
          <t>热轧不锈钢板|钢板|06Cr19Ni10|δ25|GB/T 4237-2015|热轧|GB/T 709-2006</t>
        </is>
      </c>
      <c r="E126" s="8" t="inlineStr">
        <is>
          <t>物资名称 热轧不锈钢板;物资简称 钢板;牌号 06Cr19Ni10;厚度 δ25;宽 ;长 ;技术标准号 GB/T 4237-2015;加工工艺 热轧;热处理工艺 ;特殊要求 ;规格标准号 GB/T 709-2006</t>
        </is>
      </c>
      <c r="F126" s="4" t="inlineStr">
        <is>
          <t>千克</t>
        </is>
      </c>
      <c r="G126" s="0">
        <f>LEFT(D126,FIND("|",D126,1)-1)</f>
        <v/>
      </c>
      <c r="H126" s="0">
        <f>MID(D126,FIND("|",D126,FIND("|",D126,1))+1,FIND("|",D126,FIND("|",D126,1)+1)-FIND("|",D126,FIND("|",D126,1))-1)</f>
        <v/>
      </c>
      <c r="J126" s="0">
        <f>MID(D126,FIND(",",SUBSTITUTE(D126,"|",REPT(",",LEN(D126)),2))+1,FIND(",",SUBSTITUTE(D126,"|",REPT(",",LEN(D126)),3))-FIND(",",SUBSTITUTE(D126,"|",REPT(",",LEN(D126)),2))-1)</f>
        <v/>
      </c>
      <c r="K126" s="0">
        <f>MID(D126,FIND(",",SUBSTITUTE(D126,"|",REPT(",",LEN(D126)),3))+1,FIND(",",SUBSTITUTE(D126,"|",REPT(",",LEN(D126)),4))-FIND(",",SUBSTITUTE(D126,"|",REPT(",",LEN(D126)),3))-1)</f>
        <v/>
      </c>
      <c r="L126" s="0">
        <f>MID(D126,FIND(",",SUBSTITUTE(D126,"|",REPT(",",LEN(D126)),4))+1,FIND(",",SUBSTITUTE(D126,"|",REPT(",",LEN(D126)),5))-FIND(",",SUBSTITUTE(D126,"|",REPT(",",LEN(D126)),4))-1)</f>
        <v/>
      </c>
      <c r="M126" s="0">
        <f>MID(D126,FIND(";",SUBSTITUTE(D126,"|",REPT(";",LEN(D126)),6))+1,LEN(D126))</f>
        <v/>
      </c>
      <c r="N126" s="0">
        <f>MID(D126,FIND(";",SUBSTITUTE(D126,"|",REPT(";",LEN(D126)),5))+1,FIND(";",SUBSTITUTE(D126,"|",REPT(";",LEN(D126)),6))-FIND(";",SUBSTITUTE(D126,"|",REPT(";",LEN(D126)),5))-1)</f>
        <v/>
      </c>
    </row>
    <row r="127" ht="42" customHeight="1" s="21">
      <c r="A127" s="8" t="inlineStr">
        <is>
          <t>100102</t>
        </is>
      </c>
      <c r="B127" s="8" t="inlineStr">
        <is>
          <t>热轧板材</t>
        </is>
      </c>
      <c r="C127" s="8" t="inlineStr">
        <is>
          <t>602207400</t>
        </is>
      </c>
      <c r="D127" s="8" t="inlineStr">
        <is>
          <t>热轧不锈钢板|钢板|06Cr19Ni10|δ16|GB/T 4237-2015|热轧|GB/T 709-2006</t>
        </is>
      </c>
      <c r="E127" s="8" t="inlineStr">
        <is>
          <t>物资名称 热轧不锈钢板;物资简称 钢板;牌号 06Cr19Ni10;厚度 δ16;宽 ;长 ;技术标准号 GB/T 4237-2015;加工工艺 热轧;热处理工艺 ;特殊要求 ;规格标准号 GB/T 709-2006</t>
        </is>
      </c>
      <c r="F127" s="4" t="inlineStr">
        <is>
          <t>千克</t>
        </is>
      </c>
      <c r="G127" s="0">
        <f>LEFT(D127,FIND("|",D127,1)-1)</f>
        <v/>
      </c>
      <c r="H127" s="0">
        <f>MID(D127,FIND("|",D127,FIND("|",D127,1))+1,FIND("|",D127,FIND("|",D127,1)+1)-FIND("|",D127,FIND("|",D127,1))-1)</f>
        <v/>
      </c>
      <c r="J127" s="0">
        <f>MID(D127,FIND(",",SUBSTITUTE(D127,"|",REPT(",",LEN(D127)),2))+1,FIND(",",SUBSTITUTE(D127,"|",REPT(",",LEN(D127)),3))-FIND(",",SUBSTITUTE(D127,"|",REPT(",",LEN(D127)),2))-1)</f>
        <v/>
      </c>
      <c r="K127" s="0">
        <f>MID(D127,FIND(",",SUBSTITUTE(D127,"|",REPT(",",LEN(D127)),3))+1,FIND(",",SUBSTITUTE(D127,"|",REPT(",",LEN(D127)),4))-FIND(",",SUBSTITUTE(D127,"|",REPT(",",LEN(D127)),3))-1)</f>
        <v/>
      </c>
      <c r="L127" s="0">
        <f>MID(D127,FIND(",",SUBSTITUTE(D127,"|",REPT(",",LEN(D127)),4))+1,FIND(",",SUBSTITUTE(D127,"|",REPT(",",LEN(D127)),5))-FIND(",",SUBSTITUTE(D127,"|",REPT(",",LEN(D127)),4))-1)</f>
        <v/>
      </c>
      <c r="M127" s="0">
        <f>MID(D127,FIND(";",SUBSTITUTE(D127,"|",REPT(";",LEN(D127)),6))+1,LEN(D127))</f>
        <v/>
      </c>
      <c r="N127" s="0">
        <f>MID(D127,FIND(";",SUBSTITUTE(D127,"|",REPT(";",LEN(D127)),5))+1,FIND(";",SUBSTITUTE(D127,"|",REPT(";",LEN(D127)),6))-FIND(";",SUBSTITUTE(D127,"|",REPT(";",LEN(D127)),5))-1)</f>
        <v/>
      </c>
    </row>
    <row r="128" ht="42" customHeight="1" s="21">
      <c r="A128" s="8" t="inlineStr">
        <is>
          <t>100102</t>
        </is>
      </c>
      <c r="B128" s="8" t="inlineStr">
        <is>
          <t>热轧板材</t>
        </is>
      </c>
      <c r="C128" s="8" t="inlineStr">
        <is>
          <t>602207300</t>
        </is>
      </c>
      <c r="D128" s="8" t="inlineStr">
        <is>
          <t>热轧不锈钢板|钢板|06Cr19Ni10|δ30|GB/T 4237-2015|热轧|GB/T 709-2006</t>
        </is>
      </c>
      <c r="E128" s="8" t="inlineStr">
        <is>
          <t>物资名称 热轧不锈钢板;物资简称 钢板;牌号 06Cr19Ni10;厚度 δ30;宽 ;长 ;技术标准号 GB/T 4237-2015;加工工艺 热轧;热处理工艺 ;特殊要求 ;规格标准号 GB/T 709-2006</t>
        </is>
      </c>
      <c r="F128" s="4" t="inlineStr">
        <is>
          <t>千克</t>
        </is>
      </c>
      <c r="G128" s="0">
        <f>LEFT(D128,FIND("|",D128,1)-1)</f>
        <v/>
      </c>
      <c r="H128" s="0">
        <f>MID(D128,FIND("|",D128,FIND("|",D128,1))+1,FIND("|",D128,FIND("|",D128,1)+1)-FIND("|",D128,FIND("|",D128,1))-1)</f>
        <v/>
      </c>
      <c r="J128" s="0">
        <f>MID(D128,FIND(",",SUBSTITUTE(D128,"|",REPT(",",LEN(D128)),2))+1,FIND(",",SUBSTITUTE(D128,"|",REPT(",",LEN(D128)),3))-FIND(",",SUBSTITUTE(D128,"|",REPT(",",LEN(D128)),2))-1)</f>
        <v/>
      </c>
      <c r="K128" s="0">
        <f>MID(D128,FIND(",",SUBSTITUTE(D128,"|",REPT(",",LEN(D128)),3))+1,FIND(",",SUBSTITUTE(D128,"|",REPT(",",LEN(D128)),4))-FIND(",",SUBSTITUTE(D128,"|",REPT(",",LEN(D128)),3))-1)</f>
        <v/>
      </c>
      <c r="L128" s="0">
        <f>MID(D128,FIND(",",SUBSTITUTE(D128,"|",REPT(",",LEN(D128)),4))+1,FIND(",",SUBSTITUTE(D128,"|",REPT(",",LEN(D128)),5))-FIND(",",SUBSTITUTE(D128,"|",REPT(",",LEN(D128)),4))-1)</f>
        <v/>
      </c>
      <c r="M128" s="0">
        <f>MID(D128,FIND(";",SUBSTITUTE(D128,"|",REPT(";",LEN(D128)),6))+1,LEN(D128))</f>
        <v/>
      </c>
      <c r="N128" s="0">
        <f>MID(D128,FIND(";",SUBSTITUTE(D128,"|",REPT(";",LEN(D128)),5))+1,FIND(";",SUBSTITUTE(D128,"|",REPT(";",LEN(D128)),6))-FIND(";",SUBSTITUTE(D128,"|",REPT(";",LEN(D128)),5))-1)</f>
        <v/>
      </c>
    </row>
    <row r="129" ht="42" customHeight="1" s="21">
      <c r="A129" s="8" t="inlineStr">
        <is>
          <t>100102</t>
        </is>
      </c>
      <c r="B129" s="8" t="inlineStr">
        <is>
          <t>热轧板材</t>
        </is>
      </c>
      <c r="C129" s="8" t="inlineStr">
        <is>
          <t>602207200</t>
        </is>
      </c>
      <c r="D129" s="8" t="inlineStr">
        <is>
          <t>热轧不锈钢板|钢板|06Cr19Ni10|δ50|GB/T 4237-2015|热轧|GB/T 709-2006</t>
        </is>
      </c>
      <c r="E129" s="8" t="inlineStr">
        <is>
          <t>物资名称 热轧不锈钢板;物资简称 钢板;牌号 06Cr19Ni10;厚度 δ50;宽 ;长 ;技术标准号 GB/T 4237-2015;加工工艺 热轧;热处理工艺 ;特殊要求 ;规格标准号 GB/T 709-2006</t>
        </is>
      </c>
      <c r="F129" s="4" t="inlineStr">
        <is>
          <t>千克</t>
        </is>
      </c>
      <c r="G129" s="0">
        <f>LEFT(D129,FIND("|",D129,1)-1)</f>
        <v/>
      </c>
      <c r="H129" s="0">
        <f>MID(D129,FIND("|",D129,FIND("|",D129,1))+1,FIND("|",D129,FIND("|",D129,1)+1)-FIND("|",D129,FIND("|",D129,1))-1)</f>
        <v/>
      </c>
      <c r="J129" s="0">
        <f>MID(D129,FIND(",",SUBSTITUTE(D129,"|",REPT(",",LEN(D129)),2))+1,FIND(",",SUBSTITUTE(D129,"|",REPT(",",LEN(D129)),3))-FIND(",",SUBSTITUTE(D129,"|",REPT(",",LEN(D129)),2))-1)</f>
        <v/>
      </c>
      <c r="K129" s="0">
        <f>MID(D129,FIND(",",SUBSTITUTE(D129,"|",REPT(",",LEN(D129)),3))+1,FIND(",",SUBSTITUTE(D129,"|",REPT(",",LEN(D129)),4))-FIND(",",SUBSTITUTE(D129,"|",REPT(",",LEN(D129)),3))-1)</f>
        <v/>
      </c>
      <c r="L129" s="0">
        <f>MID(D129,FIND(",",SUBSTITUTE(D129,"|",REPT(",",LEN(D129)),4))+1,FIND(",",SUBSTITUTE(D129,"|",REPT(",",LEN(D129)),5))-FIND(",",SUBSTITUTE(D129,"|",REPT(",",LEN(D129)),4))-1)</f>
        <v/>
      </c>
      <c r="M129" s="0">
        <f>MID(D129,FIND(";",SUBSTITUTE(D129,"|",REPT(";",LEN(D129)),6))+1,LEN(D129))</f>
        <v/>
      </c>
      <c r="N129" s="0">
        <f>MID(D129,FIND(";",SUBSTITUTE(D129,"|",REPT(";",LEN(D129)),5))+1,FIND(";",SUBSTITUTE(D129,"|",REPT(";",LEN(D129)),6))-FIND(";",SUBSTITUTE(D129,"|",REPT(";",LEN(D129)),5))-1)</f>
        <v/>
      </c>
    </row>
    <row r="130" ht="42" customHeight="1" s="21">
      <c r="A130" s="8" t="inlineStr">
        <is>
          <t>100102</t>
        </is>
      </c>
      <c r="B130" s="8" t="inlineStr">
        <is>
          <t>热轧板材</t>
        </is>
      </c>
      <c r="C130" s="8" t="inlineStr">
        <is>
          <t>602207100</t>
        </is>
      </c>
      <c r="D130" s="8" t="inlineStr">
        <is>
          <t>热轧不锈钢板|钢板|06Cr19Ni10|δ40|GB/T 4237-2015|热轧|GB/T 709-2006</t>
        </is>
      </c>
      <c r="E130" s="8" t="inlineStr">
        <is>
          <t>物资名称 热轧不锈钢板;物资简称 钢板;牌号 06Cr19Ni10;厚度 δ40;宽 ;长 ;技术标准号 GB/T 4237-2015;加工工艺 热轧;热处理工艺 ;特殊要求 ;规格标准号 GB/T 709-2006</t>
        </is>
      </c>
      <c r="F130" s="4" t="inlineStr">
        <is>
          <t>千克</t>
        </is>
      </c>
      <c r="G130" s="0">
        <f>LEFT(D130,FIND("|",D130,1)-1)</f>
        <v/>
      </c>
      <c r="H130" s="0">
        <f>MID(D130,FIND("|",D130,FIND("|",D130,1))+1,FIND("|",D130,FIND("|",D130,1)+1)-FIND("|",D130,FIND("|",D130,1))-1)</f>
        <v/>
      </c>
      <c r="J130" s="0">
        <f>MID(D130,FIND(",",SUBSTITUTE(D130,"|",REPT(",",LEN(D130)),2))+1,FIND(",",SUBSTITUTE(D130,"|",REPT(",",LEN(D130)),3))-FIND(",",SUBSTITUTE(D130,"|",REPT(",",LEN(D130)),2))-1)</f>
        <v/>
      </c>
      <c r="K130" s="0">
        <f>MID(D130,FIND(",",SUBSTITUTE(D130,"|",REPT(",",LEN(D130)),3))+1,FIND(",",SUBSTITUTE(D130,"|",REPT(",",LEN(D130)),4))-FIND(",",SUBSTITUTE(D130,"|",REPT(",",LEN(D130)),3))-1)</f>
        <v/>
      </c>
      <c r="L130" s="0">
        <f>MID(D130,FIND(",",SUBSTITUTE(D130,"|",REPT(",",LEN(D130)),4))+1,FIND(",",SUBSTITUTE(D130,"|",REPT(",",LEN(D130)),5))-FIND(",",SUBSTITUTE(D130,"|",REPT(",",LEN(D130)),4))-1)</f>
        <v/>
      </c>
      <c r="M130" s="0">
        <f>MID(D130,FIND(";",SUBSTITUTE(D130,"|",REPT(";",LEN(D130)),6))+1,LEN(D130))</f>
        <v/>
      </c>
      <c r="N130" s="0">
        <f>MID(D130,FIND(";",SUBSTITUTE(D130,"|",REPT(";",LEN(D130)),5))+1,FIND(";",SUBSTITUTE(D130,"|",REPT(";",LEN(D130)),6))-FIND(";",SUBSTITUTE(D130,"|",REPT(";",LEN(D130)),5))-1)</f>
        <v/>
      </c>
    </row>
    <row r="131" ht="42" customHeight="1" s="21">
      <c r="A131" s="8" t="inlineStr">
        <is>
          <t>100102</t>
        </is>
      </c>
      <c r="B131" s="8" t="inlineStr">
        <is>
          <t>热轧板材</t>
        </is>
      </c>
      <c r="C131" s="8" t="inlineStr">
        <is>
          <t>602207000</t>
        </is>
      </c>
      <c r="D131" s="8" t="inlineStr">
        <is>
          <t>热轧不锈钢板|钢板|06Cr19Ni10|δ18|GB/T 4237-2015|热轧|GB/T 709-2006</t>
        </is>
      </c>
      <c r="E131" s="8" t="inlineStr">
        <is>
          <t>物资名称 热轧不锈钢板;物资简称 钢板;牌号 06Cr19Ni10;厚度 δ18;宽 ;长 ;技术标准号 GB/T 4237-2015;加工工艺 热轧;热处理工艺 ;特殊要求 ;规格标准号 GB/T 709-2006</t>
        </is>
      </c>
      <c r="F131" s="4" t="inlineStr">
        <is>
          <t>千克</t>
        </is>
      </c>
      <c r="G131" s="0">
        <f>LEFT(D131,FIND("|",D131,1)-1)</f>
        <v/>
      </c>
      <c r="H131" s="0">
        <f>MID(D131,FIND("|",D131,FIND("|",D131,1))+1,FIND("|",D131,FIND("|",D131,1)+1)-FIND("|",D131,FIND("|",D131,1))-1)</f>
        <v/>
      </c>
      <c r="J131" s="0">
        <f>MID(D131,FIND(",",SUBSTITUTE(D131,"|",REPT(",",LEN(D131)),2))+1,FIND(",",SUBSTITUTE(D131,"|",REPT(",",LEN(D131)),3))-FIND(",",SUBSTITUTE(D131,"|",REPT(",",LEN(D131)),2))-1)</f>
        <v/>
      </c>
      <c r="K131" s="0">
        <f>MID(D131,FIND(",",SUBSTITUTE(D131,"|",REPT(",",LEN(D131)),3))+1,FIND(",",SUBSTITUTE(D131,"|",REPT(",",LEN(D131)),4))-FIND(",",SUBSTITUTE(D131,"|",REPT(",",LEN(D131)),3))-1)</f>
        <v/>
      </c>
      <c r="L131" s="0">
        <f>MID(D131,FIND(",",SUBSTITUTE(D131,"|",REPT(",",LEN(D131)),4))+1,FIND(",",SUBSTITUTE(D131,"|",REPT(",",LEN(D131)),5))-FIND(",",SUBSTITUTE(D131,"|",REPT(",",LEN(D131)),4))-1)</f>
        <v/>
      </c>
      <c r="M131" s="0">
        <f>MID(D131,FIND(";",SUBSTITUTE(D131,"|",REPT(";",LEN(D131)),6))+1,LEN(D131))</f>
        <v/>
      </c>
      <c r="N131" s="0">
        <f>MID(D131,FIND(";",SUBSTITUTE(D131,"|",REPT(";",LEN(D131)),5))+1,FIND(";",SUBSTITUTE(D131,"|",REPT(";",LEN(D131)),6))-FIND(";",SUBSTITUTE(D131,"|",REPT(";",LEN(D131)),5))-1)</f>
        <v/>
      </c>
    </row>
    <row r="132" ht="42" customHeight="1" s="21">
      <c r="A132" s="8" t="inlineStr">
        <is>
          <t>100102</t>
        </is>
      </c>
      <c r="B132" s="8" t="inlineStr">
        <is>
          <t>热轧板材</t>
        </is>
      </c>
      <c r="C132" s="8" t="inlineStr">
        <is>
          <t>602184200</t>
        </is>
      </c>
      <c r="D132" s="8" t="inlineStr">
        <is>
          <t>热轧优质碳素结构钢板|钢板|45|δ25|GB/T 711-2017|热轧|GB/T 709-2019</t>
        </is>
      </c>
      <c r="E132" s="8" t="inlineStr">
        <is>
          <t>物资名称 热轧优质碳素结构钢板;物资简称 钢板;牌号 45;厚度 δ25;宽 ;长 ;技术标准号 GB/T 711-2017;加工工艺 热轧;热处理工艺 ;特殊要求 ;规格标准号 GB/T 709-2019</t>
        </is>
      </c>
      <c r="F132" s="4" t="inlineStr">
        <is>
          <t>千克</t>
        </is>
      </c>
      <c r="G132" s="0">
        <f>LEFT(D132,FIND("|",D132,1)-1)</f>
        <v/>
      </c>
      <c r="H132" s="0">
        <f>MID(D132,FIND("|",D132,FIND("|",D132,1))+1,FIND("|",D132,FIND("|",D132,1)+1)-FIND("|",D132,FIND("|",D132,1))-1)</f>
        <v/>
      </c>
      <c r="J132" s="0">
        <f>MID(D132,FIND(",",SUBSTITUTE(D132,"|",REPT(",",LEN(D132)),2))+1,FIND(",",SUBSTITUTE(D132,"|",REPT(",",LEN(D132)),3))-FIND(",",SUBSTITUTE(D132,"|",REPT(",",LEN(D132)),2))-1)</f>
        <v/>
      </c>
      <c r="K132" s="0">
        <f>MID(D132,FIND(",",SUBSTITUTE(D132,"|",REPT(",",LEN(D132)),3))+1,FIND(",",SUBSTITUTE(D132,"|",REPT(",",LEN(D132)),4))-FIND(",",SUBSTITUTE(D132,"|",REPT(",",LEN(D132)),3))-1)</f>
        <v/>
      </c>
      <c r="L132" s="0">
        <f>MID(D132,FIND(",",SUBSTITUTE(D132,"|",REPT(",",LEN(D132)),4))+1,FIND(",",SUBSTITUTE(D132,"|",REPT(",",LEN(D132)),5))-FIND(",",SUBSTITUTE(D132,"|",REPT(",",LEN(D132)),4))-1)</f>
        <v/>
      </c>
      <c r="M132" s="0">
        <f>MID(D132,FIND(";",SUBSTITUTE(D132,"|",REPT(";",LEN(D132)),6))+1,LEN(D132))</f>
        <v/>
      </c>
      <c r="N132" s="0">
        <f>MID(D132,FIND(";",SUBSTITUTE(D132,"|",REPT(";",LEN(D132)),5))+1,FIND(";",SUBSTITUTE(D132,"|",REPT(";",LEN(D132)),6))-FIND(";",SUBSTITUTE(D132,"|",REPT(";",LEN(D132)),5))-1)</f>
        <v/>
      </c>
    </row>
    <row r="133" ht="42" customHeight="1" s="21">
      <c r="A133" s="8" t="inlineStr">
        <is>
          <t>100102</t>
        </is>
      </c>
      <c r="B133" s="8" t="inlineStr">
        <is>
          <t>热轧板材</t>
        </is>
      </c>
      <c r="C133" s="8" t="inlineStr">
        <is>
          <t>601445300</t>
        </is>
      </c>
      <c r="D133" s="8" t="inlineStr">
        <is>
          <t>热轧合金结构钢板|钢板|30CrMnSiA|GB/T 11251-2009|热轧|GB/T 709-2006</t>
        </is>
      </c>
      <c r="E133" s="8" t="inlineStr">
        <is>
          <t>物资名称 热轧合金结构钢板;物资简称 钢板;牌号 30CrMnSiA;厚度 δ;宽 ;长 ;技术标准号 GB/T 11251-2009;加工工艺 热轧;热处理工艺 ;特殊要求 ;规格标准号 GB/T 709-2006</t>
        </is>
      </c>
      <c r="F133" s="4" t="inlineStr">
        <is>
          <t>千克</t>
        </is>
      </c>
      <c r="G133" s="0">
        <f>LEFT(D133,FIND("|",D133,1)-1)</f>
        <v/>
      </c>
      <c r="H133" s="0">
        <f>MID(D133,FIND("|",D133,FIND("|",D133,1))+1,FIND("|",D133,FIND("|",D133,1)+1)-FIND("|",D133,FIND("|",D133,1))-1)</f>
        <v/>
      </c>
      <c r="J133" s="0">
        <f>MID(D133,FIND(",",SUBSTITUTE(D133,"|",REPT(",",LEN(D133)),2))+1,FIND(",",SUBSTITUTE(D133,"|",REPT(",",LEN(D133)),3))-FIND(",",SUBSTITUTE(D133,"|",REPT(",",LEN(D133)),2))-1)</f>
        <v/>
      </c>
      <c r="L133" s="0">
        <f>MID(D133,FIND(",",SUBSTITUTE(D133,"|",REPT(",",LEN(D133)),3))+1,FIND(",",SUBSTITUTE(D133,"|",REPT(",",LEN(D133)),4))-FIND(",",SUBSTITUTE(D133,"|",REPT(",",LEN(D133)),3))-1)</f>
        <v/>
      </c>
      <c r="M133" s="0">
        <f>MID(D133,FIND(";",SUBSTITUTE(D133,"|",REPT(";",LEN(D133)),5))+1,LEN(D133))</f>
        <v/>
      </c>
      <c r="N133" s="0">
        <f>MID(D133,FIND(";",SUBSTITUTE(D133,"|",REPT(";",LEN(D133)),4))+1,FIND(";",SUBSTITUTE(D133,"|",REPT(";",LEN(D133)),5))-FIND(";",SUBSTITUTE(D133,"|",REPT(";",LEN(D133)),4))-1)</f>
        <v/>
      </c>
    </row>
    <row r="134" ht="28" customHeight="1" s="21">
      <c r="A134" s="8" t="inlineStr">
        <is>
          <t>100102</t>
        </is>
      </c>
      <c r="B134" s="8" t="inlineStr">
        <is>
          <t>热轧板材</t>
        </is>
      </c>
      <c r="C134" s="8" t="inlineStr">
        <is>
          <t>601417800</t>
        </is>
      </c>
      <c r="D134" s="8" t="inlineStr">
        <is>
          <t>热镀锌薄钢板|热镀锌薄钢板|Q235|GB/T 700-1988</t>
        </is>
      </c>
      <c r="E134" s="8" t="inlineStr">
        <is>
          <t xml:space="preserve">物资名称 热镀锌薄钢板;物资简称 热镀锌薄钢板;牌号 Q235;厚度 δ;宽 ;长 ;技术标准号 GB/T 700-1988;加工工艺 ;热处理工艺 ;特殊要求 ;规格标准号 </t>
        </is>
      </c>
      <c r="F134" s="4" t="inlineStr">
        <is>
          <t>千克</t>
        </is>
      </c>
      <c r="G134" s="0">
        <f>LEFT(D134,FIND("|",D134,1)-1)</f>
        <v/>
      </c>
      <c r="H134" s="0">
        <f>MID(D134,FIND("|",D134,FIND("|",D134,1))+1,FIND("|",D134,FIND("|",D134,1)+1)-FIND("|",D134,FIND("|",D134,1))-1)</f>
        <v/>
      </c>
      <c r="J134" s="0">
        <f>MID(D134,FIND(",",SUBSTITUTE(D134,"|",REPT(",",LEN(D134)),2))+1,FIND(",",SUBSTITUTE(D134,"|",REPT(",",LEN(D134)),3))-FIND(",",SUBSTITUTE(D134,"|",REPT(",",LEN(D134)),2))-1)</f>
        <v/>
      </c>
      <c r="L134" s="0">
        <f>MID(D134,FIND(";",SUBSTITUTE(D134,"|",REPT(";",LEN(D134)),3))+1,LEN(D134))</f>
        <v/>
      </c>
    </row>
    <row r="135" ht="42" customHeight="1" s="21">
      <c r="A135" s="8" t="inlineStr">
        <is>
          <t>100102</t>
        </is>
      </c>
      <c r="B135" s="8" t="inlineStr">
        <is>
          <t>热轧板材</t>
        </is>
      </c>
      <c r="C135" s="8" t="inlineStr">
        <is>
          <t>600999300</t>
        </is>
      </c>
      <c r="D135" s="8" t="inlineStr">
        <is>
          <t>热轧优质碳素结构钢板|钢板|10|δ12|GB/T 711-2008|热轧|GB/T 709-2006</t>
        </is>
      </c>
      <c r="E135" s="8" t="inlineStr">
        <is>
          <t>物资名称 热轧优质碳素结构钢板;物资简称 钢板;牌号 10;厚度 δ12;宽 ;长 ;技术标准号 GB/T 711-2008;加工工艺 热轧;热处理工艺 ;特殊要求 ;规格标准号 GB/T 709-2006</t>
        </is>
      </c>
      <c r="F135" s="4" t="inlineStr">
        <is>
          <t>千克</t>
        </is>
      </c>
      <c r="G135" s="0">
        <f>LEFT(D135,FIND("|",D135,1)-1)</f>
        <v/>
      </c>
      <c r="H135" s="0">
        <f>MID(D135,FIND("|",D135,FIND("|",D135,1))+1,FIND("|",D135,FIND("|",D135,1)+1)-FIND("|",D135,FIND("|",D135,1))-1)</f>
        <v/>
      </c>
      <c r="J135" s="0">
        <f>MID(D135,FIND(",",SUBSTITUTE(D135,"|",REPT(",",LEN(D135)),2))+1,FIND(",",SUBSTITUTE(D135,"|",REPT(",",LEN(D135)),3))-FIND(",",SUBSTITUTE(D135,"|",REPT(",",LEN(D135)),2))-1)</f>
        <v/>
      </c>
      <c r="K135" s="0">
        <f>MID(D135,FIND(",",SUBSTITUTE(D135,"|",REPT(",",LEN(D135)),3))+1,FIND(",",SUBSTITUTE(D135,"|",REPT(",",LEN(D135)),4))-FIND(",",SUBSTITUTE(D135,"|",REPT(",",LEN(D135)),3))-1)</f>
        <v/>
      </c>
      <c r="L135" s="0">
        <f>MID(D135,FIND(";",SUBSTITUTE(D135,"|",REPT(";",LEN(D135)),4))+1,FIND(";",SUBSTITUTE(D135,"|",REPT(";",LEN(D135)),5))-FIND(";",SUBSTITUTE(D135,"|",REPT(";",LEN(D135)),4))-1)</f>
        <v/>
      </c>
      <c r="M135" s="0">
        <f>MID(D135,FIND(";",SUBSTITUTE(D135,"|",REPT(";",LEN(D135)),6))+1,LEN(D135))</f>
        <v/>
      </c>
      <c r="N135" s="0">
        <f>MID(D135,FIND(";",SUBSTITUTE(D135,"|",REPT(";",LEN(D135)),5))+1,FIND(";",SUBSTITUTE(D135,"|",REPT(";",LEN(D135)),6))-FIND(";",SUBSTITUTE(D135,"|",REPT(";",LEN(D135)),5))-1)</f>
        <v/>
      </c>
    </row>
    <row r="136" ht="28" customHeight="1" s="21">
      <c r="A136" s="8" t="inlineStr">
        <is>
          <t>100102</t>
        </is>
      </c>
      <c r="B136" s="8" t="inlineStr">
        <is>
          <t>热轧板材</t>
        </is>
      </c>
      <c r="C136" s="8" t="inlineStr">
        <is>
          <t>600998500</t>
        </is>
      </c>
      <c r="D136" s="8" t="inlineStr">
        <is>
          <t>热轧优质碳素结构钢板|钢板|45|δ7|GB/T699-1999|热轧</t>
        </is>
      </c>
      <c r="E136" s="8" t="inlineStr">
        <is>
          <t xml:space="preserve">物资名称 热轧优质碳素结构钢板;物资简称 钢板;牌号 45;厚度 δ7;宽 ;长 ;技术标准号 GB/T699-1999;加工工艺 热轧;热处理工艺 ;特殊要求 ;规格标准号 </t>
        </is>
      </c>
      <c r="F136" s="4" t="inlineStr">
        <is>
          <t>千克</t>
        </is>
      </c>
      <c r="G136" s="0">
        <f>LEFT(D136,FIND("|",D136,1)-1)</f>
        <v/>
      </c>
      <c r="H136" s="0">
        <f>MID(D136,FIND("|",D136,FIND("|",D136,1))+1,FIND("|",D136,FIND("|",D136,1)+1)-FIND("|",D136,FIND("|",D136,1))-1)</f>
        <v/>
      </c>
      <c r="J136" s="0">
        <f>MID(D136,FIND(",",SUBSTITUTE(D136,"|",REPT(",",LEN(D136)),2))+1,FIND(",",SUBSTITUTE(D136,"|",REPT(",",LEN(D136)),3))-FIND(",",SUBSTITUTE(D136,"|",REPT(",",LEN(D136)),2))-1)</f>
        <v/>
      </c>
      <c r="K136" s="0">
        <f>MID(D136,FIND(",",SUBSTITUTE(D136,"|",REPT(",",LEN(D136)),3))+1,FIND(",",SUBSTITUTE(D136,"|",REPT(",",LEN(D136)),4))-FIND(",",SUBSTITUTE(D136,"|",REPT(",",LEN(D136)),3))-1)</f>
        <v/>
      </c>
      <c r="L136" s="0">
        <f>MID(D136,FIND(";",SUBSTITUTE(D136,"|",REPT(";",LEN(D136)),4))+1,FIND(";",SUBSTITUTE(D136,"|",REPT(";",LEN(D136)),5))-FIND(";",SUBSTITUTE(D136,"|",REPT(";",LEN(D136)),4))-1)</f>
        <v/>
      </c>
    </row>
    <row r="137" ht="28" customHeight="1" s="21">
      <c r="A137" s="8" t="inlineStr">
        <is>
          <t>100102</t>
        </is>
      </c>
      <c r="B137" s="8" t="inlineStr">
        <is>
          <t>热轧板材</t>
        </is>
      </c>
      <c r="C137" s="8" t="inlineStr">
        <is>
          <t>600940400</t>
        </is>
      </c>
      <c r="D137" s="8" t="inlineStr">
        <is>
          <t>钢板|钢板|0Cr18Ni9|GB/T 4237-1992</t>
        </is>
      </c>
      <c r="E137" s="8" t="inlineStr">
        <is>
          <t xml:space="preserve">物资名称 钢板;物资简称 钢板;牌号 0Cr18Ni9;厚度 δ;宽 ;长 ;技术标准号 GB/T 4237-1992;加工工艺 ;热处理工艺 ;特殊要求 ;规格标准号 </t>
        </is>
      </c>
      <c r="F137" s="4" t="inlineStr">
        <is>
          <t>千克</t>
        </is>
      </c>
      <c r="G137" s="0">
        <f>LEFT(D137,FIND("|",D137,1)-1)</f>
        <v/>
      </c>
      <c r="H137" s="0">
        <f>MID(D137,FIND("|",D137,FIND("|",D137,1))+1,FIND("|",D137,FIND("|",D137,1)+1)-FIND("|",D137,FIND("|",D137,1))-1)</f>
        <v/>
      </c>
      <c r="J137" s="0">
        <f>MID(D137,FIND(",",SUBSTITUTE(D137,"|",REPT(",",LEN(D137)),2))+1,FIND(",",SUBSTITUTE(D137,"|",REPT(",",LEN(D137)),3))-FIND(",",SUBSTITUTE(D137,"|",REPT(",",LEN(D137)),2))-1)</f>
        <v/>
      </c>
      <c r="L137" s="0">
        <f>MID(D137,FIND(";",SUBSTITUTE(D137,"|",REPT(";",LEN(D137)),3))+1,LEN(D137))</f>
        <v/>
      </c>
    </row>
    <row r="138" ht="42" customHeight="1" s="21">
      <c r="A138" s="8" t="inlineStr">
        <is>
          <t>100102</t>
        </is>
      </c>
      <c r="B138" s="8" t="inlineStr">
        <is>
          <t>热轧板材</t>
        </is>
      </c>
      <c r="C138" s="8" t="inlineStr">
        <is>
          <t>600940300</t>
        </is>
      </c>
      <c r="D138" s="8" t="inlineStr">
        <is>
          <t>热镀锌薄钢板|热镀锌薄钢板|Q235-A|δ1.2-Y-A|GB/T 700-1988|GB 5066-85</t>
        </is>
      </c>
      <c r="E138" s="8" t="inlineStr">
        <is>
          <t>物资名称 热镀锌薄钢板;物资简称 热镀锌薄钢板;牌号 Q235-A;厚度 δ1.2-Y-A;宽 ;长 ;技术标准号 GB/T 700-1988;加工工艺 ;热处理工艺 ;特殊要求 ;规格标准号 GB 5066-85</t>
        </is>
      </c>
      <c r="F138" s="4" t="inlineStr">
        <is>
          <t>千克</t>
        </is>
      </c>
      <c r="G138" s="0">
        <f>LEFT(D138,FIND("|",D138,1)-1)</f>
        <v/>
      </c>
      <c r="H138" s="0">
        <f>MID(D138,FIND("|",D138,FIND("|",D138,1))+1,FIND("|",D138,FIND("|",D138,1)+1)-FIND("|",D138,FIND("|",D138,1))-1)</f>
        <v/>
      </c>
      <c r="J138" s="0">
        <f>MID(D138,FIND(",",SUBSTITUTE(D138,"|",REPT(",",LEN(D138)),2))+1,FIND(",",SUBSTITUTE(D138,"|",REPT(",",LEN(D138)),3))-FIND(",",SUBSTITUTE(D138,"|",REPT(",",LEN(D138)),2))-1)</f>
        <v/>
      </c>
      <c r="K138" s="0">
        <f>MID(D138,FIND(",",SUBSTITUTE(D138,"|",REPT(",",LEN(D138)),3))+1,FIND(",",SUBSTITUTE(D138,"|",REPT(",",LEN(D138)),4))-FIND(",",SUBSTITUTE(D138,"|",REPT(",",LEN(D138)),3))-1)</f>
        <v/>
      </c>
      <c r="L138" s="0">
        <f>MID(D138,FIND(";",SUBSTITUTE(D138,"|",REPT(";",LEN(D138)),4))+1,FIND(";",SUBSTITUTE(D138,"|",REPT(";",LEN(D138)),5))-FIND(";",SUBSTITUTE(D138,"|",REPT(";",LEN(D138)),4))-1)</f>
        <v/>
      </c>
      <c r="M138" s="0">
        <f>MID(D138,FIND(";",SUBSTITUTE(D138,"|",REPT(";",LEN(D138)),5))+1,LEN(D138))</f>
        <v/>
      </c>
    </row>
    <row r="139" ht="28" customHeight="1" s="21">
      <c r="A139" s="8" t="inlineStr">
        <is>
          <t>100102</t>
        </is>
      </c>
      <c r="B139" s="8" t="inlineStr">
        <is>
          <t>热轧板材</t>
        </is>
      </c>
      <c r="C139" s="8" t="inlineStr">
        <is>
          <t>600940200</t>
        </is>
      </c>
      <c r="D139" s="8" t="inlineStr">
        <is>
          <t>钢板|钢板|20-Ⅱ-P|δB-0.5|GB/T 710-1991|GB/T 708-1988</t>
        </is>
      </c>
      <c r="E139" s="8" t="inlineStr">
        <is>
          <t>物资名称 钢板;物资简称 钢板;牌号 20-Ⅱ-P;厚度 δB-0.5;宽 ;长 ;技术标准号 GB/T 710-1991;加工工艺 ;热处理工艺 ;特殊要求 ;规格标准号 GB/T 708-1988</t>
        </is>
      </c>
      <c r="F139" s="4" t="inlineStr">
        <is>
          <t>千克</t>
        </is>
      </c>
      <c r="G139" s="0">
        <f>LEFT(D139,FIND("|",D139,1)-1)</f>
        <v/>
      </c>
      <c r="H139" s="0">
        <f>MID(D139,FIND("|",D139,FIND("|",D139,1))+1,FIND("|",D139,FIND("|",D139,1)+1)-FIND("|",D139,FIND("|",D139,1))-1)</f>
        <v/>
      </c>
      <c r="J139" s="0">
        <f>MID(D139,FIND(",",SUBSTITUTE(D139,"|",REPT(",",LEN(D139)),2))+1,FIND(",",SUBSTITUTE(D139,"|",REPT(",",LEN(D139)),3))-FIND(",",SUBSTITUTE(D139,"|",REPT(",",LEN(D139)),2))-1)</f>
        <v/>
      </c>
      <c r="K139" s="0">
        <f>MID(D139,FIND(",",SUBSTITUTE(D139,"|",REPT(",",LEN(D139)),3))+1,FIND(",",SUBSTITUTE(D139,"|",REPT(",",LEN(D139)),4))-FIND(",",SUBSTITUTE(D139,"|",REPT(",",LEN(D139)),3))-1)</f>
        <v/>
      </c>
      <c r="L139" s="0">
        <f>MID(D139,FIND(";",SUBSTITUTE(D139,"|",REPT(";",LEN(D139)),4))+1,FIND(";",SUBSTITUTE(D139,"|",REPT(";",LEN(D139)),5))-FIND(";",SUBSTITUTE(D139,"|",REPT(";",LEN(D139)),4))-1)</f>
        <v/>
      </c>
      <c r="M139" s="0">
        <f>MID(D139,FIND(";",SUBSTITUTE(D139,"|",REPT(";",LEN(D139)),5))+1,LEN(D139))</f>
        <v/>
      </c>
    </row>
    <row r="140" ht="42" customHeight="1" s="21">
      <c r="A140" s="8" t="inlineStr">
        <is>
          <t>100102</t>
        </is>
      </c>
      <c r="B140" s="8" t="inlineStr">
        <is>
          <t>热轧板材</t>
        </is>
      </c>
      <c r="C140" s="8" t="inlineStr">
        <is>
          <t>600940100</t>
        </is>
      </c>
      <c r="D140" s="8" t="inlineStr">
        <is>
          <t>热镀锌薄钢板|热镀锌薄钢板|Q235-B.F|δ0.5-Y-A|GB/T 700-1988|YB 5131-1993</t>
        </is>
      </c>
      <c r="E140" s="8" t="inlineStr">
        <is>
          <t>物资名称 热镀锌薄钢板;物资简称 热镀锌薄钢板;牌号 Q235-B.F;厚度 δ0.5-Y-A;宽 ;长 ;技术标准号 GB/T 700-1988;加工工艺 ;热处理工艺 ;特殊要求 ;规格标准号 YB 5131-1993</t>
        </is>
      </c>
      <c r="F140" s="4" t="inlineStr">
        <is>
          <t>千克</t>
        </is>
      </c>
      <c r="G140" s="0">
        <f>LEFT(D140,FIND("|",D140,1)-1)</f>
        <v/>
      </c>
      <c r="H140" s="0">
        <f>MID(D140,FIND("|",D140,FIND("|",D140,1))+1,FIND("|",D140,FIND("|",D140,1)+1)-FIND("|",D140,FIND("|",D140,1))-1)</f>
        <v/>
      </c>
      <c r="J140" s="0">
        <f>MID(D140,FIND(",",SUBSTITUTE(D140,"|",REPT(",",LEN(D140)),2))+1,FIND(",",SUBSTITUTE(D140,"|",REPT(",",LEN(D140)),3))-FIND(",",SUBSTITUTE(D140,"|",REPT(",",LEN(D140)),2))-1)</f>
        <v/>
      </c>
      <c r="K140" s="0">
        <f>MID(D140,FIND(",",SUBSTITUTE(D140,"|",REPT(",",LEN(D140)),3))+1,FIND(",",SUBSTITUTE(D140,"|",REPT(",",LEN(D140)),4))-FIND(",",SUBSTITUTE(D140,"|",REPT(",",LEN(D140)),3))-1)</f>
        <v/>
      </c>
      <c r="L140" s="0">
        <f>MID(D140,FIND(";",SUBSTITUTE(D140,"|",REPT(";",LEN(D140)),4))+1,FIND(";",SUBSTITUTE(D140,"|",REPT(";",LEN(D140)),5))-FIND(";",SUBSTITUTE(D140,"|",REPT(";",LEN(D140)),4))-1)</f>
        <v/>
      </c>
      <c r="M140" s="0">
        <f>MID(D140,FIND(";",SUBSTITUTE(D140,"|",REPT(";",LEN(D140)),5))+1,LEN(D140))</f>
        <v/>
      </c>
    </row>
    <row r="141" ht="42" customHeight="1" s="21">
      <c r="A141" s="8" t="inlineStr">
        <is>
          <t>100102</t>
        </is>
      </c>
      <c r="B141" s="8" t="inlineStr">
        <is>
          <t>热轧板材</t>
        </is>
      </c>
      <c r="C141" s="8" t="inlineStr">
        <is>
          <t>600940000</t>
        </is>
      </c>
      <c r="D141" s="8" t="inlineStr">
        <is>
          <t>热镀锌薄钢板|热镀锌薄钢板|Q235-B.F|δ1.5-Y-A|GB/T 700-1988|YB 5131-1993</t>
        </is>
      </c>
      <c r="E141" s="8" t="inlineStr">
        <is>
          <t>物资名称 热镀锌薄钢板;物资简称 热镀锌薄钢板;牌号 Q235-B.F;厚度 δ1.5-Y-A;宽 ;长 ;技术标准号 GB/T 700-1988;加工工艺 ;热处理工艺 ;特殊要求 ;规格标准号 YB 5131-1993</t>
        </is>
      </c>
      <c r="F141" s="4" t="inlineStr">
        <is>
          <t>千克</t>
        </is>
      </c>
      <c r="G141" s="0">
        <f>LEFT(D141,FIND("|",D141,1)-1)</f>
        <v/>
      </c>
      <c r="H141" s="0">
        <f>MID(D141,FIND("|",D141,FIND("|",D141,1))+1,FIND("|",D141,FIND("|",D141,1)+1)-FIND("|",D141,FIND("|",D141,1))-1)</f>
        <v/>
      </c>
      <c r="J141" s="0">
        <f>MID(D141,FIND(",",SUBSTITUTE(D141,"|",REPT(",",LEN(D141)),2))+1,FIND(",",SUBSTITUTE(D141,"|",REPT(",",LEN(D141)),3))-FIND(",",SUBSTITUTE(D141,"|",REPT(",",LEN(D141)),2))-1)</f>
        <v/>
      </c>
      <c r="K141" s="0">
        <f>MID(D141,FIND(",",SUBSTITUTE(D141,"|",REPT(",",LEN(D141)),3))+1,FIND(",",SUBSTITUTE(D141,"|",REPT(",",LEN(D141)),4))-FIND(",",SUBSTITUTE(D141,"|",REPT(",",LEN(D141)),3))-1)</f>
        <v/>
      </c>
      <c r="L141" s="0">
        <f>MID(D141,FIND(";",SUBSTITUTE(D141,"|",REPT(";",LEN(D141)),4))+1,FIND(";",SUBSTITUTE(D141,"|",REPT(";",LEN(D141)),5))-FIND(";",SUBSTITUTE(D141,"|",REPT(";",LEN(D141)),4))-1)</f>
        <v/>
      </c>
      <c r="M141" s="0">
        <f>MID(D141,FIND(";",SUBSTITUTE(D141,"|",REPT(";",LEN(D141)),5))+1,LEN(D141))</f>
        <v/>
      </c>
    </row>
    <row r="142" ht="28" customHeight="1" s="21">
      <c r="A142" s="8" t="inlineStr">
        <is>
          <t>100102</t>
        </is>
      </c>
      <c r="B142" s="8" t="inlineStr">
        <is>
          <t>热轧板材</t>
        </is>
      </c>
      <c r="C142" s="8" t="inlineStr">
        <is>
          <t>600939900</t>
        </is>
      </c>
      <c r="D142" s="8" t="inlineStr">
        <is>
          <t>钢板|钢板|20-Ⅱ-P|δB-2|GB/T 710-1989|GB/T 708-1988</t>
        </is>
      </c>
      <c r="E142" s="8" t="inlineStr">
        <is>
          <t>物资名称 钢板;物资简称 钢板;牌号 20-Ⅱ-P;厚度 δB-2;宽 ;长 ;技术标准号 GB/T 710-1989;加工工艺 ;热处理工艺 ;特殊要求 ;规格标准号 GB/T 708-1988</t>
        </is>
      </c>
      <c r="F142" s="4" t="inlineStr">
        <is>
          <t>千克</t>
        </is>
      </c>
      <c r="G142" s="0">
        <f>LEFT(D142,FIND("|",D142,1)-1)</f>
        <v/>
      </c>
      <c r="H142" s="0">
        <f>MID(D142,FIND("|",D142,FIND("|",D142,1))+1,FIND("|",D142,FIND("|",D142,1)+1)-FIND("|",D142,FIND("|",D142,1))-1)</f>
        <v/>
      </c>
      <c r="J142" s="0">
        <f>MID(D142,FIND(",",SUBSTITUTE(D142,"|",REPT(",",LEN(D142)),2))+1,FIND(",",SUBSTITUTE(D142,"|",REPT(",",LEN(D142)),3))-FIND(",",SUBSTITUTE(D142,"|",REPT(",",LEN(D142)),2))-1)</f>
        <v/>
      </c>
      <c r="K142" s="0">
        <f>MID(D142,FIND(",",SUBSTITUTE(D142,"|",REPT(",",LEN(D142)),3))+1,FIND(",",SUBSTITUTE(D142,"|",REPT(",",LEN(D142)),4))-FIND(",",SUBSTITUTE(D142,"|",REPT(",",LEN(D142)),3))-1)</f>
        <v/>
      </c>
      <c r="L142" s="0">
        <f>MID(D142,FIND(";",SUBSTITUTE(D142,"|",REPT(";",LEN(D142)),4))+1,FIND(";",SUBSTITUTE(D142,"|",REPT(";",LEN(D142)),5))-FIND(";",SUBSTITUTE(D142,"|",REPT(";",LEN(D142)),4))-1)</f>
        <v/>
      </c>
      <c r="M142" s="0">
        <f>MID(D142,FIND(";",SUBSTITUTE(D142,"|",REPT(";",LEN(D142)),5))+1,LEN(D142))</f>
        <v/>
      </c>
    </row>
    <row r="143" ht="28" customHeight="1" s="21">
      <c r="A143" s="8" t="inlineStr">
        <is>
          <t>100102</t>
        </is>
      </c>
      <c r="B143" s="8" t="inlineStr">
        <is>
          <t>热轧板材</t>
        </is>
      </c>
      <c r="C143" s="8" t="inlineStr">
        <is>
          <t>600939800</t>
        </is>
      </c>
      <c r="D143" s="8" t="inlineStr">
        <is>
          <t>钢板|钢板|20-Ⅱ-P|δB-1|GB/T 710-1991|GB/T 708-1988</t>
        </is>
      </c>
      <c r="E143" s="8" t="inlineStr">
        <is>
          <t>物资名称 钢板;物资简称 钢板;牌号 20-Ⅱ-P;厚度 δB-1;宽 ;长 ;技术标准号 GB/T 710-1991;加工工艺 ;热处理工艺 ;特殊要求 ;规格标准号 GB/T 708-1988</t>
        </is>
      </c>
      <c r="F143" s="4" t="inlineStr">
        <is>
          <t>千克</t>
        </is>
      </c>
      <c r="G143" s="0">
        <f>LEFT(D143,FIND("|",D143,1)-1)</f>
        <v/>
      </c>
      <c r="H143" s="0">
        <f>MID(D143,FIND("|",D143,FIND("|",D143,1))+1,FIND("|",D143,FIND("|",D143,1)+1)-FIND("|",D143,FIND("|",D143,1))-1)</f>
        <v/>
      </c>
      <c r="J143" s="0">
        <f>MID(D143,FIND(",",SUBSTITUTE(D143,"|",REPT(",",LEN(D143)),2))+1,FIND(",",SUBSTITUTE(D143,"|",REPT(",",LEN(D143)),3))-FIND(",",SUBSTITUTE(D143,"|",REPT(",",LEN(D143)),2))-1)</f>
        <v/>
      </c>
      <c r="K143" s="0">
        <f>MID(D143,FIND(",",SUBSTITUTE(D143,"|",REPT(",",LEN(D143)),3))+1,FIND(",",SUBSTITUTE(D143,"|",REPT(",",LEN(D143)),4))-FIND(",",SUBSTITUTE(D143,"|",REPT(",",LEN(D143)),3))-1)</f>
        <v/>
      </c>
      <c r="L143" s="0">
        <f>MID(D143,FIND(";",SUBSTITUTE(D143,"|",REPT(";",LEN(D143)),4))+1,FIND(";",SUBSTITUTE(D143,"|",REPT(";",LEN(D143)),5))-FIND(";",SUBSTITUTE(D143,"|",REPT(";",LEN(D143)),4))-1)</f>
        <v/>
      </c>
      <c r="M143" s="0">
        <f>MID(D143,FIND(";",SUBSTITUTE(D143,"|",REPT(";",LEN(D143)),5))+1,LEN(D143))</f>
        <v/>
      </c>
    </row>
    <row r="144" ht="28" customHeight="1" s="21">
      <c r="A144" s="8" t="inlineStr">
        <is>
          <t>100102</t>
        </is>
      </c>
      <c r="B144" s="8" t="inlineStr">
        <is>
          <t>热轧板材</t>
        </is>
      </c>
      <c r="C144" s="8" t="inlineStr">
        <is>
          <t>600600100</t>
        </is>
      </c>
      <c r="D144" s="8" t="inlineStr">
        <is>
          <t>热轧钢板|钢板|Q235A|GB/T 3274-2007|GB/T 709-2006</t>
        </is>
      </c>
      <c r="E144" s="8" t="inlineStr">
        <is>
          <t>物资名称 热轧钢板;物资简称 钢板;牌号 Q235A;厚度 δ;宽 ;长 ;技术标准号 GB/T 3274-2007;加工工艺 ;热处理工艺 ;特殊要求 ;规格标准号 GB/T 709-2006</t>
        </is>
      </c>
      <c r="F144" s="4" t="inlineStr">
        <is>
          <t>千克</t>
        </is>
      </c>
      <c r="G144" s="0">
        <f>LEFT(D144,FIND("|",D144,1)-1)</f>
        <v/>
      </c>
      <c r="H144" s="0">
        <f>MID(D144,FIND("|",D144,FIND("|",D144,1))+1,FIND("|",D144,FIND("|",D144,1)+1)-FIND("|",D144,FIND("|",D144,1))-1)</f>
        <v/>
      </c>
      <c r="J144" s="0">
        <f>MID(D144,FIND(",",SUBSTITUTE(D144,"|",REPT(",",LEN(D144)),2))+1,FIND(",",SUBSTITUTE(D144,"|",REPT(",",LEN(D144)),3))-FIND(",",SUBSTITUTE(D144,"|",REPT(",",LEN(D144)),2))-1)</f>
        <v/>
      </c>
      <c r="L144" s="0">
        <f>MID(D144,FIND(",",SUBSTITUTE(D144,"|",REPT(",",LEN(D144)),3))+1,FIND(",",SUBSTITUTE(D144,"|",REPT(",",LEN(D144)),4))-FIND(",",SUBSTITUTE(D144,"|",REPT(",",LEN(D144)),3))-1)</f>
        <v/>
      </c>
      <c r="M144" s="0">
        <f>MID(D144,FIND(";",SUBSTITUTE(D144,"|",REPT(";",LEN(D144)),4))+1,LEN(D144))</f>
        <v/>
      </c>
    </row>
    <row r="145" ht="28" customHeight="1" s="21">
      <c r="A145" s="8" t="inlineStr">
        <is>
          <t>100102</t>
        </is>
      </c>
      <c r="B145" s="8" t="inlineStr">
        <is>
          <t>热轧板材</t>
        </is>
      </c>
      <c r="C145" s="8" t="inlineStr">
        <is>
          <t>600600000</t>
        </is>
      </c>
      <c r="D145" s="8" t="inlineStr">
        <is>
          <t>热轧钢板|钢板|Q235A|δ4|GB/T 3274-2007|热轧|GB/T 709-2006</t>
        </is>
      </c>
      <c r="E145" s="8" t="inlineStr">
        <is>
          <t>物资名称 热轧钢板;物资简称 钢板;牌号 Q235A;厚度 δ4;宽 ;长 ;技术标准号 GB/T 3274-2007;加工工艺 热轧;热处理工艺 ;特殊要求 ;规格标准号 GB/T 709-2006</t>
        </is>
      </c>
      <c r="F145" s="4" t="inlineStr">
        <is>
          <t>千克</t>
        </is>
      </c>
      <c r="G145" s="0">
        <f>LEFT(D145,FIND("|",D145,1)-1)</f>
        <v/>
      </c>
      <c r="H145" s="0">
        <f>MID(D145,FIND("|",D145,FIND("|",D145,1))+1,FIND("|",D145,FIND("|",D145,1)+1)-FIND("|",D145,FIND("|",D145,1))-1)</f>
        <v/>
      </c>
      <c r="J145" s="0">
        <f>MID(D145,FIND(",",SUBSTITUTE(D145,"|",REPT(",",LEN(D145)),2))+1,FIND(",",SUBSTITUTE(D145,"|",REPT(",",LEN(D145)),3))-FIND(",",SUBSTITUTE(D145,"|",REPT(",",LEN(D145)),2))-1)</f>
        <v/>
      </c>
      <c r="K145" s="0">
        <f>MID(D145,FIND(",",SUBSTITUTE(D145,"|",REPT(",",LEN(D145)),3))+1,FIND(",",SUBSTITUTE(D145,"|",REPT(",",LEN(D145)),4))-FIND(",",SUBSTITUTE(D145,"|",REPT(",",LEN(D145)),3))-1)</f>
        <v/>
      </c>
      <c r="L145" s="0">
        <f>MID(D145,FIND(";",SUBSTITUTE(D145,"|",REPT(";",LEN(D145)),4))+1,FIND(";",SUBSTITUTE(D145,"|",REPT(";",LEN(D145)),5))-FIND(";",SUBSTITUTE(D145,"|",REPT(";",LEN(D145)),4))-1)</f>
        <v/>
      </c>
      <c r="M145" s="0">
        <f>MID(D145,FIND(";",SUBSTITUTE(D145,"|",REPT(";",LEN(D145)),6))+1,LEN(D145))</f>
        <v/>
      </c>
      <c r="N145" s="0">
        <f>MID(D145,FIND(";",SUBSTITUTE(D145,"|",REPT(";",LEN(D145)),5))+1,FIND(";",SUBSTITUTE(D145,"|",REPT(";",LEN(D145)),6))-FIND(";",SUBSTITUTE(D145,"|",REPT(";",LEN(D145)),5))-1)</f>
        <v/>
      </c>
    </row>
    <row r="146" ht="28" customHeight="1" s="21">
      <c r="A146" s="8" t="inlineStr">
        <is>
          <t>100102</t>
        </is>
      </c>
      <c r="B146" s="8" t="inlineStr">
        <is>
          <t>热轧板材</t>
        </is>
      </c>
      <c r="C146" s="8" t="inlineStr">
        <is>
          <t>600599900</t>
        </is>
      </c>
      <c r="D146" s="8" t="inlineStr">
        <is>
          <t>热轧钢板|钢板|Q235A|δ6|GB/T 3274-2007|热轧|GB/T 709-2006</t>
        </is>
      </c>
      <c r="E146" s="8" t="inlineStr">
        <is>
          <t>物资名称 热轧钢板;物资简称 钢板;牌号 Q235A;厚度 δ6;宽 ;长 ;技术标准号 GB/T 3274-2007;加工工艺 热轧;热处理工艺 ;特殊要求 ;规格标准号 GB/T 709-2006</t>
        </is>
      </c>
      <c r="F146" s="4" t="inlineStr">
        <is>
          <t>千克</t>
        </is>
      </c>
      <c r="G146" s="0">
        <f>LEFT(D146,FIND("|",D146,1)-1)</f>
        <v/>
      </c>
      <c r="H146" s="0">
        <f>MID(D146,FIND("|",D146,FIND("|",D146,1))+1,FIND("|",D146,FIND("|",D146,1)+1)-FIND("|",D146,FIND("|",D146,1))-1)</f>
        <v/>
      </c>
      <c r="J146" s="0">
        <f>MID(D146,FIND(",",SUBSTITUTE(D146,"|",REPT(",",LEN(D146)),2))+1,FIND(",",SUBSTITUTE(D146,"|",REPT(",",LEN(D146)),3))-FIND(",",SUBSTITUTE(D146,"|",REPT(",",LEN(D146)),2))-1)</f>
        <v/>
      </c>
      <c r="K146" s="0">
        <f>MID(D146,FIND(",",SUBSTITUTE(D146,"|",REPT(",",LEN(D146)),3))+1,FIND(",",SUBSTITUTE(D146,"|",REPT(",",LEN(D146)),4))-FIND(",",SUBSTITUTE(D146,"|",REPT(",",LEN(D146)),3))-1)</f>
        <v/>
      </c>
      <c r="L146" s="0">
        <f>MID(D146,FIND(";",SUBSTITUTE(D146,"|",REPT(";",LEN(D146)),4))+1,FIND(";",SUBSTITUTE(D146,"|",REPT(";",LEN(D146)),5))-FIND(";",SUBSTITUTE(D146,"|",REPT(";",LEN(D146)),4))-1)</f>
        <v/>
      </c>
      <c r="M146" s="0">
        <f>MID(D146,FIND(";",SUBSTITUTE(D146,"|",REPT(";",LEN(D146)),6))+1,LEN(D146))</f>
        <v/>
      </c>
      <c r="N146" s="0">
        <f>MID(D146,FIND(";",SUBSTITUTE(D146,"|",REPT(";",LEN(D146)),5))+1,FIND(";",SUBSTITUTE(D146,"|",REPT(";",LEN(D146)),6))-FIND(";",SUBSTITUTE(D146,"|",REPT(";",LEN(D146)),5))-1)</f>
        <v/>
      </c>
    </row>
    <row r="147" ht="28" customHeight="1" s="21">
      <c r="A147" s="8" t="inlineStr">
        <is>
          <t>100102</t>
        </is>
      </c>
      <c r="B147" s="8" t="inlineStr">
        <is>
          <t>热轧板材</t>
        </is>
      </c>
      <c r="C147" s="8" t="inlineStr">
        <is>
          <t>600599800</t>
        </is>
      </c>
      <c r="D147" s="8" t="inlineStr">
        <is>
          <t>热轧钢板|钢板|Q235A|δ5|GB/T 3274-2007|热轧|GB/T 709-2006</t>
        </is>
      </c>
      <c r="E147" s="8" t="inlineStr">
        <is>
          <t>物资名称 热轧钢板;物资简称 钢板;牌号 Q235A;厚度 δ5;宽 ;长 ;技术标准号 GB/T 3274-2007;加工工艺 热轧;热处理工艺 ;特殊要求 ;规格标准号 GB/T 709-2006</t>
        </is>
      </c>
      <c r="F147" s="4" t="inlineStr">
        <is>
          <t>千克</t>
        </is>
      </c>
      <c r="G147" s="0">
        <f>LEFT(D147,FIND("|",D147,1)-1)</f>
        <v/>
      </c>
      <c r="H147" s="0">
        <f>MID(D147,FIND("|",D147,FIND("|",D147,1))+1,FIND("|",D147,FIND("|",D147,1)+1)-FIND("|",D147,FIND("|",D147,1))-1)</f>
        <v/>
      </c>
      <c r="J147" s="0">
        <f>MID(D147,FIND(",",SUBSTITUTE(D147,"|",REPT(",",LEN(D147)),2))+1,FIND(",",SUBSTITUTE(D147,"|",REPT(",",LEN(D147)),3))-FIND(",",SUBSTITUTE(D147,"|",REPT(",",LEN(D147)),2))-1)</f>
        <v/>
      </c>
      <c r="K147" s="0">
        <f>MID(D147,FIND(",",SUBSTITUTE(D147,"|",REPT(",",LEN(D147)),3))+1,FIND(",",SUBSTITUTE(D147,"|",REPT(",",LEN(D147)),4))-FIND(",",SUBSTITUTE(D147,"|",REPT(",",LEN(D147)),3))-1)</f>
        <v/>
      </c>
      <c r="L147" s="0">
        <f>MID(D147,FIND(";",SUBSTITUTE(D147,"|",REPT(";",LEN(D147)),4))+1,FIND(";",SUBSTITUTE(D147,"|",REPT(";",LEN(D147)),5))-FIND(";",SUBSTITUTE(D147,"|",REPT(";",LEN(D147)),4))-1)</f>
        <v/>
      </c>
      <c r="M147" s="0">
        <f>MID(D147,FIND(";",SUBSTITUTE(D147,"|",REPT(";",LEN(D147)),6))+1,LEN(D147))</f>
        <v/>
      </c>
      <c r="N147" s="0">
        <f>MID(D147,FIND(";",SUBSTITUTE(D147,"|",REPT(";",LEN(D147)),5))+1,FIND(";",SUBSTITUTE(D147,"|",REPT(";",LEN(D147)),6))-FIND(";",SUBSTITUTE(D147,"|",REPT(";",LEN(D147)),5))-1)</f>
        <v/>
      </c>
    </row>
    <row r="148" ht="28" customHeight="1" s="21">
      <c r="A148" s="8" t="inlineStr">
        <is>
          <t>100102</t>
        </is>
      </c>
      <c r="B148" s="8" t="inlineStr">
        <is>
          <t>热轧板材</t>
        </is>
      </c>
      <c r="C148" s="8" t="inlineStr">
        <is>
          <t>600599700</t>
        </is>
      </c>
      <c r="D148" s="8" t="inlineStr">
        <is>
          <t>热轧钢板|钢板|Q235A|δ8|GB/T 3274-2007|热轧|GB/T 709-2006</t>
        </is>
      </c>
      <c r="E148" s="8" t="inlineStr">
        <is>
          <t>物资名称 热轧钢板;物资简称 钢板;牌号 Q235A;厚度 δ8;宽 ;长 ;技术标准号 GB/T 3274-2007;加工工艺 热轧;热处理工艺 ;特殊要求 ;规格标准号 GB/T 709-2006</t>
        </is>
      </c>
      <c r="F148" s="4" t="inlineStr">
        <is>
          <t>千克</t>
        </is>
      </c>
      <c r="G148" s="0">
        <f>LEFT(D148,FIND("|",D148,1)-1)</f>
        <v/>
      </c>
      <c r="H148" s="0">
        <f>MID(D148,FIND("|",D148,FIND("|",D148,1))+1,FIND("|",D148,FIND("|",D148,1)+1)-FIND("|",D148,FIND("|",D148,1))-1)</f>
        <v/>
      </c>
      <c r="J148" s="0">
        <f>MID(D148,FIND(",",SUBSTITUTE(D148,"|",REPT(",",LEN(D148)),2))+1,FIND(",",SUBSTITUTE(D148,"|",REPT(",",LEN(D148)),3))-FIND(",",SUBSTITUTE(D148,"|",REPT(",",LEN(D148)),2))-1)</f>
        <v/>
      </c>
      <c r="K148" s="0">
        <f>MID(D148,FIND(",",SUBSTITUTE(D148,"|",REPT(",",LEN(D148)),3))+1,FIND(",",SUBSTITUTE(D148,"|",REPT(",",LEN(D148)),4))-FIND(",",SUBSTITUTE(D148,"|",REPT(",",LEN(D148)),3))-1)</f>
        <v/>
      </c>
      <c r="L148" s="0">
        <f>MID(D148,FIND(";",SUBSTITUTE(D148,"|",REPT(";",LEN(D148)),4))+1,FIND(";",SUBSTITUTE(D148,"|",REPT(";",LEN(D148)),5))-FIND(";",SUBSTITUTE(D148,"|",REPT(";",LEN(D148)),4))-1)</f>
        <v/>
      </c>
      <c r="M148" s="0">
        <f>MID(D148,FIND(";",SUBSTITUTE(D148,"|",REPT(";",LEN(D148)),6))+1,LEN(D148))</f>
        <v/>
      </c>
      <c r="N148" s="0">
        <f>MID(D148,FIND(";",SUBSTITUTE(D148,"|",REPT(";",LEN(D148)),5))+1,FIND(";",SUBSTITUTE(D148,"|",REPT(";",LEN(D148)),6))-FIND(";",SUBSTITUTE(D148,"|",REPT(";",LEN(D148)),5))-1)</f>
        <v/>
      </c>
    </row>
    <row r="149" ht="28" customHeight="1" s="21">
      <c r="A149" s="8" t="inlineStr">
        <is>
          <t>100102</t>
        </is>
      </c>
      <c r="B149" s="8" t="inlineStr">
        <is>
          <t>热轧板材</t>
        </is>
      </c>
      <c r="C149" s="8" t="inlineStr">
        <is>
          <t>600599600</t>
        </is>
      </c>
      <c r="D149" s="8" t="inlineStr">
        <is>
          <t>热轧钢板|钢板|Q235A|δ10|GB/T 3274-2007|热轧|GB/T 709-2006</t>
        </is>
      </c>
      <c r="E149" s="8" t="inlineStr">
        <is>
          <t>物资名称 热轧钢板;物资简称 钢板;牌号 Q235A;厚度 δ10;宽 ;长 ;技术标准号 GB/T 3274-2007;加工工艺 热轧;热处理工艺 ;特殊要求 ;规格标准号 GB/T 709-2006</t>
        </is>
      </c>
      <c r="F149" s="4" t="inlineStr">
        <is>
          <t>千克</t>
        </is>
      </c>
      <c r="G149" s="0">
        <f>LEFT(D149,FIND("|",D149,1)-1)</f>
        <v/>
      </c>
      <c r="H149" s="0">
        <f>MID(D149,FIND("|",D149,FIND("|",D149,1))+1,FIND("|",D149,FIND("|",D149,1)+1)-FIND("|",D149,FIND("|",D149,1))-1)</f>
        <v/>
      </c>
      <c r="J149" s="0">
        <f>MID(D149,FIND(",",SUBSTITUTE(D149,"|",REPT(",",LEN(D149)),2))+1,FIND(",",SUBSTITUTE(D149,"|",REPT(",",LEN(D149)),3))-FIND(",",SUBSTITUTE(D149,"|",REPT(",",LEN(D149)),2))-1)</f>
        <v/>
      </c>
      <c r="K149" s="0">
        <f>MID(D149,FIND(",",SUBSTITUTE(D149,"|",REPT(",",LEN(D149)),3))+1,FIND(",",SUBSTITUTE(D149,"|",REPT(",",LEN(D149)),4))-FIND(",",SUBSTITUTE(D149,"|",REPT(",",LEN(D149)),3))-1)</f>
        <v/>
      </c>
      <c r="L149" s="0">
        <f>MID(D149,FIND(";",SUBSTITUTE(D149,"|",REPT(";",LEN(D149)),4))+1,FIND(";",SUBSTITUTE(D149,"|",REPT(";",LEN(D149)),5))-FIND(";",SUBSTITUTE(D149,"|",REPT(";",LEN(D149)),4))-1)</f>
        <v/>
      </c>
      <c r="M149" s="0">
        <f>MID(D149,FIND(";",SUBSTITUTE(D149,"|",REPT(";",LEN(D149)),6))+1,LEN(D149))</f>
        <v/>
      </c>
      <c r="N149" s="0">
        <f>MID(D149,FIND(";",SUBSTITUTE(D149,"|",REPT(";",LEN(D149)),5))+1,FIND(";",SUBSTITUTE(D149,"|",REPT(";",LEN(D149)),6))-FIND(";",SUBSTITUTE(D149,"|",REPT(";",LEN(D149)),5))-1)</f>
        <v/>
      </c>
    </row>
    <row r="150" ht="28" customHeight="1" s="21">
      <c r="A150" s="8" t="inlineStr">
        <is>
          <t>100102</t>
        </is>
      </c>
      <c r="B150" s="8" t="inlineStr">
        <is>
          <t>热轧板材</t>
        </is>
      </c>
      <c r="C150" s="8" t="inlineStr">
        <is>
          <t>600599500</t>
        </is>
      </c>
      <c r="D150" s="8" t="inlineStr">
        <is>
          <t>热轧钢板|钢板|Q235A|δ20|GB/T 3274-2007|热轧|GB/T 709-2006</t>
        </is>
      </c>
      <c r="E150" s="8" t="inlineStr">
        <is>
          <t>物资名称 热轧钢板;物资简称 钢板;牌号 Q235A;厚度 δ20;宽 ;长 ;技术标准号 GB/T 3274-2007;加工工艺 热轧;热处理工艺 ;特殊要求 ;规格标准号 GB/T 709-2006</t>
        </is>
      </c>
      <c r="F150" s="4" t="inlineStr">
        <is>
          <t>千克</t>
        </is>
      </c>
      <c r="G150" s="0">
        <f>LEFT(D150,FIND("|",D150,1)-1)</f>
        <v/>
      </c>
      <c r="H150" s="0">
        <f>MID(D150,FIND("|",D150,FIND("|",D150,1))+1,FIND("|",D150,FIND("|",D150,1)+1)-FIND("|",D150,FIND("|",D150,1))-1)</f>
        <v/>
      </c>
      <c r="J150" s="0">
        <f>MID(D150,FIND(",",SUBSTITUTE(D150,"|",REPT(",",LEN(D150)),2))+1,FIND(",",SUBSTITUTE(D150,"|",REPT(",",LEN(D150)),3))-FIND(",",SUBSTITUTE(D150,"|",REPT(",",LEN(D150)),2))-1)</f>
        <v/>
      </c>
      <c r="K150" s="0">
        <f>MID(D150,FIND(",",SUBSTITUTE(D150,"|",REPT(",",LEN(D150)),3))+1,FIND(",",SUBSTITUTE(D150,"|",REPT(",",LEN(D150)),4))-FIND(",",SUBSTITUTE(D150,"|",REPT(",",LEN(D150)),3))-1)</f>
        <v/>
      </c>
      <c r="L150" s="0">
        <f>MID(D150,FIND(";",SUBSTITUTE(D150,"|",REPT(";",LEN(D150)),4))+1,FIND(";",SUBSTITUTE(D150,"|",REPT(";",LEN(D150)),5))-FIND(";",SUBSTITUTE(D150,"|",REPT(";",LEN(D150)),4))-1)</f>
        <v/>
      </c>
      <c r="M150" s="0">
        <f>MID(D150,FIND(";",SUBSTITUTE(D150,"|",REPT(";",LEN(D150)),6))+1,LEN(D150))</f>
        <v/>
      </c>
      <c r="N150" s="0">
        <f>MID(D150,FIND(";",SUBSTITUTE(D150,"|",REPT(";",LEN(D150)),5))+1,FIND(";",SUBSTITUTE(D150,"|",REPT(";",LEN(D150)),6))-FIND(";",SUBSTITUTE(D150,"|",REPT(";",LEN(D150)),5))-1)</f>
        <v/>
      </c>
    </row>
    <row r="151" ht="28" customHeight="1" s="21">
      <c r="A151" s="8" t="inlineStr">
        <is>
          <t>100102</t>
        </is>
      </c>
      <c r="B151" s="8" t="inlineStr">
        <is>
          <t>热轧板材</t>
        </is>
      </c>
      <c r="C151" s="8" t="inlineStr">
        <is>
          <t>600599400</t>
        </is>
      </c>
      <c r="D151" s="8" t="inlineStr">
        <is>
          <t>热轧钢板|钢板|Q235A|δ30|GB/T 3274-2007|热轧|GB/T 709-2006</t>
        </is>
      </c>
      <c r="E151" s="8" t="inlineStr">
        <is>
          <t>物资名称 热轧钢板;物资简称 钢板;牌号 Q235A;厚度 δ30;宽 ;长 ;技术标准号 GB/T 3274-2007;加工工艺 热轧;热处理工艺 ;特殊要求 ;规格标准号 GB/T 709-2006</t>
        </is>
      </c>
      <c r="F151" s="4" t="inlineStr">
        <is>
          <t>千克</t>
        </is>
      </c>
      <c r="G151" s="0">
        <f>LEFT(D151,FIND("|",D151,1)-1)</f>
        <v/>
      </c>
      <c r="H151" s="0">
        <f>MID(D151,FIND("|",D151,FIND("|",D151,1))+1,FIND("|",D151,FIND("|",D151,1)+1)-FIND("|",D151,FIND("|",D151,1))-1)</f>
        <v/>
      </c>
      <c r="J151" s="0">
        <f>MID(D151,FIND(",",SUBSTITUTE(D151,"|",REPT(",",LEN(D151)),2))+1,FIND(",",SUBSTITUTE(D151,"|",REPT(",",LEN(D151)),3))-FIND(",",SUBSTITUTE(D151,"|",REPT(",",LEN(D151)),2))-1)</f>
        <v/>
      </c>
      <c r="K151" s="0">
        <f>MID(D151,FIND(",",SUBSTITUTE(D151,"|",REPT(",",LEN(D151)),3))+1,FIND(",",SUBSTITUTE(D151,"|",REPT(",",LEN(D151)),4))-FIND(",",SUBSTITUTE(D151,"|",REPT(",",LEN(D151)),3))-1)</f>
        <v/>
      </c>
      <c r="L151" s="0">
        <f>MID(D151,FIND(";",SUBSTITUTE(D151,"|",REPT(";",LEN(D151)),4))+1,FIND(";",SUBSTITUTE(D151,"|",REPT(";",LEN(D151)),5))-FIND(";",SUBSTITUTE(D151,"|",REPT(";",LEN(D151)),4))-1)</f>
        <v/>
      </c>
      <c r="M151" s="0">
        <f>MID(D151,FIND(";",SUBSTITUTE(D151,"|",REPT(";",LEN(D151)),6))+1,LEN(D151))</f>
        <v/>
      </c>
      <c r="N151" s="0">
        <f>MID(D151,FIND(";",SUBSTITUTE(D151,"|",REPT(";",LEN(D151)),5))+1,FIND(";",SUBSTITUTE(D151,"|",REPT(";",LEN(D151)),6))-FIND(";",SUBSTITUTE(D151,"|",REPT(";",LEN(D151)),5))-1)</f>
        <v/>
      </c>
    </row>
    <row r="152" ht="28" customHeight="1" s="21">
      <c r="A152" s="8" t="inlineStr">
        <is>
          <t>100102</t>
        </is>
      </c>
      <c r="B152" s="8" t="inlineStr">
        <is>
          <t>热轧板材</t>
        </is>
      </c>
      <c r="C152" s="8" t="inlineStr">
        <is>
          <t>600599300</t>
        </is>
      </c>
      <c r="D152" s="8" t="inlineStr">
        <is>
          <t>热轧钢板|钢板|Q235A|δ35|GB/T 3274-2007|热轧|GB/T 709-2006</t>
        </is>
      </c>
      <c r="E152" s="8" t="inlineStr">
        <is>
          <t>物资名称 热轧钢板;物资简称 钢板;牌号 Q235A;厚度 δ35;宽 ;长 ;技术标准号 GB/T 3274-2007;加工工艺 热轧;热处理工艺 ;特殊要求 ;规格标准号 GB/T 709-2006</t>
        </is>
      </c>
      <c r="F152" s="4" t="inlineStr">
        <is>
          <t>千克</t>
        </is>
      </c>
      <c r="G152" s="0">
        <f>LEFT(D152,FIND("|",D152,1)-1)</f>
        <v/>
      </c>
      <c r="H152" s="0">
        <f>MID(D152,FIND("|",D152,FIND("|",D152,1))+1,FIND("|",D152,FIND("|",D152,1)+1)-FIND("|",D152,FIND("|",D152,1))-1)</f>
        <v/>
      </c>
      <c r="J152" s="0">
        <f>MID(D152,FIND(",",SUBSTITUTE(D152,"|",REPT(",",LEN(D152)),2))+1,FIND(",",SUBSTITUTE(D152,"|",REPT(",",LEN(D152)),3))-FIND(",",SUBSTITUTE(D152,"|",REPT(",",LEN(D152)),2))-1)</f>
        <v/>
      </c>
      <c r="K152" s="0">
        <f>MID(D152,FIND(",",SUBSTITUTE(D152,"|",REPT(",",LEN(D152)),3))+1,FIND(",",SUBSTITUTE(D152,"|",REPT(",",LEN(D152)),4))-FIND(",",SUBSTITUTE(D152,"|",REPT(",",LEN(D152)),3))-1)</f>
        <v/>
      </c>
      <c r="L152" s="0">
        <f>MID(D152,FIND(";",SUBSTITUTE(D152,"|",REPT(";",LEN(D152)),4))+1,FIND(";",SUBSTITUTE(D152,"|",REPT(";",LEN(D152)),5))-FIND(";",SUBSTITUTE(D152,"|",REPT(";",LEN(D152)),4))-1)</f>
        <v/>
      </c>
      <c r="M152" s="0">
        <f>MID(D152,FIND(";",SUBSTITUTE(D152,"|",REPT(";",LEN(D152)),6))+1,LEN(D152))</f>
        <v/>
      </c>
      <c r="N152" s="0">
        <f>MID(D152,FIND(";",SUBSTITUTE(D152,"|",REPT(";",LEN(D152)),5))+1,FIND(";",SUBSTITUTE(D152,"|",REPT(";",LEN(D152)),6))-FIND(";",SUBSTITUTE(D152,"|",REPT(";",LEN(D152)),5))-1)</f>
        <v/>
      </c>
    </row>
    <row r="153" ht="28" customHeight="1" s="21">
      <c r="A153" s="8" t="inlineStr">
        <is>
          <t>100102</t>
        </is>
      </c>
      <c r="B153" s="8" t="inlineStr">
        <is>
          <t>热轧板材</t>
        </is>
      </c>
      <c r="C153" s="8" t="inlineStr">
        <is>
          <t>600599200</t>
        </is>
      </c>
      <c r="D153" s="8" t="inlineStr">
        <is>
          <t>热轧优质碳素结构钢板|钢板|8Al|GB/T 710-2008|GB/T 709-2006</t>
        </is>
      </c>
      <c r="E153" s="8" t="inlineStr">
        <is>
          <t>物资名称 热轧优质碳素结构钢板;物资简称 钢板;牌号 8Al;厚度 δ;宽 ;长 ;技术标准号 GB/T 710-2008;加工工艺 ;热处理工艺 ;特殊要求 ;规格标准号 GB/T 709-2006</t>
        </is>
      </c>
      <c r="F153" s="4" t="inlineStr">
        <is>
          <t>千克</t>
        </is>
      </c>
      <c r="G153" s="0">
        <f>LEFT(D153,FIND("|",D153,1)-1)</f>
        <v/>
      </c>
      <c r="H153" s="0">
        <f>MID(D153,FIND("|",D153,FIND("|",D153,1))+1,FIND("|",D153,FIND("|",D153,1)+1)-FIND("|",D153,FIND("|",D153,1))-1)</f>
        <v/>
      </c>
      <c r="J153" s="0">
        <f>MID(D153,FIND(",",SUBSTITUTE(D153,"|",REPT(",",LEN(D153)),2))+1,FIND(",",SUBSTITUTE(D153,"|",REPT(",",LEN(D153)),3))-FIND(",",SUBSTITUTE(D153,"|",REPT(",",LEN(D153)),2))-1)</f>
        <v/>
      </c>
      <c r="L153" s="0">
        <f>MID(D153,FIND(",",SUBSTITUTE(D153,"|",REPT(",",LEN(D153)),3))+1,FIND(",",SUBSTITUTE(D153,"|",REPT(",",LEN(D153)),4))-FIND(",",SUBSTITUTE(D153,"|",REPT(",",LEN(D153)),3))-1)</f>
        <v/>
      </c>
      <c r="M153" s="0">
        <f>MID(D153,FIND(";",SUBSTITUTE(D153,"|",REPT(";",LEN(D153)),4))+1,LEN(D153))</f>
        <v/>
      </c>
    </row>
    <row r="154" ht="42" customHeight="1" s="21">
      <c r="A154" s="8" t="inlineStr">
        <is>
          <t>100102</t>
        </is>
      </c>
      <c r="B154" s="8" t="inlineStr">
        <is>
          <t>热轧板材</t>
        </is>
      </c>
      <c r="C154" s="8" t="inlineStr">
        <is>
          <t>600599100</t>
        </is>
      </c>
      <c r="D154" s="8" t="inlineStr">
        <is>
          <t>热轧优质碳素结构钢板|钢板|8Al|δ5|GB/T 710-2008|热轧|GB/T 709-2006</t>
        </is>
      </c>
      <c r="E154" s="8" t="inlineStr">
        <is>
          <t>物资名称 热轧优质碳素结构钢板;物资简称 钢板;牌号 8Al;厚度 δ5;宽 ;长 ;技术标准号 GB/T 710-2008;加工工艺 热轧;热处理工艺 ;特殊要求 ;规格标准号 GB/T 709-2006</t>
        </is>
      </c>
      <c r="F154" s="4" t="inlineStr">
        <is>
          <t>千克</t>
        </is>
      </c>
      <c r="G154" s="0">
        <f>LEFT(D154,FIND("|",D154,1)-1)</f>
        <v/>
      </c>
      <c r="H154" s="0">
        <f>MID(D154,FIND("|",D154,FIND("|",D154,1))+1,FIND("|",D154,FIND("|",D154,1)+1)-FIND("|",D154,FIND("|",D154,1))-1)</f>
        <v/>
      </c>
      <c r="J154" s="0">
        <f>MID(D154,FIND(",",SUBSTITUTE(D154,"|",REPT(",",LEN(D154)),2))+1,FIND(",",SUBSTITUTE(D154,"|",REPT(",",LEN(D154)),3))-FIND(",",SUBSTITUTE(D154,"|",REPT(",",LEN(D154)),2))-1)</f>
        <v/>
      </c>
      <c r="K154" s="0">
        <f>MID(D154,FIND(",",SUBSTITUTE(D154,"|",REPT(",",LEN(D154)),3))+1,FIND(",",SUBSTITUTE(D154,"|",REPT(",",LEN(D154)),4))-FIND(",",SUBSTITUTE(D154,"|",REPT(",",LEN(D154)),3))-1)</f>
        <v/>
      </c>
      <c r="L154" s="0">
        <f>MID(D154,FIND(";",SUBSTITUTE(D154,"|",REPT(";",LEN(D154)),4))+1,FIND(";",SUBSTITUTE(D154,"|",REPT(";",LEN(D154)),5))-FIND(";",SUBSTITUTE(D154,"|",REPT(";",LEN(D154)),4))-1)</f>
        <v/>
      </c>
      <c r="M154" s="0">
        <f>MID(D154,FIND(";",SUBSTITUTE(D154,"|",REPT(";",LEN(D154)),6))+1,LEN(D154))</f>
        <v/>
      </c>
      <c r="N154" s="0">
        <f>MID(D154,FIND(";",SUBSTITUTE(D154,"|",REPT(";",LEN(D154)),5))+1,FIND(";",SUBSTITUTE(D154,"|",REPT(";",LEN(D154)),6))-FIND(";",SUBSTITUTE(D154,"|",REPT(";",LEN(D154)),5))-1)</f>
        <v/>
      </c>
    </row>
    <row r="155" ht="28" customHeight="1" s="21">
      <c r="A155" s="8" t="inlineStr">
        <is>
          <t>100102</t>
        </is>
      </c>
      <c r="B155" s="8" t="inlineStr">
        <is>
          <t>热轧板材</t>
        </is>
      </c>
      <c r="C155" s="8" t="inlineStr">
        <is>
          <t>600599000</t>
        </is>
      </c>
      <c r="D155" s="8" t="inlineStr">
        <is>
          <t>热轧优质碳素结构钢板|钢板|20|GB/T 710-2008|GB/T 709-2006</t>
        </is>
      </c>
      <c r="E155" s="8" t="inlineStr">
        <is>
          <t>物资名称 热轧优质碳素结构钢板;物资简称 钢板;牌号 20;厚度 δ;宽 ;长 ;技术标准号 GB/T 710-2008;加工工艺 ;热处理工艺 ;特殊要求 ;规格标准号 GB/T 709-2006</t>
        </is>
      </c>
      <c r="F155" s="4" t="inlineStr">
        <is>
          <t>千克</t>
        </is>
      </c>
      <c r="G155" s="0">
        <f>LEFT(D155,FIND("|",D155,1)-1)</f>
        <v/>
      </c>
      <c r="H155" s="0">
        <f>MID(D155,FIND("|",D155,FIND("|",D155,1))+1,FIND("|",D155,FIND("|",D155,1)+1)-FIND("|",D155,FIND("|",D155,1))-1)</f>
        <v/>
      </c>
      <c r="J155" s="0">
        <f>MID(D155,FIND(",",SUBSTITUTE(D155,"|",REPT(",",LEN(D155)),2))+1,FIND(",",SUBSTITUTE(D155,"|",REPT(",",LEN(D155)),3))-FIND(",",SUBSTITUTE(D155,"|",REPT(",",LEN(D155)),2))-1)</f>
        <v/>
      </c>
      <c r="L155" s="0">
        <f>MID(D155,FIND(",",SUBSTITUTE(D155,"|",REPT(",",LEN(D155)),3))+1,FIND(",",SUBSTITUTE(D155,"|",REPT(",",LEN(D155)),4))-FIND(",",SUBSTITUTE(D155,"|",REPT(",",LEN(D155)),3))-1)</f>
        <v/>
      </c>
      <c r="M155" s="0">
        <f>MID(D155,FIND(";",SUBSTITUTE(D155,"|",REPT(";",LEN(D155)),4))+1,LEN(D155))</f>
        <v/>
      </c>
    </row>
    <row r="156" ht="42" customHeight="1" s="21">
      <c r="A156" s="8" t="inlineStr">
        <is>
          <t>100102</t>
        </is>
      </c>
      <c r="B156" s="8" t="inlineStr">
        <is>
          <t>热轧板材</t>
        </is>
      </c>
      <c r="C156" s="8" t="inlineStr">
        <is>
          <t>600598900</t>
        </is>
      </c>
      <c r="D156" s="8" t="inlineStr">
        <is>
          <t>热轧优质碳素结构钢板|钢板|20|δ1.5|GB/T 710-2008|热轧|GB/T 709-2006</t>
        </is>
      </c>
      <c r="E156" s="8" t="inlineStr">
        <is>
          <t>物资名称 热轧优质碳素结构钢板;物资简称 钢板;牌号 20;厚度 δ1.5;宽 ;长 ;技术标准号 GB/T 710-2008;加工工艺 热轧;热处理工艺 ;特殊要求 ;规格标准号 GB/T 709-2006</t>
        </is>
      </c>
      <c r="F156" s="4" t="inlineStr">
        <is>
          <t>千克</t>
        </is>
      </c>
      <c r="G156" s="0">
        <f>LEFT(D156,FIND("|",D156,1)-1)</f>
        <v/>
      </c>
      <c r="H156" s="0">
        <f>MID(D156,FIND("|",D156,FIND("|",D156,1))+1,FIND("|",D156,FIND("|",D156,1)+1)-FIND("|",D156,FIND("|",D156,1))-1)</f>
        <v/>
      </c>
      <c r="J156" s="0">
        <f>MID(D156,FIND(",",SUBSTITUTE(D156,"|",REPT(",",LEN(D156)),2))+1,FIND(",",SUBSTITUTE(D156,"|",REPT(",",LEN(D156)),3))-FIND(",",SUBSTITUTE(D156,"|",REPT(",",LEN(D156)),2))-1)</f>
        <v/>
      </c>
      <c r="K156" s="0">
        <f>MID(D156,FIND(",",SUBSTITUTE(D156,"|",REPT(",",LEN(D156)),3))+1,FIND(",",SUBSTITUTE(D156,"|",REPT(",",LEN(D156)),4))-FIND(",",SUBSTITUTE(D156,"|",REPT(",",LEN(D156)),3))-1)</f>
        <v/>
      </c>
      <c r="L156" s="0">
        <f>MID(D156,FIND(";",SUBSTITUTE(D156,"|",REPT(";",LEN(D156)),4))+1,FIND(";",SUBSTITUTE(D156,"|",REPT(";",LEN(D156)),5))-FIND(";",SUBSTITUTE(D156,"|",REPT(";",LEN(D156)),4))-1)</f>
        <v/>
      </c>
      <c r="M156" s="0">
        <f>MID(D156,FIND(";",SUBSTITUTE(D156,"|",REPT(";",LEN(D156)),6))+1,LEN(D156))</f>
        <v/>
      </c>
      <c r="N156" s="0">
        <f>MID(D156,FIND(";",SUBSTITUTE(D156,"|",REPT(";",LEN(D156)),5))+1,FIND(";",SUBSTITUTE(D156,"|",REPT(";",LEN(D156)),6))-FIND(";",SUBSTITUTE(D156,"|",REPT(";",LEN(D156)),5))-1)</f>
        <v/>
      </c>
    </row>
    <row r="157" ht="42" customHeight="1" s="21">
      <c r="A157" s="8" t="inlineStr">
        <is>
          <t>100102</t>
        </is>
      </c>
      <c r="B157" s="8" t="inlineStr">
        <is>
          <t>热轧板材</t>
        </is>
      </c>
      <c r="C157" s="8" t="inlineStr">
        <is>
          <t>600598800</t>
        </is>
      </c>
      <c r="D157" s="8" t="inlineStr">
        <is>
          <t>热轧优质碳素结构钢板|钢板|20|δ2|GB/T 710-2008|热轧|GB/T 709-2006</t>
        </is>
      </c>
      <c r="E157" s="8" t="inlineStr">
        <is>
          <t>物资名称 热轧优质碳素结构钢板;物资简称 钢板;牌号 20;厚度 δ2;宽 ;长 ;技术标准号 GB/T 710-2008;加工工艺 热轧;热处理工艺 ;特殊要求 ;规格标准号 GB/T 709-2006</t>
        </is>
      </c>
      <c r="F157" s="4" t="inlineStr">
        <is>
          <t>千克</t>
        </is>
      </c>
      <c r="G157" s="0">
        <f>LEFT(D157,FIND("|",D157,1)-1)</f>
        <v/>
      </c>
      <c r="H157" s="0">
        <f>MID(D157,FIND("|",D157,FIND("|",D157,1))+1,FIND("|",D157,FIND("|",D157,1)+1)-FIND("|",D157,FIND("|",D157,1))-1)</f>
        <v/>
      </c>
      <c r="J157" s="0">
        <f>MID(D157,FIND(",",SUBSTITUTE(D157,"|",REPT(",",LEN(D157)),2))+1,FIND(",",SUBSTITUTE(D157,"|",REPT(",",LEN(D157)),3))-FIND(",",SUBSTITUTE(D157,"|",REPT(",",LEN(D157)),2))-1)</f>
        <v/>
      </c>
      <c r="K157" s="0">
        <f>MID(D157,FIND(",",SUBSTITUTE(D157,"|",REPT(",",LEN(D157)),3))+1,FIND(",",SUBSTITUTE(D157,"|",REPT(",",LEN(D157)),4))-FIND(",",SUBSTITUTE(D157,"|",REPT(",",LEN(D157)),3))-1)</f>
        <v/>
      </c>
      <c r="L157" s="0">
        <f>MID(D157,FIND(";",SUBSTITUTE(D157,"|",REPT(";",LEN(D157)),4))+1,FIND(";",SUBSTITUTE(D157,"|",REPT(";",LEN(D157)),5))-FIND(";",SUBSTITUTE(D157,"|",REPT(";",LEN(D157)),4))-1)</f>
        <v/>
      </c>
      <c r="M157" s="0">
        <f>MID(D157,FIND(";",SUBSTITUTE(D157,"|",REPT(";",LEN(D157)),6))+1,LEN(D157))</f>
        <v/>
      </c>
      <c r="N157" s="0">
        <f>MID(D157,FIND(";",SUBSTITUTE(D157,"|",REPT(";",LEN(D157)),5))+1,FIND(";",SUBSTITUTE(D157,"|",REPT(";",LEN(D157)),6))-FIND(";",SUBSTITUTE(D157,"|",REPT(";",LEN(D157)),5))-1)</f>
        <v/>
      </c>
    </row>
    <row r="158" ht="42" customHeight="1" s="21">
      <c r="A158" s="8" t="inlineStr">
        <is>
          <t>100102</t>
        </is>
      </c>
      <c r="B158" s="8" t="inlineStr">
        <is>
          <t>热轧板材</t>
        </is>
      </c>
      <c r="C158" s="8" t="inlineStr">
        <is>
          <t>600598700</t>
        </is>
      </c>
      <c r="D158" s="8" t="inlineStr">
        <is>
          <t>热轧优质碳素结构钢板|钢板|20|δ2.5|GB/T 710-2008|热轧|GB/T 709-2006</t>
        </is>
      </c>
      <c r="E158" s="8" t="inlineStr">
        <is>
          <t>物资名称 热轧优质碳素结构钢板;物资简称 钢板;牌号 20;厚度 δ2.5;宽 ;长 ;技术标准号 GB/T 710-2008;加工工艺 热轧;热处理工艺 ;特殊要求 ;规格标准号 GB/T 709-2006</t>
        </is>
      </c>
      <c r="F158" s="4" t="inlineStr">
        <is>
          <t>千克</t>
        </is>
      </c>
      <c r="G158" s="0">
        <f>LEFT(D158,FIND("|",D158,1)-1)</f>
        <v/>
      </c>
      <c r="H158" s="0">
        <f>MID(D158,FIND("|",D158,FIND("|",D158,1))+1,FIND("|",D158,FIND("|",D158,1)+1)-FIND("|",D158,FIND("|",D158,1))-1)</f>
        <v/>
      </c>
      <c r="J158" s="0">
        <f>MID(D158,FIND(",",SUBSTITUTE(D158,"|",REPT(",",LEN(D158)),2))+1,FIND(",",SUBSTITUTE(D158,"|",REPT(",",LEN(D158)),3))-FIND(",",SUBSTITUTE(D158,"|",REPT(",",LEN(D158)),2))-1)</f>
        <v/>
      </c>
      <c r="K158" s="0">
        <f>MID(D158,FIND(",",SUBSTITUTE(D158,"|",REPT(",",LEN(D158)),3))+1,FIND(",",SUBSTITUTE(D158,"|",REPT(",",LEN(D158)),4))-FIND(",",SUBSTITUTE(D158,"|",REPT(",",LEN(D158)),3))-1)</f>
        <v/>
      </c>
      <c r="L158" s="0">
        <f>MID(D158,FIND(";",SUBSTITUTE(D158,"|",REPT(";",LEN(D158)),4))+1,FIND(";",SUBSTITUTE(D158,"|",REPT(";",LEN(D158)),5))-FIND(";",SUBSTITUTE(D158,"|",REPT(";",LEN(D158)),4))-1)</f>
        <v/>
      </c>
      <c r="M158" s="0">
        <f>MID(D158,FIND(";",SUBSTITUTE(D158,"|",REPT(";",LEN(D158)),6))+1,LEN(D158))</f>
        <v/>
      </c>
      <c r="N158" s="0">
        <f>MID(D158,FIND(";",SUBSTITUTE(D158,"|",REPT(";",LEN(D158)),5))+1,FIND(";",SUBSTITUTE(D158,"|",REPT(";",LEN(D158)),6))-FIND(";",SUBSTITUTE(D158,"|",REPT(";",LEN(D158)),5))-1)</f>
        <v/>
      </c>
    </row>
    <row r="159" ht="42" customHeight="1" s="21">
      <c r="A159" s="8" t="inlineStr">
        <is>
          <t>100102</t>
        </is>
      </c>
      <c r="B159" s="8" t="inlineStr">
        <is>
          <t>热轧板材</t>
        </is>
      </c>
      <c r="C159" s="8" t="inlineStr">
        <is>
          <t>600598600</t>
        </is>
      </c>
      <c r="D159" s="8" t="inlineStr">
        <is>
          <t>热轧优质碳素结构钢板|钢板|20|δ4|GB/T 711-2008|热轧|GB/T 709-2006</t>
        </is>
      </c>
      <c r="E159" s="8" t="inlineStr">
        <is>
          <t>物资名称 热轧优质碳素结构钢板;物资简称 钢板;牌号 20;厚度 δ4;宽 ;长 ;技术标准号 GB/T 711-2008;加工工艺 热轧;热处理工艺 ;特殊要求 ;规格标准号 GB/T 709-2006</t>
        </is>
      </c>
      <c r="F159" s="4" t="inlineStr">
        <is>
          <t>千克</t>
        </is>
      </c>
      <c r="G159" s="0">
        <f>LEFT(D159,FIND("|",D159,1)-1)</f>
        <v/>
      </c>
      <c r="H159" s="0">
        <f>MID(D159,FIND("|",D159,FIND("|",D159,1))+1,FIND("|",D159,FIND("|",D159,1)+1)-FIND("|",D159,FIND("|",D159,1))-1)</f>
        <v/>
      </c>
      <c r="J159" s="0">
        <f>MID(D159,FIND(",",SUBSTITUTE(D159,"|",REPT(",",LEN(D159)),2))+1,FIND(",",SUBSTITUTE(D159,"|",REPT(",",LEN(D159)),3))-FIND(",",SUBSTITUTE(D159,"|",REPT(",",LEN(D159)),2))-1)</f>
        <v/>
      </c>
      <c r="K159" s="0">
        <f>MID(D159,FIND(",",SUBSTITUTE(D159,"|",REPT(",",LEN(D159)),3))+1,FIND(",",SUBSTITUTE(D159,"|",REPT(",",LEN(D159)),4))-FIND(",",SUBSTITUTE(D159,"|",REPT(",",LEN(D159)),3))-1)</f>
        <v/>
      </c>
      <c r="L159" s="0">
        <f>MID(D159,FIND(";",SUBSTITUTE(D159,"|",REPT(";",LEN(D159)),4))+1,FIND(";",SUBSTITUTE(D159,"|",REPT(";",LEN(D159)),5))-FIND(";",SUBSTITUTE(D159,"|",REPT(";",LEN(D159)),4))-1)</f>
        <v/>
      </c>
      <c r="M159" s="0">
        <f>MID(D159,FIND(";",SUBSTITUTE(D159,"|",REPT(";",LEN(D159)),6))+1,LEN(D159))</f>
        <v/>
      </c>
      <c r="N159" s="0">
        <f>MID(D159,FIND(";",SUBSTITUTE(D159,"|",REPT(";",LEN(D159)),5))+1,FIND(";",SUBSTITUTE(D159,"|",REPT(";",LEN(D159)),6))-FIND(";",SUBSTITUTE(D159,"|",REPT(";",LEN(D159)),5))-1)</f>
        <v/>
      </c>
    </row>
    <row r="160" ht="42" customHeight="1" s="21">
      <c r="A160" s="8" t="inlineStr">
        <is>
          <t>100102</t>
        </is>
      </c>
      <c r="B160" s="8" t="inlineStr">
        <is>
          <t>热轧板材</t>
        </is>
      </c>
      <c r="C160" s="8" t="inlineStr">
        <is>
          <t>600598500</t>
        </is>
      </c>
      <c r="D160" s="8" t="inlineStr">
        <is>
          <t>热轧优质碳素结构钢板|钢板|20|δ5|GB/T 711-2008|热轧|GB/T 709-2006</t>
        </is>
      </c>
      <c r="E160" s="8" t="inlineStr">
        <is>
          <t>物资名称 热轧优质碳素结构钢板;物资简称 钢板;牌号 20;厚度 δ5;宽 ;长 ;技术标准号 GB/T 711-2008;加工工艺 热轧;热处理工艺 ;特殊要求 ;规格标准号 GB/T 709-2006</t>
        </is>
      </c>
      <c r="F160" s="4" t="inlineStr">
        <is>
          <t>千克</t>
        </is>
      </c>
      <c r="G160" s="0">
        <f>LEFT(D160,FIND("|",D160,1)-1)</f>
        <v/>
      </c>
      <c r="H160" s="0">
        <f>MID(D160,FIND("|",D160,FIND("|",D160,1))+1,FIND("|",D160,FIND("|",D160,1)+1)-FIND("|",D160,FIND("|",D160,1))-1)</f>
        <v/>
      </c>
      <c r="J160" s="0">
        <f>MID(D160,FIND(",",SUBSTITUTE(D160,"|",REPT(",",LEN(D160)),2))+1,FIND(",",SUBSTITUTE(D160,"|",REPT(",",LEN(D160)),3))-FIND(",",SUBSTITUTE(D160,"|",REPT(",",LEN(D160)),2))-1)</f>
        <v/>
      </c>
      <c r="K160" s="0">
        <f>MID(D160,FIND(",",SUBSTITUTE(D160,"|",REPT(",",LEN(D160)),3))+1,FIND(",",SUBSTITUTE(D160,"|",REPT(",",LEN(D160)),4))-FIND(",",SUBSTITUTE(D160,"|",REPT(",",LEN(D160)),3))-1)</f>
        <v/>
      </c>
      <c r="L160" s="0">
        <f>MID(D160,FIND(";",SUBSTITUTE(D160,"|",REPT(";",LEN(D160)),4))+1,FIND(";",SUBSTITUTE(D160,"|",REPT(";",LEN(D160)),5))-FIND(";",SUBSTITUTE(D160,"|",REPT(";",LEN(D160)),4))-1)</f>
        <v/>
      </c>
      <c r="M160" s="0">
        <f>MID(D160,FIND(";",SUBSTITUTE(D160,"|",REPT(";",LEN(D160)),6))+1,LEN(D160))</f>
        <v/>
      </c>
      <c r="N160" s="0">
        <f>MID(D160,FIND(";",SUBSTITUTE(D160,"|",REPT(";",LEN(D160)),5))+1,FIND(";",SUBSTITUTE(D160,"|",REPT(";",LEN(D160)),6))-FIND(";",SUBSTITUTE(D160,"|",REPT(";",LEN(D160)),5))-1)</f>
        <v/>
      </c>
    </row>
    <row r="161" ht="28" customHeight="1" s="21">
      <c r="A161" s="8" t="inlineStr">
        <is>
          <t>100102</t>
        </is>
      </c>
      <c r="B161" s="8" t="inlineStr">
        <is>
          <t>热轧板材</t>
        </is>
      </c>
      <c r="C161" s="8" t="inlineStr">
        <is>
          <t>600598400</t>
        </is>
      </c>
      <c r="D161" s="8" t="inlineStr">
        <is>
          <t>热轧优质碳素结构钢板|钢板|25|GB/T 711-2008|GB/T 709-2006</t>
        </is>
      </c>
      <c r="E161" s="8" t="inlineStr">
        <is>
          <t>物资名称 热轧优质碳素结构钢板;物资简称 钢板;牌号 25;厚度 ;宽 ;长 ;技术标准号 GB/T 711-2008;加工工艺 ;热处理工艺 ;特殊要求 ;规格标准号 GB/T 709-2006</t>
        </is>
      </c>
      <c r="F161" s="4" t="inlineStr">
        <is>
          <t>千克</t>
        </is>
      </c>
      <c r="G161" s="0">
        <f>LEFT(D161,FIND("|",D161,1)-1)</f>
        <v/>
      </c>
      <c r="H161" s="0">
        <f>MID(D161,FIND("|",D161,FIND("|",D161,1))+1,FIND("|",D161,FIND("|",D161,1)+1)-FIND("|",D161,FIND("|",D161,1))-1)</f>
        <v/>
      </c>
      <c r="J161" s="0">
        <f>MID(D161,FIND(",",SUBSTITUTE(D161,"|",REPT(",",LEN(D161)),2))+1,FIND(",",SUBSTITUTE(D161,"|",REPT(",",LEN(D161)),3))-FIND(",",SUBSTITUTE(D161,"|",REPT(",",LEN(D161)),2))-1)</f>
        <v/>
      </c>
      <c r="L161" s="0">
        <f>MID(D161,FIND(",",SUBSTITUTE(D161,"|",REPT(",",LEN(D161)),3))+1,FIND(",",SUBSTITUTE(D161,"|",REPT(",",LEN(D161)),4))-FIND(",",SUBSTITUTE(D161,"|",REPT(",",LEN(D161)),3))-1)</f>
        <v/>
      </c>
      <c r="M161" s="0">
        <f>MID(D161,FIND(";",SUBSTITUTE(D161,"|",REPT(";",LEN(D161)),4))+1,LEN(D161))</f>
        <v/>
      </c>
    </row>
    <row r="162" ht="42" customHeight="1" s="21">
      <c r="A162" s="8" t="inlineStr">
        <is>
          <t>100102</t>
        </is>
      </c>
      <c r="B162" s="8" t="inlineStr">
        <is>
          <t>热轧板材</t>
        </is>
      </c>
      <c r="C162" s="8" t="inlineStr">
        <is>
          <t>600598300</t>
        </is>
      </c>
      <c r="D162" s="8" t="inlineStr">
        <is>
          <t>热轧优质碳素结构钢板|钢板|25|δ12|GB/T 711-2008|热轧|GB/T 709-2006</t>
        </is>
      </c>
      <c r="E162" s="8" t="inlineStr">
        <is>
          <t>物资名称 热轧优质碳素结构钢板;物资简称 钢板;牌号 25;厚度 δ12;宽 ;长 ;技术标准号 GB/T 711-2008;加工工艺 热轧;热处理工艺 ;特殊要求 ;规格标准号 GB/T 709-2006</t>
        </is>
      </c>
      <c r="F162" s="4" t="inlineStr">
        <is>
          <t>千克</t>
        </is>
      </c>
      <c r="G162" s="0">
        <f>LEFT(D162,FIND("|",D162,1)-1)</f>
        <v/>
      </c>
      <c r="H162" s="0">
        <f>MID(D162,FIND("|",D162,FIND("|",D162,1))+1,FIND("|",D162,FIND("|",D162,1)+1)-FIND("|",D162,FIND("|",D162,1))-1)</f>
        <v/>
      </c>
      <c r="J162" s="0">
        <f>MID(D162,FIND(",",SUBSTITUTE(D162,"|",REPT(",",LEN(D162)),2))+1,FIND(",",SUBSTITUTE(D162,"|",REPT(",",LEN(D162)),3))-FIND(",",SUBSTITUTE(D162,"|",REPT(",",LEN(D162)),2))-1)</f>
        <v/>
      </c>
      <c r="K162" s="0">
        <f>MID(D162,FIND(",",SUBSTITUTE(D162,"|",REPT(",",LEN(D162)),3))+1,FIND(",",SUBSTITUTE(D162,"|",REPT(",",LEN(D162)),4))-FIND(",",SUBSTITUTE(D162,"|",REPT(",",LEN(D162)),3))-1)</f>
        <v/>
      </c>
      <c r="L162" s="0">
        <f>MID(D162,FIND(";",SUBSTITUTE(D162,"|",REPT(";",LEN(D162)),4))+1,FIND(";",SUBSTITUTE(D162,"|",REPT(";",LEN(D162)),5))-FIND(";",SUBSTITUTE(D162,"|",REPT(";",LEN(D162)),4))-1)</f>
        <v/>
      </c>
      <c r="M162" s="0">
        <f>MID(D162,FIND(";",SUBSTITUTE(D162,"|",REPT(";",LEN(D162)),6))+1,LEN(D162))</f>
        <v/>
      </c>
      <c r="N162" s="0">
        <f>MID(D162,FIND(";",SUBSTITUTE(D162,"|",REPT(";",LEN(D162)),5))+1,FIND(";",SUBSTITUTE(D162,"|",REPT(";",LEN(D162)),6))-FIND(";",SUBSTITUTE(D162,"|",REPT(";",LEN(D162)),5))-1)</f>
        <v/>
      </c>
    </row>
    <row r="163" ht="28" customHeight="1" s="21">
      <c r="A163" s="8" t="inlineStr">
        <is>
          <t>100102</t>
        </is>
      </c>
      <c r="B163" s="8" t="inlineStr">
        <is>
          <t>热轧板材</t>
        </is>
      </c>
      <c r="C163" s="8" t="inlineStr">
        <is>
          <t>600598200</t>
        </is>
      </c>
      <c r="D163" s="8" t="inlineStr">
        <is>
          <t>热轧优质碳素结构钢板|钢板|35|GB/T 710-2008|GB/T 709-2006</t>
        </is>
      </c>
      <c r="E163" s="8" t="inlineStr">
        <is>
          <t>物资名称 热轧优质碳素结构钢板;物资简称 钢板;牌号 35;厚度 δ;宽 ;长 ;技术标准号 GB/T 710-2008;加工工艺 ;热处理工艺 ;特殊要求 ;规格标准号 GB/T 709-2006</t>
        </is>
      </c>
      <c r="F163" s="4" t="inlineStr">
        <is>
          <t>千克</t>
        </is>
      </c>
      <c r="G163" s="0">
        <f>LEFT(D163,FIND("|",D163,1)-1)</f>
        <v/>
      </c>
      <c r="H163" s="0">
        <f>MID(D163,FIND("|",D163,FIND("|",D163,1))+1,FIND("|",D163,FIND("|",D163,1)+1)-FIND("|",D163,FIND("|",D163,1))-1)</f>
        <v/>
      </c>
      <c r="J163" s="0">
        <f>MID(D163,FIND(",",SUBSTITUTE(D163,"|",REPT(",",LEN(D163)),2))+1,FIND(",",SUBSTITUTE(D163,"|",REPT(",",LEN(D163)),3))-FIND(",",SUBSTITUTE(D163,"|",REPT(",",LEN(D163)),2))-1)</f>
        <v/>
      </c>
      <c r="L163" s="0">
        <f>MID(D163,FIND(",",SUBSTITUTE(D163,"|",REPT(",",LEN(D163)),3))+1,FIND(",",SUBSTITUTE(D163,"|",REPT(",",LEN(D163)),4))-FIND(",",SUBSTITUTE(D163,"|",REPT(",",LEN(D163)),3))-1)</f>
        <v/>
      </c>
      <c r="M163" s="0">
        <f>MID(D163,FIND(";",SUBSTITUTE(D163,"|",REPT(";",LEN(D163)),4))+1,LEN(D163))</f>
        <v/>
      </c>
    </row>
    <row r="164" ht="42" customHeight="1" s="21">
      <c r="A164" s="8" t="inlineStr">
        <is>
          <t>100102</t>
        </is>
      </c>
      <c r="B164" s="8" t="inlineStr">
        <is>
          <t>热轧板材</t>
        </is>
      </c>
      <c r="C164" s="8" t="inlineStr">
        <is>
          <t>600598100</t>
        </is>
      </c>
      <c r="D164" s="8" t="inlineStr">
        <is>
          <t>热轧优质碳素结构钢板|钢板|35|δ1.5|GB/T 710-2008|热轧|GB/T 709-2006</t>
        </is>
      </c>
      <c r="E164" s="8" t="inlineStr">
        <is>
          <t>物资名称 热轧优质碳素结构钢板;物资简称 钢板;牌号 35;厚度 δ1.5;宽 ;长 ;技术标准号 GB/T 710-2008;加工工艺 热轧;热处理工艺 ;特殊要求 ;规格标准号 GB/T 709-2006</t>
        </is>
      </c>
      <c r="F164" s="4" t="inlineStr">
        <is>
          <t>千克</t>
        </is>
      </c>
      <c r="G164" s="0">
        <f>LEFT(D164,FIND("|",D164,1)-1)</f>
        <v/>
      </c>
      <c r="H164" s="0">
        <f>MID(D164,FIND("|",D164,FIND("|",D164,1))+1,FIND("|",D164,FIND("|",D164,1)+1)-FIND("|",D164,FIND("|",D164,1))-1)</f>
        <v/>
      </c>
      <c r="J164" s="0">
        <f>MID(D164,FIND(",",SUBSTITUTE(D164,"|",REPT(",",LEN(D164)),2))+1,FIND(",",SUBSTITUTE(D164,"|",REPT(",",LEN(D164)),3))-FIND(",",SUBSTITUTE(D164,"|",REPT(",",LEN(D164)),2))-1)</f>
        <v/>
      </c>
      <c r="K164" s="0">
        <f>MID(D164,FIND(",",SUBSTITUTE(D164,"|",REPT(",",LEN(D164)),3))+1,FIND(",",SUBSTITUTE(D164,"|",REPT(",",LEN(D164)),4))-FIND(",",SUBSTITUTE(D164,"|",REPT(",",LEN(D164)),3))-1)</f>
        <v/>
      </c>
      <c r="L164" s="0">
        <f>MID(D164,FIND(";",SUBSTITUTE(D164,"|",REPT(";",LEN(D164)),4))+1,FIND(";",SUBSTITUTE(D164,"|",REPT(";",LEN(D164)),5))-FIND(";",SUBSTITUTE(D164,"|",REPT(";",LEN(D164)),4))-1)</f>
        <v/>
      </c>
      <c r="M164" s="0">
        <f>MID(D164,FIND(";",SUBSTITUTE(D164,"|",REPT(";",LEN(D164)),6))+1,LEN(D164))</f>
        <v/>
      </c>
      <c r="N164" s="0">
        <f>MID(D164,FIND(";",SUBSTITUTE(D164,"|",REPT(";",LEN(D164)),5))+1,FIND(";",SUBSTITUTE(D164,"|",REPT(";",LEN(D164)),6))-FIND(";",SUBSTITUTE(D164,"|",REPT(";",LEN(D164)),5))-1)</f>
        <v/>
      </c>
    </row>
    <row r="165" ht="28" customHeight="1" s="21">
      <c r="A165" s="8" t="inlineStr">
        <is>
          <t>100102</t>
        </is>
      </c>
      <c r="B165" s="8" t="inlineStr">
        <is>
          <t>热轧板材</t>
        </is>
      </c>
      <c r="C165" s="8" t="inlineStr">
        <is>
          <t>600598000</t>
        </is>
      </c>
      <c r="D165" s="8" t="inlineStr">
        <is>
          <t>热轧优质碳素结构钢板|钢板|45|GB/T 711-2008|GB/T 709-2006</t>
        </is>
      </c>
      <c r="E165" s="8" t="inlineStr">
        <is>
          <t>物资名称 热轧优质碳素结构钢板;物资简称 钢板;牌号 45;厚度 ;宽 ;长 ;技术标准号 GB/T 711-2008;加工工艺 ;热处理工艺 ;特殊要求 ;规格标准号 GB/T 709-2006</t>
        </is>
      </c>
      <c r="F165" s="4" t="inlineStr">
        <is>
          <t>千克</t>
        </is>
      </c>
      <c r="G165" s="0">
        <f>LEFT(D165,FIND("|",D165,1)-1)</f>
        <v/>
      </c>
      <c r="H165" s="0">
        <f>MID(D165,FIND("|",D165,FIND("|",D165,1))+1,FIND("|",D165,FIND("|",D165,1)+1)-FIND("|",D165,FIND("|",D165,1))-1)</f>
        <v/>
      </c>
      <c r="J165" s="0">
        <f>MID(D165,FIND(",",SUBSTITUTE(D165,"|",REPT(",",LEN(D165)),2))+1,FIND(",",SUBSTITUTE(D165,"|",REPT(",",LEN(D165)),3))-FIND(",",SUBSTITUTE(D165,"|",REPT(",",LEN(D165)),2))-1)</f>
        <v/>
      </c>
      <c r="L165" s="0">
        <f>MID(D165,FIND(",",SUBSTITUTE(D165,"|",REPT(",",LEN(D165)),3))+1,FIND(",",SUBSTITUTE(D165,"|",REPT(",",LEN(D165)),4))-FIND(",",SUBSTITUTE(D165,"|",REPT(",",LEN(D165)),3))-1)</f>
        <v/>
      </c>
      <c r="M165" s="0">
        <f>MID(D165,FIND(";",SUBSTITUTE(D165,"|",REPT(";",LEN(D165)),4))+1,LEN(D165))</f>
        <v/>
      </c>
    </row>
    <row r="166" ht="42" customHeight="1" s="21">
      <c r="A166" s="8" t="inlineStr">
        <is>
          <t>100102</t>
        </is>
      </c>
      <c r="B166" s="8" t="inlineStr">
        <is>
          <t>热轧板材</t>
        </is>
      </c>
      <c r="C166" s="8" t="inlineStr">
        <is>
          <t>600597900</t>
        </is>
      </c>
      <c r="D166" s="8" t="inlineStr">
        <is>
          <t>热轧优质碳素结构钢板|钢板|45|δ6|GB/T 711-2008|热轧|GB/T 709-2006</t>
        </is>
      </c>
      <c r="E166" s="8" t="inlineStr">
        <is>
          <t>物资名称 热轧优质碳素结构钢板;物资简称 钢板;牌号 45;厚度 δ6;宽 ;长 ;技术标准号 GB/T 711-2008;加工工艺 热轧;热处理工艺 ;特殊要求 ;规格标准号 GB/T 709-2006</t>
        </is>
      </c>
      <c r="F166" s="4" t="inlineStr">
        <is>
          <t>千克</t>
        </is>
      </c>
      <c r="G166" s="0">
        <f>LEFT(D166,FIND("|",D166,1)-1)</f>
        <v/>
      </c>
      <c r="H166" s="0">
        <f>MID(D166,FIND("|",D166,FIND("|",D166,1))+1,FIND("|",D166,FIND("|",D166,1)+1)-FIND("|",D166,FIND("|",D166,1))-1)</f>
        <v/>
      </c>
      <c r="J166" s="0">
        <f>MID(D166,FIND(",",SUBSTITUTE(D166,"|",REPT(",",LEN(D166)),2))+1,FIND(",",SUBSTITUTE(D166,"|",REPT(",",LEN(D166)),3))-FIND(",",SUBSTITUTE(D166,"|",REPT(",",LEN(D166)),2))-1)</f>
        <v/>
      </c>
      <c r="K166" s="0">
        <f>MID(D166,FIND(",",SUBSTITUTE(D166,"|",REPT(",",LEN(D166)),3))+1,FIND(",",SUBSTITUTE(D166,"|",REPT(",",LEN(D166)),4))-FIND(",",SUBSTITUTE(D166,"|",REPT(",",LEN(D166)),3))-1)</f>
        <v/>
      </c>
      <c r="L166" s="0">
        <f>MID(D166,FIND(";",SUBSTITUTE(D166,"|",REPT(";",LEN(D166)),4))+1,FIND(";",SUBSTITUTE(D166,"|",REPT(";",LEN(D166)),5))-FIND(";",SUBSTITUTE(D166,"|",REPT(";",LEN(D166)),4))-1)</f>
        <v/>
      </c>
      <c r="M166" s="0">
        <f>MID(D166,FIND(";",SUBSTITUTE(D166,"|",REPT(";",LEN(D166)),6))+1,LEN(D166))</f>
        <v/>
      </c>
      <c r="N166" s="0">
        <f>MID(D166,FIND(";",SUBSTITUTE(D166,"|",REPT(";",LEN(D166)),5))+1,FIND(";",SUBSTITUTE(D166,"|",REPT(";",LEN(D166)),6))-FIND(";",SUBSTITUTE(D166,"|",REPT(";",LEN(D166)),5))-1)</f>
        <v/>
      </c>
    </row>
    <row r="167" ht="42" customHeight="1" s="21">
      <c r="A167" s="8" t="inlineStr">
        <is>
          <t>100102</t>
        </is>
      </c>
      <c r="B167" s="8" t="inlineStr">
        <is>
          <t>热轧板材</t>
        </is>
      </c>
      <c r="C167" s="8" t="inlineStr">
        <is>
          <t>600597800</t>
        </is>
      </c>
      <c r="D167" s="8" t="inlineStr">
        <is>
          <t>热轧优质碳素结构钢板|钢板|45|δ8|GB/T 711-2008|热轧|GB/T 709-2006</t>
        </is>
      </c>
      <c r="E167" s="8" t="inlineStr">
        <is>
          <t>物资名称 热轧优质碳素结构钢板;物资简称 钢板;牌号 45;厚度 δ8;宽 ;长 ;技术标准号 GB/T 711-2008;加工工艺 热轧;热处理工艺 ;特殊要求 ;规格标准号 GB/T 709-2006</t>
        </is>
      </c>
      <c r="F167" s="4" t="inlineStr">
        <is>
          <t>千克</t>
        </is>
      </c>
      <c r="G167" s="0">
        <f>LEFT(D167,FIND("|",D167,1)-1)</f>
        <v/>
      </c>
      <c r="H167" s="0">
        <f>MID(D167,FIND("|",D167,FIND("|",D167,1))+1,FIND("|",D167,FIND("|",D167,1)+1)-FIND("|",D167,FIND("|",D167,1))-1)</f>
        <v/>
      </c>
      <c r="J167" s="0">
        <f>MID(D167,FIND(",",SUBSTITUTE(D167,"|",REPT(",",LEN(D167)),2))+1,FIND(",",SUBSTITUTE(D167,"|",REPT(",",LEN(D167)),3))-FIND(",",SUBSTITUTE(D167,"|",REPT(",",LEN(D167)),2))-1)</f>
        <v/>
      </c>
      <c r="K167" s="0">
        <f>MID(D167,FIND(",",SUBSTITUTE(D167,"|",REPT(",",LEN(D167)),3))+1,FIND(",",SUBSTITUTE(D167,"|",REPT(",",LEN(D167)),4))-FIND(",",SUBSTITUTE(D167,"|",REPT(",",LEN(D167)),3))-1)</f>
        <v/>
      </c>
      <c r="L167" s="0">
        <f>MID(D167,FIND(";",SUBSTITUTE(D167,"|",REPT(";",LEN(D167)),4))+1,FIND(";",SUBSTITUTE(D167,"|",REPT(";",LEN(D167)),5))-FIND(";",SUBSTITUTE(D167,"|",REPT(";",LEN(D167)),4))-1)</f>
        <v/>
      </c>
      <c r="M167" s="0">
        <f>MID(D167,FIND(";",SUBSTITUTE(D167,"|",REPT(";",LEN(D167)),6))+1,LEN(D167))</f>
        <v/>
      </c>
      <c r="N167" s="0">
        <f>MID(D167,FIND(";",SUBSTITUTE(D167,"|",REPT(";",LEN(D167)),5))+1,FIND(";",SUBSTITUTE(D167,"|",REPT(";",LEN(D167)),6))-FIND(";",SUBSTITUTE(D167,"|",REPT(";",LEN(D167)),5))-1)</f>
        <v/>
      </c>
    </row>
    <row r="168" ht="42" customHeight="1" s="21">
      <c r="A168" s="8" t="inlineStr">
        <is>
          <t>100102</t>
        </is>
      </c>
      <c r="B168" s="8" t="inlineStr">
        <is>
          <t>热轧板材</t>
        </is>
      </c>
      <c r="C168" s="8" t="inlineStr">
        <is>
          <t>600597700</t>
        </is>
      </c>
      <c r="D168" s="8" t="inlineStr">
        <is>
          <t>热轧优质碳素结构钢板|钢板|45|δ10|GB/T 711-2008|热轧|GB/T 709-2006</t>
        </is>
      </c>
      <c r="E168" s="8" t="inlineStr">
        <is>
          <t>物资名称 热轧优质碳素结构钢板;物资简称 钢板;牌号 45;厚度 δ10;宽 ;长 ;技术标准号 GB/T 711-2008;加工工艺 热轧;热处理工艺 ;特殊要求 ;规格标准号 GB/T 709-2006</t>
        </is>
      </c>
      <c r="F168" s="4" t="inlineStr">
        <is>
          <t>千克</t>
        </is>
      </c>
      <c r="G168" s="0">
        <f>LEFT(D168,FIND("|",D168,1)-1)</f>
        <v/>
      </c>
      <c r="H168" s="0">
        <f>MID(D168,FIND("|",D168,FIND("|",D168,1))+1,FIND("|",D168,FIND("|",D168,1)+1)-FIND("|",D168,FIND("|",D168,1))-1)</f>
        <v/>
      </c>
      <c r="J168" s="0">
        <f>MID(D168,FIND(",",SUBSTITUTE(D168,"|",REPT(",",LEN(D168)),2))+1,FIND(",",SUBSTITUTE(D168,"|",REPT(",",LEN(D168)),3))-FIND(",",SUBSTITUTE(D168,"|",REPT(",",LEN(D168)),2))-1)</f>
        <v/>
      </c>
      <c r="K168" s="0">
        <f>MID(D168,FIND(",",SUBSTITUTE(D168,"|",REPT(",",LEN(D168)),3))+1,FIND(",",SUBSTITUTE(D168,"|",REPT(",",LEN(D168)),4))-FIND(",",SUBSTITUTE(D168,"|",REPT(",",LEN(D168)),3))-1)</f>
        <v/>
      </c>
      <c r="L168" s="0">
        <f>MID(D168,FIND(";",SUBSTITUTE(D168,"|",REPT(";",LEN(D168)),4))+1,FIND(";",SUBSTITUTE(D168,"|",REPT(";",LEN(D168)),5))-FIND(";",SUBSTITUTE(D168,"|",REPT(";",LEN(D168)),4))-1)</f>
        <v/>
      </c>
      <c r="M168" s="0">
        <f>MID(D168,FIND(";",SUBSTITUTE(D168,"|",REPT(";",LEN(D168)),6))+1,LEN(D168))</f>
        <v/>
      </c>
      <c r="N168" s="0">
        <f>MID(D168,FIND(";",SUBSTITUTE(D168,"|",REPT(";",LEN(D168)),5))+1,FIND(";",SUBSTITUTE(D168,"|",REPT(";",LEN(D168)),6))-FIND(";",SUBSTITUTE(D168,"|",REPT(";",LEN(D168)),5))-1)</f>
        <v/>
      </c>
    </row>
    <row r="169" ht="42" customHeight="1" s="21">
      <c r="A169" s="8" t="inlineStr">
        <is>
          <t>100102</t>
        </is>
      </c>
      <c r="B169" s="8" t="inlineStr">
        <is>
          <t>热轧板材</t>
        </is>
      </c>
      <c r="C169" s="8" t="inlineStr">
        <is>
          <t>600597600</t>
        </is>
      </c>
      <c r="D169" s="8" t="inlineStr">
        <is>
          <t>热轧优质碳素结构钢板|钢板|45|δ12|GB/T 711-2008|热轧|GB/T 709-2006</t>
        </is>
      </c>
      <c r="E169" s="8" t="inlineStr">
        <is>
          <t>物资名称 热轧优质碳素结构钢板;物资简称 钢板;牌号 45;厚度 δ12;宽 ;长 ;技术标准号 GB/T 711-2008;加工工艺 热轧;热处理工艺 ;特殊要求 ;规格标准号 GB/T 709-2006</t>
        </is>
      </c>
      <c r="F169" s="4" t="inlineStr">
        <is>
          <t>千克</t>
        </is>
      </c>
      <c r="G169" s="0">
        <f>LEFT(D169,FIND("|",D169,1)-1)</f>
        <v/>
      </c>
      <c r="H169" s="0">
        <f>MID(D169,FIND("|",D169,FIND("|",D169,1))+1,FIND("|",D169,FIND("|",D169,1)+1)-FIND("|",D169,FIND("|",D169,1))-1)</f>
        <v/>
      </c>
      <c r="J169" s="0">
        <f>MID(D169,FIND(",",SUBSTITUTE(D169,"|",REPT(",",LEN(D169)),2))+1,FIND(",",SUBSTITUTE(D169,"|",REPT(",",LEN(D169)),3))-FIND(",",SUBSTITUTE(D169,"|",REPT(",",LEN(D169)),2))-1)</f>
        <v/>
      </c>
      <c r="K169" s="0">
        <f>MID(D169,FIND(",",SUBSTITUTE(D169,"|",REPT(",",LEN(D169)),3))+1,FIND(",",SUBSTITUTE(D169,"|",REPT(",",LEN(D169)),4))-FIND(",",SUBSTITUTE(D169,"|",REPT(",",LEN(D169)),3))-1)</f>
        <v/>
      </c>
      <c r="L169" s="0">
        <f>MID(D169,FIND(";",SUBSTITUTE(D169,"|",REPT(";",LEN(D169)),4))+1,FIND(";",SUBSTITUTE(D169,"|",REPT(";",LEN(D169)),5))-FIND(";",SUBSTITUTE(D169,"|",REPT(";",LEN(D169)),4))-1)</f>
        <v/>
      </c>
      <c r="M169" s="0">
        <f>MID(D169,FIND(";",SUBSTITUTE(D169,"|",REPT(";",LEN(D169)),6))+1,LEN(D169))</f>
        <v/>
      </c>
      <c r="N169" s="0">
        <f>MID(D169,FIND(";",SUBSTITUTE(D169,"|",REPT(";",LEN(D169)),5))+1,FIND(";",SUBSTITUTE(D169,"|",REPT(";",LEN(D169)),6))-FIND(";",SUBSTITUTE(D169,"|",REPT(";",LEN(D169)),5))-1)</f>
        <v/>
      </c>
    </row>
    <row r="170" ht="42" customHeight="1" s="21">
      <c r="A170" s="8" t="inlineStr">
        <is>
          <t>100102</t>
        </is>
      </c>
      <c r="B170" s="8" t="inlineStr">
        <is>
          <t>热轧板材</t>
        </is>
      </c>
      <c r="C170" s="8" t="inlineStr">
        <is>
          <t>600597500</t>
        </is>
      </c>
      <c r="D170" s="8" t="inlineStr">
        <is>
          <t>热轧优质碳素结构钢板|钢板|45|δ15|GB/T 711-2008|热轧|GB/T 709-2006</t>
        </is>
      </c>
      <c r="E170" s="8" t="inlineStr">
        <is>
          <t>物资名称 热轧优质碳素结构钢板;物资简称 钢板;牌号 45;厚度 δ15;宽 ;长 ;技术标准号 GB/T 711-2008;加工工艺 热轧;热处理工艺 ;特殊要求 ;规格标准号 GB/T 709-2006</t>
        </is>
      </c>
      <c r="F170" s="4" t="inlineStr">
        <is>
          <t>千克</t>
        </is>
      </c>
      <c r="G170" s="0">
        <f>LEFT(D170,FIND("|",D170,1)-1)</f>
        <v/>
      </c>
      <c r="H170" s="0">
        <f>MID(D170,FIND("|",D170,FIND("|",D170,1))+1,FIND("|",D170,FIND("|",D170,1)+1)-FIND("|",D170,FIND("|",D170,1))-1)</f>
        <v/>
      </c>
      <c r="J170" s="0">
        <f>MID(D170,FIND(",",SUBSTITUTE(D170,"|",REPT(",",LEN(D170)),2))+1,FIND(",",SUBSTITUTE(D170,"|",REPT(",",LEN(D170)),3))-FIND(",",SUBSTITUTE(D170,"|",REPT(",",LEN(D170)),2))-1)</f>
        <v/>
      </c>
      <c r="K170" s="0">
        <f>MID(D170,FIND(",",SUBSTITUTE(D170,"|",REPT(",",LEN(D170)),3))+1,FIND(",",SUBSTITUTE(D170,"|",REPT(",",LEN(D170)),4))-FIND(",",SUBSTITUTE(D170,"|",REPT(",",LEN(D170)),3))-1)</f>
        <v/>
      </c>
      <c r="L170" s="0">
        <f>MID(D170,FIND(";",SUBSTITUTE(D170,"|",REPT(";",LEN(D170)),4))+1,FIND(";",SUBSTITUTE(D170,"|",REPT(";",LEN(D170)),5))-FIND(";",SUBSTITUTE(D170,"|",REPT(";",LEN(D170)),4))-1)</f>
        <v/>
      </c>
      <c r="M170" s="0">
        <f>MID(D170,FIND(";",SUBSTITUTE(D170,"|",REPT(";",LEN(D170)),6))+1,LEN(D170))</f>
        <v/>
      </c>
      <c r="N170" s="0">
        <f>MID(D170,FIND(";",SUBSTITUTE(D170,"|",REPT(";",LEN(D170)),5))+1,FIND(";",SUBSTITUTE(D170,"|",REPT(";",LEN(D170)),6))-FIND(";",SUBSTITUTE(D170,"|",REPT(";",LEN(D170)),5))-1)</f>
        <v/>
      </c>
    </row>
    <row r="171" ht="42" customHeight="1" s="21">
      <c r="A171" s="8" t="inlineStr">
        <is>
          <t>100102</t>
        </is>
      </c>
      <c r="B171" s="8" t="inlineStr">
        <is>
          <t>热轧板材</t>
        </is>
      </c>
      <c r="C171" s="8" t="inlineStr">
        <is>
          <t>600597400</t>
        </is>
      </c>
      <c r="D171" s="8" t="inlineStr">
        <is>
          <t>热轧优质碳素结构钢板|钢板|45|δ20|GB/T 711-2008|热轧|GB/T 709-2006</t>
        </is>
      </c>
      <c r="E171" s="8" t="inlineStr">
        <is>
          <t>物资名称 热轧优质碳素结构钢板;物资简称 钢板;牌号 45;厚度 δ20;宽 ;长 ;技术标准号 GB/T 711-2008;加工工艺 热轧;热处理工艺 ;特殊要求 ;规格标准号 GB/T 709-2006</t>
        </is>
      </c>
      <c r="F171" s="4" t="inlineStr">
        <is>
          <t>千克</t>
        </is>
      </c>
      <c r="G171" s="0">
        <f>LEFT(D171,FIND("|",D171,1)-1)</f>
        <v/>
      </c>
      <c r="H171" s="0">
        <f>MID(D171,FIND("|",D171,FIND("|",D171,1))+1,FIND("|",D171,FIND("|",D171,1)+1)-FIND("|",D171,FIND("|",D171,1))-1)</f>
        <v/>
      </c>
      <c r="J171" s="0">
        <f>MID(D171,FIND(",",SUBSTITUTE(D171,"|",REPT(",",LEN(D171)),2))+1,FIND(",",SUBSTITUTE(D171,"|",REPT(",",LEN(D171)),3))-FIND(",",SUBSTITUTE(D171,"|",REPT(",",LEN(D171)),2))-1)</f>
        <v/>
      </c>
      <c r="K171" s="0">
        <f>MID(D171,FIND(",",SUBSTITUTE(D171,"|",REPT(",",LEN(D171)),3))+1,FIND(",",SUBSTITUTE(D171,"|",REPT(",",LEN(D171)),4))-FIND(",",SUBSTITUTE(D171,"|",REPT(",",LEN(D171)),3))-1)</f>
        <v/>
      </c>
      <c r="L171" s="0">
        <f>MID(D171,FIND(";",SUBSTITUTE(D171,"|",REPT(";",LEN(D171)),4))+1,FIND(";",SUBSTITUTE(D171,"|",REPT(";",LEN(D171)),5))-FIND(";",SUBSTITUTE(D171,"|",REPT(";",LEN(D171)),4))-1)</f>
        <v/>
      </c>
      <c r="M171" s="0">
        <f>MID(D171,FIND(";",SUBSTITUTE(D171,"|",REPT(";",LEN(D171)),6))+1,LEN(D171))</f>
        <v/>
      </c>
      <c r="N171" s="0">
        <f>MID(D171,FIND(";",SUBSTITUTE(D171,"|",REPT(";",LEN(D171)),5))+1,FIND(";",SUBSTITUTE(D171,"|",REPT(";",LEN(D171)),6))-FIND(";",SUBSTITUTE(D171,"|",REPT(";",LEN(D171)),5))-1)</f>
        <v/>
      </c>
    </row>
    <row r="172" ht="42" customHeight="1" s="21">
      <c r="A172" s="8" t="inlineStr">
        <is>
          <t>100102</t>
        </is>
      </c>
      <c r="B172" s="8" t="inlineStr">
        <is>
          <t>热轧板材</t>
        </is>
      </c>
      <c r="C172" s="8" t="inlineStr">
        <is>
          <t>600597300</t>
        </is>
      </c>
      <c r="D172" s="8" t="inlineStr">
        <is>
          <t>热轧优质碳素结构钢板|钢板|45|δ35|GB/T 711-2008|热轧|GB/T 709-2006</t>
        </is>
      </c>
      <c r="E172" s="8" t="inlineStr">
        <is>
          <t>物资名称 热轧优质碳素结构钢板;物资简称 钢板;牌号 45;厚度 δ35;宽 ;长 ;技术标准号 GB/T 711-2008;加工工艺 热轧;热处理工艺 ;特殊要求 ;规格标准号 GB/T 709-2006</t>
        </is>
      </c>
      <c r="F172" s="4" t="inlineStr">
        <is>
          <t>千克</t>
        </is>
      </c>
      <c r="G172" s="0">
        <f>LEFT(D172,FIND("|",D172,1)-1)</f>
        <v/>
      </c>
      <c r="H172" s="0">
        <f>MID(D172,FIND("|",D172,FIND("|",D172,1))+1,FIND("|",D172,FIND("|",D172,1)+1)-FIND("|",D172,FIND("|",D172,1))-1)</f>
        <v/>
      </c>
      <c r="J172" s="0">
        <f>MID(D172,FIND(",",SUBSTITUTE(D172,"|",REPT(",",LEN(D172)),2))+1,FIND(",",SUBSTITUTE(D172,"|",REPT(",",LEN(D172)),3))-FIND(",",SUBSTITUTE(D172,"|",REPT(",",LEN(D172)),2))-1)</f>
        <v/>
      </c>
      <c r="K172" s="0">
        <f>MID(D172,FIND(",",SUBSTITUTE(D172,"|",REPT(",",LEN(D172)),3))+1,FIND(",",SUBSTITUTE(D172,"|",REPT(",",LEN(D172)),4))-FIND(",",SUBSTITUTE(D172,"|",REPT(",",LEN(D172)),3))-1)</f>
        <v/>
      </c>
      <c r="L172" s="0">
        <f>MID(D172,FIND(";",SUBSTITUTE(D172,"|",REPT(";",LEN(D172)),4))+1,FIND(";",SUBSTITUTE(D172,"|",REPT(";",LEN(D172)),5))-FIND(";",SUBSTITUTE(D172,"|",REPT(";",LEN(D172)),4))-1)</f>
        <v/>
      </c>
      <c r="M172" s="0">
        <f>MID(D172,FIND(";",SUBSTITUTE(D172,"|",REPT(";",LEN(D172)),6))+1,LEN(D172))</f>
        <v/>
      </c>
      <c r="N172" s="0">
        <f>MID(D172,FIND(";",SUBSTITUTE(D172,"|",REPT(";",LEN(D172)),5))+1,FIND(";",SUBSTITUTE(D172,"|",REPT(";",LEN(D172)),6))-FIND(";",SUBSTITUTE(D172,"|",REPT(";",LEN(D172)),5))-1)</f>
        <v/>
      </c>
    </row>
    <row r="173" ht="42" customHeight="1" s="21">
      <c r="A173" s="8" t="inlineStr">
        <is>
          <t>100102</t>
        </is>
      </c>
      <c r="B173" s="8" t="inlineStr">
        <is>
          <t>热轧板材</t>
        </is>
      </c>
      <c r="C173" s="8" t="inlineStr">
        <is>
          <t>600597200</t>
        </is>
      </c>
      <c r="D173" s="8" t="inlineStr">
        <is>
          <t>热轧优质碳素结构钢板|钢板|45|δ40|GB/T 711-2008|热轧|GB/T 709-2006</t>
        </is>
      </c>
      <c r="E173" s="8" t="inlineStr">
        <is>
          <t>物资名称 热轧优质碳素结构钢板;物资简称 钢板;牌号 45;厚度 δ40;宽 ;长 ;技术标准号 GB/T 711-2008;加工工艺 热轧;热处理工艺 ;特殊要求 ;规格标准号 GB/T 709-2006</t>
        </is>
      </c>
      <c r="F173" s="4" t="inlineStr">
        <is>
          <t>千克</t>
        </is>
      </c>
      <c r="G173" s="0">
        <f>LEFT(D173,FIND("|",D173,1)-1)</f>
        <v/>
      </c>
      <c r="H173" s="0">
        <f>MID(D173,FIND("|",D173,FIND("|",D173,1))+1,FIND("|",D173,FIND("|",D173,1)+1)-FIND("|",D173,FIND("|",D173,1))-1)</f>
        <v/>
      </c>
      <c r="J173" s="0">
        <f>MID(D173,FIND(",",SUBSTITUTE(D173,"|",REPT(",",LEN(D173)),2))+1,FIND(",",SUBSTITUTE(D173,"|",REPT(",",LEN(D173)),3))-FIND(",",SUBSTITUTE(D173,"|",REPT(",",LEN(D173)),2))-1)</f>
        <v/>
      </c>
      <c r="K173" s="0">
        <f>MID(D173,FIND(",",SUBSTITUTE(D173,"|",REPT(",",LEN(D173)),3))+1,FIND(",",SUBSTITUTE(D173,"|",REPT(",",LEN(D173)),4))-FIND(",",SUBSTITUTE(D173,"|",REPT(",",LEN(D173)),3))-1)</f>
        <v/>
      </c>
      <c r="L173" s="0">
        <f>MID(D173,FIND(";",SUBSTITUTE(D173,"|",REPT(";",LEN(D173)),4))+1,FIND(";",SUBSTITUTE(D173,"|",REPT(";",LEN(D173)),5))-FIND(";",SUBSTITUTE(D173,"|",REPT(";",LEN(D173)),4))-1)</f>
        <v/>
      </c>
      <c r="M173" s="0">
        <f>MID(D173,FIND(";",SUBSTITUTE(D173,"|",REPT(";",LEN(D173)),6))+1,LEN(D173))</f>
        <v/>
      </c>
      <c r="N173" s="0">
        <f>MID(D173,FIND(";",SUBSTITUTE(D173,"|",REPT(";",LEN(D173)),5))+1,FIND(";",SUBSTITUTE(D173,"|",REPT(";",LEN(D173)),6))-FIND(";",SUBSTITUTE(D173,"|",REPT(";",LEN(D173)),5))-1)</f>
        <v/>
      </c>
    </row>
    <row r="174" ht="42" customHeight="1" s="21">
      <c r="A174" s="8" t="inlineStr">
        <is>
          <t>100102</t>
        </is>
      </c>
      <c r="B174" s="8" t="inlineStr">
        <is>
          <t>热轧板材</t>
        </is>
      </c>
      <c r="C174" s="8" t="inlineStr">
        <is>
          <t>600597100</t>
        </is>
      </c>
      <c r="D174" s="8" t="inlineStr">
        <is>
          <t>热轧优质碳素结构钢板|钢板|45|δ55|GB/T 711-2008|热轧|GB/T 709-2006</t>
        </is>
      </c>
      <c r="E174" s="8" t="inlineStr">
        <is>
          <t>物资名称 热轧优质碳素结构钢板;物资简称 钢板;牌号 45;厚度 δ55;宽 ;长 ;技术标准号 GB/T 711-2008;加工工艺 热轧;热处理工艺 ;特殊要求 ;规格标准号 GB/T 709-2006</t>
        </is>
      </c>
      <c r="F174" s="4" t="inlineStr">
        <is>
          <t>千克</t>
        </is>
      </c>
      <c r="G174" s="0">
        <f>LEFT(D174,FIND("|",D174,1)-1)</f>
        <v/>
      </c>
      <c r="H174" s="0">
        <f>MID(D174,FIND("|",D174,FIND("|",D174,1))+1,FIND("|",D174,FIND("|",D174,1)+1)-FIND("|",D174,FIND("|",D174,1))-1)</f>
        <v/>
      </c>
      <c r="J174" s="0">
        <f>MID(D174,FIND(",",SUBSTITUTE(D174,"|",REPT(",",LEN(D174)),2))+1,FIND(",",SUBSTITUTE(D174,"|",REPT(",",LEN(D174)),3))-FIND(",",SUBSTITUTE(D174,"|",REPT(",",LEN(D174)),2))-1)</f>
        <v/>
      </c>
      <c r="K174" s="0">
        <f>MID(D174,FIND(",",SUBSTITUTE(D174,"|",REPT(",",LEN(D174)),3))+1,FIND(",",SUBSTITUTE(D174,"|",REPT(",",LEN(D174)),4))-FIND(",",SUBSTITUTE(D174,"|",REPT(",",LEN(D174)),3))-1)</f>
        <v/>
      </c>
      <c r="L174" s="0">
        <f>MID(D174,FIND(";",SUBSTITUTE(D174,"|",REPT(";",LEN(D174)),4))+1,FIND(";",SUBSTITUTE(D174,"|",REPT(";",LEN(D174)),5))-FIND(";",SUBSTITUTE(D174,"|",REPT(";",LEN(D174)),4))-1)</f>
        <v/>
      </c>
      <c r="M174" s="0">
        <f>MID(D174,FIND(";",SUBSTITUTE(D174,"|",REPT(";",LEN(D174)),6))+1,LEN(D174))</f>
        <v/>
      </c>
      <c r="N174" s="0">
        <f>MID(D174,FIND(";",SUBSTITUTE(D174,"|",REPT(";",LEN(D174)),5))+1,FIND(";",SUBSTITUTE(D174,"|",REPT(";",LEN(D174)),6))-FIND(";",SUBSTITUTE(D174,"|",REPT(";",LEN(D174)),5))-1)</f>
        <v/>
      </c>
    </row>
    <row r="175" ht="28" customHeight="1" s="21">
      <c r="A175" s="8" t="inlineStr">
        <is>
          <t>100199</t>
        </is>
      </c>
      <c r="B175" s="8" t="inlineStr">
        <is>
          <t>其他板材</t>
        </is>
      </c>
      <c r="C175" s="8" t="inlineStr">
        <is>
          <t>601498400</t>
        </is>
      </c>
      <c r="D175" s="8" t="inlineStr">
        <is>
          <t>钛板|钛板|TA15 M|δ2×100×100|XJ/BS 5282-2004</t>
        </is>
      </c>
      <c r="E175" s="8" t="inlineStr">
        <is>
          <t xml:space="preserve">物资名称 钛板;物资简称 钛板;牌号 TA15 M;厚度 δ2;宽 100;长 100;技术标准号 XJ/BS 5282-2004;加工工艺 ;热处理工艺 ;特殊要求 ;规格标准号 </t>
        </is>
      </c>
      <c r="F175" s="4" t="inlineStr">
        <is>
          <t>把</t>
        </is>
      </c>
      <c r="G175" s="0">
        <f>LEFT(D175,FIND("|",D175,1)-1)</f>
        <v/>
      </c>
      <c r="H175" s="0">
        <f>MID(D175,FIND("|",D175,FIND("|",D175,1))+1,FIND("|",D175,FIND("|",D175,1)+1)-FIND("|",D175,FIND("|",D175,1))-1)</f>
        <v/>
      </c>
      <c r="J175" s="0">
        <f>MID(D175,FIND(",",SUBSTITUTE(D175,"|",REPT(",",LEN(D175)),2))+1,FIND(",",SUBSTITUTE(D175,"|",REPT(",",LEN(D175)),3))-FIND(",",SUBSTITUTE(D175,"|",REPT(",",LEN(D175)),2))-1)</f>
        <v/>
      </c>
      <c r="K175" s="0">
        <f>MID(D175,FIND(",",SUBSTITUTE(D175,"|",REPT(",",LEN(D175)),3))+1,FIND(",",SUBSTITUTE(D175,"|",REPT(",",LEN(D175)),4))-FIND(",",SUBSTITUTE(D175,"|",REPT(",",LEN(D175)),3))-1)</f>
        <v/>
      </c>
      <c r="L175" s="0">
        <f>MID(D175,FIND(";",SUBSTITUTE(D175,"|",REPT(";",LEN(D175)),4))+1,LEN(D175))</f>
        <v/>
      </c>
    </row>
    <row r="176" ht="42" customHeight="1" s="21">
      <c r="A176" s="8" t="inlineStr">
        <is>
          <t>100401</t>
        </is>
      </c>
      <c r="B176" s="8" t="inlineStr">
        <is>
          <t>钢带</t>
        </is>
      </c>
      <c r="C176" s="8" t="inlineStr">
        <is>
          <t>603573200</t>
        </is>
      </c>
      <c r="D176" s="8" t="inlineStr">
        <is>
          <t>冷轧不锈钢带|钢带|45-P-G-Q-I|δ1×30|YB207-1965|冷轧|H1/4|N|GB/T 708-2006</t>
        </is>
      </c>
      <c r="E176" s="8" t="inlineStr">
        <is>
          <t>物资名称 冷轧不锈钢带;物资简称 钢带;牌号 45-P-G-Q-I;厚度 δ1;宽 30;技术标准号 YB207-1965;加工工艺 冷轧;热处理工艺 H1/4;特殊要求 N;规格标准号 GB/T 708-2006</t>
        </is>
      </c>
      <c r="F176" s="4" t="inlineStr">
        <is>
          <t>千克</t>
        </is>
      </c>
      <c r="G176" s="0">
        <f>LEFT(D176,FIND("|",D176,1)-1)</f>
        <v/>
      </c>
      <c r="H176" s="0">
        <f>MID(D176,FIND("|",D176,FIND("|",D176,1))+1,FIND("|",D176,FIND("|",D176,1)+1)-FIND("|",D176,FIND("|",D176,1))-1)</f>
        <v/>
      </c>
      <c r="J176" s="0">
        <f>MID(D176,FIND(",",SUBSTITUTE(D176,"|",REPT(",",LEN(D176)),2))+1,FIND(",",SUBSTITUTE(D176,"|",REPT(",",LEN(D176)),3))-FIND(",",SUBSTITUTE(D176,"|",REPT(",",LEN(D176)),2))-1)</f>
        <v/>
      </c>
      <c r="K176" s="0">
        <f>MID(D176,FIND(",",SUBSTITUTE(D176,"|",REPT(",",LEN(D176)),3))+1,FIND(",",SUBSTITUTE(D176,"|",REPT(",",LEN(D176)),4))-FIND(",",SUBSTITUTE(D176,"|",REPT(",",LEN(D176)),3))-1)</f>
        <v/>
      </c>
      <c r="L176" s="0">
        <f>MID(D176,FIND(";",SUBSTITUTE(D176,"|",REPT(";",LEN(D176)),4))+1,FIND(";",SUBSTITUTE(D176,"|",REPT(";",LEN(D176)),5))-FIND(";",SUBSTITUTE(D176,"|",REPT(";",LEN(D176)),4))-1)</f>
        <v/>
      </c>
      <c r="M176" s="0">
        <f>MID(D176,FIND(";",SUBSTITUTE(D176,"|",REPT(";",LEN(D176)),8))+1,LEN(D176))</f>
        <v/>
      </c>
      <c r="N176" s="0">
        <f>MID(D176,FIND(";",SUBSTITUTE(D176,"|",REPT(";",LEN(D176)),5))+1,FIND(";",SUBSTITUTE(D176,"|",REPT(";",LEN(D176)),6))-FIND(";",SUBSTITUTE(D176,"|",REPT(";",LEN(D176)),5))-1)</f>
        <v/>
      </c>
      <c r="O176" s="0">
        <f>MID(D176,FIND(";",SUBSTITUTE(D176,"|",REPT(";",LEN(D176)),6))+1,FIND(";",SUBSTITUTE(D176,"|",REPT(";",LEN(D176)),7))-FIND(";",SUBSTITUTE(D176,"|",REPT(";",LEN(D176)),6))-1)</f>
        <v/>
      </c>
      <c r="P176" s="0">
        <f>MID(D176,FIND(";",SUBSTITUTE(D176,"|",REPT(";",LEN(D176)),7))+1,FIND(";",SUBSTITUTE(D176,"|",REPT(";",LEN(D176)),8))-FIND(";",SUBSTITUTE(D176,"|",REPT(";",LEN(D176)),7))-1)</f>
        <v/>
      </c>
    </row>
    <row r="177" ht="42" customHeight="1" s="21">
      <c r="A177" s="8" t="inlineStr">
        <is>
          <t>100401</t>
        </is>
      </c>
      <c r="B177" s="8" t="inlineStr">
        <is>
          <t>钢带</t>
        </is>
      </c>
      <c r="C177" s="8" t="inlineStr">
        <is>
          <t>603540500</t>
        </is>
      </c>
      <c r="D177" s="8" t="inlineStr">
        <is>
          <t>冷轧不锈钢带|钢带|12Cr18Ni9|δ1.2|GB/T 3280-2015|冷轧|H1/4|N|GB/T 708-2006</t>
        </is>
      </c>
      <c r="E177" s="8" t="inlineStr">
        <is>
          <t>物资名称 冷轧不锈钢带;物资简称 钢带;牌号 12Cr18Ni9;厚度 δ1.2;宽 ;技术标准号 GB/T 3280-2015;加工工艺 冷轧;热处理工艺 H1/4;特殊要求 N;规格标准号 GB/T 708-2006</t>
        </is>
      </c>
      <c r="F177" s="4" t="inlineStr">
        <is>
          <t>千克</t>
        </is>
      </c>
      <c r="G177" s="0">
        <f>LEFT(D177,FIND("|",D177,1)-1)</f>
        <v/>
      </c>
      <c r="H177" s="0">
        <f>MID(D177,FIND("|",D177,FIND("|",D177,1))+1,FIND("|",D177,FIND("|",D177,1)+1)-FIND("|",D177,FIND("|",D177,1))-1)</f>
        <v/>
      </c>
      <c r="J177" s="0">
        <f>MID(D177,FIND(",",SUBSTITUTE(D177,"|",REPT(",",LEN(D177)),2))+1,FIND(",",SUBSTITUTE(D177,"|",REPT(",",LEN(D177)),3))-FIND(",",SUBSTITUTE(D177,"|",REPT(",",LEN(D177)),2))-1)</f>
        <v/>
      </c>
      <c r="K177" s="0">
        <f>MID(D177,FIND(",",SUBSTITUTE(D177,"|",REPT(",",LEN(D177)),3))+1,FIND(",",SUBSTITUTE(D177,"|",REPT(",",LEN(D177)),4))-FIND(",",SUBSTITUTE(D177,"|",REPT(",",LEN(D177)),3))-1)</f>
        <v/>
      </c>
      <c r="L177" s="0">
        <f>MID(D177,FIND(";",SUBSTITUTE(D177,"|",REPT(";",LEN(D177)),4))+1,FIND(";",SUBSTITUTE(D177,"|",REPT(";",LEN(D177)),5))-FIND(";",SUBSTITUTE(D177,"|",REPT(";",LEN(D177)),4))-1)</f>
        <v/>
      </c>
      <c r="M177" s="0">
        <f>MID(D177,FIND(";",SUBSTITUTE(D177,"|",REPT(";",LEN(D177)),8))+1,LEN(D177))</f>
        <v/>
      </c>
      <c r="N177" s="0">
        <f>MID(D177,FIND(";",SUBSTITUTE(D177,"|",REPT(";",LEN(D177)),5))+1,FIND(";",SUBSTITUTE(D177,"|",REPT(";",LEN(D177)),6))-FIND(";",SUBSTITUTE(D177,"|",REPT(";",LEN(D177)),5))-1)</f>
        <v/>
      </c>
      <c r="O177" s="0">
        <f>MID(D177,FIND(";",SUBSTITUTE(D177,"|",REPT(";",LEN(D177)),6))+1,FIND(";",SUBSTITUTE(D177,"|",REPT(";",LEN(D177)),7))-FIND(";",SUBSTITUTE(D177,"|",REPT(";",LEN(D177)),6))-1)</f>
        <v/>
      </c>
      <c r="P177" s="0">
        <f>MID(D177,FIND(";",SUBSTITUTE(D177,"|",REPT(";",LEN(D177)),7))+1,FIND(";",SUBSTITUTE(D177,"|",REPT(";",LEN(D177)),8))-FIND(";",SUBSTITUTE(D177,"|",REPT(";",LEN(D177)),7))-1)</f>
        <v/>
      </c>
    </row>
    <row r="178" ht="28" customHeight="1" s="21">
      <c r="A178" s="8" t="inlineStr">
        <is>
          <t>100401</t>
        </is>
      </c>
      <c r="B178" s="8" t="inlineStr">
        <is>
          <t>钢带</t>
        </is>
      </c>
      <c r="C178" s="8" t="inlineStr">
        <is>
          <t>603539300</t>
        </is>
      </c>
      <c r="D178" s="8" t="inlineStr">
        <is>
          <t>热处理弹簧钢带|钢带|60Si2MnA|YB/T 5063-2007</t>
        </is>
      </c>
      <c r="E178" s="8" t="inlineStr">
        <is>
          <t>物资名称 热处理弹簧钢带;物资简称 钢带;牌号 60Si2MnA;厚度 δ;宽 ;技术标准号 YB/T 5063-2007;加工工艺 ;热处理工艺 ;特殊要求 ;规格标准号</t>
        </is>
      </c>
      <c r="F178" s="4" t="inlineStr">
        <is>
          <t>千克</t>
        </is>
      </c>
      <c r="G178" s="0">
        <f>LEFT(D178,FIND("|",D178,1)-1)</f>
        <v/>
      </c>
      <c r="H178" s="0">
        <f>MID(D178,FIND("|",D178,FIND("|",D178,1))+1,FIND("|",D178,FIND("|",D178,1)+1)-FIND("|",D178,FIND("|",D178,1))-1)</f>
        <v/>
      </c>
      <c r="J178" s="0">
        <f>MID(D178,FIND(",",SUBSTITUTE(D178,"|",REPT(",",LEN(D178)),2))+1,FIND(",",SUBSTITUTE(D178,"|",REPT(",",LEN(D178)),3))-FIND(",",SUBSTITUTE(D178,"|",REPT(",",LEN(D178)),2))-1)</f>
        <v/>
      </c>
      <c r="M178" s="0">
        <f>MID(D178,FIND(";",SUBSTITUTE(D178,"|",REPT(";",LEN(D178)),3))+1,LEN(D178))</f>
        <v/>
      </c>
    </row>
    <row r="179" ht="28" customHeight="1" s="21">
      <c r="A179" s="8" t="inlineStr">
        <is>
          <t>100401</t>
        </is>
      </c>
      <c r="B179" s="8" t="inlineStr">
        <is>
          <t>钢带</t>
        </is>
      </c>
      <c r="C179" s="8" t="inlineStr">
        <is>
          <t>603537900</t>
        </is>
      </c>
      <c r="D179" s="8" t="inlineStr">
        <is>
          <t>弹簧用不锈钢冷轧钢带|钢带|12Cr17Ni7|δ0.6|YB/T 5310-2010|冷轧</t>
        </is>
      </c>
      <c r="E179" s="8" t="inlineStr">
        <is>
          <t>物资名称 弹簧用不锈钢冷轧钢带;物资简称 钢带;牌号 12Cr17Ni7;厚度 δ0.6;宽 ;技术标准号 YB/T 5310-2010;加工工艺 冷轧;热处理工艺 ;特殊要求 ;规格标准号</t>
        </is>
      </c>
      <c r="F179" s="4" t="inlineStr">
        <is>
          <t>千克</t>
        </is>
      </c>
      <c r="G179" s="0">
        <f>LEFT(D179,FIND("|",D179,1)-1)</f>
        <v/>
      </c>
      <c r="H179" s="0">
        <f>MID(D179,FIND("|",D179,FIND("|",D179,1))+1,FIND("|",D179,FIND("|",D179,1)+1)-FIND("|",D179,FIND("|",D179,1))-1)</f>
        <v/>
      </c>
      <c r="J179" s="0">
        <f>MID(D179,FIND(",",SUBSTITUTE(D179,"|",REPT(",",LEN(D179)),2))+1,FIND(",",SUBSTITUTE(D179,"|",REPT(",",LEN(D179)),3))-FIND(",",SUBSTITUTE(D179,"|",REPT(",",LEN(D179)),2))-1)</f>
        <v/>
      </c>
      <c r="K179" s="0">
        <f>MID(D179,FIND(",",SUBSTITUTE(D179,"|",REPT(",",LEN(D179)),3))+1,FIND(",",SUBSTITUTE(D179,"|",REPT(",",LEN(D179)),4))-FIND(",",SUBSTITUTE(D179,"|",REPT(",",LEN(D179)),3))-1)</f>
        <v/>
      </c>
      <c r="L179" s="0">
        <f>MID(D179,FIND(";",SUBSTITUTE(D179,"|",REPT(";",LEN(D179)),4))+1,FIND(";",SUBSTITUTE(D179,"|",REPT(";",LEN(D179)),5))-FIND(";",SUBSTITUTE(D179,"|",REPT(";",LEN(D179)),4))-1)</f>
        <v/>
      </c>
      <c r="N179" s="0">
        <f>MID(D179,FIND(";",SUBSTITUTE(D179,"|",REPT(";",LEN(D179)),5))+1,LEN(D179))</f>
        <v/>
      </c>
    </row>
    <row r="180" ht="28" customHeight="1" s="21">
      <c r="A180" s="8" t="inlineStr">
        <is>
          <t>100401</t>
        </is>
      </c>
      <c r="B180" s="8" t="inlineStr">
        <is>
          <t>钢带</t>
        </is>
      </c>
      <c r="C180" s="8" t="inlineStr">
        <is>
          <t>603528800</t>
        </is>
      </c>
      <c r="D180" s="8" t="inlineStr">
        <is>
          <t>冷轧不锈钢带|钢带|0Cr18Ni9|δ0.25|GB/T 4239-1991|冷轧|Y2</t>
        </is>
      </c>
      <c r="E180" s="8" t="inlineStr">
        <is>
          <t>物资名称 冷轧不锈钢带;物资简称 钢带;牌号 0Cr18Ni9;厚度 δ0.25;宽 ;技术标准号 GB/T 4239-1991;加工工艺 冷轧;热处理工艺 ;特殊要求 Y2;规格标准号</t>
        </is>
      </c>
      <c r="F180" s="4" t="inlineStr">
        <is>
          <t>千克</t>
        </is>
      </c>
      <c r="G180" s="0">
        <f>LEFT(D180,FIND("|",D180,1)-1)</f>
        <v/>
      </c>
      <c r="H180" s="0">
        <f>MID(D180,FIND("|",D180,FIND("|",D180,1))+1,FIND("|",D180,FIND("|",D180,1)+1)-FIND("|",D180,FIND("|",D180,1))-1)</f>
        <v/>
      </c>
      <c r="J180" s="0">
        <f>MID(D180,FIND(",",SUBSTITUTE(D180,"|",REPT(",",LEN(D180)),2))+1,FIND(",",SUBSTITUTE(D180,"|",REPT(",",LEN(D180)),3))-FIND(",",SUBSTITUTE(D180,"|",REPT(",",LEN(D180)),2))-1)</f>
        <v/>
      </c>
      <c r="K180" s="0">
        <f>MID(D180,FIND(",",SUBSTITUTE(D180,"|",REPT(",",LEN(D180)),3))+1,FIND(",",SUBSTITUTE(D180,"|",REPT(",",LEN(D180)),4))-FIND(",",SUBSTITUTE(D180,"|",REPT(",",LEN(D180)),3))-1)</f>
        <v/>
      </c>
      <c r="L180" s="0">
        <f>MID(D180,FIND(";",SUBSTITUTE(D180,"|",REPT(";",LEN(D180)),4))+1,FIND(";",SUBSTITUTE(D180,"|",REPT(";",LEN(D180)),5))-FIND(";",SUBSTITUTE(D180,"|",REPT(";",LEN(D180)),4))-1)</f>
        <v/>
      </c>
      <c r="N180" s="0">
        <f>MID(D180,FIND(";",SUBSTITUTE(D180,"|",REPT(";",LEN(D180)),5))+1,FIND(";",SUBSTITUTE(D180,"|",REPT(";",LEN(D180)),6))-FIND(";",SUBSTITUTE(D180,"|",REPT(";",LEN(D180)),5))-1)</f>
        <v/>
      </c>
      <c r="P180" s="0">
        <f>MID(D180,FIND(";",SUBSTITUTE(D180,"|",REPT(";",LEN(D180)),6))+1,LEN(D180))</f>
        <v/>
      </c>
    </row>
    <row r="181" ht="28" customHeight="1" s="21">
      <c r="A181" s="8" t="inlineStr">
        <is>
          <t>100401</t>
        </is>
      </c>
      <c r="B181" s="8" t="inlineStr">
        <is>
          <t>钢带</t>
        </is>
      </c>
      <c r="C181" s="8" t="inlineStr">
        <is>
          <t>603335100</t>
        </is>
      </c>
      <c r="D181" s="8" t="inlineStr">
        <is>
          <t>带孔无花镀锌板卷|镀锌板|δ0.4mm×10mm</t>
        </is>
      </c>
      <c r="E181" s="8" t="inlineStr">
        <is>
          <t>物资名称 带孔无花镀锌板卷;物资简称 镀锌板;牌号 ;厚度 δ0.4mm;宽 10mm;技术标准号 ;加工工艺 ;热处理工艺 ;特殊要求 ;规格标准号</t>
        </is>
      </c>
      <c r="F181" s="4" t="inlineStr">
        <is>
          <t>千克</t>
        </is>
      </c>
      <c r="G181" s="0">
        <f>LEFT(D181,FIND("|",D181,1)-1)</f>
        <v/>
      </c>
      <c r="H181" s="0">
        <f>MID(D181,FIND("|",D181,FIND("|",D181,1))+1,FIND("|",D181,FIND("|",D181,1)+1)-FIND("|",D181,FIND("|",D181,1))-1)</f>
        <v/>
      </c>
      <c r="K181" s="0">
        <f>MID(D181,FIND(";",SUBSTITUTE(D181,"|",REPT(";",LEN(D181)),2))+1,LEN(D181))</f>
        <v/>
      </c>
    </row>
    <row r="182" ht="28" customHeight="1" s="21">
      <c r="A182" s="8" t="inlineStr">
        <is>
          <t>100401</t>
        </is>
      </c>
      <c r="B182" s="8" t="inlineStr">
        <is>
          <t>钢带</t>
        </is>
      </c>
      <c r="C182" s="8" t="inlineStr">
        <is>
          <t>602886900</t>
        </is>
      </c>
      <c r="D182" s="8" t="inlineStr">
        <is>
          <t>特种钢带|钢带|SOONV-32181|δ0.508|SVM-NM-32181|上海速威特特种合金</t>
        </is>
      </c>
      <c r="E182" s="8" t="inlineStr">
        <is>
          <t>物资名称 特种钢带;物资简称 钢带;牌号 SOONV-32181;厚度 δ0.508;宽 ;技术标准号 SVM-NM-32181;加工工艺 ;热处理工艺 ;特殊要求 上海速威特特种合金;规格标准号</t>
        </is>
      </c>
      <c r="F182" s="4" t="inlineStr">
        <is>
          <t>千克</t>
        </is>
      </c>
      <c r="G182" s="0">
        <f>LEFT(D182,FIND("|",D182,1)-1)</f>
        <v/>
      </c>
      <c r="H182" s="0">
        <f>MID(D182,FIND("|",D182,FIND("|",D182,1))+1,FIND("|",D182,FIND("|",D182,1)+1)-FIND("|",D182,FIND("|",D182,1))-1)</f>
        <v/>
      </c>
      <c r="J182" s="0">
        <f>MID(D182,FIND(",",SUBSTITUTE(D182,"|",REPT(",",LEN(D182)),2))+1,FIND(",",SUBSTITUTE(D182,"|",REPT(",",LEN(D182)),3))-FIND(",",SUBSTITUTE(D182,"|",REPT(",",LEN(D182)),2))-1)</f>
        <v/>
      </c>
      <c r="K182" s="0">
        <f>MID(D182,FIND(",",SUBSTITUTE(D182,"|",REPT(",",LEN(D182)),3))+1,FIND(",",SUBSTITUTE(D182,"|",REPT(",",LEN(D182)),4))-FIND(",",SUBSTITUTE(D182,"|",REPT(",",LEN(D182)),3))-1)</f>
        <v/>
      </c>
      <c r="L182" s="0">
        <f>MID(D182,FIND(";",SUBSTITUTE(D182,"|",REPT(";",LEN(D182)),4))+1,FIND(";",SUBSTITUTE(D182,"|",REPT(";",LEN(D182)),5))-FIND(";",SUBSTITUTE(D182,"|",REPT(";",LEN(D182)),4))-1)</f>
        <v/>
      </c>
      <c r="P182" s="0">
        <f>MID(D182,FIND(";",SUBSTITUTE(D182,"|",REPT(";",LEN(D182)),5))+1,LEN(D182))</f>
        <v/>
      </c>
    </row>
    <row r="183" ht="28" customHeight="1" s="21">
      <c r="A183" s="8" t="inlineStr">
        <is>
          <t>100401</t>
        </is>
      </c>
      <c r="B183" s="8" t="inlineStr">
        <is>
          <t>钢带</t>
        </is>
      </c>
      <c r="C183" s="8" t="inlineStr">
        <is>
          <t>602309100</t>
        </is>
      </c>
      <c r="D183" s="8" t="inlineStr">
        <is>
          <t>冷轧不锈钢带|钢带|0Cr18Ni9|δ0.02|GB/T 4239-1991|冷轧|Y2</t>
        </is>
      </c>
      <c r="E183" s="8" t="inlineStr">
        <is>
          <t xml:space="preserve">物资名称 冷轧不锈钢带;物资简称 钢带;牌号 0Cr18Ni9;厚度 δ0.02;宽 ;技术标准号 GB/T 4239-1991;加工工艺 冷轧;热处理工艺 ;特殊要求 Y2;规格标准号 </t>
        </is>
      </c>
      <c r="F183" s="4" t="inlineStr">
        <is>
          <t>千克</t>
        </is>
      </c>
      <c r="G183" s="0">
        <f>LEFT(D183,FIND("|",D183,1)-1)</f>
        <v/>
      </c>
      <c r="H183" s="0">
        <f>MID(D183,FIND("|",D183,FIND("|",D183,1))+1,FIND("|",D183,FIND("|",D183,1)+1)-FIND("|",D183,FIND("|",D183,1))-1)</f>
        <v/>
      </c>
      <c r="J183" s="0">
        <f>MID(D183,FIND(",",SUBSTITUTE(D183,"|",REPT(",",LEN(D183)),2))+1,FIND(",",SUBSTITUTE(D183,"|",REPT(",",LEN(D183)),3))-FIND(",",SUBSTITUTE(D183,"|",REPT(",",LEN(D183)),2))-1)</f>
        <v/>
      </c>
      <c r="K183" s="0">
        <f>MID(D183,FIND(",",SUBSTITUTE(D183,"|",REPT(",",LEN(D183)),3))+1,FIND(",",SUBSTITUTE(D183,"|",REPT(",",LEN(D183)),4))-FIND(",",SUBSTITUTE(D183,"|",REPT(",",LEN(D183)),3))-1)</f>
        <v/>
      </c>
      <c r="L183" s="0">
        <f>MID(D183,FIND(";",SUBSTITUTE(D183,"|",REPT(";",LEN(D183)),4))+1,FIND(";",SUBSTITUTE(D183,"|",REPT(";",LEN(D183)),5))-FIND(";",SUBSTITUTE(D183,"|",REPT(";",LEN(D183)),4))-1)</f>
        <v/>
      </c>
      <c r="N183" s="0">
        <f>MID(D183,FIND(";",SUBSTITUTE(D183,"|",REPT(";",LEN(D183)),5))+1,FIND(";",SUBSTITUTE(D183,"|",REPT(";",LEN(D183)),6))-FIND(";",SUBSTITUTE(D183,"|",REPT(";",LEN(D183)),5))-1)</f>
        <v/>
      </c>
      <c r="P183" s="0">
        <f>MID(D183,FIND(";",SUBSTITUTE(D183,"|",REPT(";",LEN(D183)),6))+1,LEN(D183))</f>
        <v/>
      </c>
    </row>
    <row r="184" ht="28" customHeight="1" s="21">
      <c r="A184" s="8" t="inlineStr">
        <is>
          <t>100401</t>
        </is>
      </c>
      <c r="B184" s="8" t="inlineStr">
        <is>
          <t>钢带</t>
        </is>
      </c>
      <c r="C184" s="8" t="inlineStr">
        <is>
          <t>602309000</t>
        </is>
      </c>
      <c r="D184" s="8" t="inlineStr">
        <is>
          <t>特种钢带|钢带|XSVS-7C27Mo2|δ0.508×200×205|厂家约定</t>
        </is>
      </c>
      <c r="E184" s="8" t="inlineStr">
        <is>
          <t xml:space="preserve">物资名称 特种钢带;物资简称 钢带;牌号 XSVS-7C27Mo2;厚度 δ0.508;宽 200×205;技术标准号 ;加工工艺 ;热处理工艺 ;特殊要求 厂家约定;规格标准号 </t>
        </is>
      </c>
      <c r="F184" s="4" t="inlineStr">
        <is>
          <t>千克</t>
        </is>
      </c>
      <c r="G184" s="0">
        <f>LEFT(D184,FIND("|",D184,1)-1)</f>
        <v/>
      </c>
      <c r="H184" s="0">
        <f>MID(D184,FIND("|",D184,FIND("|",D184,1))+1,FIND("|",D184,FIND("|",D184,1)+1)-FIND("|",D184,FIND("|",D184,1))-1)</f>
        <v/>
      </c>
      <c r="J184" s="0">
        <f>MID(D184,FIND(",",SUBSTITUTE(D184,"|",REPT(",",LEN(D184)),2))+1,FIND(",",SUBSTITUTE(D184,"|",REPT(",",LEN(D184)),3))-FIND(",",SUBSTITUTE(D184,"|",REPT(",",LEN(D184)),2))-1)</f>
        <v/>
      </c>
      <c r="K184" s="0">
        <f>MID(D184,FIND(",",SUBSTITUTE(D184,"|",REPT(",",LEN(D184)),3))+1,FIND(",",SUBSTITUTE(D184,"|",REPT(",",LEN(D184)),4))-FIND(",",SUBSTITUTE(D184,"|",REPT(",",LEN(D184)),3))-1)</f>
        <v/>
      </c>
      <c r="P184" s="0">
        <f>MID(D184,FIND(";",SUBSTITUTE(D184,"|",REPT(";",LEN(D184)),4))+1,LEN(D184))</f>
        <v/>
      </c>
    </row>
    <row r="185" ht="28" customHeight="1" s="21">
      <c r="A185" s="8" t="inlineStr">
        <is>
          <t>100401</t>
        </is>
      </c>
      <c r="B185" s="8" t="inlineStr">
        <is>
          <t>钢带</t>
        </is>
      </c>
      <c r="C185" s="8" t="inlineStr">
        <is>
          <t>602288600</t>
        </is>
      </c>
      <c r="D185" s="8" t="inlineStr">
        <is>
          <t>特种钢带|钢带|SOONV-32181|SVM-NM-32181|上海速威特特种合金</t>
        </is>
      </c>
      <c r="E185" s="8" t="inlineStr">
        <is>
          <t xml:space="preserve">物资名称 特种钢带;物资简称 钢带;牌号 SOONV-32181;厚度 δ;宽 ;技术标准号 SVM-NM-32181;加工工艺 ;热处理工艺 ;特殊要求 上海速威特特种合金;规格标准号 </t>
        </is>
      </c>
      <c r="F185" s="4" t="inlineStr">
        <is>
          <t>千克</t>
        </is>
      </c>
      <c r="G185" s="0">
        <f>LEFT(D185,FIND("|",D185,1)-1)</f>
        <v/>
      </c>
      <c r="H185" s="0">
        <f>MID(D185,FIND("|",D185,FIND("|",D185,1))+1,FIND("|",D185,FIND("|",D185,1)+1)-FIND("|",D185,FIND("|",D185,1))-1)</f>
        <v/>
      </c>
      <c r="J185" s="0">
        <f>MID(D185,FIND(",",SUBSTITUTE(D185,"|",REPT(",",LEN(D185)),2))+1,FIND(",",SUBSTITUTE(D185,"|",REPT(",",LEN(D185)),3))-FIND(",",SUBSTITUTE(D185,"|",REPT(",",LEN(D185)),2))-1)</f>
        <v/>
      </c>
      <c r="L185" s="0">
        <f>MID(D185,FIND(",",SUBSTITUTE(D185,"|",REPT(",",LEN(D185)),3))+1,FIND(",",SUBSTITUTE(D185,"|",REPT(",",LEN(D185)),4))-FIND(",",SUBSTITUTE(D185,"|",REPT(",",LEN(D185)),3))-1)</f>
        <v/>
      </c>
    </row>
    <row r="186" ht="28" customHeight="1" s="21">
      <c r="A186" s="8" t="inlineStr">
        <is>
          <t>100401</t>
        </is>
      </c>
      <c r="B186" s="8" t="inlineStr">
        <is>
          <t>钢带</t>
        </is>
      </c>
      <c r="C186" s="8" t="inlineStr">
        <is>
          <t>602148400</t>
        </is>
      </c>
      <c r="D186" s="8" t="inlineStr">
        <is>
          <t>冷轧不锈钢带|钢带|0Cr18Ni9|δ0.1|GB/T 4239-1991|冷轧|Y2</t>
        </is>
      </c>
      <c r="E186" s="8" t="inlineStr">
        <is>
          <t xml:space="preserve">物资名称 冷轧不锈钢带;物资简称 钢带;牌号 0Cr18Ni9;厚度 δ0.1;宽 ;技术标准号 GB/T 4239-1991;加工工艺 冷轧;热处理工艺 ;特殊要求 Y2;规格标准号 </t>
        </is>
      </c>
      <c r="F186" s="4" t="inlineStr">
        <is>
          <t>千克</t>
        </is>
      </c>
      <c r="G186" s="0">
        <f>LEFT(D186,FIND("|",D186,1)-1)</f>
        <v/>
      </c>
      <c r="H186" s="0">
        <f>MID(D186,FIND("|",D186,FIND("|",D186,1))+1,FIND("|",D186,FIND("|",D186,1)+1)-FIND("|",D186,FIND("|",D186,1))-1)</f>
        <v/>
      </c>
      <c r="J186" s="0">
        <f>MID(D186,FIND(",",SUBSTITUTE(D186,"|",REPT(",",LEN(D186)),2))+1,FIND(",",SUBSTITUTE(D186,"|",REPT(",",LEN(D186)),3))-FIND(",",SUBSTITUTE(D186,"|",REPT(",",LEN(D186)),2))-1)</f>
        <v/>
      </c>
      <c r="K186" s="0">
        <f>MID(D186,FIND(",",SUBSTITUTE(D186,"|",REPT(",",LEN(D186)),3))+1,FIND(",",SUBSTITUTE(D186,"|",REPT(",",LEN(D186)),4))-FIND(",",SUBSTITUTE(D186,"|",REPT(",",LEN(D186)),3))-1)</f>
        <v/>
      </c>
      <c r="L186" s="0">
        <f>MID(D186,FIND(";",SUBSTITUTE(D186,"|",REPT(";",LEN(D186)),4))+1,FIND(";",SUBSTITUTE(D186,"|",REPT(";",LEN(D186)),5))-FIND(";",SUBSTITUTE(D186,"|",REPT(";",LEN(D186)),4))-1)</f>
        <v/>
      </c>
      <c r="N186" s="0">
        <f>MID(D186,FIND(";",SUBSTITUTE(D186,"|",REPT(";",LEN(D186)),5))+1,FIND(";",SUBSTITUTE(D186,"|",REPT(";",LEN(D186)),6))-FIND(";",SUBSTITUTE(D186,"|",REPT(";",LEN(D186)),5))-1)</f>
        <v/>
      </c>
      <c r="P186" s="0">
        <f>MID(D186,FIND(";",SUBSTITUTE(D186,"|",REPT(";",LEN(D186)),6))+1,LEN(D186))</f>
        <v/>
      </c>
    </row>
    <row r="187" ht="28" customHeight="1" s="21">
      <c r="A187" s="8" t="inlineStr">
        <is>
          <t>100401</t>
        </is>
      </c>
      <c r="B187" s="8" t="inlineStr">
        <is>
          <t>钢带</t>
        </is>
      </c>
      <c r="C187" s="8" t="inlineStr">
        <is>
          <t>602148300</t>
        </is>
      </c>
      <c r="D187" s="8" t="inlineStr">
        <is>
          <t>冷轧不锈钢带|钢带|0Cr18Ni9|δ0.15|GB/T 4239-1991|冷轧|Y2</t>
        </is>
      </c>
      <c r="E187" s="8" t="inlineStr">
        <is>
          <t xml:space="preserve">物资名称 冷轧不锈钢带;物资简称 钢带;牌号 0Cr18Ni9;厚度 δ0.15;宽 ;技术标准号 GB/T 4239-1991;加工工艺 冷轧;热处理工艺 ;特殊要求 Y2;规格标准号 </t>
        </is>
      </c>
      <c r="F187" s="4" t="inlineStr">
        <is>
          <t>千克</t>
        </is>
      </c>
      <c r="G187" s="0">
        <f>LEFT(D187,FIND("|",D187,1)-1)</f>
        <v/>
      </c>
      <c r="H187" s="0">
        <f>MID(D187,FIND("|",D187,FIND("|",D187,1))+1,FIND("|",D187,FIND("|",D187,1)+1)-FIND("|",D187,FIND("|",D187,1))-1)</f>
        <v/>
      </c>
      <c r="J187" s="0">
        <f>MID(D187,FIND(",",SUBSTITUTE(D187,"|",REPT(",",LEN(D187)),2))+1,FIND(",",SUBSTITUTE(D187,"|",REPT(",",LEN(D187)),3))-FIND(",",SUBSTITUTE(D187,"|",REPT(",",LEN(D187)),2))-1)</f>
        <v/>
      </c>
      <c r="K187" s="0">
        <f>MID(D187,FIND(",",SUBSTITUTE(D187,"|",REPT(",",LEN(D187)),3))+1,FIND(",",SUBSTITUTE(D187,"|",REPT(",",LEN(D187)),4))-FIND(",",SUBSTITUTE(D187,"|",REPT(",",LEN(D187)),3))-1)</f>
        <v/>
      </c>
      <c r="L187" s="0">
        <f>MID(D187,FIND(";",SUBSTITUTE(D187,"|",REPT(";",LEN(D187)),4))+1,FIND(";",SUBSTITUTE(D187,"|",REPT(";",LEN(D187)),5))-FIND(";",SUBSTITUTE(D187,"|",REPT(";",LEN(D187)),4))-1)</f>
        <v/>
      </c>
      <c r="N187" s="0">
        <f>MID(D187,FIND(";",SUBSTITUTE(D187,"|",REPT(";",LEN(D187)),5))+1,FIND(";",SUBSTITUTE(D187,"|",REPT(";",LEN(D187)),6))-FIND(";",SUBSTITUTE(D187,"|",REPT(";",LEN(D187)),5))-1)</f>
        <v/>
      </c>
      <c r="P187" s="0">
        <f>MID(D187,FIND(";",SUBSTITUTE(D187,"|",REPT(";",LEN(D187)),6))+1,LEN(D187))</f>
        <v/>
      </c>
    </row>
    <row r="188" ht="28" customHeight="1" s="21">
      <c r="A188" s="8" t="inlineStr">
        <is>
          <t>100401</t>
        </is>
      </c>
      <c r="B188" s="8" t="inlineStr">
        <is>
          <t>钢带</t>
        </is>
      </c>
      <c r="C188" s="8" t="inlineStr">
        <is>
          <t>602148200</t>
        </is>
      </c>
      <c r="D188" s="8" t="inlineStr">
        <is>
          <t>冷轧不锈钢带|钢带|0Cr18Ni9|δ0.2|GB/T 4239-1991|冷轧|Y2</t>
        </is>
      </c>
      <c r="E188" s="8" t="inlineStr">
        <is>
          <t xml:space="preserve">物资名称 冷轧不锈钢带;物资简称 钢带;牌号 0Cr18Ni9;厚度 δ0.2;宽 ;技术标准号 GB/T 4239-1991;加工工艺 冷轧;热处理工艺 ;特殊要求 Y2;规格标准号 </t>
        </is>
      </c>
      <c r="F188" s="4" t="inlineStr">
        <is>
          <t>千克</t>
        </is>
      </c>
      <c r="G188" s="0">
        <f>LEFT(D188,FIND("|",D188,1)-1)</f>
        <v/>
      </c>
      <c r="H188" s="0">
        <f>MID(D188,FIND("|",D188,FIND("|",D188,1))+1,FIND("|",D188,FIND("|",D188,1)+1)-FIND("|",D188,FIND("|",D188,1))-1)</f>
        <v/>
      </c>
      <c r="J188" s="0">
        <f>MID(D188,FIND(",",SUBSTITUTE(D188,"|",REPT(",",LEN(D188)),2))+1,FIND(",",SUBSTITUTE(D188,"|",REPT(",",LEN(D188)),3))-FIND(",",SUBSTITUTE(D188,"|",REPT(",",LEN(D188)),2))-1)</f>
        <v/>
      </c>
      <c r="K188" s="0">
        <f>MID(D188,FIND(",",SUBSTITUTE(D188,"|",REPT(",",LEN(D188)),3))+1,FIND(",",SUBSTITUTE(D188,"|",REPT(",",LEN(D188)),4))-FIND(",",SUBSTITUTE(D188,"|",REPT(",",LEN(D188)),3))-1)</f>
        <v/>
      </c>
      <c r="L188" s="0">
        <f>MID(D188,FIND(";",SUBSTITUTE(D188,"|",REPT(";",LEN(D188)),4))+1,FIND(";",SUBSTITUTE(D188,"|",REPT(";",LEN(D188)),5))-FIND(";",SUBSTITUTE(D188,"|",REPT(";",LEN(D188)),4))-1)</f>
        <v/>
      </c>
      <c r="N188" s="0">
        <f>MID(D188,FIND(";",SUBSTITUTE(D188,"|",REPT(";",LEN(D188)),5))+1,FIND(";",SUBSTITUTE(D188,"|",REPT(";",LEN(D188)),6))-FIND(";",SUBSTITUTE(D188,"|",REPT(";",LEN(D188)),5))-1)</f>
        <v/>
      </c>
      <c r="P188" s="0">
        <f>MID(D188,FIND(";",SUBSTITUTE(D188,"|",REPT(";",LEN(D188)),6))+1,LEN(D188))</f>
        <v/>
      </c>
    </row>
    <row r="189" ht="28" customHeight="1" s="21">
      <c r="A189" s="8" t="inlineStr">
        <is>
          <t>100401</t>
        </is>
      </c>
      <c r="B189" s="8" t="inlineStr">
        <is>
          <t>钢带</t>
        </is>
      </c>
      <c r="C189" s="8" t="inlineStr">
        <is>
          <t>602148100</t>
        </is>
      </c>
      <c r="D189" s="8" t="inlineStr">
        <is>
          <t>冷轧不锈钢带|钢带|0Cr18Ni9|δ0.05|GB/T 4239-1991|冷轧|Y2</t>
        </is>
      </c>
      <c r="E189" s="8" t="inlineStr">
        <is>
          <t xml:space="preserve">物资名称 冷轧不锈钢带;物资简称 钢带;牌号 0Cr18Ni9;厚度 δ0.05;宽 ;技术标准号 GB/T 4239-1991;加工工艺 冷轧;热处理工艺 ;特殊要求 Y2;规格标准号 </t>
        </is>
      </c>
      <c r="F189" s="4" t="inlineStr">
        <is>
          <t>千克</t>
        </is>
      </c>
      <c r="G189" s="0">
        <f>LEFT(D189,FIND("|",D189,1)-1)</f>
        <v/>
      </c>
      <c r="H189" s="0">
        <f>MID(D189,FIND("|",D189,FIND("|",D189,1))+1,FIND("|",D189,FIND("|",D189,1)+1)-FIND("|",D189,FIND("|",D189,1))-1)</f>
        <v/>
      </c>
      <c r="J189" s="0">
        <f>MID(D189,FIND(",",SUBSTITUTE(D189,"|",REPT(",",LEN(D189)),2))+1,FIND(",",SUBSTITUTE(D189,"|",REPT(",",LEN(D189)),3))-FIND(",",SUBSTITUTE(D189,"|",REPT(",",LEN(D189)),2))-1)</f>
        <v/>
      </c>
      <c r="K189" s="0">
        <f>MID(D189,FIND(",",SUBSTITUTE(D189,"|",REPT(",",LEN(D189)),3))+1,FIND(",",SUBSTITUTE(D189,"|",REPT(",",LEN(D189)),4))-FIND(",",SUBSTITUTE(D189,"|",REPT(",",LEN(D189)),3))-1)</f>
        <v/>
      </c>
      <c r="L189" s="0">
        <f>MID(D189,FIND(";",SUBSTITUTE(D189,"|",REPT(";",LEN(D189)),4))+1,FIND(";",SUBSTITUTE(D189,"|",REPT(";",LEN(D189)),5))-FIND(";",SUBSTITUTE(D189,"|",REPT(";",LEN(D189)),4))-1)</f>
        <v/>
      </c>
      <c r="N189" s="0">
        <f>MID(D189,FIND(";",SUBSTITUTE(D189,"|",REPT(";",LEN(D189)),5))+1,FIND(";",SUBSTITUTE(D189,"|",REPT(";",LEN(D189)),6))-FIND(";",SUBSTITUTE(D189,"|",REPT(";",LEN(D189)),5))-1)</f>
        <v/>
      </c>
      <c r="P189" s="0">
        <f>MID(D189,FIND(";",SUBSTITUTE(D189,"|",REPT(";",LEN(D189)),6))+1,LEN(D189))</f>
        <v/>
      </c>
    </row>
    <row r="190" ht="28" customHeight="1" s="21">
      <c r="A190" s="8" t="inlineStr">
        <is>
          <t>100401</t>
        </is>
      </c>
      <c r="B190" s="8" t="inlineStr">
        <is>
          <t>钢带</t>
        </is>
      </c>
      <c r="C190" s="8" t="inlineStr">
        <is>
          <t>602148000</t>
        </is>
      </c>
      <c r="D190" s="8" t="inlineStr">
        <is>
          <t>冷轧不锈钢带|钢带|0Cr18Ni9|δ0.3|GB/T 4239-1991|冷轧|Y2</t>
        </is>
      </c>
      <c r="E190" s="8" t="inlineStr">
        <is>
          <t xml:space="preserve">物资名称 冷轧不锈钢带;物资简称 钢带;牌号 0Cr18Ni9;厚度 δ0.3;宽 ;技术标准号 GB/T 4239-1991;加工工艺 冷轧;热处理工艺 ;特殊要求 Y2;规格标准号 </t>
        </is>
      </c>
      <c r="F190" s="4" t="inlineStr">
        <is>
          <t>千克</t>
        </is>
      </c>
      <c r="G190" s="0">
        <f>LEFT(D190,FIND("|",D190,1)-1)</f>
        <v/>
      </c>
      <c r="H190" s="0">
        <f>MID(D190,FIND("|",D190,FIND("|",D190,1))+1,FIND("|",D190,FIND("|",D190,1)+1)-FIND("|",D190,FIND("|",D190,1))-1)</f>
        <v/>
      </c>
      <c r="J190" s="0">
        <f>MID(D190,FIND(",",SUBSTITUTE(D190,"|",REPT(",",LEN(D190)),2))+1,FIND(",",SUBSTITUTE(D190,"|",REPT(",",LEN(D190)),3))-FIND(",",SUBSTITUTE(D190,"|",REPT(",",LEN(D190)),2))-1)</f>
        <v/>
      </c>
      <c r="K190" s="0">
        <f>MID(D190,FIND(",",SUBSTITUTE(D190,"|",REPT(",",LEN(D190)),3))+1,FIND(",",SUBSTITUTE(D190,"|",REPT(",",LEN(D190)),4))-FIND(",",SUBSTITUTE(D190,"|",REPT(",",LEN(D190)),3))-1)</f>
        <v/>
      </c>
      <c r="L190" s="0">
        <f>MID(D190,FIND(";",SUBSTITUTE(D190,"|",REPT(";",LEN(D190)),4))+1,FIND(";",SUBSTITUTE(D190,"|",REPT(";",LEN(D190)),5))-FIND(";",SUBSTITUTE(D190,"|",REPT(";",LEN(D190)),4))-1)</f>
        <v/>
      </c>
      <c r="N190" s="0">
        <f>MID(D190,FIND(";",SUBSTITUTE(D190,"|",REPT(";",LEN(D190)),5))+1,FIND(";",SUBSTITUTE(D190,"|",REPT(";",LEN(D190)),6))-FIND(";",SUBSTITUTE(D190,"|",REPT(";",LEN(D190)),5))-1)</f>
        <v/>
      </c>
      <c r="P190" s="0">
        <f>MID(D190,FIND(";",SUBSTITUTE(D190,"|",REPT(";",LEN(D190)),6))+1,LEN(D190))</f>
        <v/>
      </c>
    </row>
    <row r="191" ht="28" customHeight="1" s="21">
      <c r="A191" s="8" t="inlineStr">
        <is>
          <t>100401</t>
        </is>
      </c>
      <c r="B191" s="8" t="inlineStr">
        <is>
          <t>钢带</t>
        </is>
      </c>
      <c r="C191" s="8" t="inlineStr">
        <is>
          <t>602147900</t>
        </is>
      </c>
      <c r="D191" s="8" t="inlineStr">
        <is>
          <t>冷轧不锈钢带|钢带|0Cr18Ni9|δ0.35|GB/T 4239-1991|冷轧|Y2</t>
        </is>
      </c>
      <c r="E191" s="8" t="inlineStr">
        <is>
          <t xml:space="preserve">物资名称 冷轧不锈钢带;物资简称 钢带;牌号 0Cr18Ni9;厚度 δ0.35;宽 ;技术标准号 GB/T 4239-1991;加工工艺 冷轧;热处理工艺 ;特殊要求 Y2;规格标准号 </t>
        </is>
      </c>
      <c r="F191" s="4" t="inlineStr">
        <is>
          <t>千克</t>
        </is>
      </c>
      <c r="G191" s="0">
        <f>LEFT(D191,FIND("|",D191,1)-1)</f>
        <v/>
      </c>
      <c r="H191" s="0">
        <f>MID(D191,FIND("|",D191,FIND("|",D191,1))+1,FIND("|",D191,FIND("|",D191,1)+1)-FIND("|",D191,FIND("|",D191,1))-1)</f>
        <v/>
      </c>
      <c r="J191" s="0">
        <f>MID(D191,FIND(",",SUBSTITUTE(D191,"|",REPT(",",LEN(D191)),2))+1,FIND(",",SUBSTITUTE(D191,"|",REPT(",",LEN(D191)),3))-FIND(",",SUBSTITUTE(D191,"|",REPT(",",LEN(D191)),2))-1)</f>
        <v/>
      </c>
      <c r="K191" s="0">
        <f>MID(D191,FIND(",",SUBSTITUTE(D191,"|",REPT(",",LEN(D191)),3))+1,FIND(",",SUBSTITUTE(D191,"|",REPT(",",LEN(D191)),4))-FIND(",",SUBSTITUTE(D191,"|",REPT(",",LEN(D191)),3))-1)</f>
        <v/>
      </c>
      <c r="L191" s="0">
        <f>MID(D191,FIND(";",SUBSTITUTE(D191,"|",REPT(";",LEN(D191)),4))+1,FIND(";",SUBSTITUTE(D191,"|",REPT(";",LEN(D191)),5))-FIND(";",SUBSTITUTE(D191,"|",REPT(";",LEN(D191)),4))-1)</f>
        <v/>
      </c>
      <c r="N191" s="0">
        <f>MID(D191,FIND(";",SUBSTITUTE(D191,"|",REPT(";",LEN(D191)),5))+1,FIND(";",SUBSTITUTE(D191,"|",REPT(";",LEN(D191)),6))-FIND(";",SUBSTITUTE(D191,"|",REPT(";",LEN(D191)),5))-1)</f>
        <v/>
      </c>
      <c r="P191" s="0">
        <f>MID(D191,FIND(";",SUBSTITUTE(D191,"|",REPT(";",LEN(D191)),6))+1,LEN(D191))</f>
        <v/>
      </c>
    </row>
    <row r="192" ht="28" customHeight="1" s="21">
      <c r="A192" s="8" t="inlineStr">
        <is>
          <t>100401</t>
        </is>
      </c>
      <c r="B192" s="8" t="inlineStr">
        <is>
          <t>钢带</t>
        </is>
      </c>
      <c r="C192" s="8" t="inlineStr">
        <is>
          <t>602147800</t>
        </is>
      </c>
      <c r="D192" s="8" t="inlineStr">
        <is>
          <t>冷轧不锈钢带|钢带|0Cr18Ni9|δ0.5|GB/T 4239-1991|冷轧|Y2</t>
        </is>
      </c>
      <c r="E192" s="8" t="inlineStr">
        <is>
          <t xml:space="preserve">物资名称 冷轧不锈钢带;物资简称 钢带;牌号 0Cr18Ni9;厚度 δ0.5;宽 ;技术标准号 GB/T 4239-1991;加工工艺 冷轧;热处理工艺 ;特殊要求 Y2;规格标准号 </t>
        </is>
      </c>
      <c r="F192" s="4" t="inlineStr">
        <is>
          <t>千克</t>
        </is>
      </c>
      <c r="G192" s="0">
        <f>LEFT(D192,FIND("|",D192,1)-1)</f>
        <v/>
      </c>
      <c r="H192" s="0">
        <f>MID(D192,FIND("|",D192,FIND("|",D192,1))+1,FIND("|",D192,FIND("|",D192,1)+1)-FIND("|",D192,FIND("|",D192,1))-1)</f>
        <v/>
      </c>
      <c r="J192" s="0">
        <f>MID(D192,FIND(",",SUBSTITUTE(D192,"|",REPT(",",LEN(D192)),2))+1,FIND(",",SUBSTITUTE(D192,"|",REPT(",",LEN(D192)),3))-FIND(",",SUBSTITUTE(D192,"|",REPT(",",LEN(D192)),2))-1)</f>
        <v/>
      </c>
      <c r="K192" s="0">
        <f>MID(D192,FIND(",",SUBSTITUTE(D192,"|",REPT(",",LEN(D192)),3))+1,FIND(",",SUBSTITUTE(D192,"|",REPT(",",LEN(D192)),4))-FIND(",",SUBSTITUTE(D192,"|",REPT(",",LEN(D192)),3))-1)</f>
        <v/>
      </c>
      <c r="L192" s="0">
        <f>MID(D192,FIND(";",SUBSTITUTE(D192,"|",REPT(";",LEN(D192)),4))+1,FIND(";",SUBSTITUTE(D192,"|",REPT(";",LEN(D192)),5))-FIND(";",SUBSTITUTE(D192,"|",REPT(";",LEN(D192)),4))-1)</f>
        <v/>
      </c>
      <c r="N192" s="0">
        <f>MID(D192,FIND(";",SUBSTITUTE(D192,"|",REPT(";",LEN(D192)),5))+1,FIND(";",SUBSTITUTE(D192,"|",REPT(";",LEN(D192)),6))-FIND(";",SUBSTITUTE(D192,"|",REPT(";",LEN(D192)),5))-1)</f>
        <v/>
      </c>
      <c r="P192" s="0">
        <f>MID(D192,FIND(";",SUBSTITUTE(D192,"|",REPT(";",LEN(D192)),6))+1,LEN(D192))</f>
        <v/>
      </c>
    </row>
    <row r="193" ht="28" customHeight="1" s="21">
      <c r="A193" s="8" t="inlineStr">
        <is>
          <t>100401</t>
        </is>
      </c>
      <c r="B193" s="8" t="inlineStr">
        <is>
          <t>钢带</t>
        </is>
      </c>
      <c r="C193" s="8" t="inlineStr">
        <is>
          <t>602147700</t>
        </is>
      </c>
      <c r="D193" s="8" t="inlineStr">
        <is>
          <t>冷轧不锈钢带|钢带|0Cr18Ni9|δ1|GB/T 4239-1991|冷轧|Y2</t>
        </is>
      </c>
      <c r="E193" s="8" t="inlineStr">
        <is>
          <t xml:space="preserve">物资名称 冷轧不锈钢带;物资简称 钢带;牌号 0Cr18Ni9;厚度 δ1;宽 ;技术标准号 GB/T 4239-1991;加工工艺 冷轧;热处理工艺 ;特殊要求 Y2;规格标准号 </t>
        </is>
      </c>
      <c r="F193" s="4" t="inlineStr">
        <is>
          <t>千克</t>
        </is>
      </c>
      <c r="G193" s="0">
        <f>LEFT(D193,FIND("|",D193,1)-1)</f>
        <v/>
      </c>
      <c r="H193" s="0">
        <f>MID(D193,FIND("|",D193,FIND("|",D193,1))+1,FIND("|",D193,FIND("|",D193,1)+1)-FIND("|",D193,FIND("|",D193,1))-1)</f>
        <v/>
      </c>
      <c r="J193" s="0">
        <f>MID(D193,FIND(",",SUBSTITUTE(D193,"|",REPT(",",LEN(D193)),2))+1,FIND(",",SUBSTITUTE(D193,"|",REPT(",",LEN(D193)),3))-FIND(",",SUBSTITUTE(D193,"|",REPT(",",LEN(D193)),2))-1)</f>
        <v/>
      </c>
      <c r="K193" s="0">
        <f>MID(D193,FIND(",",SUBSTITUTE(D193,"|",REPT(",",LEN(D193)),3))+1,FIND(",",SUBSTITUTE(D193,"|",REPT(",",LEN(D193)),4))-FIND(",",SUBSTITUTE(D193,"|",REPT(",",LEN(D193)),3))-1)</f>
        <v/>
      </c>
      <c r="L193" s="0">
        <f>MID(D193,FIND(";",SUBSTITUTE(D193,"|",REPT(";",LEN(D193)),4))+1,FIND(";",SUBSTITUTE(D193,"|",REPT(";",LEN(D193)),5))-FIND(";",SUBSTITUTE(D193,"|",REPT(";",LEN(D193)),4))-1)</f>
        <v/>
      </c>
      <c r="N193" s="0">
        <f>MID(D193,FIND(";",SUBSTITUTE(D193,"|",REPT(";",LEN(D193)),5))+1,FIND(";",SUBSTITUTE(D193,"|",REPT(";",LEN(D193)),6))-FIND(";",SUBSTITUTE(D193,"|",REPT(";",LEN(D193)),5))-1)</f>
        <v/>
      </c>
      <c r="P193" s="0">
        <f>MID(D193,FIND(";",SUBSTITUTE(D193,"|",REPT(";",LEN(D193)),6))+1,LEN(D193))</f>
        <v/>
      </c>
    </row>
    <row r="194" ht="28" customHeight="1" s="21">
      <c r="A194" s="8" t="inlineStr">
        <is>
          <t>100401</t>
        </is>
      </c>
      <c r="B194" s="8" t="inlineStr">
        <is>
          <t>钢带</t>
        </is>
      </c>
      <c r="C194" s="8" t="inlineStr">
        <is>
          <t>601686100</t>
        </is>
      </c>
      <c r="D194" s="8" t="inlineStr">
        <is>
          <t>冷轧不锈钢带|钢带|0Cr18Ni9|GB/T 4239-1991|Y2</t>
        </is>
      </c>
      <c r="E194" s="8" t="inlineStr">
        <is>
          <t xml:space="preserve">物资名称 冷轧不锈钢带;物资简称 钢带;牌号 0Cr18Ni9;厚度 δ;宽 ;技术标准号 GB/T 4239-1991;加工工艺 ;热处理工艺 ;特殊要求 Y2;规格标准号 </t>
        </is>
      </c>
      <c r="F194" s="4" t="inlineStr">
        <is>
          <t>千克</t>
        </is>
      </c>
      <c r="G194" s="0">
        <f>LEFT(D194,FIND("|",D194,1)-1)</f>
        <v/>
      </c>
      <c r="H194" s="0">
        <f>MID(D194,FIND("|",D194,FIND("|",D194,1))+1,FIND("|",D194,FIND("|",D194,1)+1)-FIND("|",D194,FIND("|",D194,1))-1)</f>
        <v/>
      </c>
      <c r="J194" s="0">
        <f>MID(D194,FIND(",",SUBSTITUTE(D194,"|",REPT(",",LEN(D194)),2))+1,FIND(",",SUBSTITUTE(D194,"|",REPT(",",LEN(D194)),3))-FIND(",",SUBSTITUTE(D194,"|",REPT(",",LEN(D194)),2))-1)</f>
        <v/>
      </c>
      <c r="L194" s="0">
        <f>MID(D194,FIND(",",SUBSTITUTE(D194,"|",REPT(",",LEN(D194)),3))+1,FIND(",",SUBSTITUTE(D194,"|",REPT(",",LEN(D194)),4))-FIND(",",SUBSTITUTE(D194,"|",REPT(",",LEN(D194)),3))-1)</f>
        <v/>
      </c>
      <c r="P194" s="0">
        <f>MID(D194,FIND(";",SUBSTITUTE(D194,"|",REPT(";",LEN(D194)),4))+1,LEN(D194))</f>
        <v/>
      </c>
    </row>
    <row r="195" ht="28" customHeight="1" s="21">
      <c r="A195" s="8" t="inlineStr">
        <is>
          <t>100401</t>
        </is>
      </c>
      <c r="B195" s="8" t="inlineStr">
        <is>
          <t>钢带</t>
        </is>
      </c>
      <c r="C195" s="8" t="inlineStr">
        <is>
          <t>601496500</t>
        </is>
      </c>
      <c r="D195" s="8" t="inlineStr">
        <is>
          <t>不锈钢带|钢带|1Cr18Ni9Ti|δ0.05</t>
        </is>
      </c>
      <c r="E195" s="8" t="inlineStr">
        <is>
          <t xml:space="preserve">物资名称 不锈钢带;物资简称 钢带;牌号 1Cr18Ni9Ti;厚度 δ0.05;宽 ;技术标准号 ;加工工艺 ;热处理工艺 ;特殊要求 ;规格标准号 </t>
        </is>
      </c>
      <c r="F195" s="4" t="inlineStr">
        <is>
          <t>千克</t>
        </is>
      </c>
      <c r="G195" s="0">
        <f>LEFT(D195,FIND("|",D195,1)-1)</f>
        <v/>
      </c>
      <c r="H195" s="0">
        <f>MID(D195,FIND("|",D195,FIND("|",D195,1))+1,FIND("|",D195,FIND("|",D195,1)+1)-FIND("|",D195,FIND("|",D195,1))-1)</f>
        <v/>
      </c>
      <c r="J195" s="0">
        <f>MID(D195,FIND(",",SUBSTITUTE(D195,"|",REPT(",",LEN(D195)),2))+1,FIND(",",SUBSTITUTE(D195,"|",REPT(",",LEN(D195)),3))-FIND(",",SUBSTITUTE(D195,"|",REPT(",",LEN(D195)),2))-1)</f>
        <v/>
      </c>
      <c r="K195" s="0">
        <f>MID(D195,FIND(";",SUBSTITUTE(D195,"|",REPT(";",LEN(D195)),3))+1,LEN(D195))</f>
        <v/>
      </c>
    </row>
    <row r="196" ht="28" customHeight="1" s="21">
      <c r="A196" s="8" t="inlineStr">
        <is>
          <t>100401</t>
        </is>
      </c>
      <c r="B196" s="8" t="inlineStr">
        <is>
          <t>钢带</t>
        </is>
      </c>
      <c r="C196" s="8" t="inlineStr">
        <is>
          <t>601496400</t>
        </is>
      </c>
      <c r="D196" s="8" t="inlineStr">
        <is>
          <t>不锈钢带|钢带|1Cr18Ni9Ti|δ0.5,200</t>
        </is>
      </c>
      <c r="E196" s="8" t="inlineStr">
        <is>
          <t xml:space="preserve">物资名称 不锈钢带;物资简称 钢带;牌号 1Cr18Ni9Ti;厚度 δ0.5;宽 200;技术标准号 ;加工工艺 ;热处理工艺 ;特殊要求 ;规格标准号 </t>
        </is>
      </c>
      <c r="F196" s="4" t="inlineStr">
        <is>
          <t>千克</t>
        </is>
      </c>
      <c r="G196" s="0">
        <f>LEFT(D196,FIND("|",D196,1)-1)</f>
        <v/>
      </c>
      <c r="H196" s="0">
        <f>MID(D196,FIND("|",D196,FIND("|",D196,1))+1,FIND("|",D196,FIND("|",D196,1)+1)-FIND("|",D196,FIND("|",D196,1))-1)</f>
        <v/>
      </c>
      <c r="J196" s="0">
        <f>MID(D196,FIND(",",SUBSTITUTE(D196,"|",REPT(",",LEN(D196)),2))+1,FIND(",",SUBSTITUTE(D196,"|",REPT(",",LEN(D196)),3))-FIND(",",SUBSTITUTE(D196,"|",REPT(",",LEN(D196)),2))-1)</f>
        <v/>
      </c>
      <c r="K196" s="0">
        <f>MID(D196,FIND(";",SUBSTITUTE(D196,"|",REPT(";",LEN(D196)),3))+1,LEN(D196))</f>
        <v/>
      </c>
    </row>
    <row r="197" ht="28" customHeight="1" s="21">
      <c r="A197" s="8" t="inlineStr">
        <is>
          <t>100401</t>
        </is>
      </c>
      <c r="B197" s="8" t="inlineStr">
        <is>
          <t>钢带</t>
        </is>
      </c>
      <c r="C197" s="8" t="inlineStr">
        <is>
          <t>601439000</t>
        </is>
      </c>
      <c r="D197" s="8" t="inlineStr">
        <is>
          <t>不锈钢带|钢带|1Cr17Ni17|δ0.6,305</t>
        </is>
      </c>
      <c r="E197" s="8" t="inlineStr">
        <is>
          <t xml:space="preserve">物资名称 不锈钢带;物资简称 钢带;牌号 1Cr17Ni17;厚度 δ0.6;宽 305;技术标准号 ;加工工艺 ;热处理工艺 ;特殊要求 ;规格标准号 </t>
        </is>
      </c>
      <c r="F197" s="4" t="inlineStr">
        <is>
          <t>千克</t>
        </is>
      </c>
      <c r="G197" s="0">
        <f>LEFT(D197,FIND("|",D197,1)-1)</f>
        <v/>
      </c>
      <c r="H197" s="0">
        <f>MID(D197,FIND("|",D197,FIND("|",D197,1))+1,FIND("|",D197,FIND("|",D197,1)+1)-FIND("|",D197,FIND("|",D197,1))-1)</f>
        <v/>
      </c>
      <c r="J197" s="0">
        <f>MID(D197,FIND(",",SUBSTITUTE(D197,"|",REPT(",",LEN(D197)),2))+1,FIND(",",SUBSTITUTE(D197,"|",REPT(",",LEN(D197)),3))-FIND(",",SUBSTITUTE(D197,"|",REPT(",",LEN(D197)),2))-1)</f>
        <v/>
      </c>
      <c r="K197" s="0">
        <f>MID(D197,FIND(";",SUBSTITUTE(D197,"|",REPT(";",LEN(D197)),3))+1,LEN(D197))</f>
        <v/>
      </c>
    </row>
    <row r="198" ht="28" customHeight="1" s="21">
      <c r="A198" s="8" t="inlineStr">
        <is>
          <t>100401</t>
        </is>
      </c>
      <c r="B198" s="8" t="inlineStr">
        <is>
          <t>钢带</t>
        </is>
      </c>
      <c r="C198" s="8" t="inlineStr">
        <is>
          <t>601438900</t>
        </is>
      </c>
      <c r="D198" s="8" t="inlineStr">
        <is>
          <t>不锈钢带|钢带|1Cr18Ni9Ti|δ0.1</t>
        </is>
      </c>
      <c r="E198" s="8" t="inlineStr">
        <is>
          <t xml:space="preserve">物资名称 不锈钢带;物资简称 钢带;牌号 1Cr18Ni9Ti;厚度 δ0.1;宽 ;技术标准号 ;加工工艺 ;热处理工艺 ;特殊要求 ;规格标准号 </t>
        </is>
      </c>
      <c r="F198" s="4" t="inlineStr">
        <is>
          <t>千克</t>
        </is>
      </c>
      <c r="G198" s="0">
        <f>LEFT(D198,FIND("|",D198,1)-1)</f>
        <v/>
      </c>
      <c r="H198" s="0">
        <f>MID(D198,FIND("|",D198,FIND("|",D198,1))+1,FIND("|",D198,FIND("|",D198,1)+1)-FIND("|",D198,FIND("|",D198,1))-1)</f>
        <v/>
      </c>
      <c r="J198" s="0">
        <f>MID(D198,FIND(",",SUBSTITUTE(D198,"|",REPT(",",LEN(D198)),2))+1,FIND(",",SUBSTITUTE(D198,"|",REPT(",",LEN(D198)),3))-FIND(",",SUBSTITUTE(D198,"|",REPT(",",LEN(D198)),2))-1)</f>
        <v/>
      </c>
      <c r="K198" s="0">
        <f>MID(D198,FIND(";",SUBSTITUTE(D198,"|",REPT(";",LEN(D198)),3))+1,LEN(D198))</f>
        <v/>
      </c>
    </row>
    <row r="199" ht="28" customHeight="1" s="21">
      <c r="A199" s="8" t="inlineStr">
        <is>
          <t>100401</t>
        </is>
      </c>
      <c r="B199" s="8" t="inlineStr">
        <is>
          <t>钢带</t>
        </is>
      </c>
      <c r="C199" s="8" t="inlineStr">
        <is>
          <t>601346500</t>
        </is>
      </c>
      <c r="D199" s="8" t="inlineStr">
        <is>
          <t>不锈钢带|钢带|12Cr18Ni9|δ0.35</t>
        </is>
      </c>
      <c r="E199" s="8" t="inlineStr">
        <is>
          <t xml:space="preserve">物资名称 不锈钢带;物资简称 钢带;牌号 12Cr18Ni9;厚度 δ0.35;宽 ;技术标准号 ;加工工艺 ;热处理工艺 ;特殊要求 ;规格标准号 </t>
        </is>
      </c>
      <c r="F199" s="4" t="inlineStr">
        <is>
          <t>千克</t>
        </is>
      </c>
      <c r="G199" s="0">
        <f>LEFT(D199,FIND("|",D199,1)-1)</f>
        <v/>
      </c>
      <c r="H199" s="0">
        <f>MID(D199,FIND("|",D199,FIND("|",D199,1))+1,FIND("|",D199,FIND("|",D199,1)+1)-FIND("|",D199,FIND("|",D199,1))-1)</f>
        <v/>
      </c>
      <c r="J199" s="0">
        <f>MID(D199,FIND(",",SUBSTITUTE(D199,"|",REPT(",",LEN(D199)),2))+1,FIND(",",SUBSTITUTE(D199,"|",REPT(",",LEN(D199)),3))-FIND(",",SUBSTITUTE(D199,"|",REPT(",",LEN(D199)),2))-1)</f>
        <v/>
      </c>
      <c r="K199" s="0">
        <f>MID(D199,FIND(";",SUBSTITUTE(D199,"|",REPT(";",LEN(D199)),3))+1,LEN(D199))</f>
        <v/>
      </c>
    </row>
    <row r="200" ht="28" customHeight="1" s="21">
      <c r="A200" s="8" t="inlineStr">
        <is>
          <t>100401</t>
        </is>
      </c>
      <c r="B200" s="8" t="inlineStr">
        <is>
          <t>钢带</t>
        </is>
      </c>
      <c r="C200" s="8" t="inlineStr">
        <is>
          <t>601337100</t>
        </is>
      </c>
      <c r="D200" s="8" t="inlineStr">
        <is>
          <t>不锈钢带|钢带|1Cr18Ni9|δ0.26</t>
        </is>
      </c>
      <c r="E200" s="8" t="inlineStr">
        <is>
          <t xml:space="preserve">物资名称 不锈钢带;物资简称 钢带;牌号 1Cr18Ni9;厚度 δ0.26;宽 ;技术标准号 ;加工工艺 ;热处理工艺 ;特殊要求 ;规格标准号 </t>
        </is>
      </c>
      <c r="F200" s="4" t="inlineStr">
        <is>
          <t>千克</t>
        </is>
      </c>
      <c r="G200" s="0">
        <f>LEFT(D200,FIND("|",D200,1)-1)</f>
        <v/>
      </c>
      <c r="H200" s="0">
        <f>MID(D200,FIND("|",D200,FIND("|",D200,1))+1,FIND("|",D200,FIND("|",D200,1)+1)-FIND("|",D200,FIND("|",D200,1))-1)</f>
        <v/>
      </c>
      <c r="J200" s="0">
        <f>MID(D200,FIND(",",SUBSTITUTE(D200,"|",REPT(",",LEN(D200)),2))+1,FIND(",",SUBSTITUTE(D200,"|",REPT(",",LEN(D200)),3))-FIND(",",SUBSTITUTE(D200,"|",REPT(",",LEN(D200)),2))-1)</f>
        <v/>
      </c>
      <c r="K200" s="0">
        <f>MID(D200,FIND(";",SUBSTITUTE(D200,"|",REPT(";",LEN(D200)),3))+1,LEN(D200))</f>
        <v/>
      </c>
    </row>
    <row r="201" ht="28" customHeight="1" s="21">
      <c r="A201" s="8" t="inlineStr">
        <is>
          <t>100401</t>
        </is>
      </c>
      <c r="B201" s="8" t="inlineStr">
        <is>
          <t>钢带</t>
        </is>
      </c>
      <c r="C201" s="8" t="inlineStr">
        <is>
          <t>601337000</t>
        </is>
      </c>
      <c r="D201" s="8" t="inlineStr">
        <is>
          <t>不锈钢带|钢带|1Cr18NiTi？|δ0.7</t>
        </is>
      </c>
      <c r="E201" s="8" t="inlineStr">
        <is>
          <t xml:space="preserve">物资名称 不锈钢带;物资简称 钢带;牌号 1Cr18NiTi？;厚度 δ0.7;宽 ;技术标准号 ;加工工艺 ;热处理工艺 ;特殊要求 ;规格标准号 </t>
        </is>
      </c>
      <c r="F201" s="4" t="inlineStr">
        <is>
          <t>千克</t>
        </is>
      </c>
      <c r="G201" s="0">
        <f>LEFT(D201,FIND("|",D201,1)-1)</f>
        <v/>
      </c>
      <c r="H201" s="0">
        <f>MID(D201,FIND("|",D201,FIND("|",D201,1))+1,FIND("|",D201,FIND("|",D201,1)+1)-FIND("|",D201,FIND("|",D201,1))-1)</f>
        <v/>
      </c>
      <c r="J201" s="0">
        <f>MID(D201,FIND(",",SUBSTITUTE(D201,"|",REPT(",",LEN(D201)),2))+1,FIND(",",SUBSTITUTE(D201,"|",REPT(",",LEN(D201)),3))-FIND(",",SUBSTITUTE(D201,"|",REPT(",",LEN(D201)),2))-1)</f>
        <v/>
      </c>
      <c r="K201" s="0">
        <f>MID(D201,FIND(";",SUBSTITUTE(D201,"|",REPT(";",LEN(D201)),3))+1,LEN(D201))</f>
        <v/>
      </c>
    </row>
    <row r="202" ht="28" customHeight="1" s="21">
      <c r="A202" s="8" t="inlineStr">
        <is>
          <t>100401</t>
        </is>
      </c>
      <c r="B202" s="8" t="inlineStr">
        <is>
          <t>钢带</t>
        </is>
      </c>
      <c r="C202" s="8" t="inlineStr">
        <is>
          <t>601336900</t>
        </is>
      </c>
      <c r="D202" s="8" t="inlineStr">
        <is>
          <t>不锈钢带|钢带|1Cr18Ni9Ti|δ0.15</t>
        </is>
      </c>
      <c r="E202" s="8" t="inlineStr">
        <is>
          <t xml:space="preserve">物资名称 不锈钢带;物资简称 钢带;牌号 1Cr18Ni9Ti;厚度 δ0.15;宽 ;技术标准号 ;加工工艺 ;热处理工艺 ;特殊要求 ;规格标准号 </t>
        </is>
      </c>
      <c r="F202" s="4" t="inlineStr">
        <is>
          <t>千克</t>
        </is>
      </c>
      <c r="G202" s="0">
        <f>LEFT(D202,FIND("|",D202,1)-1)</f>
        <v/>
      </c>
      <c r="H202" s="0">
        <f>MID(D202,FIND("|",D202,FIND("|",D202,1))+1,FIND("|",D202,FIND("|",D202,1)+1)-FIND("|",D202,FIND("|",D202,1))-1)</f>
        <v/>
      </c>
      <c r="J202" s="0">
        <f>MID(D202,FIND(",",SUBSTITUTE(D202,"|",REPT(",",LEN(D202)),2))+1,FIND(",",SUBSTITUTE(D202,"|",REPT(",",LEN(D202)),3))-FIND(",",SUBSTITUTE(D202,"|",REPT(",",LEN(D202)),2))-1)</f>
        <v/>
      </c>
      <c r="K202" s="0">
        <f>MID(D202,FIND(";",SUBSTITUTE(D202,"|",REPT(";",LEN(D202)),3))+1,LEN(D202))</f>
        <v/>
      </c>
    </row>
    <row r="203" ht="28" customHeight="1" s="21">
      <c r="A203" s="8" t="inlineStr">
        <is>
          <t>100401</t>
        </is>
      </c>
      <c r="B203" s="8" t="inlineStr">
        <is>
          <t>钢带</t>
        </is>
      </c>
      <c r="C203" s="8" t="inlineStr">
        <is>
          <t>601336800</t>
        </is>
      </c>
      <c r="D203" s="8" t="inlineStr">
        <is>
          <t>不锈钢带|钢带|1Cr18Ni9|δ0.3</t>
        </is>
      </c>
      <c r="E203" s="8" t="inlineStr">
        <is>
          <t xml:space="preserve">物资名称 不锈钢带;物资简称 钢带;牌号 1Cr18Ni9;厚度 δ0.3;宽 ;技术标准号 ;加工工艺 ;热处理工艺 ;特殊要求 ;规格标准号 </t>
        </is>
      </c>
      <c r="F203" s="4" t="inlineStr">
        <is>
          <t>千克</t>
        </is>
      </c>
      <c r="G203" s="0">
        <f>LEFT(D203,FIND("|",D203,1)-1)</f>
        <v/>
      </c>
      <c r="H203" s="0">
        <f>MID(D203,FIND("|",D203,FIND("|",D203,1))+1,FIND("|",D203,FIND("|",D203,1)+1)-FIND("|",D203,FIND("|",D203,1))-1)</f>
        <v/>
      </c>
      <c r="J203" s="0">
        <f>MID(D203,FIND(",",SUBSTITUTE(D203,"|",REPT(",",LEN(D203)),2))+1,FIND(",",SUBSTITUTE(D203,"|",REPT(",",LEN(D203)),3))-FIND(",",SUBSTITUTE(D203,"|",REPT(",",LEN(D203)),2))-1)</f>
        <v/>
      </c>
      <c r="K203" s="0">
        <f>MID(D203,FIND(";",SUBSTITUTE(D203,"|",REPT(";",LEN(D203)),3))+1,LEN(D203))</f>
        <v/>
      </c>
    </row>
    <row r="204" ht="28" customHeight="1" s="21">
      <c r="A204" s="8" t="inlineStr">
        <is>
          <t>100401</t>
        </is>
      </c>
      <c r="B204" s="8" t="inlineStr">
        <is>
          <t>钢带</t>
        </is>
      </c>
      <c r="C204" s="8" t="inlineStr">
        <is>
          <t>601336700</t>
        </is>
      </c>
      <c r="D204" s="8" t="inlineStr">
        <is>
          <t>不锈钢带|钢带|12Cr18Ni9|δ0.1</t>
        </is>
      </c>
      <c r="E204" s="8" t="inlineStr">
        <is>
          <t xml:space="preserve">物资名称 不锈钢带;物资简称 钢带;牌号 12Cr18Ni9;厚度 δ0.1;宽 ;技术标准号 ;加工工艺 ;热处理工艺 ;特殊要求 ;规格标准号 </t>
        </is>
      </c>
      <c r="F204" s="4" t="inlineStr">
        <is>
          <t>千克</t>
        </is>
      </c>
      <c r="G204" s="0">
        <f>LEFT(D204,FIND("|",D204,1)-1)</f>
        <v/>
      </c>
      <c r="H204" s="0">
        <f>MID(D204,FIND("|",D204,FIND("|",D204,1))+1,FIND("|",D204,FIND("|",D204,1)+1)-FIND("|",D204,FIND("|",D204,1))-1)</f>
        <v/>
      </c>
      <c r="J204" s="0">
        <f>MID(D204,FIND(",",SUBSTITUTE(D204,"|",REPT(",",LEN(D204)),2))+1,FIND(",",SUBSTITUTE(D204,"|",REPT(",",LEN(D204)),3))-FIND(",",SUBSTITUTE(D204,"|",REPT(",",LEN(D204)),2))-1)</f>
        <v/>
      </c>
      <c r="K204" s="0">
        <f>MID(D204,FIND(";",SUBSTITUTE(D204,"|",REPT(";",LEN(D204)),3))+1,LEN(D204))</f>
        <v/>
      </c>
    </row>
    <row r="205" ht="28" customHeight="1" s="21">
      <c r="A205" s="8" t="inlineStr">
        <is>
          <t>100401</t>
        </is>
      </c>
      <c r="B205" s="8" t="inlineStr">
        <is>
          <t>钢带</t>
        </is>
      </c>
      <c r="C205" s="8" t="inlineStr">
        <is>
          <t>601336600</t>
        </is>
      </c>
      <c r="D205" s="8" t="inlineStr">
        <is>
          <t>不锈钢带|钢带|12Cr18Ni9|δ0.2</t>
        </is>
      </c>
      <c r="E205" s="8" t="inlineStr">
        <is>
          <t xml:space="preserve">物资名称 不锈钢带;物资简称 钢带;牌号 12Cr18Ni9;厚度 δ0.2;宽 ;技术标准号 ;加工工艺 ;热处理工艺 ;特殊要求 ;规格标准号 </t>
        </is>
      </c>
      <c r="F205" s="4" t="inlineStr">
        <is>
          <t>千克</t>
        </is>
      </c>
      <c r="G205" s="0">
        <f>LEFT(D205,FIND("|",D205,1)-1)</f>
        <v/>
      </c>
      <c r="H205" s="0">
        <f>MID(D205,FIND("|",D205,FIND("|",D205,1))+1,FIND("|",D205,FIND("|",D205,1)+1)-FIND("|",D205,FIND("|",D205,1))-1)</f>
        <v/>
      </c>
      <c r="J205" s="0">
        <f>MID(D205,FIND(",",SUBSTITUTE(D205,"|",REPT(",",LEN(D205)),2))+1,FIND(",",SUBSTITUTE(D205,"|",REPT(",",LEN(D205)),3))-FIND(",",SUBSTITUTE(D205,"|",REPT(",",LEN(D205)),2))-1)</f>
        <v/>
      </c>
      <c r="K205" s="0">
        <f>MID(D205,FIND(";",SUBSTITUTE(D205,"|",REPT(";",LEN(D205)),3))+1,LEN(D205))</f>
        <v/>
      </c>
    </row>
    <row r="206" ht="28" customHeight="1" s="21">
      <c r="A206" s="8" t="inlineStr">
        <is>
          <t>100401</t>
        </is>
      </c>
      <c r="B206" s="8" t="inlineStr">
        <is>
          <t>钢带</t>
        </is>
      </c>
      <c r="C206" s="8" t="inlineStr">
        <is>
          <t>601336500</t>
        </is>
      </c>
      <c r="D206" s="8" t="inlineStr">
        <is>
          <t>磁头用软磁合金带|钢带|1J85|δ0.2|YB/T 086-1996|软态</t>
        </is>
      </c>
      <c r="E206" s="8" t="inlineStr">
        <is>
          <t xml:space="preserve">物资名称 磁头用软磁合金带;物资简称 钢带;牌号 1J85;厚度 δ0.2;宽 ;技术标准号 YB/T 086-1996;加工工艺 ;热处理工艺 ;特殊要求 软态;规格标准号 </t>
        </is>
      </c>
      <c r="F206" s="4" t="inlineStr">
        <is>
          <t>千克</t>
        </is>
      </c>
      <c r="G206" s="0">
        <f>LEFT(D206,FIND("|",D206,1)-1)</f>
        <v/>
      </c>
      <c r="H206" s="0">
        <f>MID(D206,FIND("|",D206,FIND("|",D206,1))+1,FIND("|",D206,FIND("|",D206,1)+1)-FIND("|",D206,FIND("|",D206,1))-1)</f>
        <v/>
      </c>
      <c r="J206" s="0">
        <f>MID(D206,FIND(",",SUBSTITUTE(D206,"|",REPT(",",LEN(D206)),2))+1,FIND(",",SUBSTITUTE(D206,"|",REPT(",",LEN(D206)),3))-FIND(",",SUBSTITUTE(D206,"|",REPT(",",LEN(D206)),2))-1)</f>
        <v/>
      </c>
      <c r="K206" s="0">
        <f>MID(D206,FIND(",",SUBSTITUTE(D206,"|",REPT(",",LEN(D206)),3))+1,FIND(",",SUBSTITUTE(D206,"|",REPT(",",LEN(D206)),4))-FIND(",",SUBSTITUTE(D206,"|",REPT(",",LEN(D206)),3))-1)</f>
        <v/>
      </c>
      <c r="L206" s="0">
        <f>MID(D206,FIND(",",SUBSTITUTE(D206,"|",REPT(",",LEN(D206)),4))+1,FIND(",",SUBSTITUTE(D206,"|",REPT(",",LEN(D206)),5))-FIND(",",SUBSTITUTE(D206,"|",REPT(",",LEN(D206)),4))-1)</f>
        <v/>
      </c>
      <c r="P206" s="0">
        <f>MID(D206,FIND(";",SUBSTITUTE(D206,"|",REPT(";",LEN(D206)),5))+1,LEN(D206))</f>
        <v/>
      </c>
    </row>
    <row r="207" ht="28" customHeight="1" s="21">
      <c r="A207" s="8" t="inlineStr">
        <is>
          <t>100401</t>
        </is>
      </c>
      <c r="B207" s="8" t="inlineStr">
        <is>
          <t>钢带</t>
        </is>
      </c>
      <c r="C207" s="8" t="inlineStr">
        <is>
          <t>601336400</t>
        </is>
      </c>
      <c r="D207" s="8" t="inlineStr">
        <is>
          <t>不锈钢带|钢带|12Cr18Ni9|δ0.5,200</t>
        </is>
      </c>
      <c r="E207" s="8" t="inlineStr">
        <is>
          <t xml:space="preserve">物资名称 不锈钢带;物资简称 钢带;牌号 12Cr18Ni9;厚度 δ0.5;宽 200;技术标准号 ;加工工艺 ;热处理工艺 ;特殊要求 ;规格标准号 </t>
        </is>
      </c>
      <c r="F207" s="4" t="inlineStr">
        <is>
          <t>千克</t>
        </is>
      </c>
      <c r="G207" s="0">
        <f>LEFT(D207,FIND("|",D207,1)-1)</f>
        <v/>
      </c>
      <c r="H207" s="0">
        <f>MID(D207,FIND("|",D207,FIND("|",D207,1))+1,FIND("|",D207,FIND("|",D207,1)+1)-FIND("|",D207,FIND("|",D207,1))-1)</f>
        <v/>
      </c>
      <c r="J207" s="0">
        <f>MID(D207,FIND(",",SUBSTITUTE(D207,"|",REPT(",",LEN(D207)),2))+1,FIND(",",SUBSTITUTE(D207,"|",REPT(",",LEN(D207)),3))-FIND(",",SUBSTITUTE(D207,"|",REPT(",",LEN(D207)),2))-1)</f>
        <v/>
      </c>
      <c r="K207" s="0">
        <f>MID(D207,FIND(";",SUBSTITUTE(D207,"|",REPT(";",LEN(D207)),3))+1,LEN(D207))</f>
        <v/>
      </c>
    </row>
    <row r="208" ht="28" customHeight="1" s="21">
      <c r="A208" s="8" t="inlineStr">
        <is>
          <t>100401</t>
        </is>
      </c>
      <c r="B208" s="8" t="inlineStr">
        <is>
          <t>钢带</t>
        </is>
      </c>
      <c r="C208" s="8" t="inlineStr">
        <is>
          <t>601336300</t>
        </is>
      </c>
      <c r="D208" s="8" t="inlineStr">
        <is>
          <t>不锈钢带|钢带|1Cr17Ni7|δ0.6</t>
        </is>
      </c>
      <c r="E208" s="8" t="inlineStr">
        <is>
          <t xml:space="preserve">物资名称 不锈钢带;物资简称 钢带;牌号 1Cr17Ni7;厚度 δ0.6;宽 ;技术标准号 ;加工工艺 ;热处理工艺 ;特殊要求 ;规格标准号 </t>
        </is>
      </c>
      <c r="F208" s="4" t="inlineStr">
        <is>
          <t>千克</t>
        </is>
      </c>
      <c r="G208" s="0">
        <f>LEFT(D208,FIND("|",D208,1)-1)</f>
        <v/>
      </c>
      <c r="H208" s="0">
        <f>MID(D208,FIND("|",D208,FIND("|",D208,1))+1,FIND("|",D208,FIND("|",D208,1)+1)-FIND("|",D208,FIND("|",D208,1))-1)</f>
        <v/>
      </c>
      <c r="J208" s="0">
        <f>MID(D208,FIND(",",SUBSTITUTE(D208,"|",REPT(",",LEN(D208)),2))+1,FIND(",",SUBSTITUTE(D208,"|",REPT(",",LEN(D208)),3))-FIND(",",SUBSTITUTE(D208,"|",REPT(",",LEN(D208)),2))-1)</f>
        <v/>
      </c>
      <c r="K208" s="0">
        <f>MID(D208,FIND(";",SUBSTITUTE(D208,"|",REPT(";",LEN(D208)),3))+1,LEN(D208))</f>
        <v/>
      </c>
    </row>
    <row r="209" ht="28" customHeight="1" s="21">
      <c r="A209" s="8" t="inlineStr">
        <is>
          <t>100401</t>
        </is>
      </c>
      <c r="B209" s="8" t="inlineStr">
        <is>
          <t>钢带</t>
        </is>
      </c>
      <c r="C209" s="8" t="inlineStr">
        <is>
          <t>601336200</t>
        </is>
      </c>
      <c r="D209" s="8" t="inlineStr">
        <is>
          <t>磁头用软磁合金带|钢带|1J85|δ0.2|YB/T 086-1996|硬态</t>
        </is>
      </c>
      <c r="E209" s="8" t="inlineStr">
        <is>
          <t xml:space="preserve">物资名称 磁头用软磁合金带;物资简称 钢带;牌号 1J85;厚度 δ0.2;宽 ;技术标准号 YB/T 086-1996;加工工艺 ;热处理工艺 ;特殊要求 硬态;规格标准号 </t>
        </is>
      </c>
      <c r="F209" s="4" t="inlineStr">
        <is>
          <t>千克</t>
        </is>
      </c>
      <c r="G209" s="0">
        <f>LEFT(D209,FIND("|",D209,1)-1)</f>
        <v/>
      </c>
      <c r="H209" s="0">
        <f>MID(D209,FIND("|",D209,FIND("|",D209,1))+1,FIND("|",D209,FIND("|",D209,1)+1)-FIND("|",D209,FIND("|",D209,1))-1)</f>
        <v/>
      </c>
      <c r="J209" s="0">
        <f>MID(D209,FIND(",",SUBSTITUTE(D209,"|",REPT(",",LEN(D209)),2))+1,FIND(",",SUBSTITUTE(D209,"|",REPT(",",LEN(D209)),3))-FIND(",",SUBSTITUTE(D209,"|",REPT(",",LEN(D209)),2))-1)</f>
        <v/>
      </c>
      <c r="K209" s="0">
        <f>MID(D209,FIND(",",SUBSTITUTE(D209,"|",REPT(",",LEN(D209)),3))+1,FIND(",",SUBSTITUTE(D209,"|",REPT(",",LEN(D209)),4))-FIND(",",SUBSTITUTE(D209,"|",REPT(",",LEN(D209)),3))-1)</f>
        <v/>
      </c>
      <c r="L209" s="0">
        <f>MID(D209,FIND(",",SUBSTITUTE(D209,"|",REPT(",",LEN(D209)),4))+1,FIND(",",SUBSTITUTE(D209,"|",REPT(",",LEN(D209)),5))-FIND(",",SUBSTITUTE(D209,"|",REPT(",",LEN(D209)),4))-1)</f>
        <v/>
      </c>
      <c r="P209" s="0">
        <f>MID(D209,FIND(";",SUBSTITUTE(D209,"|",REPT(";",LEN(D209)),5))+1,LEN(D209))</f>
        <v/>
      </c>
    </row>
    <row r="210" ht="28" customHeight="1" s="21">
      <c r="A210" s="8" t="inlineStr">
        <is>
          <t>100401</t>
        </is>
      </c>
      <c r="B210" s="8" t="inlineStr">
        <is>
          <t>钢带</t>
        </is>
      </c>
      <c r="C210" s="8" t="inlineStr">
        <is>
          <t>601336100</t>
        </is>
      </c>
      <c r="D210" s="8" t="inlineStr">
        <is>
          <t>不锈钢带|钢带|12Cr18Ni9|δ0.01</t>
        </is>
      </c>
      <c r="E210" s="8" t="inlineStr">
        <is>
          <t xml:space="preserve">物资名称 不锈钢带;物资简称 钢带;牌号 12Cr18Ni9;厚度 δ0.01;宽 ;技术标准号 ;加工工艺 ;热处理工艺 ;特殊要求 ;规格标准号 </t>
        </is>
      </c>
      <c r="F210" s="4" t="inlineStr">
        <is>
          <t>千克</t>
        </is>
      </c>
      <c r="G210" s="0">
        <f>LEFT(D210,FIND("|",D210,1)-1)</f>
        <v/>
      </c>
      <c r="H210" s="0">
        <f>MID(D210,FIND("|",D210,FIND("|",D210,1))+1,FIND("|",D210,FIND("|",D210,1)+1)-FIND("|",D210,FIND("|",D210,1))-1)</f>
        <v/>
      </c>
      <c r="J210" s="0">
        <f>MID(D210,FIND(",",SUBSTITUTE(D210,"|",REPT(",",LEN(D210)),2))+1,FIND(",",SUBSTITUTE(D210,"|",REPT(",",LEN(D210)),3))-FIND(",",SUBSTITUTE(D210,"|",REPT(",",LEN(D210)),2))-1)</f>
        <v/>
      </c>
      <c r="K210" s="0">
        <f>MID(D210,FIND(";",SUBSTITUTE(D210,"|",REPT(";",LEN(D210)),3))+1,LEN(D210))</f>
        <v/>
      </c>
    </row>
    <row r="211" ht="28" customHeight="1" s="21">
      <c r="A211" s="8" t="inlineStr">
        <is>
          <t>100401</t>
        </is>
      </c>
      <c r="B211" s="8" t="inlineStr">
        <is>
          <t>钢带</t>
        </is>
      </c>
      <c r="C211" s="8" t="inlineStr">
        <is>
          <t>601336000</t>
        </is>
      </c>
      <c r="D211" s="8" t="inlineStr">
        <is>
          <t>不锈钢带|钢带|1Cr18Ni9|δ0.2</t>
        </is>
      </c>
      <c r="E211" s="8" t="inlineStr">
        <is>
          <t xml:space="preserve">物资名称 不锈钢带;物资简称 钢带;牌号 1Cr18Ni9;厚度 δ0.2;宽 ;技术标准号 ;加工工艺 ;热处理工艺 ;特殊要求 ;规格标准号 </t>
        </is>
      </c>
      <c r="F211" s="4" t="inlineStr">
        <is>
          <t>千克</t>
        </is>
      </c>
      <c r="G211" s="0">
        <f>LEFT(D211,FIND("|",D211,1)-1)</f>
        <v/>
      </c>
      <c r="H211" s="0">
        <f>MID(D211,FIND("|",D211,FIND("|",D211,1))+1,FIND("|",D211,FIND("|",D211,1)+1)-FIND("|",D211,FIND("|",D211,1))-1)</f>
        <v/>
      </c>
      <c r="J211" s="0">
        <f>MID(D211,FIND(",",SUBSTITUTE(D211,"|",REPT(",",LEN(D211)),2))+1,FIND(",",SUBSTITUTE(D211,"|",REPT(",",LEN(D211)),3))-FIND(",",SUBSTITUTE(D211,"|",REPT(",",LEN(D211)),2))-1)</f>
        <v/>
      </c>
      <c r="K211" s="0">
        <f>MID(D211,FIND(";",SUBSTITUTE(D211,"|",REPT(";",LEN(D211)),3))+1,LEN(D211))</f>
        <v/>
      </c>
    </row>
    <row r="212" ht="28" customHeight="1" s="21">
      <c r="A212" s="8" t="inlineStr">
        <is>
          <t>100401</t>
        </is>
      </c>
      <c r="B212" s="8" t="inlineStr">
        <is>
          <t>钢带</t>
        </is>
      </c>
      <c r="C212" s="8" t="inlineStr">
        <is>
          <t>601335900</t>
        </is>
      </c>
      <c r="D212" s="8" t="inlineStr">
        <is>
          <t>弹簧钢带|钢带|T8A-Ⅲ-PT.B-SC|δ0.2,100</t>
        </is>
      </c>
      <c r="E212" s="8" t="inlineStr">
        <is>
          <t xml:space="preserve">物资名称 弹簧钢带;物资简称 钢带;牌号 T8A-Ⅲ-PT.B-SC;厚度 δ0.2;宽 100;技术标准号 ;加工工艺 ;热处理工艺 ;特殊要求 ;规格标准号 </t>
        </is>
      </c>
      <c r="F212" s="4" t="inlineStr">
        <is>
          <t>千克</t>
        </is>
      </c>
      <c r="G212" s="0">
        <f>LEFT(D212,FIND("|",D212,1)-1)</f>
        <v/>
      </c>
      <c r="H212" s="0">
        <f>MID(D212,FIND("|",D212,FIND("|",D212,1))+1,FIND("|",D212,FIND("|",D212,1)+1)-FIND("|",D212,FIND("|",D212,1))-1)</f>
        <v/>
      </c>
      <c r="J212" s="0">
        <f>MID(D212,FIND(",",SUBSTITUTE(D212,"|",REPT(",",LEN(D212)),2))+1,FIND(",",SUBSTITUTE(D212,"|",REPT(",",LEN(D212)),3))-FIND(",",SUBSTITUTE(D212,"|",REPT(",",LEN(D212)),2))-1)</f>
        <v/>
      </c>
      <c r="K212" s="0">
        <f>MID(D212,FIND(";",SUBSTITUTE(D212,"|",REPT(";",LEN(D212)),3))+1,LEN(D212))</f>
        <v/>
      </c>
    </row>
    <row r="213" ht="28" customHeight="1" s="21">
      <c r="A213" s="8" t="inlineStr">
        <is>
          <t>100401</t>
        </is>
      </c>
      <c r="B213" s="8" t="inlineStr">
        <is>
          <t>钢带</t>
        </is>
      </c>
      <c r="C213" s="8" t="inlineStr">
        <is>
          <t>601335800</t>
        </is>
      </c>
      <c r="D213" s="8" t="inlineStr">
        <is>
          <t>弹性合金钢带|钢带|3J21|δ0.1\0.29,90|502/97-5-41</t>
        </is>
      </c>
      <c r="E213" s="8" t="inlineStr">
        <is>
          <t xml:space="preserve">物资名称 弹性合金钢带;物资简称 钢带;牌号 3J21;厚度 δ0.1\0.29;宽 90;技术标准号 502/97-5-41;加工工艺 ;热处理工艺 ;特殊要求 ;规格标准号 </t>
        </is>
      </c>
      <c r="F213" s="4" t="inlineStr">
        <is>
          <t>千克</t>
        </is>
      </c>
      <c r="G213" s="0">
        <f>LEFT(D213,FIND("|",D213,1)-1)</f>
        <v/>
      </c>
      <c r="H213" s="0">
        <f>MID(D213,FIND("|",D213,FIND("|",D213,1))+1,FIND("|",D213,FIND("|",D213,1)+1)-FIND("|",D213,FIND("|",D213,1))-1)</f>
        <v/>
      </c>
      <c r="J213" s="0">
        <f>MID(D213,FIND(",",SUBSTITUTE(D213,"|",REPT(",",LEN(D213)),2))+1,FIND(",",SUBSTITUTE(D213,"|",REPT(",",LEN(D213)),3))-FIND(",",SUBSTITUTE(D213,"|",REPT(",",LEN(D213)),2))-1)</f>
        <v/>
      </c>
      <c r="K213" s="0">
        <f>MID(D213,FIND(";",SUBSTITUTE(D213,"|",REPT(";",LEN(D213)),3))+1,FIND(";",SUBSTITUTE(D213,"|",REPT(";",LEN(D213)),4))-FIND(";",SUBSTITUTE(D213,"|",REPT(";",LEN(D213)),3))-1)</f>
        <v/>
      </c>
      <c r="L213" s="0">
        <f>MID(D213,FIND(";",SUBSTITUTE(D213,"|",REPT(";",LEN(D213)),4))+1,LEN(D213))</f>
        <v/>
      </c>
    </row>
    <row r="214" ht="28" customHeight="1" s="21">
      <c r="A214" s="8" t="inlineStr">
        <is>
          <t>100401</t>
        </is>
      </c>
      <c r="B214" s="8" t="inlineStr">
        <is>
          <t>钢带</t>
        </is>
      </c>
      <c r="C214" s="8" t="inlineStr">
        <is>
          <t>601335700</t>
        </is>
      </c>
      <c r="D214" s="8" t="inlineStr">
        <is>
          <t>弹性合金钢带|钢带|3J21-B|δ0.29,180|502/2002-7-29</t>
        </is>
      </c>
      <c r="E214" s="8" t="inlineStr">
        <is>
          <t xml:space="preserve">物资名称 弹性合金钢带;物资简称 钢带;牌号 3J21-B;厚度 δ0.29;宽 180;技术标准号 502/2002-7-29;加工工艺 ;热处理工艺 ;特殊要求 ;规格标准号 </t>
        </is>
      </c>
      <c r="F214" s="4" t="inlineStr">
        <is>
          <t>千克</t>
        </is>
      </c>
      <c r="G214" s="0">
        <f>LEFT(D214,FIND("|",D214,1)-1)</f>
        <v/>
      </c>
      <c r="H214" s="0">
        <f>MID(D214,FIND("|",D214,FIND("|",D214,1))+1,FIND("|",D214,FIND("|",D214,1)+1)-FIND("|",D214,FIND("|",D214,1))-1)</f>
        <v/>
      </c>
      <c r="J214" s="0">
        <f>MID(D214,FIND(",",SUBSTITUTE(D214,"|",REPT(",",LEN(D214)),2))+1,FIND(",",SUBSTITUTE(D214,"|",REPT(",",LEN(D214)),3))-FIND(",",SUBSTITUTE(D214,"|",REPT(",",LEN(D214)),2))-1)</f>
        <v/>
      </c>
      <c r="K214" s="0">
        <f>MID(D214,FIND(";",SUBSTITUTE(D214,"|",REPT(";",LEN(D214)),3))+1,FIND(";",SUBSTITUTE(D214,"|",REPT(";",LEN(D214)),4))-FIND(";",SUBSTITUTE(D214,"|",REPT(";",LEN(D214)),3))-1)</f>
        <v/>
      </c>
      <c r="L214" s="0">
        <f>MID(D214,FIND(";",SUBSTITUTE(D214,"|",REPT(";",LEN(D214)),4))+1,LEN(D214))</f>
        <v/>
      </c>
    </row>
    <row r="215" ht="28" customHeight="1" s="21">
      <c r="A215" s="8" t="inlineStr">
        <is>
          <t>100401</t>
        </is>
      </c>
      <c r="B215" s="8" t="inlineStr">
        <is>
          <t>钢带</t>
        </is>
      </c>
      <c r="C215" s="8" t="inlineStr">
        <is>
          <t>601335600</t>
        </is>
      </c>
      <c r="D215" s="8" t="inlineStr">
        <is>
          <t>钢板|钢带|50RM400-AI|δ0.5×1230×1000|101/2003-2-10</t>
        </is>
      </c>
      <c r="E215" s="8" t="inlineStr">
        <is>
          <t xml:space="preserve">物资名称 钢板;物资简称 钢带;牌号 50RM400-AI;厚度 δ0.5×1230×1000;宽 ;技术标准号 101/2003-2-10;加工工艺 ;热处理工艺 ;特殊要求 ;规格标准号 </t>
        </is>
      </c>
      <c r="F215" s="4" t="inlineStr">
        <is>
          <t>千克</t>
        </is>
      </c>
      <c r="G215" s="0">
        <f>LEFT(D215,FIND("|",D215,1)-1)</f>
        <v/>
      </c>
      <c r="H215" s="0">
        <f>MID(D215,FIND("|",D215,FIND("|",D215,1))+1,FIND("|",D215,FIND("|",D215,1)+1)-FIND("|",D215,FIND("|",D215,1))-1)</f>
        <v/>
      </c>
      <c r="J215" s="0">
        <f>MID(D215,FIND(",",SUBSTITUTE(D215,"|",REPT(",",LEN(D215)),2))+1,FIND(",",SUBSTITUTE(D215,"|",REPT(",",LEN(D215)),3))-FIND(",",SUBSTITUTE(D215,"|",REPT(",",LEN(D215)),2))-1)</f>
        <v/>
      </c>
      <c r="K215" s="0">
        <f>MID(D215,FIND(",",SUBSTITUTE(D215,"|",REPT(",",LEN(D215)),3))+1,FIND(",",SUBSTITUTE(D215,"|",REPT(",",LEN(D215)),4))-FIND(",",SUBSTITUTE(D215,"|",REPT(",",LEN(D215)),3))-1)</f>
        <v/>
      </c>
      <c r="L215" s="0">
        <f>MID(D215,FIND(";",SUBSTITUTE(D215,"|",REPT(";",LEN(D215)),4))+1,LEN(D215))</f>
        <v/>
      </c>
    </row>
    <row r="216" ht="28" customHeight="1" s="21">
      <c r="A216" s="8" t="inlineStr">
        <is>
          <t>100401</t>
        </is>
      </c>
      <c r="B216" s="8" t="inlineStr">
        <is>
          <t>钢带</t>
        </is>
      </c>
      <c r="C216" s="8" t="inlineStr">
        <is>
          <t>601335500</t>
        </is>
      </c>
      <c r="D216" s="8" t="inlineStr">
        <is>
          <t>钢板|钢带|35H300|δ0.35×1000×1000|101/2006-3-67</t>
        </is>
      </c>
      <c r="E216" s="8" t="inlineStr">
        <is>
          <t xml:space="preserve">物资名称 钢板;物资简称 钢带;牌号 35H300;厚度 δ0.35×1000×1000;宽 ;技术标准号 101/2006-3-67;加工工艺 ;热处理工艺 ;特殊要求 ;规格标准号 </t>
        </is>
      </c>
      <c r="F216" s="4" t="inlineStr">
        <is>
          <t>千克</t>
        </is>
      </c>
      <c r="G216" s="0">
        <f>LEFT(D216,FIND("|",D216,1)-1)</f>
        <v/>
      </c>
      <c r="H216" s="0">
        <f>MID(D216,FIND("|",D216,FIND("|",D216,1))+1,FIND("|",D216,FIND("|",D216,1)+1)-FIND("|",D216,FIND("|",D216,1))-1)</f>
        <v/>
      </c>
      <c r="J216" s="0">
        <f>MID(D216,FIND(",",SUBSTITUTE(D216,"|",REPT(",",LEN(D216)),2))+1,FIND(",",SUBSTITUTE(D216,"|",REPT(",",LEN(D216)),3))-FIND(",",SUBSTITUTE(D216,"|",REPT(",",LEN(D216)),2))-1)</f>
        <v/>
      </c>
      <c r="K216" s="0">
        <f>MID(D216,FIND(",",SUBSTITUTE(D216,"|",REPT(",",LEN(D216)),3))+1,FIND(",",SUBSTITUTE(D216,"|",REPT(",",LEN(D216)),4))-FIND(",",SUBSTITUTE(D216,"|",REPT(",",LEN(D216)),3))-1)</f>
        <v/>
      </c>
      <c r="L216" s="0">
        <f>MID(D216,FIND(";",SUBSTITUTE(D216,"|",REPT(";",LEN(D216)),4))+1,LEN(D216))</f>
        <v/>
      </c>
    </row>
    <row r="217" ht="28" customHeight="1" s="21">
      <c r="A217" s="8" t="inlineStr">
        <is>
          <t>100401</t>
        </is>
      </c>
      <c r="B217" s="8" t="inlineStr">
        <is>
          <t>钢带</t>
        </is>
      </c>
      <c r="C217" s="8" t="inlineStr">
        <is>
          <t>601335400</t>
        </is>
      </c>
      <c r="D217" s="8" t="inlineStr">
        <is>
          <t>钢带|钢带|0Cr18Ni9|δ0.02</t>
        </is>
      </c>
      <c r="E217" s="8" t="inlineStr">
        <is>
          <t xml:space="preserve">物资名称 钢带;物资简称 钢带;牌号 0Cr18Ni9;厚度 δ0.02;宽 ;技术标准号 ;加工工艺 ;热处理工艺 ;特殊要求 ;规格标准号 </t>
        </is>
      </c>
      <c r="F217" s="4" t="inlineStr">
        <is>
          <t>千克</t>
        </is>
      </c>
      <c r="G217" s="0">
        <f>LEFT(D217,FIND("|",D217,1)-1)</f>
        <v/>
      </c>
      <c r="H217" s="0">
        <f>MID(D217,FIND("|",D217,FIND("|",D217,1))+1,FIND("|",D217,FIND("|",D217,1)+1)-FIND("|",D217,FIND("|",D217,1))-1)</f>
        <v/>
      </c>
      <c r="J217" s="0">
        <f>MID(D217,FIND(",",SUBSTITUTE(D217,"|",REPT(",",LEN(D217)),2))+1,FIND(",",SUBSTITUTE(D217,"|",REPT(",",LEN(D217)),3))-FIND(",",SUBSTITUTE(D217,"|",REPT(",",LEN(D217)),2))-1)</f>
        <v/>
      </c>
      <c r="K217" s="0">
        <f>MID(D217,FIND(";",SUBSTITUTE(D217,"|",REPT(";",LEN(D217)),3))+1,LEN(D217))</f>
        <v/>
      </c>
    </row>
    <row r="218" ht="28" customHeight="1" s="21">
      <c r="A218" s="8" t="inlineStr">
        <is>
          <t>100401</t>
        </is>
      </c>
      <c r="B218" s="8" t="inlineStr">
        <is>
          <t>钢带</t>
        </is>
      </c>
      <c r="C218" s="8" t="inlineStr">
        <is>
          <t>601335300</t>
        </is>
      </c>
      <c r="D218" s="8" t="inlineStr">
        <is>
          <t>钢带|钢带|0Cr18Ni9|δ0.12</t>
        </is>
      </c>
      <c r="E218" s="8" t="inlineStr">
        <is>
          <t xml:space="preserve">物资名称 钢带;物资简称 钢带;牌号 0Cr18Ni9;厚度 δ0.12;宽 ;技术标准号 ;加工工艺 ;热处理工艺 ;特殊要求 ;规格标准号 </t>
        </is>
      </c>
      <c r="F218" s="4" t="inlineStr">
        <is>
          <t>千克</t>
        </is>
      </c>
      <c r="G218" s="0">
        <f>LEFT(D218,FIND("|",D218,1)-1)</f>
        <v/>
      </c>
      <c r="H218" s="0">
        <f>MID(D218,FIND("|",D218,FIND("|",D218,1))+1,FIND("|",D218,FIND("|",D218,1)+1)-FIND("|",D218,FIND("|",D218,1))-1)</f>
        <v/>
      </c>
      <c r="J218" s="0">
        <f>MID(D218,FIND(",",SUBSTITUTE(D218,"|",REPT(",",LEN(D218)),2))+1,FIND(",",SUBSTITUTE(D218,"|",REPT(",",LEN(D218)),3))-FIND(",",SUBSTITUTE(D218,"|",REPT(",",LEN(D218)),2))-1)</f>
        <v/>
      </c>
      <c r="K218" s="0">
        <f>MID(D218,FIND(";",SUBSTITUTE(D218,"|",REPT(";",LEN(D218)),3))+1,LEN(D218))</f>
        <v/>
      </c>
    </row>
    <row r="219" ht="28" customHeight="1" s="21">
      <c r="A219" s="8" t="inlineStr">
        <is>
          <t>100401</t>
        </is>
      </c>
      <c r="B219" s="8" t="inlineStr">
        <is>
          <t>钢带</t>
        </is>
      </c>
      <c r="C219" s="8" t="inlineStr">
        <is>
          <t>601335200</t>
        </is>
      </c>
      <c r="D219" s="8" t="inlineStr">
        <is>
          <t>钢带|钢带|0Cr18Ni9|δ0.18</t>
        </is>
      </c>
      <c r="E219" s="8" t="inlineStr">
        <is>
          <t xml:space="preserve">物资名称 钢带;物资简称 钢带;牌号 0Cr18Ni9;厚度 δ0.18;宽 ;技术标准号 ;加工工艺 ;热处理工艺 ;特殊要求 ;规格标准号 </t>
        </is>
      </c>
      <c r="F219" s="4" t="inlineStr">
        <is>
          <t>千克</t>
        </is>
      </c>
      <c r="G219" s="0">
        <f>LEFT(D219,FIND("|",D219,1)-1)</f>
        <v/>
      </c>
      <c r="H219" s="0">
        <f>MID(D219,FIND("|",D219,FIND("|",D219,1))+1,FIND("|",D219,FIND("|",D219,1)+1)-FIND("|",D219,FIND("|",D219,1))-1)</f>
        <v/>
      </c>
      <c r="J219" s="0">
        <f>MID(D219,FIND(",",SUBSTITUTE(D219,"|",REPT(",",LEN(D219)),2))+1,FIND(",",SUBSTITUTE(D219,"|",REPT(",",LEN(D219)),3))-FIND(",",SUBSTITUTE(D219,"|",REPT(",",LEN(D219)),2))-1)</f>
        <v/>
      </c>
      <c r="K219" s="0">
        <f>MID(D219,FIND(";",SUBSTITUTE(D219,"|",REPT(";",LEN(D219)),3))+1,LEN(D219))</f>
        <v/>
      </c>
    </row>
    <row r="220" ht="28" customHeight="1" s="21">
      <c r="A220" s="8" t="inlineStr">
        <is>
          <t>100401</t>
        </is>
      </c>
      <c r="B220" s="8" t="inlineStr">
        <is>
          <t>钢带</t>
        </is>
      </c>
      <c r="C220" s="8" t="inlineStr">
        <is>
          <t>601335100</t>
        </is>
      </c>
      <c r="D220" s="8" t="inlineStr">
        <is>
          <t>钢带|钢带|10#-H-Q-R|δ0.8×100|101/2003-11-17</t>
        </is>
      </c>
      <c r="E220" s="8" t="inlineStr">
        <is>
          <t xml:space="preserve">物资名称 钢带;物资简称 钢带;牌号 10#-H-Q-R;厚度 δ0.8×100;宽 ;技术标准号 101/2003-11-17;加工工艺 ;热处理工艺 ;特殊要求 ;规格标准号 </t>
        </is>
      </c>
      <c r="F220" s="4" t="inlineStr">
        <is>
          <t>千克</t>
        </is>
      </c>
      <c r="G220" s="0">
        <f>LEFT(D220,FIND("|",D220,1)-1)</f>
        <v/>
      </c>
      <c r="H220" s="0">
        <f>MID(D220,FIND("|",D220,FIND("|",D220,1))+1,FIND("|",D220,FIND("|",D220,1)+1)-FIND("|",D220,FIND("|",D220,1))-1)</f>
        <v/>
      </c>
      <c r="J220" s="0">
        <f>MID(D220,FIND(",",SUBSTITUTE(D220,"|",REPT(",",LEN(D220)),2))+1,FIND(",",SUBSTITUTE(D220,"|",REPT(",",LEN(D220)),3))-FIND(",",SUBSTITUTE(D220,"|",REPT(",",LEN(D220)),2))-1)</f>
        <v/>
      </c>
      <c r="K220" s="0">
        <f>MID(D220,FIND(",",SUBSTITUTE(D220,"|",REPT(",",LEN(D220)),3))+1,FIND(",",SUBSTITUTE(D220,"|",REPT(",",LEN(D220)),4))-FIND(",",SUBSTITUTE(D220,"|",REPT(",",LEN(D220)),3))-1)</f>
        <v/>
      </c>
      <c r="L220" s="0">
        <f>MID(D220,FIND(";",SUBSTITUTE(D220,"|",REPT(";",LEN(D220)),4))+1,LEN(D220))</f>
        <v/>
      </c>
    </row>
    <row r="221" ht="28" customHeight="1" s="21">
      <c r="A221" s="8" t="inlineStr">
        <is>
          <t>100401</t>
        </is>
      </c>
      <c r="B221" s="8" t="inlineStr">
        <is>
          <t>钢带</t>
        </is>
      </c>
      <c r="C221" s="8" t="inlineStr">
        <is>
          <t>601335000</t>
        </is>
      </c>
      <c r="D221" s="8" t="inlineStr">
        <is>
          <t>钢带|钢带|20#|δ0.5|104/75-3-13</t>
        </is>
      </c>
      <c r="E221" s="8" t="inlineStr">
        <is>
          <t xml:space="preserve">物资名称 钢带;物资简称 钢带;牌号 20#;厚度 δ0.5;宽 ;技术标准号 104/75-3-13;加工工艺 ;热处理工艺 ;特殊要求 ;规格标准号 </t>
        </is>
      </c>
      <c r="F221" s="4" t="inlineStr">
        <is>
          <t>千克</t>
        </is>
      </c>
      <c r="G221" s="0">
        <f>LEFT(D221,FIND("|",D221,1)-1)</f>
        <v/>
      </c>
      <c r="H221" s="0">
        <f>MID(D221,FIND("|",D221,FIND("|",D221,1))+1,FIND("|",D221,FIND("|",D221,1)+1)-FIND("|",D221,FIND("|",D221,1))-1)</f>
        <v/>
      </c>
      <c r="J221" s="0">
        <f>MID(D221,FIND(",",SUBSTITUTE(D221,"|",REPT(",",LEN(D221)),2))+1,FIND(",",SUBSTITUTE(D221,"|",REPT(",",LEN(D221)),3))-FIND(",",SUBSTITUTE(D221,"|",REPT(",",LEN(D221)),2))-1)</f>
        <v/>
      </c>
      <c r="K221" s="0">
        <f>MID(D221,FIND(",",SUBSTITUTE(D221,"|",REPT(",",LEN(D221)),3))+1,FIND(",",SUBSTITUTE(D221,"|",REPT(",",LEN(D221)),4))-FIND(",",SUBSTITUTE(D221,"|",REPT(",",LEN(D221)),3))-1)</f>
        <v/>
      </c>
      <c r="L221" s="0">
        <f>MID(D221,FIND(";",SUBSTITUTE(D221,"|",REPT(";",LEN(D221)),4))+1,LEN(D221))</f>
        <v/>
      </c>
    </row>
    <row r="222" ht="28" customHeight="1" s="21">
      <c r="A222" s="8" t="inlineStr">
        <is>
          <t>100401</t>
        </is>
      </c>
      <c r="B222" s="8" t="inlineStr">
        <is>
          <t>钢带</t>
        </is>
      </c>
      <c r="C222" s="8" t="inlineStr">
        <is>
          <t>601334900</t>
        </is>
      </c>
      <c r="D222" s="8" t="inlineStr">
        <is>
          <t>钢带|钢带|20-S-Ⅱ|δ1-140×1000</t>
        </is>
      </c>
      <c r="E222" s="8" t="inlineStr">
        <is>
          <t xml:space="preserve">物资名称 钢带;物资简称 钢带;牌号 20-S-Ⅱ;厚度 δ1-140×1000;宽 ;技术标准号 ;加工工艺 ;热处理工艺 ;特殊要求 ;规格标准号 </t>
        </is>
      </c>
      <c r="F222" s="4" t="inlineStr">
        <is>
          <t>千克</t>
        </is>
      </c>
      <c r="G222" s="0">
        <f>LEFT(D222,FIND("|",D222,1)-1)</f>
        <v/>
      </c>
      <c r="H222" s="0">
        <f>MID(D222,FIND("|",D222,FIND("|",D222,1))+1,FIND("|",D222,FIND("|",D222,1)+1)-FIND("|",D222,FIND("|",D222,1))-1)</f>
        <v/>
      </c>
      <c r="J222" s="0">
        <f>MID(D222,FIND(",",SUBSTITUTE(D222,"|",REPT(",",LEN(D222)),2))+1,FIND(",",SUBSTITUTE(D222,"|",REPT(",",LEN(D222)),3))-FIND(",",SUBSTITUTE(D222,"|",REPT(",",LEN(D222)),2))-1)</f>
        <v/>
      </c>
      <c r="K222" s="0">
        <f>MID(D222,FIND(";",SUBSTITUTE(D222,"|",REPT(";",LEN(D222)),3))+1,LEN(D222))</f>
        <v/>
      </c>
    </row>
    <row r="223" ht="28" customHeight="1" s="21">
      <c r="A223" s="8" t="inlineStr">
        <is>
          <t>100401</t>
        </is>
      </c>
      <c r="B223" s="8" t="inlineStr">
        <is>
          <t>钢带</t>
        </is>
      </c>
      <c r="C223" s="8" t="inlineStr">
        <is>
          <t>601334800</t>
        </is>
      </c>
      <c r="D223" s="8" t="inlineStr">
        <is>
          <t>钢带|钢带|2Cr13|δ0.4,0.5,0.6|101/83-12-104</t>
        </is>
      </c>
      <c r="E223" s="8" t="inlineStr">
        <is>
          <t xml:space="preserve">物资名称 钢带;物资简称 钢带;牌号 2Cr13;厚度 δ0.4,0.5,0.6;宽 ;技术标准号 101/83-12-104;加工工艺 ;热处理工艺 ;特殊要求 ;规格标准号 </t>
        </is>
      </c>
      <c r="F223" s="4" t="inlineStr">
        <is>
          <t>千克</t>
        </is>
      </c>
      <c r="G223" s="0">
        <f>LEFT(D223,FIND("|",D223,1)-1)</f>
        <v/>
      </c>
      <c r="H223" s="0">
        <f>MID(D223,FIND("|",D223,FIND("|",D223,1))+1,FIND("|",D223,FIND("|",D223,1)+1)-FIND("|",D223,FIND("|",D223,1))-1)</f>
        <v/>
      </c>
      <c r="J223" s="0">
        <f>MID(D223,FIND(",",SUBSTITUTE(D223,"|",REPT(",",LEN(D223)),2))+1,FIND(",",SUBSTITUTE(D223,"|",REPT(",",LEN(D223)),3))-FIND(",",SUBSTITUTE(D223,"|",REPT(",",LEN(D223)),2))-1)</f>
        <v/>
      </c>
      <c r="K223" s="0">
        <f>MID(D223,FIND(",",SUBSTITUTE(D223,"|",REPT(",",LEN(D223)),3))+1,FIND(",",SUBSTITUTE(D223,"|",REPT(",",LEN(D223)),4))-FIND(",",SUBSTITUTE(D223,"|",REPT(",",LEN(D223)),3))-1)</f>
        <v/>
      </c>
      <c r="L223" s="0">
        <f>MID(D223,FIND(";",SUBSTITUTE(D223,"|",REPT(";",LEN(D223)),4))+1,LEN(D223))</f>
        <v/>
      </c>
    </row>
    <row r="224" ht="28" customHeight="1" s="21">
      <c r="A224" s="8" t="inlineStr">
        <is>
          <t>100401</t>
        </is>
      </c>
      <c r="B224" s="8" t="inlineStr">
        <is>
          <t>钢带</t>
        </is>
      </c>
      <c r="C224" s="8" t="inlineStr">
        <is>
          <t>601334700</t>
        </is>
      </c>
      <c r="D224" s="8" t="inlineStr">
        <is>
          <t>钢带|钢带|60Si2MnA|δ0.5|502/92-4-21</t>
        </is>
      </c>
      <c r="E224" s="8" t="inlineStr">
        <is>
          <t xml:space="preserve">物资名称 钢带;物资简称 钢带;牌号 60Si2MnA;厚度 δ0.5;宽 ;技术标准号 502/92-4-21;加工工艺 ;热处理工艺 ;特殊要求 ;规格标准号 </t>
        </is>
      </c>
      <c r="F224" s="4" t="inlineStr">
        <is>
          <t>千克</t>
        </is>
      </c>
      <c r="G224" s="0">
        <f>LEFT(D224,FIND("|",D224,1)-1)</f>
        <v/>
      </c>
      <c r="H224" s="0">
        <f>MID(D224,FIND("|",D224,FIND("|",D224,1))+1,FIND("|",D224,FIND("|",D224,1)+1)-FIND("|",D224,FIND("|",D224,1))-1)</f>
        <v/>
      </c>
      <c r="J224" s="0">
        <f>MID(D224,FIND(",",SUBSTITUTE(D224,"|",REPT(",",LEN(D224)),2))+1,FIND(",",SUBSTITUTE(D224,"|",REPT(",",LEN(D224)),3))-FIND(",",SUBSTITUTE(D224,"|",REPT(",",LEN(D224)),2))-1)</f>
        <v/>
      </c>
      <c r="K224" s="0">
        <f>MID(D224,FIND(",",SUBSTITUTE(D224,"|",REPT(",",LEN(D224)),3))+1,FIND(",",SUBSTITUTE(D224,"|",REPT(",",LEN(D224)),4))-FIND(",",SUBSTITUTE(D224,"|",REPT(",",LEN(D224)),3))-1)</f>
        <v/>
      </c>
      <c r="L224" s="0">
        <f>MID(D224,FIND(";",SUBSTITUTE(D224,"|",REPT(";",LEN(D224)),4))+1,LEN(D224))</f>
        <v/>
      </c>
    </row>
    <row r="225" ht="28" customHeight="1" s="21">
      <c r="A225" s="8" t="inlineStr">
        <is>
          <t>100401</t>
        </is>
      </c>
      <c r="B225" s="8" t="inlineStr">
        <is>
          <t>钢带</t>
        </is>
      </c>
      <c r="C225" s="8" t="inlineStr">
        <is>
          <t>601334600</t>
        </is>
      </c>
      <c r="D225" s="8" t="inlineStr">
        <is>
          <t>钢带|钢带|60Si2MnA|δ0.6×55|502/98-6-39</t>
        </is>
      </c>
      <c r="E225" s="8" t="inlineStr">
        <is>
          <t xml:space="preserve">物资名称 钢带;物资简称 钢带;牌号 60Si2MnA;厚度 δ0.6×55;宽 ;技术标准号 502/98-6-39;加工工艺 ;热处理工艺 ;特殊要求 ;规格标准号 </t>
        </is>
      </c>
      <c r="F225" s="4" t="inlineStr">
        <is>
          <t>千克</t>
        </is>
      </c>
      <c r="G225" s="0">
        <f>LEFT(D225,FIND("|",D225,1)-1)</f>
        <v/>
      </c>
      <c r="H225" s="0">
        <f>MID(D225,FIND("|",D225,FIND("|",D225,1))+1,FIND("|",D225,FIND("|",D225,1)+1)-FIND("|",D225,FIND("|",D225,1))-1)</f>
        <v/>
      </c>
      <c r="J225" s="0">
        <f>MID(D225,FIND(",",SUBSTITUTE(D225,"|",REPT(",",LEN(D225)),2))+1,FIND(",",SUBSTITUTE(D225,"|",REPT(",",LEN(D225)),3))-FIND(",",SUBSTITUTE(D225,"|",REPT(",",LEN(D225)),2))-1)</f>
        <v/>
      </c>
      <c r="K225" s="0">
        <f>MID(D225,FIND(",",SUBSTITUTE(D225,"|",REPT(",",LEN(D225)),3))+1,FIND(",",SUBSTITUTE(D225,"|",REPT(",",LEN(D225)),4))-FIND(",",SUBSTITUTE(D225,"|",REPT(",",LEN(D225)),3))-1)</f>
        <v/>
      </c>
      <c r="L225" s="0">
        <f>MID(D225,FIND(";",SUBSTITUTE(D225,"|",REPT(";",LEN(D225)),4))+1,LEN(D225))</f>
        <v/>
      </c>
    </row>
    <row r="226" ht="28" customHeight="1" s="21">
      <c r="A226" s="8" t="inlineStr">
        <is>
          <t>100401</t>
        </is>
      </c>
      <c r="B226" s="8" t="inlineStr">
        <is>
          <t>钢带</t>
        </is>
      </c>
      <c r="C226" s="8" t="inlineStr">
        <is>
          <t>601334500</t>
        </is>
      </c>
      <c r="D226" s="8" t="inlineStr">
        <is>
          <t>钢带|钢带|60Si2MnA-H-Q-T|δ0.6×70|502/98-10-54</t>
        </is>
      </c>
      <c r="E226" s="8" t="inlineStr">
        <is>
          <t xml:space="preserve">物资名称 钢带;物资简称 钢带;牌号 60Si2MnA-H-Q-T;厚度 δ0.6×70;宽 ;技术标准号 502/98-10-54;加工工艺 ;热处理工艺 ;特殊要求 ;规格标准号 </t>
        </is>
      </c>
      <c r="F226" s="4" t="inlineStr">
        <is>
          <t>千克</t>
        </is>
      </c>
      <c r="G226" s="0">
        <f>LEFT(D226,FIND("|",D226,1)-1)</f>
        <v/>
      </c>
      <c r="H226" s="0">
        <f>MID(D226,FIND("|",D226,FIND("|",D226,1))+1,FIND("|",D226,FIND("|",D226,1)+1)-FIND("|",D226,FIND("|",D226,1))-1)</f>
        <v/>
      </c>
      <c r="J226" s="0">
        <f>MID(D226,FIND(",",SUBSTITUTE(D226,"|",REPT(",",LEN(D226)),2))+1,FIND(",",SUBSTITUTE(D226,"|",REPT(",",LEN(D226)),3))-FIND(",",SUBSTITUTE(D226,"|",REPT(",",LEN(D226)),2))-1)</f>
        <v/>
      </c>
      <c r="K226" s="0">
        <f>MID(D226,FIND(",",SUBSTITUTE(D226,"|",REPT(",",LEN(D226)),3))+1,FIND(",",SUBSTITUTE(D226,"|",REPT(",",LEN(D226)),4))-FIND(",",SUBSTITUTE(D226,"|",REPT(",",LEN(D226)),3))-1)</f>
        <v/>
      </c>
      <c r="L226" s="0">
        <f>MID(D226,FIND(";",SUBSTITUTE(D226,"|",REPT(";",LEN(D226)),4))+1,LEN(D226))</f>
        <v/>
      </c>
    </row>
    <row r="227" ht="28" customHeight="1" s="21">
      <c r="A227" s="8" t="inlineStr">
        <is>
          <t>100401</t>
        </is>
      </c>
      <c r="B227" s="8" t="inlineStr">
        <is>
          <t>钢带</t>
        </is>
      </c>
      <c r="C227" s="8" t="inlineStr">
        <is>
          <t>601334400</t>
        </is>
      </c>
      <c r="D227" s="8" t="inlineStr">
        <is>
          <t>钢带|钢带|60Si2MnA-P-Q-BG-T|δ0.2×40|101/71-9-80</t>
        </is>
      </c>
      <c r="E227" s="8" t="inlineStr">
        <is>
          <t xml:space="preserve">物资名称 钢带;物资简称 钢带;牌号 60Si2MnA-P-Q-BG-T;厚度 δ0.2×40;宽 ;技术标准号 101/71-9-80;加工工艺 ;热处理工艺 ;特殊要求 ;规格标准号 </t>
        </is>
      </c>
      <c r="F227" s="4" t="inlineStr">
        <is>
          <t>千克</t>
        </is>
      </c>
      <c r="G227" s="0">
        <f>LEFT(D227,FIND("|",D227,1)-1)</f>
        <v/>
      </c>
      <c r="H227" s="0">
        <f>MID(D227,FIND("|",D227,FIND("|",D227,1))+1,FIND("|",D227,FIND("|",D227,1)+1)-FIND("|",D227,FIND("|",D227,1))-1)</f>
        <v/>
      </c>
      <c r="J227" s="0">
        <f>MID(D227,FIND(",",SUBSTITUTE(D227,"|",REPT(",",LEN(D227)),2))+1,FIND(",",SUBSTITUTE(D227,"|",REPT(",",LEN(D227)),3))-FIND(",",SUBSTITUTE(D227,"|",REPT(",",LEN(D227)),2))-1)</f>
        <v/>
      </c>
      <c r="K227" s="0">
        <f>MID(D227,FIND(",",SUBSTITUTE(D227,"|",REPT(",",LEN(D227)),3))+1,FIND(",",SUBSTITUTE(D227,"|",REPT(",",LEN(D227)),4))-FIND(",",SUBSTITUTE(D227,"|",REPT(",",LEN(D227)),3))-1)</f>
        <v/>
      </c>
      <c r="L227" s="0">
        <f>MID(D227,FIND(";",SUBSTITUTE(D227,"|",REPT(";",LEN(D227)),4))+1,LEN(D227))</f>
        <v/>
      </c>
    </row>
    <row r="228" ht="28" customHeight="1" s="21">
      <c r="A228" s="8" t="inlineStr">
        <is>
          <t>100401</t>
        </is>
      </c>
      <c r="B228" s="8" t="inlineStr">
        <is>
          <t>钢带</t>
        </is>
      </c>
      <c r="C228" s="8" t="inlineStr">
        <is>
          <t>601334300</t>
        </is>
      </c>
      <c r="D228" s="8" t="inlineStr">
        <is>
          <t>钢带|钢带|65Mn|δ1.5</t>
        </is>
      </c>
      <c r="E228" s="8" t="inlineStr">
        <is>
          <t xml:space="preserve">物资名称 钢带;物资简称 钢带;牌号 65Mn;厚度 δ1.5;宽 ;技术标准号 ;加工工艺 ;热处理工艺 ;特殊要求 ;规格标准号 </t>
        </is>
      </c>
      <c r="F228" s="4" t="inlineStr">
        <is>
          <t>千克</t>
        </is>
      </c>
      <c r="G228" s="0">
        <f>LEFT(D228,FIND("|",D228,1)-1)</f>
        <v/>
      </c>
      <c r="H228" s="0">
        <f>MID(D228,FIND("|",D228,FIND("|",D228,1))+1,FIND("|",D228,FIND("|",D228,1)+1)-FIND("|",D228,FIND("|",D228,1))-1)</f>
        <v/>
      </c>
      <c r="J228" s="0">
        <f>MID(D228,FIND(",",SUBSTITUTE(D228,"|",REPT(",",LEN(D228)),2))+1,FIND(",",SUBSTITUTE(D228,"|",REPT(",",LEN(D228)),3))-FIND(",",SUBSTITUTE(D228,"|",REPT(",",LEN(D228)),2))-1)</f>
        <v/>
      </c>
      <c r="K228" s="0">
        <f>MID(D228,FIND(";",SUBSTITUTE(D228,"|",REPT(";",LEN(D228)),3))+1,LEN(D228))</f>
        <v/>
      </c>
    </row>
    <row r="229" ht="28" customHeight="1" s="21">
      <c r="A229" s="8" t="inlineStr">
        <is>
          <t>100401</t>
        </is>
      </c>
      <c r="B229" s="8" t="inlineStr">
        <is>
          <t>钢带</t>
        </is>
      </c>
      <c r="C229" s="8" t="inlineStr">
        <is>
          <t>601334200</t>
        </is>
      </c>
      <c r="D229" s="8" t="inlineStr">
        <is>
          <t>钢带|钢带|65Mn-I-P-Y|δ0.2×100</t>
        </is>
      </c>
      <c r="E229" s="8" t="inlineStr">
        <is>
          <t xml:space="preserve">物资名称 钢带;物资简称 钢带;牌号 65Mn-I-P-Y;厚度 δ0.2×100;宽 ;技术标准号 ;加工工艺 ;热处理工艺 ;特殊要求 ;规格标准号 </t>
        </is>
      </c>
      <c r="F229" s="4" t="inlineStr">
        <is>
          <t>千克</t>
        </is>
      </c>
      <c r="G229" s="0">
        <f>LEFT(D229,FIND("|",D229,1)-1)</f>
        <v/>
      </c>
      <c r="H229" s="0">
        <f>MID(D229,FIND("|",D229,FIND("|",D229,1))+1,FIND("|",D229,FIND("|",D229,1)+1)-FIND("|",D229,FIND("|",D229,1))-1)</f>
        <v/>
      </c>
      <c r="J229" s="0">
        <f>MID(D229,FIND(",",SUBSTITUTE(D229,"|",REPT(",",LEN(D229)),2))+1,FIND(",",SUBSTITUTE(D229,"|",REPT(",",LEN(D229)),3))-FIND(",",SUBSTITUTE(D229,"|",REPT(",",LEN(D229)),2))-1)</f>
        <v/>
      </c>
      <c r="K229" s="0">
        <f>MID(D229,FIND(";",SUBSTITUTE(D229,"|",REPT(";",LEN(D229)),3))+1,LEN(D229))</f>
        <v/>
      </c>
    </row>
    <row r="230" ht="28" customHeight="1" s="21">
      <c r="A230" s="8" t="inlineStr">
        <is>
          <t>100401</t>
        </is>
      </c>
      <c r="B230" s="8" t="inlineStr">
        <is>
          <t>钢带</t>
        </is>
      </c>
      <c r="C230" s="8" t="inlineStr">
        <is>
          <t>601334100</t>
        </is>
      </c>
      <c r="D230" s="8" t="inlineStr">
        <is>
          <t>钢带|钢带|65Mn-J-Ⅱ-Q-S|δ0.1×60|101/2002-2-5</t>
        </is>
      </c>
      <c r="E230" s="8" t="inlineStr">
        <is>
          <t xml:space="preserve">物资名称 钢带;物资简称 钢带;牌号 65Mn-J-Ⅱ-Q-S;厚度 δ0.1×60;宽 ;技术标准号 101/2002-2-5;加工工艺 ;热处理工艺 ;特殊要求 ;规格标准号 </t>
        </is>
      </c>
      <c r="F230" s="4" t="inlineStr">
        <is>
          <t>千克</t>
        </is>
      </c>
      <c r="G230" s="0">
        <f>LEFT(D230,FIND("|",D230,1)-1)</f>
        <v/>
      </c>
      <c r="H230" s="0">
        <f>MID(D230,FIND("|",D230,FIND("|",D230,1))+1,FIND("|",D230,FIND("|",D230,1)+1)-FIND("|",D230,FIND("|",D230,1))-1)</f>
        <v/>
      </c>
      <c r="J230" s="0">
        <f>MID(D230,FIND(",",SUBSTITUTE(D230,"|",REPT(",",LEN(D230)),2))+1,FIND(",",SUBSTITUTE(D230,"|",REPT(",",LEN(D230)),3))-FIND(",",SUBSTITUTE(D230,"|",REPT(",",LEN(D230)),2))-1)</f>
        <v/>
      </c>
      <c r="K230" s="0">
        <f>MID(D230,FIND(",",SUBSTITUTE(D230,"|",REPT(",",LEN(D230)),3))+1,FIND(",",SUBSTITUTE(D230,"|",REPT(",",LEN(D230)),4))-FIND(",",SUBSTITUTE(D230,"|",REPT(",",LEN(D230)),3))-1)</f>
        <v/>
      </c>
      <c r="L230" s="0">
        <f>MID(D230,FIND(";",SUBSTITUTE(D230,"|",REPT(";",LEN(D230)),4))+1,LEN(D230))</f>
        <v/>
      </c>
    </row>
    <row r="231" ht="28" customHeight="1" s="21">
      <c r="A231" s="8" t="inlineStr">
        <is>
          <t>100401</t>
        </is>
      </c>
      <c r="B231" s="8" t="inlineStr">
        <is>
          <t>钢带</t>
        </is>
      </c>
      <c r="C231" s="8" t="inlineStr">
        <is>
          <t>601334000</t>
        </is>
      </c>
      <c r="D231" s="8" t="inlineStr">
        <is>
          <t>钢带|钢带|T10A|δ0.3×100|101/74-7-18</t>
        </is>
      </c>
      <c r="E231" s="8" t="inlineStr">
        <is>
          <t xml:space="preserve">物资名称 钢带;物资简称 钢带;牌号 T10A;厚度 δ0.3×100;宽 ;技术标准号 101/74-7-18;加工工艺 ;热处理工艺 ;特殊要求 ;规格标准号 </t>
        </is>
      </c>
      <c r="F231" s="4" t="inlineStr">
        <is>
          <t>千克</t>
        </is>
      </c>
      <c r="G231" s="0">
        <f>LEFT(D231,FIND("|",D231,1)-1)</f>
        <v/>
      </c>
      <c r="H231" s="0">
        <f>MID(D231,FIND("|",D231,FIND("|",D231,1))+1,FIND("|",D231,FIND("|",D231,1)+1)-FIND("|",D231,FIND("|",D231,1))-1)</f>
        <v/>
      </c>
      <c r="J231" s="0">
        <f>MID(D231,FIND(",",SUBSTITUTE(D231,"|",REPT(",",LEN(D231)),2))+1,FIND(",",SUBSTITUTE(D231,"|",REPT(",",LEN(D231)),3))-FIND(",",SUBSTITUTE(D231,"|",REPT(",",LEN(D231)),2))-1)</f>
        <v/>
      </c>
      <c r="K231" s="0">
        <f>MID(D231,FIND(",",SUBSTITUTE(D231,"|",REPT(",",LEN(D231)),3))+1,FIND(",",SUBSTITUTE(D231,"|",REPT(",",LEN(D231)),4))-FIND(",",SUBSTITUTE(D231,"|",REPT(",",LEN(D231)),3))-1)</f>
        <v/>
      </c>
      <c r="L231" s="0">
        <f>MID(D231,FIND(";",SUBSTITUTE(D231,"|",REPT(";",LEN(D231)),4))+1,LEN(D231))</f>
        <v/>
      </c>
    </row>
    <row r="232" ht="28" customHeight="1" s="21">
      <c r="A232" s="8" t="inlineStr">
        <is>
          <t>100401</t>
        </is>
      </c>
      <c r="B232" s="8" t="inlineStr">
        <is>
          <t>钢带</t>
        </is>
      </c>
      <c r="C232" s="8" t="inlineStr">
        <is>
          <t>601333900</t>
        </is>
      </c>
      <c r="D232" s="8" t="inlineStr">
        <is>
          <t>钢带|钢带|T10A-Ⅱ-J-Q-P-S|δ0.33×5|101/77-10-161</t>
        </is>
      </c>
      <c r="E232" s="8" t="inlineStr">
        <is>
          <t xml:space="preserve">物资名称 钢带;物资简称 钢带;牌号 T10A-Ⅱ-J-Q-P-S;厚度 δ0.33×5;宽 ;技术标准号 101/77-10-161;加工工艺 ;热处理工艺 ;特殊要求 ;规格标准号 </t>
        </is>
      </c>
      <c r="F232" s="4" t="inlineStr">
        <is>
          <t>千克</t>
        </is>
      </c>
      <c r="G232" s="0">
        <f>LEFT(D232,FIND("|",D232,1)-1)</f>
        <v/>
      </c>
      <c r="H232" s="0">
        <f>MID(D232,FIND("|",D232,FIND("|",D232,1))+1,FIND("|",D232,FIND("|",D232,1)+1)-FIND("|",D232,FIND("|",D232,1))-1)</f>
        <v/>
      </c>
      <c r="J232" s="0">
        <f>MID(D232,FIND(",",SUBSTITUTE(D232,"|",REPT(",",LEN(D232)),2))+1,FIND(",",SUBSTITUTE(D232,"|",REPT(",",LEN(D232)),3))-FIND(",",SUBSTITUTE(D232,"|",REPT(",",LEN(D232)),2))-1)</f>
        <v/>
      </c>
      <c r="K232" s="0">
        <f>MID(D232,FIND(",",SUBSTITUTE(D232,"|",REPT(",",LEN(D232)),3))+1,FIND(",",SUBSTITUTE(D232,"|",REPT(",",LEN(D232)),4))-FIND(",",SUBSTITUTE(D232,"|",REPT(",",LEN(D232)),3))-1)</f>
        <v/>
      </c>
      <c r="L232" s="0">
        <f>MID(D232,FIND(";",SUBSTITUTE(D232,"|",REPT(";",LEN(D232)),4))+1,LEN(D232))</f>
        <v/>
      </c>
    </row>
    <row r="233" ht="28" customHeight="1" s="21">
      <c r="A233" s="8" t="inlineStr">
        <is>
          <t>100401</t>
        </is>
      </c>
      <c r="B233" s="8" t="inlineStr">
        <is>
          <t>钢带</t>
        </is>
      </c>
      <c r="C233" s="8" t="inlineStr">
        <is>
          <t>601333800</t>
        </is>
      </c>
      <c r="D233" s="8" t="inlineStr">
        <is>
          <t>钢带|钢带|T10A-Ⅱ-T-M-S|δ0.25×5|69-10-244</t>
        </is>
      </c>
      <c r="E233" s="8" t="inlineStr">
        <is>
          <t xml:space="preserve">物资名称 钢带;物资简称 钢带;牌号 T10A-Ⅱ-T-M-S;厚度 δ0.25×5;宽 ;技术标准号 69-10-244;加工工艺 ;热处理工艺 ;特殊要求 ;规格标准号 </t>
        </is>
      </c>
      <c r="F233" s="4" t="inlineStr">
        <is>
          <t>千克</t>
        </is>
      </c>
      <c r="G233" s="0">
        <f>LEFT(D233,FIND("|",D233,1)-1)</f>
        <v/>
      </c>
      <c r="H233" s="0">
        <f>MID(D233,FIND("|",D233,FIND("|",D233,1))+1,FIND("|",D233,FIND("|",D233,1)+1)-FIND("|",D233,FIND("|",D233,1))-1)</f>
        <v/>
      </c>
      <c r="J233" s="0">
        <f>MID(D233,FIND(",",SUBSTITUTE(D233,"|",REPT(",",LEN(D233)),2))+1,FIND(",",SUBSTITUTE(D233,"|",REPT(",",LEN(D233)),3))-FIND(",",SUBSTITUTE(D233,"|",REPT(",",LEN(D233)),2))-1)</f>
        <v/>
      </c>
      <c r="K233" s="0">
        <f>MID(D233,FIND(",",SUBSTITUTE(D233,"|",REPT(",",LEN(D233)),3))+1,FIND(",",SUBSTITUTE(D233,"|",REPT(",",LEN(D233)),4))-FIND(",",SUBSTITUTE(D233,"|",REPT(",",LEN(D233)),3))-1)</f>
        <v/>
      </c>
      <c r="L233" s="0">
        <f>MID(D233,FIND(";",SUBSTITUTE(D233,"|",REPT(";",LEN(D233)),4))+1,LEN(D233))</f>
        <v/>
      </c>
    </row>
    <row r="234" ht="28" customHeight="1" s="21">
      <c r="A234" s="8" t="inlineStr">
        <is>
          <t>100401</t>
        </is>
      </c>
      <c r="B234" s="8" t="inlineStr">
        <is>
          <t>钢带</t>
        </is>
      </c>
      <c r="C234" s="8" t="inlineStr">
        <is>
          <t>601333700</t>
        </is>
      </c>
      <c r="D234" s="8" t="inlineStr">
        <is>
          <t>钢带|钢带|T10A-P-Q-BG-T|δ0.2×60|101/66-12-504</t>
        </is>
      </c>
      <c r="E234" s="8" t="inlineStr">
        <is>
          <t xml:space="preserve">物资名称 钢带;物资简称 钢带;牌号 T10A-P-Q-BG-T;厚度 δ0.2×60;宽 ;技术标准号 101/66-12-504;加工工艺 ;热处理工艺 ;特殊要求 ;规格标准号 </t>
        </is>
      </c>
      <c r="F234" s="4" t="inlineStr">
        <is>
          <t>千克</t>
        </is>
      </c>
      <c r="G234" s="0">
        <f>LEFT(D234,FIND("|",D234,1)-1)</f>
        <v/>
      </c>
      <c r="H234" s="0">
        <f>MID(D234,FIND("|",D234,FIND("|",D234,1))+1,FIND("|",D234,FIND("|",D234,1)+1)-FIND("|",D234,FIND("|",D234,1))-1)</f>
        <v/>
      </c>
      <c r="J234" s="0">
        <f>MID(D234,FIND(",",SUBSTITUTE(D234,"|",REPT(",",LEN(D234)),2))+1,FIND(",",SUBSTITUTE(D234,"|",REPT(",",LEN(D234)),3))-FIND(",",SUBSTITUTE(D234,"|",REPT(",",LEN(D234)),2))-1)</f>
        <v/>
      </c>
      <c r="K234" s="0">
        <f>MID(D234,FIND(",",SUBSTITUTE(D234,"|",REPT(",",LEN(D234)),3))+1,FIND(",",SUBSTITUTE(D234,"|",REPT(",",LEN(D234)),4))-FIND(",",SUBSTITUTE(D234,"|",REPT(",",LEN(D234)),3))-1)</f>
        <v/>
      </c>
      <c r="L234" s="0">
        <f>MID(D234,FIND(";",SUBSTITUTE(D234,"|",REPT(";",LEN(D234)),4))+1,LEN(D234))</f>
        <v/>
      </c>
    </row>
    <row r="235" ht="28" customHeight="1" s="21">
      <c r="A235" s="8" t="inlineStr">
        <is>
          <t>100401</t>
        </is>
      </c>
      <c r="B235" s="8" t="inlineStr">
        <is>
          <t>钢带</t>
        </is>
      </c>
      <c r="C235" s="8" t="inlineStr">
        <is>
          <t>601333600</t>
        </is>
      </c>
      <c r="D235" s="8" t="inlineStr">
        <is>
          <t>钢带|钢带|T10A-P-Q-BG-T|δ0.4×90|101/70-1-3</t>
        </is>
      </c>
      <c r="E235" s="8" t="inlineStr">
        <is>
          <t xml:space="preserve">物资名称 钢带;物资简称 钢带;牌号 T10A-P-Q-BG-T;厚度 δ0.4×90;宽 ;技术标准号 101/70-1-3;加工工艺 ;热处理工艺 ;特殊要求 ;规格标准号 </t>
        </is>
      </c>
      <c r="F235" s="4" t="inlineStr">
        <is>
          <t>千克</t>
        </is>
      </c>
      <c r="G235" s="0">
        <f>LEFT(D235,FIND("|",D235,1)-1)</f>
        <v/>
      </c>
      <c r="H235" s="0">
        <f>MID(D235,FIND("|",D235,FIND("|",D235,1))+1,FIND("|",D235,FIND("|",D235,1)+1)-FIND("|",D235,FIND("|",D235,1))-1)</f>
        <v/>
      </c>
      <c r="J235" s="0">
        <f>MID(D235,FIND(",",SUBSTITUTE(D235,"|",REPT(",",LEN(D235)),2))+1,FIND(",",SUBSTITUTE(D235,"|",REPT(",",LEN(D235)),3))-FIND(",",SUBSTITUTE(D235,"|",REPT(",",LEN(D235)),2))-1)</f>
        <v/>
      </c>
      <c r="K235" s="0">
        <f>MID(D235,FIND(",",SUBSTITUTE(D235,"|",REPT(",",LEN(D235)),3))+1,FIND(",",SUBSTITUTE(D235,"|",REPT(",",LEN(D235)),4))-FIND(",",SUBSTITUTE(D235,"|",REPT(",",LEN(D235)),3))-1)</f>
        <v/>
      </c>
      <c r="L235" s="0">
        <f>MID(D235,FIND(";",SUBSTITUTE(D235,"|",REPT(";",LEN(D235)),4))+1,LEN(D235))</f>
        <v/>
      </c>
    </row>
    <row r="236" ht="28" customHeight="1" s="21">
      <c r="A236" s="8" t="inlineStr">
        <is>
          <t>100401</t>
        </is>
      </c>
      <c r="B236" s="8" t="inlineStr">
        <is>
          <t>钢带</t>
        </is>
      </c>
      <c r="C236" s="8" t="inlineStr">
        <is>
          <t>601333500</t>
        </is>
      </c>
      <c r="D236" s="8" t="inlineStr">
        <is>
          <t>钢带|钢带|T10A-P-Q-G-T|δ0.8×100|101/76-2-17</t>
        </is>
      </c>
      <c r="E236" s="8" t="inlineStr">
        <is>
          <t xml:space="preserve">物资名称 钢带;物资简称 钢带;牌号 T10A-P-Q-G-T;厚度 δ0.8×100;宽 ;技术标准号 101/76-2-17;加工工艺 ;热处理工艺 ;特殊要求 ;规格标准号 </t>
        </is>
      </c>
      <c r="F236" s="4" t="inlineStr">
        <is>
          <t>千克</t>
        </is>
      </c>
      <c r="G236" s="0">
        <f>LEFT(D236,FIND("|",D236,1)-1)</f>
        <v/>
      </c>
      <c r="H236" s="0">
        <f>MID(D236,FIND("|",D236,FIND("|",D236,1))+1,FIND("|",D236,FIND("|",D236,1)+1)-FIND("|",D236,FIND("|",D236,1))-1)</f>
        <v/>
      </c>
      <c r="J236" s="0">
        <f>MID(D236,FIND(",",SUBSTITUTE(D236,"|",REPT(",",LEN(D236)),2))+1,FIND(",",SUBSTITUTE(D236,"|",REPT(",",LEN(D236)),3))-FIND(",",SUBSTITUTE(D236,"|",REPT(",",LEN(D236)),2))-1)</f>
        <v/>
      </c>
      <c r="K236" s="0">
        <f>MID(D236,FIND(",",SUBSTITUTE(D236,"|",REPT(",",LEN(D236)),3))+1,FIND(",",SUBSTITUTE(D236,"|",REPT(",",LEN(D236)),4))-FIND(",",SUBSTITUTE(D236,"|",REPT(",",LEN(D236)),3))-1)</f>
        <v/>
      </c>
      <c r="L236" s="0">
        <f>MID(D236,FIND(";",SUBSTITUTE(D236,"|",REPT(";",LEN(D236)),4))+1,LEN(D236))</f>
        <v/>
      </c>
    </row>
    <row r="237" ht="28" customHeight="1" s="21">
      <c r="A237" s="8" t="inlineStr">
        <is>
          <t>100401</t>
        </is>
      </c>
      <c r="B237" s="8" t="inlineStr">
        <is>
          <t>钢带</t>
        </is>
      </c>
      <c r="C237" s="8" t="inlineStr">
        <is>
          <t>601333400</t>
        </is>
      </c>
      <c r="D237" s="8" t="inlineStr">
        <is>
          <t>钢带|钢带|T10A-P-Q-G-T|δ0.8×100|101/76-8-85</t>
        </is>
      </c>
      <c r="E237" s="8" t="inlineStr">
        <is>
          <t xml:space="preserve">物资名称 钢带;物资简称 钢带;牌号 T10A-P-Q-G-T;厚度 δ0.8×100;宽 ;技术标准号 101/76-8-85;加工工艺 ;热处理工艺 ;特殊要求 ;规格标准号 </t>
        </is>
      </c>
      <c r="F237" s="4" t="inlineStr">
        <is>
          <t>千克</t>
        </is>
      </c>
      <c r="G237" s="0">
        <f>LEFT(D237,FIND("|",D237,1)-1)</f>
        <v/>
      </c>
      <c r="H237" s="0">
        <f>MID(D237,FIND("|",D237,FIND("|",D237,1))+1,FIND("|",D237,FIND("|",D237,1)+1)-FIND("|",D237,FIND("|",D237,1))-1)</f>
        <v/>
      </c>
      <c r="J237" s="0">
        <f>MID(D237,FIND(",",SUBSTITUTE(D237,"|",REPT(",",LEN(D237)),2))+1,FIND(",",SUBSTITUTE(D237,"|",REPT(",",LEN(D237)),3))-FIND(",",SUBSTITUTE(D237,"|",REPT(",",LEN(D237)),2))-1)</f>
        <v/>
      </c>
      <c r="K237" s="0">
        <f>MID(D237,FIND(",",SUBSTITUTE(D237,"|",REPT(",",LEN(D237)),3))+1,FIND(",",SUBSTITUTE(D237,"|",REPT(",",LEN(D237)),4))-FIND(",",SUBSTITUTE(D237,"|",REPT(",",LEN(D237)),3))-1)</f>
        <v/>
      </c>
      <c r="L237" s="0">
        <f>MID(D237,FIND(";",SUBSTITUTE(D237,"|",REPT(";",LEN(D237)),4))+1,LEN(D237))</f>
        <v/>
      </c>
    </row>
    <row r="238" ht="28" customHeight="1" s="21">
      <c r="A238" s="8" t="inlineStr">
        <is>
          <t>100401</t>
        </is>
      </c>
      <c r="B238" s="8" t="inlineStr">
        <is>
          <t>钢带</t>
        </is>
      </c>
      <c r="C238" s="8" t="inlineStr">
        <is>
          <t>601333300</t>
        </is>
      </c>
      <c r="D238" s="8" t="inlineStr">
        <is>
          <t>钢带|钢带|T10A-P-Q-G-T|δ1×90|101/69-6-171</t>
        </is>
      </c>
      <c r="E238" s="8" t="inlineStr">
        <is>
          <t xml:space="preserve">物资名称 钢带;物资简称 钢带;牌号 T10A-P-Q-G-T;厚度 δ1×90;宽 ;技术标准号 101/69-6-171;加工工艺 ;热处理工艺 ;特殊要求 ;规格标准号 </t>
        </is>
      </c>
      <c r="F238" s="4" t="inlineStr">
        <is>
          <t>千克</t>
        </is>
      </c>
      <c r="G238" s="0">
        <f>LEFT(D238,FIND("|",D238,1)-1)</f>
        <v/>
      </c>
      <c r="H238" s="0">
        <f>MID(D238,FIND("|",D238,FIND("|",D238,1))+1,FIND("|",D238,FIND("|",D238,1)+1)-FIND("|",D238,FIND("|",D238,1))-1)</f>
        <v/>
      </c>
      <c r="J238" s="0">
        <f>MID(D238,FIND(",",SUBSTITUTE(D238,"|",REPT(",",LEN(D238)),2))+1,FIND(",",SUBSTITUTE(D238,"|",REPT(",",LEN(D238)),3))-FIND(",",SUBSTITUTE(D238,"|",REPT(",",LEN(D238)),2))-1)</f>
        <v/>
      </c>
      <c r="K238" s="0">
        <f>MID(D238,FIND(",",SUBSTITUTE(D238,"|",REPT(",",LEN(D238)),3))+1,FIND(",",SUBSTITUTE(D238,"|",REPT(",",LEN(D238)),4))-FIND(",",SUBSTITUTE(D238,"|",REPT(",",LEN(D238)),3))-1)</f>
        <v/>
      </c>
      <c r="L238" s="0">
        <f>MID(D238,FIND(";",SUBSTITUTE(D238,"|",REPT(";",LEN(D238)),4))+1,LEN(D238))</f>
        <v/>
      </c>
    </row>
    <row r="239" ht="28" customHeight="1" s="21">
      <c r="A239" s="8" t="inlineStr">
        <is>
          <t>100401</t>
        </is>
      </c>
      <c r="B239" s="8" t="inlineStr">
        <is>
          <t>钢带</t>
        </is>
      </c>
      <c r="C239" s="8" t="inlineStr">
        <is>
          <t>601333200</t>
        </is>
      </c>
      <c r="D239" s="8" t="inlineStr">
        <is>
          <t>钢带|钢带|T10A-T-Ⅱ-Q-P6-S|δ0.33×5|101/79-12-127</t>
        </is>
      </c>
      <c r="E239" s="8" t="inlineStr">
        <is>
          <t xml:space="preserve">物资名称 钢带;物资简称 钢带;牌号 T10A-T-Ⅱ-Q-P6-S;厚度 δ0.33×5;宽 ;技术标准号 101/79-12-127;加工工艺 ;热处理工艺 ;特殊要求 ;规格标准号 </t>
        </is>
      </c>
      <c r="F239" s="4" t="inlineStr">
        <is>
          <t>千克</t>
        </is>
      </c>
      <c r="G239" s="0">
        <f>LEFT(D239,FIND("|",D239,1)-1)</f>
        <v/>
      </c>
      <c r="H239" s="0">
        <f>MID(D239,FIND("|",D239,FIND("|",D239,1))+1,FIND("|",D239,FIND("|",D239,1)+1)-FIND("|",D239,FIND("|",D239,1))-1)</f>
        <v/>
      </c>
      <c r="J239" s="0">
        <f>MID(D239,FIND(",",SUBSTITUTE(D239,"|",REPT(",",LEN(D239)),2))+1,FIND(",",SUBSTITUTE(D239,"|",REPT(",",LEN(D239)),3))-FIND(",",SUBSTITUTE(D239,"|",REPT(",",LEN(D239)),2))-1)</f>
        <v/>
      </c>
      <c r="K239" s="0">
        <f>MID(D239,FIND(",",SUBSTITUTE(D239,"|",REPT(",",LEN(D239)),3))+1,FIND(",",SUBSTITUTE(D239,"|",REPT(",",LEN(D239)),4))-FIND(",",SUBSTITUTE(D239,"|",REPT(",",LEN(D239)),3))-1)</f>
        <v/>
      </c>
      <c r="L239" s="0">
        <f>MID(D239,FIND(";",SUBSTITUTE(D239,"|",REPT(";",LEN(D239)),4))+1,LEN(D239))</f>
        <v/>
      </c>
    </row>
    <row r="240" ht="28" customHeight="1" s="21">
      <c r="A240" s="8" t="inlineStr">
        <is>
          <t>100401</t>
        </is>
      </c>
      <c r="B240" s="8" t="inlineStr">
        <is>
          <t>钢带</t>
        </is>
      </c>
      <c r="C240" s="8" t="inlineStr">
        <is>
          <t>601333100</t>
        </is>
      </c>
      <c r="D240" s="8" t="inlineStr">
        <is>
          <t>钢带|钢带|T8A|δ0.3×4|101/69-8-210</t>
        </is>
      </c>
      <c r="E240" s="8" t="inlineStr">
        <is>
          <t xml:space="preserve">物资名称 钢带;物资简称 钢带;牌号 T8A;厚度 δ0.3×4;宽 ;技术标准号 101/69-8-210;加工工艺 ;热处理工艺 ;特殊要求 ;规格标准号 </t>
        </is>
      </c>
      <c r="F240" s="4" t="inlineStr">
        <is>
          <t>千克</t>
        </is>
      </c>
      <c r="G240" s="0">
        <f>LEFT(D240,FIND("|",D240,1)-1)</f>
        <v/>
      </c>
      <c r="H240" s="0">
        <f>MID(D240,FIND("|",D240,FIND("|",D240,1))+1,FIND("|",D240,FIND("|",D240,1)+1)-FIND("|",D240,FIND("|",D240,1))-1)</f>
        <v/>
      </c>
      <c r="J240" s="0">
        <f>MID(D240,FIND(",",SUBSTITUTE(D240,"|",REPT(",",LEN(D240)),2))+1,FIND(",",SUBSTITUTE(D240,"|",REPT(",",LEN(D240)),3))-FIND(",",SUBSTITUTE(D240,"|",REPT(",",LEN(D240)),2))-1)</f>
        <v/>
      </c>
      <c r="K240" s="0">
        <f>MID(D240,FIND(",",SUBSTITUTE(D240,"|",REPT(",",LEN(D240)),3))+1,FIND(",",SUBSTITUTE(D240,"|",REPT(",",LEN(D240)),4))-FIND(",",SUBSTITUTE(D240,"|",REPT(",",LEN(D240)),3))-1)</f>
        <v/>
      </c>
      <c r="L240" s="0">
        <f>MID(D240,FIND(";",SUBSTITUTE(D240,"|",REPT(";",LEN(D240)),4))+1,LEN(D240))</f>
        <v/>
      </c>
    </row>
    <row r="241" ht="28" customHeight="1" s="21">
      <c r="A241" s="8" t="inlineStr">
        <is>
          <t>100401</t>
        </is>
      </c>
      <c r="B241" s="8" t="inlineStr">
        <is>
          <t>钢带</t>
        </is>
      </c>
      <c r="C241" s="8" t="inlineStr">
        <is>
          <t>601333000</t>
        </is>
      </c>
      <c r="D241" s="8" t="inlineStr">
        <is>
          <t>钢带|钢带|T8A|δ0.6×50|101/79-3-37</t>
        </is>
      </c>
      <c r="E241" s="8" t="inlineStr">
        <is>
          <t xml:space="preserve">物资名称 钢带;物资简称 钢带;牌号 T8A;厚度 δ0.6×50;宽 ;技术标准号 101/79-3-37;加工工艺 ;热处理工艺 ;特殊要求 ;规格标准号 </t>
        </is>
      </c>
      <c r="F241" s="4" t="inlineStr">
        <is>
          <t>千克</t>
        </is>
      </c>
      <c r="G241" s="0">
        <f>LEFT(D241,FIND("|",D241,1)-1)</f>
        <v/>
      </c>
      <c r="H241" s="0">
        <f>MID(D241,FIND("|",D241,FIND("|",D241,1))+1,FIND("|",D241,FIND("|",D241,1)+1)-FIND("|",D241,FIND("|",D241,1))-1)</f>
        <v/>
      </c>
      <c r="J241" s="0">
        <f>MID(D241,FIND(",",SUBSTITUTE(D241,"|",REPT(",",LEN(D241)),2))+1,FIND(",",SUBSTITUTE(D241,"|",REPT(",",LEN(D241)),3))-FIND(",",SUBSTITUTE(D241,"|",REPT(",",LEN(D241)),2))-1)</f>
        <v/>
      </c>
      <c r="K241" s="0">
        <f>MID(D241,FIND(",",SUBSTITUTE(D241,"|",REPT(",",LEN(D241)),3))+1,FIND(",",SUBSTITUTE(D241,"|",REPT(",",LEN(D241)),4))-FIND(",",SUBSTITUTE(D241,"|",REPT(",",LEN(D241)),3))-1)</f>
        <v/>
      </c>
      <c r="L241" s="0">
        <f>MID(D241,FIND(";",SUBSTITUTE(D241,"|",REPT(";",LEN(D241)),4))+1,LEN(D241))</f>
        <v/>
      </c>
    </row>
    <row r="242" ht="28" customHeight="1" s="21">
      <c r="A242" s="8" t="inlineStr">
        <is>
          <t>100401</t>
        </is>
      </c>
      <c r="B242" s="8" t="inlineStr">
        <is>
          <t>钢带</t>
        </is>
      </c>
      <c r="C242" s="8" t="inlineStr">
        <is>
          <t>601332900</t>
        </is>
      </c>
      <c r="D242" s="8" t="inlineStr">
        <is>
          <t>钢带|钢带|T8A-2n|δ1×6|104/69-2-52</t>
        </is>
      </c>
      <c r="E242" s="8" t="inlineStr">
        <is>
          <t xml:space="preserve">物资名称 钢带;物资简称 钢带;牌号 T8A-2n;厚度 δ1×6;宽 ;技术标准号 104/69-2-52;加工工艺 ;热处理工艺 ;特殊要求 ;规格标准号 </t>
        </is>
      </c>
      <c r="F242" s="4" t="inlineStr">
        <is>
          <t>千克</t>
        </is>
      </c>
      <c r="G242" s="0">
        <f>LEFT(D242,FIND("|",D242,1)-1)</f>
        <v/>
      </c>
      <c r="H242" s="0">
        <f>MID(D242,FIND("|",D242,FIND("|",D242,1))+1,FIND("|",D242,FIND("|",D242,1)+1)-FIND("|",D242,FIND("|",D242,1))-1)</f>
        <v/>
      </c>
      <c r="J242" s="0">
        <f>MID(D242,FIND(",",SUBSTITUTE(D242,"|",REPT(",",LEN(D242)),2))+1,FIND(",",SUBSTITUTE(D242,"|",REPT(",",LEN(D242)),3))-FIND(",",SUBSTITUTE(D242,"|",REPT(",",LEN(D242)),2))-1)</f>
        <v/>
      </c>
      <c r="K242" s="0">
        <f>MID(D242,FIND(",",SUBSTITUTE(D242,"|",REPT(",",LEN(D242)),3))+1,FIND(",",SUBSTITUTE(D242,"|",REPT(",",LEN(D242)),4))-FIND(",",SUBSTITUTE(D242,"|",REPT(",",LEN(D242)),3))-1)</f>
        <v/>
      </c>
      <c r="L242" s="0">
        <f>MID(D242,FIND(";",SUBSTITUTE(D242,"|",REPT(";",LEN(D242)),4))+1,LEN(D242))</f>
        <v/>
      </c>
    </row>
    <row r="243" ht="28" customHeight="1" s="21">
      <c r="A243" s="8" t="inlineStr">
        <is>
          <t>100401</t>
        </is>
      </c>
      <c r="B243" s="8" t="inlineStr">
        <is>
          <t>钢带</t>
        </is>
      </c>
      <c r="C243" s="8" t="inlineStr">
        <is>
          <t>601332800</t>
        </is>
      </c>
      <c r="D243" s="8" t="inlineStr">
        <is>
          <t>钢带|钢带|T8A-2n-BK|δ0.2×40|101/65-7-308</t>
        </is>
      </c>
      <c r="E243" s="8" t="inlineStr">
        <is>
          <t xml:space="preserve">物资名称 钢带;物资简称 钢带;牌号 T8A-2n-BK;厚度 δ0.2×40;宽 ;技术标准号 101/65-7-308;加工工艺 ;热处理工艺 ;特殊要求 ;规格标准号 </t>
        </is>
      </c>
      <c r="F243" s="4" t="inlineStr">
        <is>
          <t>千克</t>
        </is>
      </c>
      <c r="G243" s="0">
        <f>LEFT(D243,FIND("|",D243,1)-1)</f>
        <v/>
      </c>
      <c r="H243" s="0">
        <f>MID(D243,FIND("|",D243,FIND("|",D243,1))+1,FIND("|",D243,FIND("|",D243,1)+1)-FIND("|",D243,FIND("|",D243,1))-1)</f>
        <v/>
      </c>
      <c r="J243" s="0">
        <f>MID(D243,FIND(",",SUBSTITUTE(D243,"|",REPT(",",LEN(D243)),2))+1,FIND(",",SUBSTITUTE(D243,"|",REPT(",",LEN(D243)),3))-FIND(",",SUBSTITUTE(D243,"|",REPT(",",LEN(D243)),2))-1)</f>
        <v/>
      </c>
      <c r="K243" s="0">
        <f>MID(D243,FIND(",",SUBSTITUTE(D243,"|",REPT(",",LEN(D243)),3))+1,FIND(",",SUBSTITUTE(D243,"|",REPT(",",LEN(D243)),4))-FIND(",",SUBSTITUTE(D243,"|",REPT(",",LEN(D243)),3))-1)</f>
        <v/>
      </c>
      <c r="L243" s="0">
        <f>MID(D243,FIND(";",SUBSTITUTE(D243,"|",REPT(";",LEN(D243)),4))+1,LEN(D243))</f>
        <v/>
      </c>
    </row>
    <row r="244" ht="28" customHeight="1" s="21">
      <c r="A244" s="8" t="inlineStr">
        <is>
          <t>100401</t>
        </is>
      </c>
      <c r="B244" s="8" t="inlineStr">
        <is>
          <t>钢带</t>
        </is>
      </c>
      <c r="C244" s="8" t="inlineStr">
        <is>
          <t>601332700</t>
        </is>
      </c>
      <c r="D244" s="8" t="inlineStr">
        <is>
          <t>钢带|钢带|T8A-2n-B-K|δ0.3×50|101/65-12-750</t>
        </is>
      </c>
      <c r="E244" s="8" t="inlineStr">
        <is>
          <t xml:space="preserve">物资名称 钢带;物资简称 钢带;牌号 T8A-2n-B-K;厚度 δ0.3×50;宽 ;技术标准号 101/65-12-750;加工工艺 ;热处理工艺 ;特殊要求 ;规格标准号 </t>
        </is>
      </c>
      <c r="F244" s="4" t="inlineStr">
        <is>
          <t>千克</t>
        </is>
      </c>
      <c r="G244" s="0">
        <f>LEFT(D244,FIND("|",D244,1)-1)</f>
        <v/>
      </c>
      <c r="H244" s="0">
        <f>MID(D244,FIND("|",D244,FIND("|",D244,1))+1,FIND("|",D244,FIND("|",D244,1)+1)-FIND("|",D244,FIND("|",D244,1))-1)</f>
        <v/>
      </c>
      <c r="J244" s="0">
        <f>MID(D244,FIND(",",SUBSTITUTE(D244,"|",REPT(",",LEN(D244)),2))+1,FIND(",",SUBSTITUTE(D244,"|",REPT(",",LEN(D244)),3))-FIND(",",SUBSTITUTE(D244,"|",REPT(",",LEN(D244)),2))-1)</f>
        <v/>
      </c>
      <c r="K244" s="0">
        <f>MID(D244,FIND(",",SUBSTITUTE(D244,"|",REPT(",",LEN(D244)),3))+1,FIND(",",SUBSTITUTE(D244,"|",REPT(",",LEN(D244)),4))-FIND(",",SUBSTITUTE(D244,"|",REPT(",",LEN(D244)),3))-1)</f>
        <v/>
      </c>
      <c r="L244" s="0">
        <f>MID(D244,FIND(";",SUBSTITUTE(D244,"|",REPT(";",LEN(D244)),4))+1,LEN(D244))</f>
        <v/>
      </c>
    </row>
    <row r="245" ht="28" customHeight="1" s="21">
      <c r="A245" s="8" t="inlineStr">
        <is>
          <t>100401</t>
        </is>
      </c>
      <c r="B245" s="8" t="inlineStr">
        <is>
          <t>钢带</t>
        </is>
      </c>
      <c r="C245" s="8" t="inlineStr">
        <is>
          <t>601332600</t>
        </is>
      </c>
      <c r="D245" s="8" t="inlineStr">
        <is>
          <t>钢带|钢带|T8A-2n-K|δ0.4×50|101/65-12-745</t>
        </is>
      </c>
      <c r="E245" s="8" t="inlineStr">
        <is>
          <t xml:space="preserve">物资名称 钢带;物资简称 钢带;牌号 T8A-2n-K;厚度 δ0.4×50;宽 ;技术标准号 101/65-12-745;加工工艺 ;热处理工艺 ;特殊要求 ;规格标准号 </t>
        </is>
      </c>
      <c r="F245" s="4" t="inlineStr">
        <is>
          <t>千克</t>
        </is>
      </c>
      <c r="G245" s="0">
        <f>LEFT(D245,FIND("|",D245,1)-1)</f>
        <v/>
      </c>
      <c r="H245" s="0">
        <f>MID(D245,FIND("|",D245,FIND("|",D245,1))+1,FIND("|",D245,FIND("|",D245,1)+1)-FIND("|",D245,FIND("|",D245,1))-1)</f>
        <v/>
      </c>
      <c r="J245" s="0">
        <f>MID(D245,FIND(",",SUBSTITUTE(D245,"|",REPT(",",LEN(D245)),2))+1,FIND(",",SUBSTITUTE(D245,"|",REPT(",",LEN(D245)),3))-FIND(",",SUBSTITUTE(D245,"|",REPT(",",LEN(D245)),2))-1)</f>
        <v/>
      </c>
      <c r="K245" s="0">
        <f>MID(D245,FIND(",",SUBSTITUTE(D245,"|",REPT(",",LEN(D245)),3))+1,FIND(",",SUBSTITUTE(D245,"|",REPT(",",LEN(D245)),4))-FIND(",",SUBSTITUTE(D245,"|",REPT(",",LEN(D245)),3))-1)</f>
        <v/>
      </c>
      <c r="L245" s="0">
        <f>MID(D245,FIND(";",SUBSTITUTE(D245,"|",REPT(";",LEN(D245)),4))+1,LEN(D245))</f>
        <v/>
      </c>
    </row>
    <row r="246" ht="28" customHeight="1" s="21">
      <c r="A246" s="8" t="inlineStr">
        <is>
          <t>100401</t>
        </is>
      </c>
      <c r="B246" s="8" t="inlineStr">
        <is>
          <t>钢带</t>
        </is>
      </c>
      <c r="C246" s="8" t="inlineStr">
        <is>
          <t>601332500</t>
        </is>
      </c>
      <c r="D246" s="8" t="inlineStr">
        <is>
          <t>钢带|钢带|T8A-2n-K|δ0.5×51|101/67-2-55</t>
        </is>
      </c>
      <c r="E246" s="8" t="inlineStr">
        <is>
          <t xml:space="preserve">物资名称 钢带;物资简称 钢带;牌号 T8A-2n-K;厚度 δ0.5×51;宽 ;技术标准号 101/67-2-55;加工工艺 ;热处理工艺 ;特殊要求 ;规格标准号 </t>
        </is>
      </c>
      <c r="F246" s="4" t="inlineStr">
        <is>
          <t>千克</t>
        </is>
      </c>
      <c r="G246" s="0">
        <f>LEFT(D246,FIND("|",D246,1)-1)</f>
        <v/>
      </c>
      <c r="H246" s="0">
        <f>MID(D246,FIND("|",D246,FIND("|",D246,1))+1,FIND("|",D246,FIND("|",D246,1)+1)-FIND("|",D246,FIND("|",D246,1))-1)</f>
        <v/>
      </c>
      <c r="J246" s="0">
        <f>MID(D246,FIND(",",SUBSTITUTE(D246,"|",REPT(",",LEN(D246)),2))+1,FIND(",",SUBSTITUTE(D246,"|",REPT(",",LEN(D246)),3))-FIND(",",SUBSTITUTE(D246,"|",REPT(",",LEN(D246)),2))-1)</f>
        <v/>
      </c>
      <c r="K246" s="0">
        <f>MID(D246,FIND(",",SUBSTITUTE(D246,"|",REPT(",",LEN(D246)),3))+1,FIND(",",SUBSTITUTE(D246,"|",REPT(",",LEN(D246)),4))-FIND(",",SUBSTITUTE(D246,"|",REPT(",",LEN(D246)),3))-1)</f>
        <v/>
      </c>
      <c r="L246" s="0">
        <f>MID(D246,FIND(";",SUBSTITUTE(D246,"|",REPT(";",LEN(D246)),4))+1,LEN(D246))</f>
        <v/>
      </c>
    </row>
    <row r="247" ht="28" customHeight="1" s="21">
      <c r="A247" s="8" t="inlineStr">
        <is>
          <t>100401</t>
        </is>
      </c>
      <c r="B247" s="8" t="inlineStr">
        <is>
          <t>钢带</t>
        </is>
      </c>
      <c r="C247" s="8" t="inlineStr">
        <is>
          <t>601332400</t>
        </is>
      </c>
      <c r="D247" s="8" t="inlineStr">
        <is>
          <t>钢带|钢带|T8A-2n-K|δ0.6×60|101/65-12-753</t>
        </is>
      </c>
      <c r="E247" s="8" t="inlineStr">
        <is>
          <t xml:space="preserve">物资名称 钢带;物资简称 钢带;牌号 T8A-2n-K;厚度 δ0.6×60;宽 ;技术标准号 101/65-12-753;加工工艺 ;热处理工艺 ;特殊要求 ;规格标准号 </t>
        </is>
      </c>
      <c r="F247" s="4" t="inlineStr">
        <is>
          <t>千克</t>
        </is>
      </c>
      <c r="G247" s="0">
        <f>LEFT(D247,FIND("|",D247,1)-1)</f>
        <v/>
      </c>
      <c r="H247" s="0">
        <f>MID(D247,FIND("|",D247,FIND("|",D247,1))+1,FIND("|",D247,FIND("|",D247,1)+1)-FIND("|",D247,FIND("|",D247,1))-1)</f>
        <v/>
      </c>
      <c r="J247" s="0">
        <f>MID(D247,FIND(",",SUBSTITUTE(D247,"|",REPT(",",LEN(D247)),2))+1,FIND(",",SUBSTITUTE(D247,"|",REPT(",",LEN(D247)),3))-FIND(",",SUBSTITUTE(D247,"|",REPT(",",LEN(D247)),2))-1)</f>
        <v/>
      </c>
      <c r="K247" s="0">
        <f>MID(D247,FIND(",",SUBSTITUTE(D247,"|",REPT(",",LEN(D247)),3))+1,FIND(",",SUBSTITUTE(D247,"|",REPT(",",LEN(D247)),4))-FIND(",",SUBSTITUTE(D247,"|",REPT(",",LEN(D247)),3))-1)</f>
        <v/>
      </c>
      <c r="L247" s="0">
        <f>MID(D247,FIND(";",SUBSTITUTE(D247,"|",REPT(";",LEN(D247)),4))+1,LEN(D247))</f>
        <v/>
      </c>
    </row>
    <row r="248" ht="28" customHeight="1" s="21">
      <c r="A248" s="8" t="inlineStr">
        <is>
          <t>100401</t>
        </is>
      </c>
      <c r="B248" s="8" t="inlineStr">
        <is>
          <t>钢带</t>
        </is>
      </c>
      <c r="C248" s="8" t="inlineStr">
        <is>
          <t>601332300</t>
        </is>
      </c>
      <c r="D248" s="8" t="inlineStr">
        <is>
          <t>钢带|钢带|T8A-3n|δ0.3×4|101/69-8-210</t>
        </is>
      </c>
      <c r="E248" s="8" t="inlineStr">
        <is>
          <t xml:space="preserve">物资名称 钢带;物资简称 钢带;牌号 T8A-3n;厚度 δ0.3×4;宽 ;技术标准号 101/69-8-210;加工工艺 ;热处理工艺 ;特殊要求 ;规格标准号 </t>
        </is>
      </c>
      <c r="F248" s="4" t="inlineStr">
        <is>
          <t>千克</t>
        </is>
      </c>
      <c r="G248" s="0">
        <f>LEFT(D248,FIND("|",D248,1)-1)</f>
        <v/>
      </c>
      <c r="H248" s="0">
        <f>MID(D248,FIND("|",D248,FIND("|",D248,1))+1,FIND("|",D248,FIND("|",D248,1)+1)-FIND("|",D248,FIND("|",D248,1))-1)</f>
        <v/>
      </c>
      <c r="J248" s="0">
        <f>MID(D248,FIND(",",SUBSTITUTE(D248,"|",REPT(",",LEN(D248)),2))+1,FIND(",",SUBSTITUTE(D248,"|",REPT(",",LEN(D248)),3))-FIND(",",SUBSTITUTE(D248,"|",REPT(",",LEN(D248)),2))-1)</f>
        <v/>
      </c>
      <c r="K248" s="0">
        <f>MID(D248,FIND(",",SUBSTITUTE(D248,"|",REPT(",",LEN(D248)),3))+1,FIND(",",SUBSTITUTE(D248,"|",REPT(",",LEN(D248)),4))-FIND(",",SUBSTITUTE(D248,"|",REPT(",",LEN(D248)),3))-1)</f>
        <v/>
      </c>
      <c r="L248" s="0">
        <f>MID(D248,FIND(";",SUBSTITUTE(D248,"|",REPT(";",LEN(D248)),4))+1,LEN(D248))</f>
        <v/>
      </c>
    </row>
    <row r="249" ht="28" customHeight="1" s="21">
      <c r="A249" s="8" t="inlineStr">
        <is>
          <t>100401</t>
        </is>
      </c>
      <c r="B249" s="8" t="inlineStr">
        <is>
          <t>钢带</t>
        </is>
      </c>
      <c r="C249" s="8" t="inlineStr">
        <is>
          <t>601332200</t>
        </is>
      </c>
      <c r="D249" s="8" t="inlineStr">
        <is>
          <t>钢带|钢带|T8A-3n-BK|δ0.3×20|101/66-6-263</t>
        </is>
      </c>
      <c r="E249" s="8" t="inlineStr">
        <is>
          <t xml:space="preserve">物资名称 钢带;物资简称 钢带;牌号 T8A-3n-BK;厚度 δ0.3×20;宽 ;技术标准号 101/66-6-263;加工工艺 ;热处理工艺 ;特殊要求 ;规格标准号 </t>
        </is>
      </c>
      <c r="F249" s="4" t="inlineStr">
        <is>
          <t>千克</t>
        </is>
      </c>
      <c r="G249" s="0">
        <f>LEFT(D249,FIND("|",D249,1)-1)</f>
        <v/>
      </c>
      <c r="H249" s="0">
        <f>MID(D249,FIND("|",D249,FIND("|",D249,1))+1,FIND("|",D249,FIND("|",D249,1)+1)-FIND("|",D249,FIND("|",D249,1))-1)</f>
        <v/>
      </c>
      <c r="J249" s="0">
        <f>MID(D249,FIND(",",SUBSTITUTE(D249,"|",REPT(",",LEN(D249)),2))+1,FIND(",",SUBSTITUTE(D249,"|",REPT(",",LEN(D249)),3))-FIND(",",SUBSTITUTE(D249,"|",REPT(",",LEN(D249)),2))-1)</f>
        <v/>
      </c>
      <c r="K249" s="0">
        <f>MID(D249,FIND(",",SUBSTITUTE(D249,"|",REPT(",",LEN(D249)),3))+1,FIND(",",SUBSTITUTE(D249,"|",REPT(",",LEN(D249)),4))-FIND(",",SUBSTITUTE(D249,"|",REPT(",",LEN(D249)),3))-1)</f>
        <v/>
      </c>
      <c r="L249" s="0">
        <f>MID(D249,FIND(";",SUBSTITUTE(D249,"|",REPT(";",LEN(D249)),4))+1,LEN(D249))</f>
        <v/>
      </c>
    </row>
    <row r="250" ht="28" customHeight="1" s="21">
      <c r="A250" s="8" t="inlineStr">
        <is>
          <t>100401</t>
        </is>
      </c>
      <c r="B250" s="8" t="inlineStr">
        <is>
          <t>钢带</t>
        </is>
      </c>
      <c r="C250" s="8" t="inlineStr">
        <is>
          <t>601332100</t>
        </is>
      </c>
      <c r="D250" s="8" t="inlineStr">
        <is>
          <t>钢带|钢带|T8A-Ⅱ-P-Q-S|δ0.4×30|101/79-3-25</t>
        </is>
      </c>
      <c r="E250" s="8" t="inlineStr">
        <is>
          <t xml:space="preserve">物资名称 钢带;物资简称 钢带;牌号 T8A-Ⅱ-P-Q-S;厚度 δ0.4×30;宽 ;技术标准号 101/79-3-25;加工工艺 ;热处理工艺 ;特殊要求 ;规格标准号 </t>
        </is>
      </c>
      <c r="F250" s="4" t="inlineStr">
        <is>
          <t>千克</t>
        </is>
      </c>
      <c r="G250" s="0">
        <f>LEFT(D250,FIND("|",D250,1)-1)</f>
        <v/>
      </c>
      <c r="H250" s="0">
        <f>MID(D250,FIND("|",D250,FIND("|",D250,1))+1,FIND("|",D250,FIND("|",D250,1)+1)-FIND("|",D250,FIND("|",D250,1))-1)</f>
        <v/>
      </c>
      <c r="J250" s="0">
        <f>MID(D250,FIND(",",SUBSTITUTE(D250,"|",REPT(",",LEN(D250)),2))+1,FIND(",",SUBSTITUTE(D250,"|",REPT(",",LEN(D250)),3))-FIND(",",SUBSTITUTE(D250,"|",REPT(",",LEN(D250)),2))-1)</f>
        <v/>
      </c>
      <c r="K250" s="0">
        <f>MID(D250,FIND(",",SUBSTITUTE(D250,"|",REPT(",",LEN(D250)),3))+1,FIND(",",SUBSTITUTE(D250,"|",REPT(",",LEN(D250)),4))-FIND(",",SUBSTITUTE(D250,"|",REPT(",",LEN(D250)),3))-1)</f>
        <v/>
      </c>
      <c r="L250" s="0">
        <f>MID(D250,FIND(";",SUBSTITUTE(D250,"|",REPT(";",LEN(D250)),4))+1,LEN(D250))</f>
        <v/>
      </c>
    </row>
    <row r="251" ht="28" customHeight="1" s="21">
      <c r="A251" s="8" t="inlineStr">
        <is>
          <t>100401</t>
        </is>
      </c>
      <c r="B251" s="8" t="inlineStr">
        <is>
          <t>钢带</t>
        </is>
      </c>
      <c r="C251" s="8" t="inlineStr">
        <is>
          <t>601332000</t>
        </is>
      </c>
      <c r="D251" s="8" t="inlineStr">
        <is>
          <t>钢带|钢带|T8A-Ⅱ-P-S|δ1×80|101/2003-4-12</t>
        </is>
      </c>
      <c r="E251" s="8" t="inlineStr">
        <is>
          <t xml:space="preserve">物资名称 钢带;物资简称 钢带;牌号 T8A-Ⅱ-P-S;厚度 δ1×80;宽 ;技术标准号 101/2003-4-12;加工工艺 ;热处理工艺 ;特殊要求 ;规格标准号 </t>
        </is>
      </c>
      <c r="F251" s="4" t="inlineStr">
        <is>
          <t>千克</t>
        </is>
      </c>
      <c r="G251" s="0">
        <f>LEFT(D251,FIND("|",D251,1)-1)</f>
        <v/>
      </c>
      <c r="H251" s="0">
        <f>MID(D251,FIND("|",D251,FIND("|",D251,1))+1,FIND("|",D251,FIND("|",D251,1)+1)-FIND("|",D251,FIND("|",D251,1))-1)</f>
        <v/>
      </c>
      <c r="J251" s="0">
        <f>MID(D251,FIND(",",SUBSTITUTE(D251,"|",REPT(",",LEN(D251)),2))+1,FIND(",",SUBSTITUTE(D251,"|",REPT(",",LEN(D251)),3))-FIND(",",SUBSTITUTE(D251,"|",REPT(",",LEN(D251)),2))-1)</f>
        <v/>
      </c>
      <c r="K251" s="0">
        <f>MID(D251,FIND(",",SUBSTITUTE(D251,"|",REPT(",",LEN(D251)),3))+1,FIND(",",SUBSTITUTE(D251,"|",REPT(",",LEN(D251)),4))-FIND(",",SUBSTITUTE(D251,"|",REPT(",",LEN(D251)),3))-1)</f>
        <v/>
      </c>
      <c r="L251" s="0">
        <f>MID(D251,FIND(";",SUBSTITUTE(D251,"|",REPT(";",LEN(D251)),4))+1,LEN(D251))</f>
        <v/>
      </c>
    </row>
    <row r="252" ht="28" customHeight="1" s="21">
      <c r="A252" s="8" t="inlineStr">
        <is>
          <t>100401</t>
        </is>
      </c>
      <c r="B252" s="8" t="inlineStr">
        <is>
          <t>钢带</t>
        </is>
      </c>
      <c r="C252" s="8" t="inlineStr">
        <is>
          <t>601331900</t>
        </is>
      </c>
      <c r="D252" s="8" t="inlineStr">
        <is>
          <t>钢带|钢带|T8A-J-Q-Ⅲ-S|δ0.2×40</t>
        </is>
      </c>
      <c r="E252" s="8" t="inlineStr">
        <is>
          <t xml:space="preserve">物资名称 钢带;物资简称 钢带;牌号 T8A-J-Q-Ⅲ-S;厚度 δ0.2×40;宽 ;技术标准号 ;加工工艺 ;热处理工艺 ;特殊要求 ;规格标准号 </t>
        </is>
      </c>
      <c r="F252" s="4" t="inlineStr">
        <is>
          <t>千克</t>
        </is>
      </c>
      <c r="G252" s="0">
        <f>LEFT(D252,FIND("|",D252,1)-1)</f>
        <v/>
      </c>
      <c r="H252" s="0">
        <f>MID(D252,FIND("|",D252,FIND("|",D252,1))+1,FIND("|",D252,FIND("|",D252,1)+1)-FIND("|",D252,FIND("|",D252,1))-1)</f>
        <v/>
      </c>
      <c r="J252" s="0">
        <f>MID(D252,FIND(",",SUBSTITUTE(D252,"|",REPT(",",LEN(D252)),2))+1,FIND(",",SUBSTITUTE(D252,"|",REPT(",",LEN(D252)),3))-FIND(",",SUBSTITUTE(D252,"|",REPT(",",LEN(D252)),2))-1)</f>
        <v/>
      </c>
      <c r="K252" s="0">
        <f>MID(D252,FIND(";",SUBSTITUTE(D252,"|",REPT(";",LEN(D252)),3))+1,LEN(D252))</f>
        <v/>
      </c>
    </row>
    <row r="253" ht="28" customHeight="1" s="21">
      <c r="A253" s="8" t="inlineStr">
        <is>
          <t>100401</t>
        </is>
      </c>
      <c r="B253" s="8" t="inlineStr">
        <is>
          <t>钢带</t>
        </is>
      </c>
      <c r="C253" s="8" t="inlineStr">
        <is>
          <t>601331800</t>
        </is>
      </c>
      <c r="D253" s="8" t="inlineStr">
        <is>
          <t>钢带|钢带|T8A-P-Ⅰ-Gn-Q|δ0.5×32|101/75-5-47</t>
        </is>
      </c>
      <c r="E253" s="8" t="inlineStr">
        <is>
          <t xml:space="preserve">物资名称 钢带;物资简称 钢带;牌号 T8A-P-Ⅰ-Gn-Q;厚度 δ0.5×32;宽 ;技术标准号 101/75-5-47;加工工艺 ;热处理工艺 ;特殊要求 ;规格标准号 </t>
        </is>
      </c>
      <c r="F253" s="4" t="inlineStr">
        <is>
          <t>千克</t>
        </is>
      </c>
      <c r="G253" s="0">
        <f>LEFT(D253,FIND("|",D253,1)-1)</f>
        <v/>
      </c>
      <c r="H253" s="0">
        <f>MID(D253,FIND("|",D253,FIND("|",D253,1))+1,FIND("|",D253,FIND("|",D253,1)+1)-FIND("|",D253,FIND("|",D253,1))-1)</f>
        <v/>
      </c>
      <c r="J253" s="0">
        <f>MID(D253,FIND(",",SUBSTITUTE(D253,"|",REPT(",",LEN(D253)),2))+1,FIND(",",SUBSTITUTE(D253,"|",REPT(",",LEN(D253)),3))-FIND(",",SUBSTITUTE(D253,"|",REPT(",",LEN(D253)),2))-1)</f>
        <v/>
      </c>
      <c r="K253" s="0">
        <f>MID(D253,FIND(",",SUBSTITUTE(D253,"|",REPT(",",LEN(D253)),3))+1,FIND(",",SUBSTITUTE(D253,"|",REPT(",",LEN(D253)),4))-FIND(",",SUBSTITUTE(D253,"|",REPT(",",LEN(D253)),3))-1)</f>
        <v/>
      </c>
      <c r="L253" s="0">
        <f>MID(D253,FIND(";",SUBSTITUTE(D253,"|",REPT(";",LEN(D253)),4))+1,LEN(D253))</f>
        <v/>
      </c>
    </row>
    <row r="254" ht="28" customHeight="1" s="21">
      <c r="A254" s="8" t="inlineStr">
        <is>
          <t>100401</t>
        </is>
      </c>
      <c r="B254" s="8" t="inlineStr">
        <is>
          <t>钢带</t>
        </is>
      </c>
      <c r="C254" s="8" t="inlineStr">
        <is>
          <t>601331700</t>
        </is>
      </c>
      <c r="D254" s="8" t="inlineStr">
        <is>
          <t>钢带|钢带|T8A-P-BQ-T|δ1×108|101/69-2-51</t>
        </is>
      </c>
      <c r="E254" s="8" t="inlineStr">
        <is>
          <t xml:space="preserve">物资名称 钢带;物资简称 钢带;牌号 T8A-P-BQ-T;厚度 δ1×108;宽 ;技术标准号 101/69-2-51;加工工艺 ;热处理工艺 ;特殊要求 ;规格标准号 </t>
        </is>
      </c>
      <c r="F254" s="4" t="inlineStr">
        <is>
          <t>千克</t>
        </is>
      </c>
      <c r="G254" s="0">
        <f>LEFT(D254,FIND("|",D254,1)-1)</f>
        <v/>
      </c>
      <c r="H254" s="0">
        <f>MID(D254,FIND("|",D254,FIND("|",D254,1))+1,FIND("|",D254,FIND("|",D254,1)+1)-FIND("|",D254,FIND("|",D254,1))-1)</f>
        <v/>
      </c>
      <c r="J254" s="0">
        <f>MID(D254,FIND(",",SUBSTITUTE(D254,"|",REPT(",",LEN(D254)),2))+1,FIND(",",SUBSTITUTE(D254,"|",REPT(",",LEN(D254)),3))-FIND(",",SUBSTITUTE(D254,"|",REPT(",",LEN(D254)),2))-1)</f>
        <v/>
      </c>
      <c r="K254" s="0">
        <f>MID(D254,FIND(",",SUBSTITUTE(D254,"|",REPT(",",LEN(D254)),3))+1,FIND(",",SUBSTITUTE(D254,"|",REPT(",",LEN(D254)),4))-FIND(",",SUBSTITUTE(D254,"|",REPT(",",LEN(D254)),3))-1)</f>
        <v/>
      </c>
      <c r="L254" s="0">
        <f>MID(D254,FIND(";",SUBSTITUTE(D254,"|",REPT(";",LEN(D254)),4))+1,LEN(D254))</f>
        <v/>
      </c>
    </row>
    <row r="255" ht="28" customHeight="1" s="21">
      <c r="A255" s="8" t="inlineStr">
        <is>
          <t>100401</t>
        </is>
      </c>
      <c r="B255" s="8" t="inlineStr">
        <is>
          <t>钢带</t>
        </is>
      </c>
      <c r="C255" s="8" t="inlineStr">
        <is>
          <t>601331600</t>
        </is>
      </c>
      <c r="D255" s="8" t="inlineStr">
        <is>
          <t>钢带|钢带|T8A-P-G-BG-T|δ0.8×100|104/67-8-222</t>
        </is>
      </c>
      <c r="E255" s="8" t="inlineStr">
        <is>
          <t xml:space="preserve">物资名称 钢带;物资简称 钢带;牌号 T8A-P-G-BG-T;厚度 δ0.8×100;宽 ;技术标准号 104/67-8-222;加工工艺 ;热处理工艺 ;特殊要求 ;规格标准号 </t>
        </is>
      </c>
      <c r="F255" s="4" t="inlineStr">
        <is>
          <t>千克</t>
        </is>
      </c>
      <c r="G255" s="0">
        <f>LEFT(D255,FIND("|",D255,1)-1)</f>
        <v/>
      </c>
      <c r="H255" s="0">
        <f>MID(D255,FIND("|",D255,FIND("|",D255,1))+1,FIND("|",D255,FIND("|",D255,1)+1)-FIND("|",D255,FIND("|",D255,1))-1)</f>
        <v/>
      </c>
      <c r="J255" s="0">
        <f>MID(D255,FIND(",",SUBSTITUTE(D255,"|",REPT(",",LEN(D255)),2))+1,FIND(",",SUBSTITUTE(D255,"|",REPT(",",LEN(D255)),3))-FIND(",",SUBSTITUTE(D255,"|",REPT(",",LEN(D255)),2))-1)</f>
        <v/>
      </c>
      <c r="K255" s="0">
        <f>MID(D255,FIND(",",SUBSTITUTE(D255,"|",REPT(",",LEN(D255)),3))+1,FIND(",",SUBSTITUTE(D255,"|",REPT(",",LEN(D255)),4))-FIND(",",SUBSTITUTE(D255,"|",REPT(",",LEN(D255)),3))-1)</f>
        <v/>
      </c>
      <c r="L255" s="0">
        <f>MID(D255,FIND(";",SUBSTITUTE(D255,"|",REPT(";",LEN(D255)),4))+1,LEN(D255))</f>
        <v/>
      </c>
    </row>
    <row r="256" ht="28" customHeight="1" s="21">
      <c r="A256" s="8" t="inlineStr">
        <is>
          <t>100401</t>
        </is>
      </c>
      <c r="B256" s="8" t="inlineStr">
        <is>
          <t>钢带</t>
        </is>
      </c>
      <c r="C256" s="8" t="inlineStr">
        <is>
          <t>601331500</t>
        </is>
      </c>
      <c r="D256" s="8" t="inlineStr">
        <is>
          <t>钢带|钢带|T8A-P-Q-BG-T|δ0.7×50|工装</t>
        </is>
      </c>
      <c r="E256" s="8" t="inlineStr">
        <is>
          <t xml:space="preserve">物资名称 钢带;物资简称 钢带;牌号 T8A-P-Q-BG-T;厚度 δ0.7×50;宽 ;技术标准号 工装;加工工艺 ;热处理工艺 ;特殊要求 ;规格标准号 </t>
        </is>
      </c>
      <c r="F256" s="4" t="inlineStr">
        <is>
          <t>千克</t>
        </is>
      </c>
      <c r="G256" s="0">
        <f>LEFT(D256,FIND("|",D256,1)-1)</f>
        <v/>
      </c>
      <c r="H256" s="0">
        <f>MID(D256,FIND("|",D256,FIND("|",D256,1))+1,FIND("|",D256,FIND("|",D256,1)+1)-FIND("|",D256,FIND("|",D256,1))-1)</f>
        <v/>
      </c>
      <c r="J256" s="0">
        <f>MID(D256,FIND(",",SUBSTITUTE(D256,"|",REPT(",",LEN(D256)),2))+1,FIND(",",SUBSTITUTE(D256,"|",REPT(",",LEN(D256)),3))-FIND(",",SUBSTITUTE(D256,"|",REPT(",",LEN(D256)),2))-1)</f>
        <v/>
      </c>
      <c r="K256" s="0">
        <f>MID(D256,FIND(",",SUBSTITUTE(D256,"|",REPT(",",LEN(D256)),3))+1,FIND(",",SUBSTITUTE(D256,"|",REPT(",",LEN(D256)),4))-FIND(",",SUBSTITUTE(D256,"|",REPT(",",LEN(D256)),3))-1)</f>
        <v/>
      </c>
      <c r="P256" s="0">
        <f>MID(D256,FIND(";",SUBSTITUTE(D256,"|",REPT(";",LEN(D256)),4))+1,LEN(D256))</f>
        <v/>
      </c>
    </row>
    <row r="257" ht="28" customHeight="1" s="21">
      <c r="A257" s="8" t="inlineStr">
        <is>
          <t>100401</t>
        </is>
      </c>
      <c r="B257" s="8" t="inlineStr">
        <is>
          <t>钢带</t>
        </is>
      </c>
      <c r="C257" s="8" t="inlineStr">
        <is>
          <t>601331400</t>
        </is>
      </c>
      <c r="D257" s="8" t="inlineStr">
        <is>
          <t>钢带|钢带|T8A-P-Q-G-T|δ0.3×4|104/69-2-59</t>
        </is>
      </c>
      <c r="E257" s="8" t="inlineStr">
        <is>
          <t xml:space="preserve">物资名称 钢带;物资简称 钢带;牌号 T8A-P-Q-G-T;厚度 δ0.3×4;宽 ;技术标准号 104/69-2-59;加工工艺 ;热处理工艺 ;特殊要求 ;规格标准号 </t>
        </is>
      </c>
      <c r="F257" s="4" t="inlineStr">
        <is>
          <t>千克</t>
        </is>
      </c>
      <c r="G257" s="0">
        <f>LEFT(D257,FIND("|",D257,1)-1)</f>
        <v/>
      </c>
      <c r="H257" s="0">
        <f>MID(D257,FIND("|",D257,FIND("|",D257,1))+1,FIND("|",D257,FIND("|",D257,1)+1)-FIND("|",D257,FIND("|",D257,1))-1)</f>
        <v/>
      </c>
      <c r="J257" s="0">
        <f>MID(D257,FIND(",",SUBSTITUTE(D257,"|",REPT(",",LEN(D257)),2))+1,FIND(",",SUBSTITUTE(D257,"|",REPT(",",LEN(D257)),3))-FIND(",",SUBSTITUTE(D257,"|",REPT(",",LEN(D257)),2))-1)</f>
        <v/>
      </c>
      <c r="K257" s="0">
        <f>MID(D257,FIND(",",SUBSTITUTE(D257,"|",REPT(",",LEN(D257)),3))+1,FIND(",",SUBSTITUTE(D257,"|",REPT(",",LEN(D257)),4))-FIND(",",SUBSTITUTE(D257,"|",REPT(",",LEN(D257)),3))-1)</f>
        <v/>
      </c>
      <c r="L257" s="0">
        <f>MID(D257,FIND(";",SUBSTITUTE(D257,"|",REPT(";",LEN(D257)),4))+1,LEN(D257))</f>
        <v/>
      </c>
    </row>
    <row r="258" ht="28" customHeight="1" s="21">
      <c r="A258" s="8" t="inlineStr">
        <is>
          <t>100401</t>
        </is>
      </c>
      <c r="B258" s="8" t="inlineStr">
        <is>
          <t>钢带</t>
        </is>
      </c>
      <c r="C258" s="8" t="inlineStr">
        <is>
          <t>601331300</t>
        </is>
      </c>
      <c r="D258" s="8" t="inlineStr">
        <is>
          <t>钢带|钢带|T8A-P-Q-G-T|δ0.5×40|104/75-12-97</t>
        </is>
      </c>
      <c r="E258" s="8" t="inlineStr">
        <is>
          <t xml:space="preserve">物资名称 钢带;物资简称 钢带;牌号 T8A-P-Q-G-T;厚度 δ0.5×40;宽 ;技术标准号 104/75-12-97;加工工艺 ;热处理工艺 ;特殊要求 ;规格标准号 </t>
        </is>
      </c>
      <c r="F258" s="4" t="inlineStr">
        <is>
          <t>千克</t>
        </is>
      </c>
      <c r="G258" s="0">
        <f>LEFT(D258,FIND("|",D258,1)-1)</f>
        <v/>
      </c>
      <c r="H258" s="0">
        <f>MID(D258,FIND("|",D258,FIND("|",D258,1))+1,FIND("|",D258,FIND("|",D258,1)+1)-FIND("|",D258,FIND("|",D258,1))-1)</f>
        <v/>
      </c>
      <c r="J258" s="0">
        <f>MID(D258,FIND(",",SUBSTITUTE(D258,"|",REPT(",",LEN(D258)),2))+1,FIND(",",SUBSTITUTE(D258,"|",REPT(",",LEN(D258)),3))-FIND(",",SUBSTITUTE(D258,"|",REPT(",",LEN(D258)),2))-1)</f>
        <v/>
      </c>
      <c r="K258" s="0">
        <f>MID(D258,FIND(",",SUBSTITUTE(D258,"|",REPT(",",LEN(D258)),3))+1,FIND(",",SUBSTITUTE(D258,"|",REPT(",",LEN(D258)),4))-FIND(",",SUBSTITUTE(D258,"|",REPT(",",LEN(D258)),3))-1)</f>
        <v/>
      </c>
      <c r="L258" s="0">
        <f>MID(D258,FIND(";",SUBSTITUTE(D258,"|",REPT(";",LEN(D258)),4))+1,LEN(D258))</f>
        <v/>
      </c>
    </row>
    <row r="259" ht="28" customHeight="1" s="21">
      <c r="A259" s="8" t="inlineStr">
        <is>
          <t>100401</t>
        </is>
      </c>
      <c r="B259" s="8" t="inlineStr">
        <is>
          <t>钢带</t>
        </is>
      </c>
      <c r="C259" s="8" t="inlineStr">
        <is>
          <t>601331200</t>
        </is>
      </c>
      <c r="D259" s="8" t="inlineStr">
        <is>
          <t>钢带|钢带|T8A-P-Q-G-T|δ0.5×90|104/69-2-56</t>
        </is>
      </c>
      <c r="E259" s="8" t="inlineStr">
        <is>
          <t xml:space="preserve">物资名称 钢带;物资简称 钢带;牌号 T8A-P-Q-G-T;厚度 δ0.5×90;宽 ;技术标准号 104/69-2-56;加工工艺 ;热处理工艺 ;特殊要求 ;规格标准号 </t>
        </is>
      </c>
      <c r="F259" s="4" t="inlineStr">
        <is>
          <t>千克</t>
        </is>
      </c>
      <c r="G259" s="0">
        <f>LEFT(D259,FIND("|",D259,1)-1)</f>
        <v/>
      </c>
      <c r="H259" s="0">
        <f>MID(D259,FIND("|",D259,FIND("|",D259,1))+1,FIND("|",D259,FIND("|",D259,1)+1)-FIND("|",D259,FIND("|",D259,1))-1)</f>
        <v/>
      </c>
      <c r="J259" s="0">
        <f>MID(D259,FIND(",",SUBSTITUTE(D259,"|",REPT(",",LEN(D259)),2))+1,FIND(",",SUBSTITUTE(D259,"|",REPT(",",LEN(D259)),3))-FIND(",",SUBSTITUTE(D259,"|",REPT(",",LEN(D259)),2))-1)</f>
        <v/>
      </c>
      <c r="K259" s="0">
        <f>MID(D259,FIND(",",SUBSTITUTE(D259,"|",REPT(",",LEN(D259)),3))+1,FIND(",",SUBSTITUTE(D259,"|",REPT(",",LEN(D259)),4))-FIND(",",SUBSTITUTE(D259,"|",REPT(",",LEN(D259)),3))-1)</f>
        <v/>
      </c>
      <c r="L259" s="0">
        <f>MID(D259,FIND(";",SUBSTITUTE(D259,"|",REPT(";",LEN(D259)),4))+1,LEN(D259))</f>
        <v/>
      </c>
    </row>
    <row r="260" ht="28" customHeight="1" s="21">
      <c r="A260" s="8" t="inlineStr">
        <is>
          <t>100401</t>
        </is>
      </c>
      <c r="B260" s="8" t="inlineStr">
        <is>
          <t>钢带</t>
        </is>
      </c>
      <c r="C260" s="8" t="inlineStr">
        <is>
          <t>601331100</t>
        </is>
      </c>
      <c r="D260" s="8" t="inlineStr">
        <is>
          <t>钢带|钢带|T8A-P-Q-T|δ0.3×90|104/76-11-106</t>
        </is>
      </c>
      <c r="E260" s="8" t="inlineStr">
        <is>
          <t xml:space="preserve">物资名称 钢带;物资简称 钢带;牌号 T8A-P-Q-T;厚度 δ0.3×90;宽 ;技术标准号 104/76-11-106;加工工艺 ;热处理工艺 ;特殊要求 ;规格标准号 </t>
        </is>
      </c>
      <c r="F260" s="4" t="inlineStr">
        <is>
          <t>千克</t>
        </is>
      </c>
      <c r="G260" s="0">
        <f>LEFT(D260,FIND("|",D260,1)-1)</f>
        <v/>
      </c>
      <c r="H260" s="0">
        <f>MID(D260,FIND("|",D260,FIND("|",D260,1))+1,FIND("|",D260,FIND("|",D260,1)+1)-FIND("|",D260,FIND("|",D260,1))-1)</f>
        <v/>
      </c>
      <c r="J260" s="0">
        <f>MID(D260,FIND(",",SUBSTITUTE(D260,"|",REPT(",",LEN(D260)),2))+1,FIND(",",SUBSTITUTE(D260,"|",REPT(",",LEN(D260)),3))-FIND(",",SUBSTITUTE(D260,"|",REPT(",",LEN(D260)),2))-1)</f>
        <v/>
      </c>
      <c r="K260" s="0">
        <f>MID(D260,FIND(",",SUBSTITUTE(D260,"|",REPT(",",LEN(D260)),3))+1,FIND(",",SUBSTITUTE(D260,"|",REPT(",",LEN(D260)),4))-FIND(",",SUBSTITUTE(D260,"|",REPT(",",LEN(D260)),3))-1)</f>
        <v/>
      </c>
      <c r="L260" s="0">
        <f>MID(D260,FIND(";",SUBSTITUTE(D260,"|",REPT(";",LEN(D260)),4))+1,LEN(D260))</f>
        <v/>
      </c>
    </row>
    <row r="261" ht="28" customHeight="1" s="21">
      <c r="A261" s="8" t="inlineStr">
        <is>
          <t>100401</t>
        </is>
      </c>
      <c r="B261" s="8" t="inlineStr">
        <is>
          <t>钢带</t>
        </is>
      </c>
      <c r="C261" s="8" t="inlineStr">
        <is>
          <t>601331000</t>
        </is>
      </c>
      <c r="D261" s="8" t="inlineStr">
        <is>
          <t>钢带|钢带|T8A-P-Q-T|δ0.4×90|104/73-2-24</t>
        </is>
      </c>
      <c r="E261" s="8" t="inlineStr">
        <is>
          <t xml:space="preserve">物资名称 钢带;物资简称 钢带;牌号 T8A-P-Q-T;厚度 δ0.4×90;宽 ;技术标准号 104/73-2-24;加工工艺 ;热处理工艺 ;特殊要求 ;规格标准号 </t>
        </is>
      </c>
      <c r="F261" s="4" t="inlineStr">
        <is>
          <t>千克</t>
        </is>
      </c>
      <c r="G261" s="0">
        <f>LEFT(D261,FIND("|",D261,1)-1)</f>
        <v/>
      </c>
      <c r="H261" s="0">
        <f>MID(D261,FIND("|",D261,FIND("|",D261,1))+1,FIND("|",D261,FIND("|",D261,1)+1)-FIND("|",D261,FIND("|",D261,1))-1)</f>
        <v/>
      </c>
      <c r="J261" s="0">
        <f>MID(D261,FIND(",",SUBSTITUTE(D261,"|",REPT(",",LEN(D261)),2))+1,FIND(",",SUBSTITUTE(D261,"|",REPT(",",LEN(D261)),3))-FIND(",",SUBSTITUTE(D261,"|",REPT(",",LEN(D261)),2))-1)</f>
        <v/>
      </c>
      <c r="K261" s="0">
        <f>MID(D261,FIND(",",SUBSTITUTE(D261,"|",REPT(",",LEN(D261)),3))+1,FIND(",",SUBSTITUTE(D261,"|",REPT(",",LEN(D261)),4))-FIND(",",SUBSTITUTE(D261,"|",REPT(",",LEN(D261)),3))-1)</f>
        <v/>
      </c>
      <c r="L261" s="0">
        <f>MID(D261,FIND(";",SUBSTITUTE(D261,"|",REPT(";",LEN(D261)),4))+1,LEN(D261))</f>
        <v/>
      </c>
    </row>
    <row r="262" ht="28" customHeight="1" s="21">
      <c r="A262" s="8" t="inlineStr">
        <is>
          <t>100401</t>
        </is>
      </c>
      <c r="B262" s="8" t="inlineStr">
        <is>
          <t>钢带</t>
        </is>
      </c>
      <c r="C262" s="8" t="inlineStr">
        <is>
          <t>601330900</t>
        </is>
      </c>
      <c r="D262" s="8" t="inlineStr">
        <is>
          <t>钢带|钢带|T8A-Q-G-T|δ0.15×50|维修</t>
        </is>
      </c>
      <c r="E262" s="8" t="inlineStr">
        <is>
          <t xml:space="preserve">物资名称 钢带;物资简称 钢带;牌号 T8A-Q-G-T;厚度 δ0.15×50;宽 ;技术标准号 维修;加工工艺 ;热处理工艺 ;特殊要求 ;规格标准号 </t>
        </is>
      </c>
      <c r="F262" s="4" t="inlineStr">
        <is>
          <t>千克</t>
        </is>
      </c>
      <c r="G262" s="0">
        <f>LEFT(D262,FIND("|",D262,1)-1)</f>
        <v/>
      </c>
      <c r="H262" s="0">
        <f>MID(D262,FIND("|",D262,FIND("|",D262,1))+1,FIND("|",D262,FIND("|",D262,1)+1)-FIND("|",D262,FIND("|",D262,1))-1)</f>
        <v/>
      </c>
      <c r="J262" s="0">
        <f>MID(D262,FIND(",",SUBSTITUTE(D262,"|",REPT(",",LEN(D262)),2))+1,FIND(",",SUBSTITUTE(D262,"|",REPT(",",LEN(D262)),3))-FIND(",",SUBSTITUTE(D262,"|",REPT(",",LEN(D262)),2))-1)</f>
        <v/>
      </c>
      <c r="K262" s="0">
        <f>MID(D262,FIND(",",SUBSTITUTE(D262,"|",REPT(",",LEN(D262)),3))+1,FIND(",",SUBSTITUTE(D262,"|",REPT(",",LEN(D262)),4))-FIND(",",SUBSTITUTE(D262,"|",REPT(",",LEN(D262)),3))-1)</f>
        <v/>
      </c>
      <c r="P262" s="0">
        <f>MID(D262,FIND(";",SUBSTITUTE(D262,"|",REPT(";",LEN(D262)),4))+1,LEN(D262))</f>
        <v/>
      </c>
    </row>
    <row r="263" ht="28" customHeight="1" s="21">
      <c r="A263" s="8" t="inlineStr">
        <is>
          <t>100401</t>
        </is>
      </c>
      <c r="B263" s="8" t="inlineStr">
        <is>
          <t>钢带</t>
        </is>
      </c>
      <c r="C263" s="8" t="inlineStr">
        <is>
          <t>601330800</t>
        </is>
      </c>
      <c r="D263" s="8" t="inlineStr">
        <is>
          <t>钢带|钢带|1Cr18Ni9Ti|δ0.05</t>
        </is>
      </c>
      <c r="E263" s="8" t="inlineStr">
        <is>
          <t xml:space="preserve">物资名称 钢带;物资简称 钢带;牌号 1Cr18Ni9Ti;厚度 δ0.05;宽 ;技术标准号 ;加工工艺 ;热处理工艺 ;特殊要求 ;规格标准号 </t>
        </is>
      </c>
      <c r="F263" s="4" t="inlineStr">
        <is>
          <t>千克</t>
        </is>
      </c>
      <c r="G263" s="0">
        <f>LEFT(D263,FIND("|",D263,1)-1)</f>
        <v/>
      </c>
      <c r="H263" s="0">
        <f>MID(D263,FIND("|",D263,FIND("|",D263,1))+1,FIND("|",D263,FIND("|",D263,1)+1)-FIND("|",D263,FIND("|",D263,1))-1)</f>
        <v/>
      </c>
      <c r="J263" s="0">
        <f>MID(D263,FIND(",",SUBSTITUTE(D263,"|",REPT(",",LEN(D263)),2))+1,FIND(",",SUBSTITUTE(D263,"|",REPT(",",LEN(D263)),3))-FIND(",",SUBSTITUTE(D263,"|",REPT(",",LEN(D263)),2))-1)</f>
        <v/>
      </c>
      <c r="K263" s="0">
        <f>MID(D263,FIND(";",SUBSTITUTE(D263,"|",REPT(";",LEN(D263)),3))+1,LEN(D263))</f>
        <v/>
      </c>
    </row>
    <row r="264" ht="28" customHeight="1" s="21">
      <c r="A264" s="8" t="inlineStr">
        <is>
          <t>100401</t>
        </is>
      </c>
      <c r="B264" s="8" t="inlineStr">
        <is>
          <t>钢带</t>
        </is>
      </c>
      <c r="C264" s="8" t="inlineStr">
        <is>
          <t>601330700</t>
        </is>
      </c>
      <c r="D264" s="8" t="inlineStr">
        <is>
          <t>钢带|钢带|LT50|δ0.35|工装</t>
        </is>
      </c>
      <c r="E264" s="8" t="inlineStr">
        <is>
          <t xml:space="preserve">物资名称 钢带;物资简称 钢带;牌号 LT50;厚度 δ0.35;宽 ;技术标准号 工装;加工工艺 ;热处理工艺 ;特殊要求 ;规格标准号 </t>
        </is>
      </c>
      <c r="F264" s="4" t="inlineStr">
        <is>
          <t>千克</t>
        </is>
      </c>
      <c r="G264" s="0">
        <f>LEFT(D264,FIND("|",D264,1)-1)</f>
        <v/>
      </c>
      <c r="H264" s="0">
        <f>MID(D264,FIND("|",D264,FIND("|",D264,1))+1,FIND("|",D264,FIND("|",D264,1)+1)-FIND("|",D264,FIND("|",D264,1))-1)</f>
        <v/>
      </c>
      <c r="J264" s="0">
        <f>MID(D264,FIND(",",SUBSTITUTE(D264,"|",REPT(",",LEN(D264)),2))+1,FIND(",",SUBSTITUTE(D264,"|",REPT(",",LEN(D264)),3))-FIND(",",SUBSTITUTE(D264,"|",REPT(",",LEN(D264)),2))-1)</f>
        <v/>
      </c>
      <c r="K264" s="0">
        <f>MID(D264,FIND(",",SUBSTITUTE(D264,"|",REPT(",",LEN(D264)),3))+1,FIND(",",SUBSTITUTE(D264,"|",REPT(",",LEN(D264)),4))-FIND(",",SUBSTITUTE(D264,"|",REPT(",",LEN(D264)),3))-1)</f>
        <v/>
      </c>
      <c r="P264" s="0">
        <f>MID(D264,FIND(";",SUBSTITUTE(D264,"|",REPT(";",LEN(D264)),4))+1,LEN(D264))</f>
        <v/>
      </c>
    </row>
    <row r="265" ht="28" customHeight="1" s="21">
      <c r="A265" s="8" t="inlineStr">
        <is>
          <t>100401</t>
        </is>
      </c>
      <c r="B265" s="8" t="inlineStr">
        <is>
          <t>钢带</t>
        </is>
      </c>
      <c r="C265" s="8" t="inlineStr">
        <is>
          <t>601330600</t>
        </is>
      </c>
      <c r="D265" s="8" t="inlineStr">
        <is>
          <t>钢带|钢带|RS-3|δ0.25×80|101/69-11-317</t>
        </is>
      </c>
      <c r="E265" s="8" t="inlineStr">
        <is>
          <t xml:space="preserve">物资名称 钢带;物资简称 钢带;牌号 RS-3;厚度 δ0.25×80;宽 ;技术标准号 101/69-11-317;加工工艺 ;热处理工艺 ;特殊要求 ;规格标准号 </t>
        </is>
      </c>
      <c r="F265" s="4" t="inlineStr">
        <is>
          <t>千克</t>
        </is>
      </c>
      <c r="G265" s="0">
        <f>LEFT(D265,FIND("|",D265,1)-1)</f>
        <v/>
      </c>
      <c r="H265" s="0">
        <f>MID(D265,FIND("|",D265,FIND("|",D265,1))+1,FIND("|",D265,FIND("|",D265,1)+1)-FIND("|",D265,FIND("|",D265,1))-1)</f>
        <v/>
      </c>
      <c r="J265" s="0">
        <f>MID(D265,FIND(",",SUBSTITUTE(D265,"|",REPT(",",LEN(D265)),2))+1,FIND(",",SUBSTITUTE(D265,"|",REPT(",",LEN(D265)),3))-FIND(",",SUBSTITUTE(D265,"|",REPT(",",LEN(D265)),2))-1)</f>
        <v/>
      </c>
      <c r="K265" s="0">
        <f>MID(D265,FIND(",",SUBSTITUTE(D265,"|",REPT(",",LEN(D265)),3))+1,FIND(",",SUBSTITUTE(D265,"|",REPT(",",LEN(D265)),4))-FIND(",",SUBSTITUTE(D265,"|",REPT(",",LEN(D265)),3))-1)</f>
        <v/>
      </c>
      <c r="L265" s="0">
        <f>MID(D265,FIND(";",SUBSTITUTE(D265,"|",REPT(";",LEN(D265)),4))+1,LEN(D265))</f>
        <v/>
      </c>
    </row>
    <row r="266" ht="28" customHeight="1" s="21">
      <c r="A266" s="8" t="inlineStr">
        <is>
          <t>100401</t>
        </is>
      </c>
      <c r="B266" s="8" t="inlineStr">
        <is>
          <t>钢带</t>
        </is>
      </c>
      <c r="C266" s="8" t="inlineStr">
        <is>
          <t>601330500</t>
        </is>
      </c>
      <c r="D266" s="8" t="inlineStr">
        <is>
          <t>钢带|钢带|RS-3|δ0.3×120|101/65-10-680</t>
        </is>
      </c>
      <c r="E266" s="8" t="inlineStr">
        <is>
          <t xml:space="preserve">物资名称 钢带;物资简称 钢带;牌号 RS-3;厚度 δ0.3×120;宽 ;技术标准号 101/65-10-680;加工工艺 ;热处理工艺 ;特殊要求 ;规格标准号 </t>
        </is>
      </c>
      <c r="F266" s="4" t="inlineStr">
        <is>
          <t>千克</t>
        </is>
      </c>
      <c r="G266" s="0">
        <f>LEFT(D266,FIND("|",D266,1)-1)</f>
        <v/>
      </c>
      <c r="H266" s="0">
        <f>MID(D266,FIND("|",D266,FIND("|",D266,1))+1,FIND("|",D266,FIND("|",D266,1)+1)-FIND("|",D266,FIND("|",D266,1))-1)</f>
        <v/>
      </c>
      <c r="J266" s="0">
        <f>MID(D266,FIND(",",SUBSTITUTE(D266,"|",REPT(",",LEN(D266)),2))+1,FIND(",",SUBSTITUTE(D266,"|",REPT(",",LEN(D266)),3))-FIND(",",SUBSTITUTE(D266,"|",REPT(",",LEN(D266)),2))-1)</f>
        <v/>
      </c>
      <c r="K266" s="0">
        <f>MID(D266,FIND(",",SUBSTITUTE(D266,"|",REPT(",",LEN(D266)),3))+1,FIND(",",SUBSTITUTE(D266,"|",REPT(",",LEN(D266)),4))-FIND(",",SUBSTITUTE(D266,"|",REPT(",",LEN(D266)),3))-1)</f>
        <v/>
      </c>
      <c r="L266" s="0">
        <f>MID(D266,FIND(";",SUBSTITUTE(D266,"|",REPT(";",LEN(D266)),4))+1,LEN(D266))</f>
        <v/>
      </c>
    </row>
    <row r="267" ht="28" customHeight="1" s="21">
      <c r="A267" s="8" t="inlineStr">
        <is>
          <t>100401</t>
        </is>
      </c>
      <c r="B267" s="8" t="inlineStr">
        <is>
          <t>钢带</t>
        </is>
      </c>
      <c r="C267" s="8" t="inlineStr">
        <is>
          <t>601330400</t>
        </is>
      </c>
      <c r="D267" s="8" t="inlineStr">
        <is>
          <t>钢带|钢带|RS-3|δ0.3×80|101/69-12-273</t>
        </is>
      </c>
      <c r="E267" s="8" t="inlineStr">
        <is>
          <t xml:space="preserve">物资名称 钢带;物资简称 钢带;牌号 RS-3;厚度 δ0.3×80;宽 ;技术标准号 101/69-12-273;加工工艺 ;热处理工艺 ;特殊要求 ;规格标准号 </t>
        </is>
      </c>
      <c r="F267" s="4" t="inlineStr">
        <is>
          <t>千克</t>
        </is>
      </c>
      <c r="G267" s="0">
        <f>LEFT(D267,FIND("|",D267,1)-1)</f>
        <v/>
      </c>
      <c r="H267" s="0">
        <f>MID(D267,FIND("|",D267,FIND("|",D267,1))+1,FIND("|",D267,FIND("|",D267,1)+1)-FIND("|",D267,FIND("|",D267,1))-1)</f>
        <v/>
      </c>
      <c r="J267" s="0">
        <f>MID(D267,FIND(",",SUBSTITUTE(D267,"|",REPT(",",LEN(D267)),2))+1,FIND(",",SUBSTITUTE(D267,"|",REPT(",",LEN(D267)),3))-FIND(",",SUBSTITUTE(D267,"|",REPT(",",LEN(D267)),2))-1)</f>
        <v/>
      </c>
      <c r="K267" s="0">
        <f>MID(D267,FIND(",",SUBSTITUTE(D267,"|",REPT(",",LEN(D267)),3))+1,FIND(",",SUBSTITUTE(D267,"|",REPT(",",LEN(D267)),4))-FIND(",",SUBSTITUTE(D267,"|",REPT(",",LEN(D267)),3))-1)</f>
        <v/>
      </c>
      <c r="L267" s="0">
        <f>MID(D267,FIND(";",SUBSTITUTE(D267,"|",REPT(";",LEN(D267)),4))+1,LEN(D267))</f>
        <v/>
      </c>
    </row>
    <row r="268" ht="28" customHeight="1" s="21">
      <c r="A268" s="8" t="inlineStr">
        <is>
          <t>100401</t>
        </is>
      </c>
      <c r="B268" s="8" t="inlineStr">
        <is>
          <t>钢带</t>
        </is>
      </c>
      <c r="C268" s="8" t="inlineStr">
        <is>
          <t>601330300</t>
        </is>
      </c>
      <c r="D268" s="8" t="inlineStr">
        <is>
          <t>碳素弹簧钢带|钢带|65Mn|δ0.4</t>
        </is>
      </c>
      <c r="E268" s="8" t="inlineStr">
        <is>
          <t xml:space="preserve">物资名称 碳素弹簧钢带;物资简称 钢带;牌号 65Mn;厚度 δ0.4;宽 ;技术标准号 ;加工工艺 ;热处理工艺 ;特殊要求 ;规格标准号 </t>
        </is>
      </c>
      <c r="F268" s="4" t="inlineStr">
        <is>
          <t>千克</t>
        </is>
      </c>
      <c r="G268" s="0">
        <f>LEFT(D268,FIND("|",D268,1)-1)</f>
        <v/>
      </c>
      <c r="H268" s="0">
        <f>MID(D268,FIND("|",D268,FIND("|",D268,1))+1,FIND("|",D268,FIND("|",D268,1)+1)-FIND("|",D268,FIND("|",D268,1))-1)</f>
        <v/>
      </c>
      <c r="J268" s="0">
        <f>MID(D268,FIND(",",SUBSTITUTE(D268,"|",REPT(",",LEN(D268)),2))+1,FIND(",",SUBSTITUTE(D268,"|",REPT(",",LEN(D268)),3))-FIND(",",SUBSTITUTE(D268,"|",REPT(",",LEN(D268)),2))-1)</f>
        <v/>
      </c>
      <c r="K268" s="0">
        <f>MID(D268,FIND(";",SUBSTITUTE(D268,"|",REPT(";",LEN(D268)),3))+1,LEN(D268))</f>
        <v/>
      </c>
    </row>
    <row r="269" ht="28" customHeight="1" s="21">
      <c r="A269" s="8" t="inlineStr">
        <is>
          <t>100401</t>
        </is>
      </c>
      <c r="B269" s="8" t="inlineStr">
        <is>
          <t>钢带</t>
        </is>
      </c>
      <c r="C269" s="8" t="inlineStr">
        <is>
          <t>601330200</t>
        </is>
      </c>
      <c r="D269" s="8" t="inlineStr">
        <is>
          <t>不锈钢带|钢带|12Cr18Ni9|δ0.02</t>
        </is>
      </c>
      <c r="E269" s="8" t="inlineStr">
        <is>
          <t xml:space="preserve">物资名称 不锈钢带;物资简称 钢带;牌号 12Cr18Ni9;厚度 δ0.02;宽 ;技术标准号 ;加工工艺 ;热处理工艺 ;特殊要求 ;规格标准号 </t>
        </is>
      </c>
      <c r="F269" s="4" t="inlineStr">
        <is>
          <t>千克</t>
        </is>
      </c>
      <c r="G269" s="0">
        <f>LEFT(D269,FIND("|",D269,1)-1)</f>
        <v/>
      </c>
      <c r="H269" s="0">
        <f>MID(D269,FIND("|",D269,FIND("|",D269,1))+1,FIND("|",D269,FIND("|",D269,1)+1)-FIND("|",D269,FIND("|",D269,1))-1)</f>
        <v/>
      </c>
      <c r="J269" s="0">
        <f>MID(D269,FIND(",",SUBSTITUTE(D269,"|",REPT(",",LEN(D269)),2))+1,FIND(",",SUBSTITUTE(D269,"|",REPT(",",LEN(D269)),3))-FIND(",",SUBSTITUTE(D269,"|",REPT(",",LEN(D269)),2))-1)</f>
        <v/>
      </c>
      <c r="K269" s="0">
        <f>MID(D269,FIND(";",SUBSTITUTE(D269,"|",REPT(";",LEN(D269)),3))+1,LEN(D269))</f>
        <v/>
      </c>
    </row>
    <row r="270" ht="28" customHeight="1" s="21">
      <c r="A270" s="8" t="inlineStr">
        <is>
          <t>100401</t>
        </is>
      </c>
      <c r="B270" s="8" t="inlineStr">
        <is>
          <t>钢带</t>
        </is>
      </c>
      <c r="C270" s="8" t="inlineStr">
        <is>
          <t>601330100</t>
        </is>
      </c>
      <c r="D270" s="8" t="inlineStr">
        <is>
          <t>不锈钢带|钢带|12Cr18Ni9|δ0.05|GB/T 3280-2007</t>
        </is>
      </c>
      <c r="E270" s="8" t="inlineStr">
        <is>
          <t xml:space="preserve">物资名称 不锈钢带;物资简称 钢带;牌号 12Cr18Ni9;厚度 δ0.05;宽 ;技术标准号 GB/T 3280-2007;加工工艺 ;热处理工艺 ;特殊要求 ;规格标准号 </t>
        </is>
      </c>
      <c r="F270" s="4" t="inlineStr">
        <is>
          <t>千克</t>
        </is>
      </c>
      <c r="G270" s="0">
        <f>LEFT(D270,FIND("|",D270,1)-1)</f>
        <v/>
      </c>
      <c r="H270" s="0">
        <f>MID(D270,FIND("|",D270,FIND("|",D270,1))+1,FIND("|",D270,FIND("|",D270,1)+1)-FIND("|",D270,FIND("|",D270,1))-1)</f>
        <v/>
      </c>
      <c r="J270" s="0">
        <f>MID(D270,FIND(",",SUBSTITUTE(D270,"|",REPT(",",LEN(D270)),2))+1,FIND(",",SUBSTITUTE(D270,"|",REPT(",",LEN(D270)),3))-FIND(",",SUBSTITUTE(D270,"|",REPT(",",LEN(D270)),2))-1)</f>
        <v/>
      </c>
      <c r="K270" s="0">
        <f>MID(D270,FIND(",",SUBSTITUTE(D270,"|",REPT(",",LEN(D270)),3))+1,FIND(",",SUBSTITUTE(D270,"|",REPT(",",LEN(D270)),4))-FIND(",",SUBSTITUTE(D270,"|",REPT(",",LEN(D270)),3))-1)</f>
        <v/>
      </c>
      <c r="L270" s="0">
        <f>MID(D270,FIND(";",SUBSTITUTE(D270,"|",REPT(";",LEN(D270)),4))+1,LEN(D270))</f>
        <v/>
      </c>
    </row>
    <row r="271" ht="28" customHeight="1" s="21">
      <c r="A271" s="8" t="inlineStr">
        <is>
          <t>100401</t>
        </is>
      </c>
      <c r="B271" s="8" t="inlineStr">
        <is>
          <t>钢带</t>
        </is>
      </c>
      <c r="C271" s="8" t="inlineStr">
        <is>
          <t>601330000</t>
        </is>
      </c>
      <c r="D271" s="8" t="inlineStr">
        <is>
          <t>合金弹簧钢带|钢带|60Si2Mn|δ1.5</t>
        </is>
      </c>
      <c r="E271" s="8" t="inlineStr">
        <is>
          <t xml:space="preserve">物资名称 合金弹簧钢带;物资简称 钢带;牌号 60Si2Mn;厚度 δ1.5;宽 ;技术标准号 ;加工工艺 ;热处理工艺 ;特殊要求 ;规格标准号 </t>
        </is>
      </c>
      <c r="F271" s="4" t="inlineStr">
        <is>
          <t>千克</t>
        </is>
      </c>
      <c r="G271" s="0">
        <f>LEFT(D271,FIND("|",D271,1)-1)</f>
        <v/>
      </c>
      <c r="H271" s="0">
        <f>MID(D271,FIND("|",D271,FIND("|",D271,1))+1,FIND("|",D271,FIND("|",D271,1)+1)-FIND("|",D271,FIND("|",D271,1))-1)</f>
        <v/>
      </c>
      <c r="J271" s="0">
        <f>MID(D271,FIND(",",SUBSTITUTE(D271,"|",REPT(",",LEN(D271)),2))+1,FIND(",",SUBSTITUTE(D271,"|",REPT(",",LEN(D271)),3))-FIND(",",SUBSTITUTE(D271,"|",REPT(",",LEN(D271)),2))-1)</f>
        <v/>
      </c>
      <c r="K271" s="0">
        <f>MID(D271,FIND(";",SUBSTITUTE(D271,"|",REPT(";",LEN(D271)),3))+1,LEN(D271))</f>
        <v/>
      </c>
    </row>
    <row r="272" ht="28" customHeight="1" s="21">
      <c r="A272" s="8" t="inlineStr">
        <is>
          <t>100401</t>
        </is>
      </c>
      <c r="B272" s="8" t="inlineStr">
        <is>
          <t>钢带</t>
        </is>
      </c>
      <c r="C272" s="8" t="inlineStr">
        <is>
          <t>601329900</t>
        </is>
      </c>
      <c r="D272" s="8" t="inlineStr">
        <is>
          <t>不锈钢带|钢带|12Cr18Ni9|δ0.04,200</t>
        </is>
      </c>
      <c r="E272" s="8" t="inlineStr">
        <is>
          <t xml:space="preserve">物资名称 不锈钢带;物资简称 钢带;牌号 12Cr18Ni9;厚度 δ0.04;宽 200;技术标准号 ;加工工艺 ;热处理工艺 ;特殊要求 ;规格标准号 </t>
        </is>
      </c>
      <c r="F272" s="4" t="inlineStr">
        <is>
          <t>千克</t>
        </is>
      </c>
      <c r="G272" s="0">
        <f>LEFT(D272,FIND("|",D272,1)-1)</f>
        <v/>
      </c>
      <c r="H272" s="0">
        <f>MID(D272,FIND("|",D272,FIND("|",D272,1))+1,FIND("|",D272,FIND("|",D272,1)+1)-FIND("|",D272,FIND("|",D272,1))-1)</f>
        <v/>
      </c>
      <c r="J272" s="0">
        <f>MID(D272,FIND(",",SUBSTITUTE(D272,"|",REPT(",",LEN(D272)),2))+1,FIND(",",SUBSTITUTE(D272,"|",REPT(",",LEN(D272)),3))-FIND(",",SUBSTITUTE(D272,"|",REPT(",",LEN(D272)),2))-1)</f>
        <v/>
      </c>
      <c r="K272" s="0">
        <f>MID(D272,FIND(";",SUBSTITUTE(D272,"|",REPT(";",LEN(D272)),3))+1,LEN(D272))</f>
        <v/>
      </c>
    </row>
    <row r="273" ht="42" customHeight="1" s="21">
      <c r="A273" s="8" t="inlineStr">
        <is>
          <t>100401</t>
        </is>
      </c>
      <c r="B273" s="8" t="inlineStr">
        <is>
          <t>钢带</t>
        </is>
      </c>
      <c r="C273" s="8" t="inlineStr">
        <is>
          <t>601000000</t>
        </is>
      </c>
      <c r="D273" s="8" t="inlineStr">
        <is>
          <t>冷轧不锈钢带|钢带|1Cr18Ni19Ti|δ0.35|GB/T 3280-1992|冷轧|GB/T 708-2006</t>
        </is>
      </c>
      <c r="E273" s="8" t="inlineStr">
        <is>
          <t>物资名称 冷轧不锈钢带;物资简称 钢带;牌号 1Cr18Ni19Ti;厚度 δ0.35;宽 ;技术标准号 GB/T 3280-1992;加工工艺 冷轧;热处理工艺 ;特殊要求 ;规格标准号 GB/T 708-2006</t>
        </is>
      </c>
      <c r="F273" s="4" t="inlineStr">
        <is>
          <t>千克</t>
        </is>
      </c>
      <c r="G273" s="0">
        <f>LEFT(D273,FIND("|",D273,1)-1)</f>
        <v/>
      </c>
      <c r="H273" s="0">
        <f>MID(D273,FIND("|",D273,FIND("|",D273,1))+1,FIND("|",D273,FIND("|",D273,1)+1)-FIND("|",D273,FIND("|",D273,1))-1)</f>
        <v/>
      </c>
      <c r="J273" s="0">
        <f>MID(D273,FIND(",",SUBSTITUTE(D273,"|",REPT(",",LEN(D273)),2))+1,FIND(",",SUBSTITUTE(D273,"|",REPT(",",LEN(D273)),3))-FIND(",",SUBSTITUTE(D273,"|",REPT(",",LEN(D273)),2))-1)</f>
        <v/>
      </c>
      <c r="K273" s="0">
        <f>MID(D273,FIND(",",SUBSTITUTE(D273,"|",REPT(",",LEN(D273)),3))+1,FIND(",",SUBSTITUTE(D273,"|",REPT(",",LEN(D273)),4))-FIND(",",SUBSTITUTE(D273,"|",REPT(",",LEN(D273)),3))-1)</f>
        <v/>
      </c>
      <c r="L273" s="0">
        <f>MID(D273,FIND(";",SUBSTITUTE(D273,"|",REPT(";",LEN(D273)),4))+1,FIND(";",SUBSTITUTE(D273,"|",REPT(";",LEN(D273)),5))-FIND(";",SUBSTITUTE(D273,"|",REPT(";",LEN(D273)),4))-1)</f>
        <v/>
      </c>
      <c r="M273" s="0">
        <f>MID(D273,FIND(";",SUBSTITUTE(D273,"|",REPT(";",LEN(D273)),6))+1,LEN(D273))</f>
        <v/>
      </c>
      <c r="N273" s="0">
        <f>MID(D273,FIND(";",SUBSTITUTE(D273,"|",REPT(";",LEN(D273)),5))+1,FIND(";",SUBSTITUTE(D273,"|",REPT(";",LEN(D273)),6))-FIND(";",SUBSTITUTE(D273,"|",REPT(";",LEN(D273)),5))-1)</f>
        <v/>
      </c>
    </row>
    <row r="274" ht="42" customHeight="1" s="21">
      <c r="A274" s="8" t="inlineStr">
        <is>
          <t>100401</t>
        </is>
      </c>
      <c r="B274" s="8" t="inlineStr">
        <is>
          <t>钢带</t>
        </is>
      </c>
      <c r="C274" s="8" t="inlineStr">
        <is>
          <t>600997300</t>
        </is>
      </c>
      <c r="D274" s="8" t="inlineStr">
        <is>
          <t>冷轧不锈钢带|钢带|1Cr18Ni19Ti|δ0.48|GB/T 3280-1992|冷轧|GB/T 708-2006</t>
        </is>
      </c>
      <c r="E274" s="8" t="inlineStr">
        <is>
          <t>物资名称 冷轧不锈钢带;物资简称 钢带;牌号 1Cr18Ni19Ti;厚度 δ0.48;宽 ;技术标准号 GB/T 3280-1992;加工工艺 冷轧;热处理工艺 ;特殊要求 ;规格标准号 GB/T 708-2006</t>
        </is>
      </c>
      <c r="F274" s="4" t="inlineStr">
        <is>
          <t>千克</t>
        </is>
      </c>
      <c r="G274" s="0">
        <f>LEFT(D274,FIND("|",D274,1)-1)</f>
        <v/>
      </c>
      <c r="H274" s="0">
        <f>MID(D274,FIND("|",D274,FIND("|",D274,1))+1,FIND("|",D274,FIND("|",D274,1)+1)-FIND("|",D274,FIND("|",D274,1))-1)</f>
        <v/>
      </c>
      <c r="J274" s="0">
        <f>MID(D274,FIND(",",SUBSTITUTE(D274,"|",REPT(",",LEN(D274)),2))+1,FIND(",",SUBSTITUTE(D274,"|",REPT(",",LEN(D274)),3))-FIND(",",SUBSTITUTE(D274,"|",REPT(",",LEN(D274)),2))-1)</f>
        <v/>
      </c>
      <c r="K274" s="0">
        <f>MID(D274,FIND(",",SUBSTITUTE(D274,"|",REPT(",",LEN(D274)),3))+1,FIND(",",SUBSTITUTE(D274,"|",REPT(",",LEN(D274)),4))-FIND(",",SUBSTITUTE(D274,"|",REPT(",",LEN(D274)),3))-1)</f>
        <v/>
      </c>
      <c r="L274" s="0">
        <f>MID(D274,FIND(";",SUBSTITUTE(D274,"|",REPT(";",LEN(D274)),4))+1,FIND(";",SUBSTITUTE(D274,"|",REPT(";",LEN(D274)),5))-FIND(";",SUBSTITUTE(D274,"|",REPT(";",LEN(D274)),4))-1)</f>
        <v/>
      </c>
      <c r="M274" s="0">
        <f>MID(D274,FIND(";",SUBSTITUTE(D274,"|",REPT(";",LEN(D274)),6))+1,LEN(D274))</f>
        <v/>
      </c>
      <c r="N274" s="0">
        <f>MID(D274,FIND(";",SUBSTITUTE(D274,"|",REPT(";",LEN(D274)),5))+1,FIND(";",SUBSTITUTE(D274,"|",REPT(";",LEN(D274)),6))-FIND(";",SUBSTITUTE(D274,"|",REPT(";",LEN(D274)),5))-1)</f>
        <v/>
      </c>
    </row>
    <row r="275" ht="42" customHeight="1" s="21">
      <c r="A275" s="8" t="inlineStr">
        <is>
          <t>100401</t>
        </is>
      </c>
      <c r="B275" s="8" t="inlineStr">
        <is>
          <t>钢带</t>
        </is>
      </c>
      <c r="C275" s="8" t="inlineStr">
        <is>
          <t>600997200</t>
        </is>
      </c>
      <c r="D275" s="8" t="inlineStr">
        <is>
          <t>冷轧不锈钢带|钢带|1Cr18Ni19Ti|δ0.5|GB/T 3280-1992|冷轧|GB/T 708-2006</t>
        </is>
      </c>
      <c r="E275" s="8" t="inlineStr">
        <is>
          <t>物资名称 冷轧不锈钢带;物资简称 钢带;牌号 1Cr18Ni19Ti;厚度 δ0.5;宽 ;技术标准号 GB/T 3280-1992;加工工艺 冷轧;热处理工艺 ;特殊要求 ;规格标准号 GB/T 708-2006</t>
        </is>
      </c>
      <c r="F275" s="4" t="inlineStr">
        <is>
          <t>千克</t>
        </is>
      </c>
      <c r="G275" s="0">
        <f>LEFT(D275,FIND("|",D275,1)-1)</f>
        <v/>
      </c>
      <c r="H275" s="0">
        <f>MID(D275,FIND("|",D275,FIND("|",D275,1))+1,FIND("|",D275,FIND("|",D275,1)+1)-FIND("|",D275,FIND("|",D275,1))-1)</f>
        <v/>
      </c>
      <c r="J275" s="0">
        <f>MID(D275,FIND(",",SUBSTITUTE(D275,"|",REPT(",",LEN(D275)),2))+1,FIND(",",SUBSTITUTE(D275,"|",REPT(",",LEN(D275)),3))-FIND(",",SUBSTITUTE(D275,"|",REPT(",",LEN(D275)),2))-1)</f>
        <v/>
      </c>
      <c r="K275" s="0">
        <f>MID(D275,FIND(",",SUBSTITUTE(D275,"|",REPT(",",LEN(D275)),3))+1,FIND(",",SUBSTITUTE(D275,"|",REPT(",",LEN(D275)),4))-FIND(",",SUBSTITUTE(D275,"|",REPT(",",LEN(D275)),3))-1)</f>
        <v/>
      </c>
      <c r="L275" s="0">
        <f>MID(D275,FIND(";",SUBSTITUTE(D275,"|",REPT(";",LEN(D275)),4))+1,FIND(";",SUBSTITUTE(D275,"|",REPT(";",LEN(D275)),5))-FIND(";",SUBSTITUTE(D275,"|",REPT(";",LEN(D275)),4))-1)</f>
        <v/>
      </c>
      <c r="M275" s="0">
        <f>MID(D275,FIND(";",SUBSTITUTE(D275,"|",REPT(";",LEN(D275)),6))+1,LEN(D275))</f>
        <v/>
      </c>
      <c r="N275" s="0">
        <f>MID(D275,FIND(";",SUBSTITUTE(D275,"|",REPT(";",LEN(D275)),5))+1,FIND(";",SUBSTITUTE(D275,"|",REPT(";",LEN(D275)),6))-FIND(";",SUBSTITUTE(D275,"|",REPT(";",LEN(D275)),5))-1)</f>
        <v/>
      </c>
    </row>
    <row r="276" ht="42" customHeight="1" s="21">
      <c r="A276" s="8" t="inlineStr">
        <is>
          <t>100401</t>
        </is>
      </c>
      <c r="B276" s="8" t="inlineStr">
        <is>
          <t>钢带</t>
        </is>
      </c>
      <c r="C276" s="8" t="inlineStr">
        <is>
          <t>600997100</t>
        </is>
      </c>
      <c r="D276" s="8" t="inlineStr">
        <is>
          <t>冷轧不锈钢带|钢带|1Cr18Ni19Ti|δ0.1|GB/T 3280-1992|冷轧|GB/T 708-2006</t>
        </is>
      </c>
      <c r="E276" s="8" t="inlineStr">
        <is>
          <t>物资名称 冷轧不锈钢带;物资简称 钢带;牌号 1Cr18Ni19Ti;厚度 δ0.1;宽 ;技术标准号 GB/T 3280-1992;加工工艺 冷轧;热处理工艺 ;特殊要求 ;规格标准号 GB/T 708-2006</t>
        </is>
      </c>
      <c r="F276" s="4" t="inlineStr">
        <is>
          <t>千克</t>
        </is>
      </c>
      <c r="G276" s="0">
        <f>LEFT(D276,FIND("|",D276,1)-1)</f>
        <v/>
      </c>
      <c r="H276" s="0">
        <f>MID(D276,FIND("|",D276,FIND("|",D276,1))+1,FIND("|",D276,FIND("|",D276,1)+1)-FIND("|",D276,FIND("|",D276,1))-1)</f>
        <v/>
      </c>
      <c r="J276" s="0">
        <f>MID(D276,FIND(",",SUBSTITUTE(D276,"|",REPT(",",LEN(D276)),2))+1,FIND(",",SUBSTITUTE(D276,"|",REPT(",",LEN(D276)),3))-FIND(",",SUBSTITUTE(D276,"|",REPT(",",LEN(D276)),2))-1)</f>
        <v/>
      </c>
      <c r="K276" s="0">
        <f>MID(D276,FIND(",",SUBSTITUTE(D276,"|",REPT(",",LEN(D276)),3))+1,FIND(",",SUBSTITUTE(D276,"|",REPT(",",LEN(D276)),4))-FIND(",",SUBSTITUTE(D276,"|",REPT(",",LEN(D276)),3))-1)</f>
        <v/>
      </c>
      <c r="L276" s="0">
        <f>MID(D276,FIND(";",SUBSTITUTE(D276,"|",REPT(";",LEN(D276)),4))+1,FIND(";",SUBSTITUTE(D276,"|",REPT(";",LEN(D276)),5))-FIND(";",SUBSTITUTE(D276,"|",REPT(";",LEN(D276)),4))-1)</f>
        <v/>
      </c>
      <c r="M276" s="0">
        <f>MID(D276,FIND(";",SUBSTITUTE(D276,"|",REPT(";",LEN(D276)),6))+1,LEN(D276))</f>
        <v/>
      </c>
      <c r="N276" s="0">
        <f>MID(D276,FIND(";",SUBSTITUTE(D276,"|",REPT(";",LEN(D276)),5))+1,FIND(";",SUBSTITUTE(D276,"|",REPT(";",LEN(D276)),6))-FIND(";",SUBSTITUTE(D276,"|",REPT(";",LEN(D276)),5))-1)</f>
        <v/>
      </c>
    </row>
    <row r="277" ht="42" customHeight="1" s="21">
      <c r="A277" s="8" t="inlineStr">
        <is>
          <t>100401</t>
        </is>
      </c>
      <c r="B277" s="8" t="inlineStr">
        <is>
          <t>钢带</t>
        </is>
      </c>
      <c r="C277" s="8" t="inlineStr">
        <is>
          <t>600997000</t>
        </is>
      </c>
      <c r="D277" s="8" t="inlineStr">
        <is>
          <t>冷轧不锈钢带|钢带|1Cr18Ni19Ti|δ0.15|GB/T 3280-1992|冷轧|GB/T 708-2006</t>
        </is>
      </c>
      <c r="E277" s="8" t="inlineStr">
        <is>
          <t>物资名称 冷轧不锈钢带;物资简称 钢带;牌号 1Cr18Ni19Ti;厚度 δ0.15;宽 ;技术标准号 GB/T 3280-1992;加工工艺 冷轧;热处理工艺 ;特殊要求 ;规格标准号 GB/T 708-2006</t>
        </is>
      </c>
      <c r="F277" s="4" t="inlineStr">
        <is>
          <t>千克</t>
        </is>
      </c>
      <c r="G277" s="0">
        <f>LEFT(D277,FIND("|",D277,1)-1)</f>
        <v/>
      </c>
      <c r="H277" s="0">
        <f>MID(D277,FIND("|",D277,FIND("|",D277,1))+1,FIND("|",D277,FIND("|",D277,1)+1)-FIND("|",D277,FIND("|",D277,1))-1)</f>
        <v/>
      </c>
      <c r="J277" s="0">
        <f>MID(D277,FIND(",",SUBSTITUTE(D277,"|",REPT(",",LEN(D277)),2))+1,FIND(",",SUBSTITUTE(D277,"|",REPT(",",LEN(D277)),3))-FIND(",",SUBSTITUTE(D277,"|",REPT(",",LEN(D277)),2))-1)</f>
        <v/>
      </c>
      <c r="K277" s="0">
        <f>MID(D277,FIND(",",SUBSTITUTE(D277,"|",REPT(",",LEN(D277)),3))+1,FIND(",",SUBSTITUTE(D277,"|",REPT(",",LEN(D277)),4))-FIND(",",SUBSTITUTE(D277,"|",REPT(",",LEN(D277)),3))-1)</f>
        <v/>
      </c>
      <c r="L277" s="0">
        <f>MID(D277,FIND(";",SUBSTITUTE(D277,"|",REPT(";",LEN(D277)),4))+1,FIND(";",SUBSTITUTE(D277,"|",REPT(";",LEN(D277)),5))-FIND(";",SUBSTITUTE(D277,"|",REPT(";",LEN(D277)),4))-1)</f>
        <v/>
      </c>
      <c r="M277" s="0">
        <f>MID(D277,FIND(";",SUBSTITUTE(D277,"|",REPT(";",LEN(D277)),6))+1,LEN(D277))</f>
        <v/>
      </c>
      <c r="N277" s="0">
        <f>MID(D277,FIND(";",SUBSTITUTE(D277,"|",REPT(";",LEN(D277)),5))+1,FIND(";",SUBSTITUTE(D277,"|",REPT(";",LEN(D277)),6))-FIND(";",SUBSTITUTE(D277,"|",REPT(";",LEN(D277)),5))-1)</f>
        <v/>
      </c>
    </row>
    <row r="278" ht="42" customHeight="1" s="21">
      <c r="A278" s="8" t="inlineStr">
        <is>
          <t>100401</t>
        </is>
      </c>
      <c r="B278" s="8" t="inlineStr">
        <is>
          <t>钢带</t>
        </is>
      </c>
      <c r="C278" s="8" t="inlineStr">
        <is>
          <t>600996900</t>
        </is>
      </c>
      <c r="D278" s="8" t="inlineStr">
        <is>
          <t>冷轧不锈钢带|钢带|1Cr18Ni19Ti|δ0.25|GB/T 3280-1992|冷轧|GB/T 708-2006</t>
        </is>
      </c>
      <c r="E278" s="8" t="inlineStr">
        <is>
          <t>物资名称 冷轧不锈钢带;物资简称 钢带;牌号 1Cr18Ni19Ti;厚度 δ0.25;宽 ;技术标准号 GB/T 3280-1992;加工工艺 冷轧;热处理工艺 ;特殊要求 ;规格标准号 GB/T 708-2006</t>
        </is>
      </c>
      <c r="F278" s="4" t="inlineStr">
        <is>
          <t>千克</t>
        </is>
      </c>
      <c r="G278" s="0">
        <f>LEFT(D278,FIND("|",D278,1)-1)</f>
        <v/>
      </c>
      <c r="H278" s="0">
        <f>MID(D278,FIND("|",D278,FIND("|",D278,1))+1,FIND("|",D278,FIND("|",D278,1)+1)-FIND("|",D278,FIND("|",D278,1))-1)</f>
        <v/>
      </c>
      <c r="J278" s="0">
        <f>MID(D278,FIND(",",SUBSTITUTE(D278,"|",REPT(",",LEN(D278)),2))+1,FIND(",",SUBSTITUTE(D278,"|",REPT(",",LEN(D278)),3))-FIND(",",SUBSTITUTE(D278,"|",REPT(",",LEN(D278)),2))-1)</f>
        <v/>
      </c>
      <c r="K278" s="0">
        <f>MID(D278,FIND(",",SUBSTITUTE(D278,"|",REPT(",",LEN(D278)),3))+1,FIND(",",SUBSTITUTE(D278,"|",REPT(",",LEN(D278)),4))-FIND(",",SUBSTITUTE(D278,"|",REPT(",",LEN(D278)),3))-1)</f>
        <v/>
      </c>
      <c r="L278" s="0">
        <f>MID(D278,FIND(";",SUBSTITUTE(D278,"|",REPT(";",LEN(D278)),4))+1,FIND(";",SUBSTITUTE(D278,"|",REPT(";",LEN(D278)),5))-FIND(";",SUBSTITUTE(D278,"|",REPT(";",LEN(D278)),4))-1)</f>
        <v/>
      </c>
      <c r="M278" s="0">
        <f>MID(D278,FIND(";",SUBSTITUTE(D278,"|",REPT(";",LEN(D278)),6))+1,LEN(D278))</f>
        <v/>
      </c>
      <c r="N278" s="0">
        <f>MID(D278,FIND(";",SUBSTITUTE(D278,"|",REPT(";",LEN(D278)),5))+1,FIND(";",SUBSTITUTE(D278,"|",REPT(";",LEN(D278)),6))-FIND(";",SUBSTITUTE(D278,"|",REPT(";",LEN(D278)),5))-1)</f>
        <v/>
      </c>
    </row>
    <row r="279" ht="42" customHeight="1" s="21">
      <c r="A279" s="8" t="inlineStr">
        <is>
          <t>100401</t>
        </is>
      </c>
      <c r="B279" s="8" t="inlineStr">
        <is>
          <t>钢带</t>
        </is>
      </c>
      <c r="C279" s="8" t="inlineStr">
        <is>
          <t>600996800</t>
        </is>
      </c>
      <c r="D279" s="8" t="inlineStr">
        <is>
          <t>冷轧不锈钢带|钢带|1Cr18Ni19Ti|δ0.46|GB/T 3280-1992|冷轧|GB/T 708-2006</t>
        </is>
      </c>
      <c r="E279" s="8" t="inlineStr">
        <is>
          <t>物资名称 冷轧不锈钢带;物资简称 钢带;牌号 1Cr18Ni19Ti;厚度 δ0.46;宽 ;技术标准号 GB/T 3280-1992;加工工艺 冷轧;热处理工艺 ;特殊要求 ;规格标准号 GB/T 708-2006</t>
        </is>
      </c>
      <c r="F279" s="4" t="inlineStr">
        <is>
          <t>千克</t>
        </is>
      </c>
      <c r="G279" s="0">
        <f>LEFT(D279,FIND("|",D279,1)-1)</f>
        <v/>
      </c>
      <c r="H279" s="0">
        <f>MID(D279,FIND("|",D279,FIND("|",D279,1))+1,FIND("|",D279,FIND("|",D279,1)+1)-FIND("|",D279,FIND("|",D279,1))-1)</f>
        <v/>
      </c>
      <c r="J279" s="0">
        <f>MID(D279,FIND(",",SUBSTITUTE(D279,"|",REPT(",",LEN(D279)),2))+1,FIND(",",SUBSTITUTE(D279,"|",REPT(",",LEN(D279)),3))-FIND(",",SUBSTITUTE(D279,"|",REPT(",",LEN(D279)),2))-1)</f>
        <v/>
      </c>
      <c r="K279" s="0">
        <f>MID(D279,FIND(",",SUBSTITUTE(D279,"|",REPT(",",LEN(D279)),3))+1,FIND(",",SUBSTITUTE(D279,"|",REPT(",",LEN(D279)),4))-FIND(",",SUBSTITUTE(D279,"|",REPT(",",LEN(D279)),3))-1)</f>
        <v/>
      </c>
      <c r="L279" s="0">
        <f>MID(D279,FIND(";",SUBSTITUTE(D279,"|",REPT(";",LEN(D279)),4))+1,FIND(";",SUBSTITUTE(D279,"|",REPT(";",LEN(D279)),5))-FIND(";",SUBSTITUTE(D279,"|",REPT(";",LEN(D279)),4))-1)</f>
        <v/>
      </c>
      <c r="M279" s="0">
        <f>MID(D279,FIND(";",SUBSTITUTE(D279,"|",REPT(";",LEN(D279)),6))+1,LEN(D279))</f>
        <v/>
      </c>
      <c r="N279" s="0">
        <f>MID(D279,FIND(";",SUBSTITUTE(D279,"|",REPT(";",LEN(D279)),5))+1,FIND(";",SUBSTITUTE(D279,"|",REPT(";",LEN(D279)),6))-FIND(";",SUBSTITUTE(D279,"|",REPT(";",LEN(D279)),5))-1)</f>
        <v/>
      </c>
    </row>
    <row r="280" ht="42" customHeight="1" s="21">
      <c r="A280" s="8" t="inlineStr">
        <is>
          <t>100401</t>
        </is>
      </c>
      <c r="B280" s="8" t="inlineStr">
        <is>
          <t>钢带</t>
        </is>
      </c>
      <c r="C280" s="8" t="inlineStr">
        <is>
          <t>600996700</t>
        </is>
      </c>
      <c r="D280" s="8" t="inlineStr">
        <is>
          <t>冷轧不锈钢带|钢带|1Cr18Ni19Ti|δ0.3|GB/T 3280-1992|冷轧|GB/T 708-2006</t>
        </is>
      </c>
      <c r="E280" s="8" t="inlineStr">
        <is>
          <t>物资名称 冷轧不锈钢带;物资简称 钢带;牌号 1Cr18Ni19Ti;厚度 δ0.3;宽 ;技术标准号 GB/T 3280-1992;加工工艺 冷轧;热处理工艺 ;特殊要求 ;规格标准号 GB/T 708-2006</t>
        </is>
      </c>
      <c r="F280" s="4" t="inlineStr">
        <is>
          <t>千克</t>
        </is>
      </c>
      <c r="G280" s="0">
        <f>LEFT(D280,FIND("|",D280,1)-1)</f>
        <v/>
      </c>
      <c r="H280" s="0">
        <f>MID(D280,FIND("|",D280,FIND("|",D280,1))+1,FIND("|",D280,FIND("|",D280,1)+1)-FIND("|",D280,FIND("|",D280,1))-1)</f>
        <v/>
      </c>
      <c r="J280" s="0">
        <f>MID(D280,FIND(",",SUBSTITUTE(D280,"|",REPT(",",LEN(D280)),2))+1,FIND(",",SUBSTITUTE(D280,"|",REPT(",",LEN(D280)),3))-FIND(",",SUBSTITUTE(D280,"|",REPT(",",LEN(D280)),2))-1)</f>
        <v/>
      </c>
      <c r="K280" s="0">
        <f>MID(D280,FIND(",",SUBSTITUTE(D280,"|",REPT(",",LEN(D280)),3))+1,FIND(",",SUBSTITUTE(D280,"|",REPT(",",LEN(D280)),4))-FIND(",",SUBSTITUTE(D280,"|",REPT(",",LEN(D280)),3))-1)</f>
        <v/>
      </c>
      <c r="L280" s="0">
        <f>MID(D280,FIND(";",SUBSTITUTE(D280,"|",REPT(";",LEN(D280)),4))+1,FIND(";",SUBSTITUTE(D280,"|",REPT(";",LEN(D280)),5))-FIND(";",SUBSTITUTE(D280,"|",REPT(";",LEN(D280)),4))-1)</f>
        <v/>
      </c>
      <c r="M280" s="0">
        <f>MID(D280,FIND(";",SUBSTITUTE(D280,"|",REPT(";",LEN(D280)),6))+1,LEN(D280))</f>
        <v/>
      </c>
      <c r="N280" s="0">
        <f>MID(D280,FIND(";",SUBSTITUTE(D280,"|",REPT(";",LEN(D280)),5))+1,FIND(";",SUBSTITUTE(D280,"|",REPT(";",LEN(D280)),6))-FIND(";",SUBSTITUTE(D280,"|",REPT(";",LEN(D280)),5))-1)</f>
        <v/>
      </c>
    </row>
    <row r="281" ht="28" customHeight="1" s="21">
      <c r="A281" s="8" t="inlineStr">
        <is>
          <t>100401</t>
        </is>
      </c>
      <c r="B281" s="8" t="inlineStr">
        <is>
          <t>钢带</t>
        </is>
      </c>
      <c r="C281" s="8" t="inlineStr">
        <is>
          <t>600842300</t>
        </is>
      </c>
      <c r="D281" s="8" t="inlineStr">
        <is>
          <t>特种钢带|钢带|XSVS-7C27Mo2|δ0.203|厂家约定</t>
        </is>
      </c>
      <c r="E281" s="8" t="inlineStr">
        <is>
          <t xml:space="preserve">物资名称 特种钢带;物资简称 钢带;牌号 XSVS-7C27Mo2;厚度 δ0.203;宽 ;技术标准号 ;加工工艺 ;热处理工艺 ;特殊要求 厂家约定;规格标准号 </t>
        </is>
      </c>
      <c r="F281" s="4" t="inlineStr">
        <is>
          <t>千克</t>
        </is>
      </c>
      <c r="G281" s="0">
        <f>LEFT(D281,FIND("|",D281,1)-1)</f>
        <v/>
      </c>
      <c r="H281" s="0">
        <f>MID(D281,FIND("|",D281,FIND("|",D281,1))+1,FIND("|",D281,FIND("|",D281,1)+1)-FIND("|",D281,FIND("|",D281,1))-1)</f>
        <v/>
      </c>
      <c r="J281" s="0">
        <f>MID(D281,FIND(",",SUBSTITUTE(D281,"|",REPT(",",LEN(D281)),2))+1,FIND(",",SUBSTITUTE(D281,"|",REPT(",",LEN(D281)),3))-FIND(",",SUBSTITUTE(D281,"|",REPT(",",LEN(D281)),2))-1)</f>
        <v/>
      </c>
      <c r="K281" s="0">
        <f>MID(D281,FIND(",",SUBSTITUTE(D281,"|",REPT(",",LEN(D281)),3))+1,FIND(",",SUBSTITUTE(D281,"|",REPT(",",LEN(D281)),4))-FIND(",",SUBSTITUTE(D281,"|",REPT(",",LEN(D281)),3))-1)</f>
        <v/>
      </c>
      <c r="P281" s="0">
        <f>MID(D281,FIND(";",SUBSTITUTE(D281,"|",REPT(";",LEN(D281)),4))+1,LEN(D281))</f>
        <v/>
      </c>
    </row>
    <row r="282" ht="28" customHeight="1" s="21">
      <c r="A282" s="8" t="inlineStr">
        <is>
          <t>100401</t>
        </is>
      </c>
      <c r="B282" s="8" t="inlineStr">
        <is>
          <t>钢带</t>
        </is>
      </c>
      <c r="C282" s="8" t="inlineStr">
        <is>
          <t>600632100</t>
        </is>
      </c>
      <c r="D282" s="8" t="inlineStr">
        <is>
          <t>冷轧不锈钢带|钢带|1Cr18Ni19Ti|GB/T 3280-1992|GB/T 708-2006</t>
        </is>
      </c>
      <c r="E282" s="8" t="inlineStr">
        <is>
          <t>物资名称 冷轧不锈钢带;物资简称 钢带;牌号 1Cr18Ni19Ti;厚度 ;宽 ;技术标准号 GB/T 3280-1992;加工工艺 ;热处理工艺 ;特殊要求 ;规格标准号 GB/T 708-2006</t>
        </is>
      </c>
      <c r="F282" s="4" t="inlineStr">
        <is>
          <t>千克</t>
        </is>
      </c>
      <c r="G282" s="0">
        <f>LEFT(D282,FIND("|",D282,1)-1)</f>
        <v/>
      </c>
      <c r="H282" s="0">
        <f>MID(D282,FIND("|",D282,FIND("|",D282,1))+1,FIND("|",D282,FIND("|",D282,1)+1)-FIND("|",D282,FIND("|",D282,1))-1)</f>
        <v/>
      </c>
      <c r="J282" s="0">
        <f>MID(D282,FIND(",",SUBSTITUTE(D282,"|",REPT(",",LEN(D282)),2))+1,FIND(",",SUBSTITUTE(D282,"|",REPT(",",LEN(D282)),3))-FIND(",",SUBSTITUTE(D282,"|",REPT(",",LEN(D282)),2))-1)</f>
        <v/>
      </c>
      <c r="L282" s="0">
        <f>MID(D282,FIND(",",SUBSTITUTE(D282,"|",REPT(",",LEN(D282)),3))+1,FIND(",",SUBSTITUTE(D282,"|",REPT(",",LEN(D282)),4))-FIND(",",SUBSTITUTE(D282,"|",REPT(",",LEN(D282)),3))-1)</f>
        <v/>
      </c>
      <c r="M282" s="0">
        <f>MID(D282,FIND(";",SUBSTITUTE(D282,"|",REPT(";",LEN(D282)),4))+1,LEN(D282))</f>
        <v/>
      </c>
    </row>
    <row r="283" ht="42" customHeight="1" s="21">
      <c r="A283" s="8" t="inlineStr">
        <is>
          <t>100401</t>
        </is>
      </c>
      <c r="B283" s="8" t="inlineStr">
        <is>
          <t>钢带</t>
        </is>
      </c>
      <c r="C283" s="8" t="inlineStr">
        <is>
          <t>600632000</t>
        </is>
      </c>
      <c r="D283" s="8" t="inlineStr">
        <is>
          <t>冷轧不锈钢带|钢带|1Cr18Ni19Ti|δ0.2|GB/T 3280-1992|冷轧|GB/T 708-2006</t>
        </is>
      </c>
      <c r="E283" s="8" t="inlineStr">
        <is>
          <t>物资名称 冷轧不锈钢带;物资简称 钢带;牌号 1Cr18Ni19Ti;厚度 δ0.2;宽 ;技术标准号 GB/T 3280-1992;加工工艺 冷轧;热处理工艺 ;特殊要求 ;规格标准号 GB/T 708-2006</t>
        </is>
      </c>
      <c r="F283" s="4" t="inlineStr">
        <is>
          <t>千克</t>
        </is>
      </c>
      <c r="G283" s="0">
        <f>LEFT(D283,FIND("|",D283,1)-1)</f>
        <v/>
      </c>
      <c r="H283" s="0">
        <f>MID(D283,FIND("|",D283,FIND("|",D283,1))+1,FIND("|",D283,FIND("|",D283,1)+1)-FIND("|",D283,FIND("|",D283,1))-1)</f>
        <v/>
      </c>
      <c r="J283" s="0">
        <f>MID(D283,FIND(",",SUBSTITUTE(D283,"|",REPT(",",LEN(D283)),2))+1,FIND(",",SUBSTITUTE(D283,"|",REPT(",",LEN(D283)),3))-FIND(",",SUBSTITUTE(D283,"|",REPT(",",LEN(D283)),2))-1)</f>
        <v/>
      </c>
      <c r="K283" s="0">
        <f>MID(D283,FIND(",",SUBSTITUTE(D283,"|",REPT(",",LEN(D283)),3))+1,FIND(",",SUBSTITUTE(D283,"|",REPT(",",LEN(D283)),4))-FIND(",",SUBSTITUTE(D283,"|",REPT(",",LEN(D283)),3))-1)</f>
        <v/>
      </c>
      <c r="L283" s="0">
        <f>MID(D283,FIND(";",SUBSTITUTE(D283,"|",REPT(";",LEN(D283)),4))+1,FIND(";",SUBSTITUTE(D283,"|",REPT(";",LEN(D283)),5))-FIND(";",SUBSTITUTE(D283,"|",REPT(";",LEN(D283)),4))-1)</f>
        <v/>
      </c>
      <c r="M283" s="0">
        <f>MID(D283,FIND(";",SUBSTITUTE(D283,"|",REPT(";",LEN(D283)),6))+1,LEN(D283))</f>
        <v/>
      </c>
      <c r="N283" s="0">
        <f>MID(D283,FIND(";",SUBSTITUTE(D283,"|",REPT(";",LEN(D283)),5))+1,FIND(";",SUBSTITUTE(D283,"|",REPT(";",LEN(D283)),6))-FIND(";",SUBSTITUTE(D283,"|",REPT(";",LEN(D283)),5))-1)</f>
        <v/>
      </c>
    </row>
    <row r="284" ht="28" customHeight="1" s="21">
      <c r="A284" s="8" t="inlineStr">
        <is>
          <t>100401</t>
        </is>
      </c>
      <c r="B284" s="8" t="inlineStr">
        <is>
          <t>钢带</t>
        </is>
      </c>
      <c r="C284" s="8" t="inlineStr">
        <is>
          <t>600631900</t>
        </is>
      </c>
      <c r="D284" s="8" t="inlineStr">
        <is>
          <t>冷轧不锈钢带|钢带|12Cr18Ni9|GB/T 3280-2007|GB/T 708-2006</t>
        </is>
      </c>
      <c r="E284" s="8" t="inlineStr">
        <is>
          <t>物资名称 冷轧不锈钢带;物资简称 钢带;牌号 12Cr18Ni9;厚度 ;宽 ;技术标准号 GB/T 3280-2007;加工工艺 ;热处理工艺 ;特殊要求 ;规格标准号 GB/T 708-2006</t>
        </is>
      </c>
      <c r="F284" s="4" t="inlineStr">
        <is>
          <t>千克</t>
        </is>
      </c>
      <c r="G284" s="0">
        <f>LEFT(D284,FIND("|",D284,1)-1)</f>
        <v/>
      </c>
      <c r="H284" s="0">
        <f>MID(D284,FIND("|",D284,FIND("|",D284,1))+1,FIND("|",D284,FIND("|",D284,1)+1)-FIND("|",D284,FIND("|",D284,1))-1)</f>
        <v/>
      </c>
      <c r="J284" s="0">
        <f>MID(D284,FIND(",",SUBSTITUTE(D284,"|",REPT(",",LEN(D284)),2))+1,FIND(",",SUBSTITUTE(D284,"|",REPT(",",LEN(D284)),3))-FIND(",",SUBSTITUTE(D284,"|",REPT(",",LEN(D284)),2))-1)</f>
        <v/>
      </c>
      <c r="L284" s="0">
        <f>MID(D284,FIND(",",SUBSTITUTE(D284,"|",REPT(",",LEN(D284)),3))+1,FIND(",",SUBSTITUTE(D284,"|",REPT(",",LEN(D284)),4))-FIND(",",SUBSTITUTE(D284,"|",REPT(",",LEN(D284)),3))-1)</f>
        <v/>
      </c>
      <c r="M284" s="0">
        <f>MID(D284,FIND(";",SUBSTITUTE(D284,"|",REPT(";",LEN(D284)),4))+1,LEN(D284))</f>
        <v/>
      </c>
    </row>
    <row r="285" ht="42" customHeight="1" s="21">
      <c r="A285" s="8" t="inlineStr">
        <is>
          <t>100401</t>
        </is>
      </c>
      <c r="B285" s="8" t="inlineStr">
        <is>
          <t>钢带</t>
        </is>
      </c>
      <c r="C285" s="8" t="inlineStr">
        <is>
          <t>600631800</t>
        </is>
      </c>
      <c r="D285" s="8" t="inlineStr">
        <is>
          <t>冷轧不锈钢带|钢带|12Cr18Ni9|δ0.1|GB/T 3280-2007|冷轧|H1/4|GB/T 708-2006</t>
        </is>
      </c>
      <c r="E285" s="8" t="inlineStr">
        <is>
          <t>物资名称 冷轧不锈钢带;物资简称 钢带;牌号 12Cr18Ni9;厚度 δ0.1;宽 ;技术标准号 GB/T 3280-2007;加工工艺 冷轧;热处理工艺 H1/4;特殊要求 ;规格标准号 GB/T 708-2006</t>
        </is>
      </c>
      <c r="F285" s="4" t="inlineStr">
        <is>
          <t>千克</t>
        </is>
      </c>
      <c r="G285" s="0">
        <f>LEFT(D285,FIND("|",D285,1)-1)</f>
        <v/>
      </c>
      <c r="H285" s="0">
        <f>MID(D285,FIND("|",D285,FIND("|",D285,1))+1,FIND("|",D285,FIND("|",D285,1)+1)-FIND("|",D285,FIND("|",D285,1))-1)</f>
        <v/>
      </c>
      <c r="J285" s="0">
        <f>MID(D285,FIND(",",SUBSTITUTE(D285,"|",REPT(",",LEN(D285)),2))+1,FIND(",",SUBSTITUTE(D285,"|",REPT(",",LEN(D285)),3))-FIND(",",SUBSTITUTE(D285,"|",REPT(",",LEN(D285)),2))-1)</f>
        <v/>
      </c>
      <c r="K285" s="0">
        <f>MID(D285,FIND(",",SUBSTITUTE(D285,"|",REPT(",",LEN(D285)),3))+1,FIND(",",SUBSTITUTE(D285,"|",REPT(",",LEN(D285)),4))-FIND(",",SUBSTITUTE(D285,"|",REPT(",",LEN(D285)),3))-1)</f>
        <v/>
      </c>
      <c r="L285" s="0">
        <f>MID(D285,FIND(";",SUBSTITUTE(D285,"|",REPT(";",LEN(D285)),4))+1,FIND(";",SUBSTITUTE(D285,"|",REPT(";",LEN(D285)),5))-FIND(";",SUBSTITUTE(D285,"|",REPT(";",LEN(D285)),4))-1)</f>
        <v/>
      </c>
      <c r="N285" s="0">
        <f>MID(D285,FIND(";",SUBSTITUTE(D285,"|",REPT(";",LEN(D285)),5))+1,FIND(";",SUBSTITUTE(D285,"|",REPT(";",LEN(D285)),6))-FIND(";",SUBSTITUTE(D285,"|",REPT(";",LEN(D285)),5))-1)</f>
        <v/>
      </c>
      <c r="O285" s="0">
        <f>MID(D285,FIND(";",SUBSTITUTE(D285,"|",REPT(";",LEN(D285)),6))+1,FIND(";",SUBSTITUTE(D285,"|",REPT(";",LEN(D285)),7))-FIND(";",SUBSTITUTE(D285,"|",REPT(";",LEN(D285)),6))-1)</f>
        <v/>
      </c>
    </row>
    <row r="286" ht="42" customHeight="1" s="21">
      <c r="A286" s="8" t="inlineStr">
        <is>
          <t>100401</t>
        </is>
      </c>
      <c r="B286" s="8" t="inlineStr">
        <is>
          <t>钢带</t>
        </is>
      </c>
      <c r="C286" s="8" t="inlineStr">
        <is>
          <t>600631700</t>
        </is>
      </c>
      <c r="D286" s="8" t="inlineStr">
        <is>
          <t>冷轧不锈钢带|钢带|12Cr18Ni9|δ0.2|GB/T 3280-2007|冷轧|H1/4|GB/T 708-2006</t>
        </is>
      </c>
      <c r="E286" s="8" t="inlineStr">
        <is>
          <t>物资名称 冷轧不锈钢带;物资简称 钢带;牌号 12Cr18Ni9;厚度 δ0.2;宽 ;技术标准号 GB/T 3280-2007;加工工艺 冷轧;热处理工艺 H1/4;特殊要求 ;规格标准号 GB/T 708-2006</t>
        </is>
      </c>
      <c r="F286" s="4" t="inlineStr">
        <is>
          <t>千克</t>
        </is>
      </c>
      <c r="G286" s="0">
        <f>LEFT(D286,FIND("|",D286,1)-1)</f>
        <v/>
      </c>
      <c r="H286" s="0">
        <f>MID(D286,FIND("|",D286,FIND("|",D286,1))+1,FIND("|",D286,FIND("|",D286,1)+1)-FIND("|",D286,FIND("|",D286,1))-1)</f>
        <v/>
      </c>
      <c r="J286" s="0">
        <f>MID(D286,FIND(",",SUBSTITUTE(D286,"|",REPT(",",LEN(D286)),2))+1,FIND(",",SUBSTITUTE(D286,"|",REPT(",",LEN(D286)),3))-FIND(",",SUBSTITUTE(D286,"|",REPT(",",LEN(D286)),2))-1)</f>
        <v/>
      </c>
      <c r="K286" s="0">
        <f>MID(D286,FIND(",",SUBSTITUTE(D286,"|",REPT(",",LEN(D286)),3))+1,FIND(",",SUBSTITUTE(D286,"|",REPT(",",LEN(D286)),4))-FIND(",",SUBSTITUTE(D286,"|",REPT(",",LEN(D286)),3))-1)</f>
        <v/>
      </c>
      <c r="L286" s="0">
        <f>MID(D286,FIND(";",SUBSTITUTE(D286,"|",REPT(";",LEN(D286)),4))+1,FIND(";",SUBSTITUTE(D286,"|",REPT(";",LEN(D286)),5))-FIND(";",SUBSTITUTE(D286,"|",REPT(";",LEN(D286)),4))-1)</f>
        <v/>
      </c>
      <c r="N286" s="0">
        <f>MID(D286,FIND(";",SUBSTITUTE(D286,"|",REPT(";",LEN(D286)),5))+1,FIND(";",SUBSTITUTE(D286,"|",REPT(";",LEN(D286)),6))-FIND(";",SUBSTITUTE(D286,"|",REPT(";",LEN(D286)),5))-1)</f>
        <v/>
      </c>
      <c r="O286" s="0">
        <f>MID(D286,FIND(";",SUBSTITUTE(D286,"|",REPT(";",LEN(D286)),6))+1,FIND(";",SUBSTITUTE(D286,"|",REPT(";",LEN(D286)),7))-FIND(";",SUBSTITUTE(D286,"|",REPT(";",LEN(D286)),6))-1)</f>
        <v/>
      </c>
    </row>
    <row r="287" ht="42" customHeight="1" s="21">
      <c r="A287" s="8" t="inlineStr">
        <is>
          <t>100401</t>
        </is>
      </c>
      <c r="B287" s="8" t="inlineStr">
        <is>
          <t>钢带</t>
        </is>
      </c>
      <c r="C287" s="8" t="inlineStr">
        <is>
          <t>600631600</t>
        </is>
      </c>
      <c r="D287" s="8" t="inlineStr">
        <is>
          <t>冷轧不锈钢带|钢带|12Cr18Ni9|δ0.5|GB/T 3280-2007|冷轧|H1/4|GB/T 708-2006</t>
        </is>
      </c>
      <c r="E287" s="8" t="inlineStr">
        <is>
          <t>物资名称 冷轧不锈钢带;物资简称 钢带;牌号 12Cr18Ni9;厚度 δ0.5;宽 ;技术标准号 GB/T 3280-2007;加工工艺 冷轧;热处理工艺 H1/4;特殊要求 ;规格标准号 GB/T 708-2006</t>
        </is>
      </c>
      <c r="F287" s="4" t="inlineStr">
        <is>
          <t>千克</t>
        </is>
      </c>
      <c r="G287" s="0">
        <f>LEFT(D287,FIND("|",D287,1)-1)</f>
        <v/>
      </c>
      <c r="H287" s="0">
        <f>MID(D287,FIND("|",D287,FIND("|",D287,1))+1,FIND("|",D287,FIND("|",D287,1)+1)-FIND("|",D287,FIND("|",D287,1))-1)</f>
        <v/>
      </c>
      <c r="J287" s="0">
        <f>MID(D287,FIND(",",SUBSTITUTE(D287,"|",REPT(",",LEN(D287)),2))+1,FIND(",",SUBSTITUTE(D287,"|",REPT(",",LEN(D287)),3))-FIND(",",SUBSTITUTE(D287,"|",REPT(",",LEN(D287)),2))-1)</f>
        <v/>
      </c>
      <c r="K287" s="0">
        <f>MID(D287,FIND(",",SUBSTITUTE(D287,"|",REPT(",",LEN(D287)),3))+1,FIND(",",SUBSTITUTE(D287,"|",REPT(",",LEN(D287)),4))-FIND(",",SUBSTITUTE(D287,"|",REPT(",",LEN(D287)),3))-1)</f>
        <v/>
      </c>
      <c r="L287" s="0">
        <f>MID(D287,FIND(";",SUBSTITUTE(D287,"|",REPT(";",LEN(D287)),4))+1,FIND(";",SUBSTITUTE(D287,"|",REPT(";",LEN(D287)),5))-FIND(";",SUBSTITUTE(D287,"|",REPT(";",LEN(D287)),4))-1)</f>
        <v/>
      </c>
      <c r="N287" s="0">
        <f>MID(D287,FIND(";",SUBSTITUTE(D287,"|",REPT(";",LEN(D287)),5))+1,FIND(";",SUBSTITUTE(D287,"|",REPT(";",LEN(D287)),6))-FIND(";",SUBSTITUTE(D287,"|",REPT(";",LEN(D287)),5))-1)</f>
        <v/>
      </c>
      <c r="O287" s="0">
        <f>MID(D287,FIND(";",SUBSTITUTE(D287,"|",REPT(";",LEN(D287)),6))+1,FIND(";",SUBSTITUTE(D287,"|",REPT(";",LEN(D287)),7))-FIND(";",SUBSTITUTE(D287,"|",REPT(";",LEN(D287)),6))-1)</f>
        <v/>
      </c>
    </row>
    <row r="288" ht="42" customHeight="1" s="21">
      <c r="A288" s="8" t="inlineStr">
        <is>
          <t>100401</t>
        </is>
      </c>
      <c r="B288" s="8" t="inlineStr">
        <is>
          <t>钢带</t>
        </is>
      </c>
      <c r="C288" s="8" t="inlineStr">
        <is>
          <t>600631500</t>
        </is>
      </c>
      <c r="D288" s="8" t="inlineStr">
        <is>
          <t>冷轧不锈钢带|钢带|12Cr18Ni9|δ1.2|GB/T 3280-2007|冷轧|H1/4|N|GB/T 708-2006</t>
        </is>
      </c>
      <c r="E288" s="8" t="inlineStr">
        <is>
          <t>物资名称 冷轧不锈钢带;物资简称 钢带;牌号 12Cr18Ni9;厚度 δ1.2;宽 ;技术标准号 GB/T 3280-2007;加工工艺 冷轧;热处理工艺 H1/4;特殊要求 N;规格标准号 GB/T 708-2006</t>
        </is>
      </c>
      <c r="F288" s="4" t="inlineStr">
        <is>
          <t>千克</t>
        </is>
      </c>
      <c r="G288" s="0">
        <f>LEFT(D288,FIND("|",D288,1)-1)</f>
        <v/>
      </c>
      <c r="H288" s="0">
        <f>MID(D288,FIND("|",D288,FIND("|",D288,1))+1,FIND("|",D288,FIND("|",D288,1)+1)-FIND("|",D288,FIND("|",D288,1))-1)</f>
        <v/>
      </c>
      <c r="J288" s="0">
        <f>MID(D288,FIND(",",SUBSTITUTE(D288,"|",REPT(",",LEN(D288)),2))+1,FIND(",",SUBSTITUTE(D288,"|",REPT(",",LEN(D288)),3))-FIND(",",SUBSTITUTE(D288,"|",REPT(",",LEN(D288)),2))-1)</f>
        <v/>
      </c>
      <c r="K288" s="0">
        <f>MID(D288,FIND(",",SUBSTITUTE(D288,"|",REPT(",",LEN(D288)),3))+1,FIND(",",SUBSTITUTE(D288,"|",REPT(",",LEN(D288)),4))-FIND(",",SUBSTITUTE(D288,"|",REPT(",",LEN(D288)),3))-1)</f>
        <v/>
      </c>
      <c r="L288" s="0">
        <f>MID(D288,FIND(";",SUBSTITUTE(D288,"|",REPT(";",LEN(D288)),4))+1,FIND(";",SUBSTITUTE(D288,"|",REPT(";",LEN(D288)),5))-FIND(";",SUBSTITUTE(D288,"|",REPT(";",LEN(D288)),4))-1)</f>
        <v/>
      </c>
      <c r="N288" s="0">
        <f>MID(D288,FIND(";",SUBSTITUTE(D288,"|",REPT(";",LEN(D288)),5))+1,FIND(";",SUBSTITUTE(D288,"|",REPT(";",LEN(D288)),6))-FIND(";",SUBSTITUTE(D288,"|",REPT(";",LEN(D288)),5))-1)</f>
        <v/>
      </c>
      <c r="O288" s="0">
        <f>MID(D288,FIND(";",SUBSTITUTE(D288,"|",REPT(";",LEN(D288)),6))+1,FIND(";",SUBSTITUTE(D288,"|",REPT(";",LEN(D288)),7))-FIND(";",SUBSTITUTE(D288,"|",REPT(";",LEN(D288)),6))-1)</f>
        <v/>
      </c>
    </row>
    <row r="289" ht="28" customHeight="1" s="21">
      <c r="A289" s="8" t="inlineStr">
        <is>
          <t>100401</t>
        </is>
      </c>
      <c r="B289" s="8" t="inlineStr">
        <is>
          <t>钢带</t>
        </is>
      </c>
      <c r="C289" s="8" t="inlineStr">
        <is>
          <t>600631400</t>
        </is>
      </c>
      <c r="D289" s="8" t="inlineStr">
        <is>
          <t>冷轧耐热钢带|钢带|1Cr18Ni9Ti|GB  4239-1991</t>
        </is>
      </c>
      <c r="E289" s="8" t="inlineStr">
        <is>
          <t xml:space="preserve">物资名称 冷轧耐热钢带;物资简称 钢带;牌号 1Cr18Ni9Ti;厚度 ;宽 ;技术标准号 GB  4239-1991;加工工艺 ;热处理工艺 ;特殊要求 ;规格标准号 </t>
        </is>
      </c>
      <c r="F289" s="4" t="inlineStr">
        <is>
          <t>千克</t>
        </is>
      </c>
      <c r="G289" s="0">
        <f>LEFT(D289,FIND("|",D289,1)-1)</f>
        <v/>
      </c>
      <c r="H289" s="0">
        <f>MID(D289,FIND("|",D289,FIND("|",D289,1))+1,FIND("|",D289,FIND("|",D289,1)+1)-FIND("|",D289,FIND("|",D289,1))-1)</f>
        <v/>
      </c>
      <c r="J289" s="0">
        <f>MID(D289,FIND(",",SUBSTITUTE(D289,"|",REPT(",",LEN(D289)),2))+1,FIND(",",SUBSTITUTE(D289,"|",REPT(",",LEN(D289)),3))-FIND(",",SUBSTITUTE(D289,"|",REPT(",",LEN(D289)),2))-1)</f>
        <v/>
      </c>
      <c r="L289" s="0">
        <f>MID(D289,FIND(";",SUBSTITUTE(D289,"|",REPT(";",LEN(D289)),3))+1,LEN(D289))</f>
        <v/>
      </c>
    </row>
    <row r="290" ht="28" customHeight="1" s="21">
      <c r="A290" s="8" t="inlineStr">
        <is>
          <t>100401</t>
        </is>
      </c>
      <c r="B290" s="8" t="inlineStr">
        <is>
          <t>钢带</t>
        </is>
      </c>
      <c r="C290" s="8" t="inlineStr">
        <is>
          <t>600631300</t>
        </is>
      </c>
      <c r="D290" s="8" t="inlineStr">
        <is>
          <t>冷轧耐热钢带|钢带|1Cr18Ni9Ti|δ0.05|GB  4239-1991|冷轧</t>
        </is>
      </c>
      <c r="E290" s="8" t="inlineStr">
        <is>
          <t xml:space="preserve">物资名称 冷轧耐热钢带;物资简称 钢带;牌号 1Cr18Ni9Ti;厚度 δ0.05;宽 ;技术标准号 GB  4239-1991;加工工艺 冷轧;热处理工艺 ;特殊要求 ;规格标准号 </t>
        </is>
      </c>
      <c r="F290" s="4" t="inlineStr">
        <is>
          <t>千克</t>
        </is>
      </c>
      <c r="G290" s="0">
        <f>LEFT(D290,FIND("|",D290,1)-1)</f>
        <v/>
      </c>
      <c r="H290" s="0">
        <f>MID(D290,FIND("|",D290,FIND("|",D290,1))+1,FIND("|",D290,FIND("|",D290,1)+1)-FIND("|",D290,FIND("|",D290,1))-1)</f>
        <v/>
      </c>
      <c r="J290" s="0">
        <f>MID(D290,FIND(",",SUBSTITUTE(D290,"|",REPT(",",LEN(D290)),2))+1,FIND(",",SUBSTITUTE(D290,"|",REPT(",",LEN(D290)),3))-FIND(",",SUBSTITUTE(D290,"|",REPT(",",LEN(D290)),2))-1)</f>
        <v/>
      </c>
      <c r="K290" s="0">
        <f>MID(D290,FIND(",",SUBSTITUTE(D290,"|",REPT(",",LEN(D290)),3))+1,FIND(",",SUBSTITUTE(D290,"|",REPT(",",LEN(D290)),4))-FIND(",",SUBSTITUTE(D290,"|",REPT(",",LEN(D290)),3))-1)</f>
        <v/>
      </c>
      <c r="L290" s="0">
        <f>MID(D290,FIND(";",SUBSTITUTE(D290,"|",REPT(";",LEN(D290)),4))+1,FIND(";",SUBSTITUTE(D290,"|",REPT(";",LEN(D290)),5))-FIND(";",SUBSTITUTE(D290,"|",REPT(";",LEN(D290)),4))-1)</f>
        <v/>
      </c>
      <c r="N290" s="0">
        <f>MID(D290,FIND(";",SUBSTITUTE(D290,"|",REPT(";",LEN(D290)),5))+1,LEN(D290))</f>
        <v/>
      </c>
    </row>
    <row r="291" ht="28" customHeight="1" s="21">
      <c r="A291" s="8" t="inlineStr">
        <is>
          <t>100401</t>
        </is>
      </c>
      <c r="B291" s="8" t="inlineStr">
        <is>
          <t>钢带</t>
        </is>
      </c>
      <c r="C291" s="8" t="inlineStr">
        <is>
          <t>600631200</t>
        </is>
      </c>
      <c r="D291" s="8" t="inlineStr">
        <is>
          <t>冷轧耐热钢带|钢带|1Cr18Ni9Ti|δ0.15|GB  4239-1991|冷轧</t>
        </is>
      </c>
      <c r="E291" s="8" t="inlineStr">
        <is>
          <t xml:space="preserve">物资名称 冷轧耐热钢带;物资简称 钢带;牌号 1Cr18Ni9Ti;厚度 δ0.15;宽 ;技术标准号 GB  4239-1991;加工工艺 冷轧;热处理工艺 ;特殊要求 ;规格标准号 </t>
        </is>
      </c>
      <c r="F291" s="4" t="inlineStr">
        <is>
          <t>千克</t>
        </is>
      </c>
      <c r="G291" s="0">
        <f>LEFT(D291,FIND("|",D291,1)-1)</f>
        <v/>
      </c>
      <c r="H291" s="0">
        <f>MID(D291,FIND("|",D291,FIND("|",D291,1))+1,FIND("|",D291,FIND("|",D291,1)+1)-FIND("|",D291,FIND("|",D291,1))-1)</f>
        <v/>
      </c>
      <c r="J291" s="0">
        <f>MID(D291,FIND(",",SUBSTITUTE(D291,"|",REPT(",",LEN(D291)),2))+1,FIND(",",SUBSTITUTE(D291,"|",REPT(",",LEN(D291)),3))-FIND(",",SUBSTITUTE(D291,"|",REPT(",",LEN(D291)),2))-1)</f>
        <v/>
      </c>
      <c r="K291" s="0">
        <f>MID(D291,FIND(",",SUBSTITUTE(D291,"|",REPT(",",LEN(D291)),3))+1,FIND(",",SUBSTITUTE(D291,"|",REPT(",",LEN(D291)),4))-FIND(",",SUBSTITUTE(D291,"|",REPT(",",LEN(D291)),3))-1)</f>
        <v/>
      </c>
      <c r="L291" s="0">
        <f>MID(D291,FIND(";",SUBSTITUTE(D291,"|",REPT(";",LEN(D291)),4))+1,FIND(";",SUBSTITUTE(D291,"|",REPT(";",LEN(D291)),5))-FIND(";",SUBSTITUTE(D291,"|",REPT(";",LEN(D291)),4))-1)</f>
        <v/>
      </c>
      <c r="N291" s="0">
        <f>MID(D291,FIND(";",SUBSTITUTE(D291,"|",REPT(";",LEN(D291)),5))+1,LEN(D291))</f>
        <v/>
      </c>
    </row>
    <row r="292" ht="28" customHeight="1" s="21">
      <c r="A292" s="8" t="inlineStr">
        <is>
          <t>100401</t>
        </is>
      </c>
      <c r="B292" s="8" t="inlineStr">
        <is>
          <t>钢带</t>
        </is>
      </c>
      <c r="C292" s="8" t="inlineStr">
        <is>
          <t>600631100</t>
        </is>
      </c>
      <c r="D292" s="8" t="inlineStr">
        <is>
          <t>冷轧耐热钢带|钢带|1Cr18Ni9Ti|δ0.2|GB  4239-1991|冷轧</t>
        </is>
      </c>
      <c r="E292" s="8" t="inlineStr">
        <is>
          <t xml:space="preserve">物资名称 冷轧耐热钢带;物资简称 钢带;牌号 1Cr18Ni9Ti;厚度 δ0.2;宽 ;技术标准号 GB  4239-1991;加工工艺 冷轧;热处理工艺 ;特殊要求 ;规格标准号 </t>
        </is>
      </c>
      <c r="F292" s="4" t="inlineStr">
        <is>
          <t>千克</t>
        </is>
      </c>
      <c r="G292" s="0">
        <f>LEFT(D292,FIND("|",D292,1)-1)</f>
        <v/>
      </c>
      <c r="H292" s="0">
        <f>MID(D292,FIND("|",D292,FIND("|",D292,1))+1,FIND("|",D292,FIND("|",D292,1)+1)-FIND("|",D292,FIND("|",D292,1))-1)</f>
        <v/>
      </c>
      <c r="J292" s="0">
        <f>MID(D292,FIND(",",SUBSTITUTE(D292,"|",REPT(",",LEN(D292)),2))+1,FIND(",",SUBSTITUTE(D292,"|",REPT(",",LEN(D292)),3))-FIND(",",SUBSTITUTE(D292,"|",REPT(",",LEN(D292)),2))-1)</f>
        <v/>
      </c>
      <c r="K292" s="0">
        <f>MID(D292,FIND(",",SUBSTITUTE(D292,"|",REPT(",",LEN(D292)),3))+1,FIND(",",SUBSTITUTE(D292,"|",REPT(",",LEN(D292)),4))-FIND(",",SUBSTITUTE(D292,"|",REPT(",",LEN(D292)),3))-1)</f>
        <v/>
      </c>
      <c r="L292" s="0">
        <f>MID(D292,FIND(";",SUBSTITUTE(D292,"|",REPT(";",LEN(D292)),4))+1,FIND(";",SUBSTITUTE(D292,"|",REPT(";",LEN(D292)),5))-FIND(";",SUBSTITUTE(D292,"|",REPT(";",LEN(D292)),4))-1)</f>
        <v/>
      </c>
      <c r="N292" s="0">
        <f>MID(D292,FIND(";",SUBSTITUTE(D292,"|",REPT(";",LEN(D292)),5))+1,LEN(D292))</f>
        <v/>
      </c>
    </row>
    <row r="293" ht="28" customHeight="1" s="21">
      <c r="A293" s="8" t="inlineStr">
        <is>
          <t>100401</t>
        </is>
      </c>
      <c r="B293" s="8" t="inlineStr">
        <is>
          <t>钢带</t>
        </is>
      </c>
      <c r="C293" s="8" t="inlineStr">
        <is>
          <t>600631000</t>
        </is>
      </c>
      <c r="D293" s="8" t="inlineStr">
        <is>
          <t>冷轧耐热钢带|钢带|1Cr18Ni9Ti|δ0.2|GB  4239-1991|冷轧|硬态</t>
        </is>
      </c>
      <c r="E293" s="8" t="inlineStr">
        <is>
          <t xml:space="preserve">物资名称 冷轧耐热钢带;物资简称 钢带;牌号 1Cr18Ni9Ti;厚度 δ0.2;宽 ;技术标准号 GB  4239-1991;加工工艺 冷轧;热处理工艺 ;特殊要求 硬态;规格标准号 </t>
        </is>
      </c>
      <c r="F293" s="4" t="inlineStr">
        <is>
          <t>千克</t>
        </is>
      </c>
      <c r="G293" s="0">
        <f>LEFT(D293,FIND("|",D293,1)-1)</f>
        <v/>
      </c>
      <c r="H293" s="0">
        <f>MID(D293,FIND("|",D293,FIND("|",D293,1))+1,FIND("|",D293,FIND("|",D293,1)+1)-FIND("|",D293,FIND("|",D293,1))-1)</f>
        <v/>
      </c>
      <c r="J293" s="0">
        <f>MID(D293,FIND(",",SUBSTITUTE(D293,"|",REPT(",",LEN(D293)),2))+1,FIND(",",SUBSTITUTE(D293,"|",REPT(",",LEN(D293)),3))-FIND(",",SUBSTITUTE(D293,"|",REPT(",",LEN(D293)),2))-1)</f>
        <v/>
      </c>
      <c r="K293" s="0">
        <f>MID(D293,FIND(",",SUBSTITUTE(D293,"|",REPT(",",LEN(D293)),3))+1,FIND(",",SUBSTITUTE(D293,"|",REPT(",",LEN(D293)),4))-FIND(",",SUBSTITUTE(D293,"|",REPT(",",LEN(D293)),3))-1)</f>
        <v/>
      </c>
      <c r="L293" s="0">
        <f>MID(D293,FIND(";",SUBSTITUTE(D293,"|",REPT(";",LEN(D293)),4))+1,FIND(";",SUBSTITUTE(D293,"|",REPT(";",LEN(D293)),5))-FIND(";",SUBSTITUTE(D293,"|",REPT(";",LEN(D293)),4))-1)</f>
        <v/>
      </c>
      <c r="N293" s="0">
        <f>MID(D293,FIND(";",SUBSTITUTE(D293,"|",REPT(";",LEN(D293)),5))+1,FIND(";",SUBSTITUTE(D293,"|",REPT(";",LEN(D293)),6))-FIND(";",SUBSTITUTE(D293,"|",REPT(";",LEN(D293)),5))-1)</f>
        <v/>
      </c>
      <c r="P293" s="0">
        <f>MID(D293,FIND(";",SUBSTITUTE(D293,"|",REPT(";",LEN(D293)),6))+1,LEN(D293))</f>
        <v/>
      </c>
    </row>
    <row r="294" ht="28" customHeight="1" s="21">
      <c r="A294" s="8" t="inlineStr">
        <is>
          <t>100401</t>
        </is>
      </c>
      <c r="B294" s="8" t="inlineStr">
        <is>
          <t>钢带</t>
        </is>
      </c>
      <c r="C294" s="8" t="inlineStr">
        <is>
          <t>600630900</t>
        </is>
      </c>
      <c r="D294" s="8" t="inlineStr">
        <is>
          <t>冷轧耐热钢带|钢带|1Cr18Ni9Ti|δ0.3|GB  4239-1991|冷轧</t>
        </is>
      </c>
      <c r="E294" s="8" t="inlineStr">
        <is>
          <t xml:space="preserve">物资名称 冷轧耐热钢带;物资简称 钢带;牌号 1Cr18Ni9Ti;厚度 δ0.3;宽 ;技术标准号 GB  4239-1991;加工工艺 冷轧;热处理工艺 ;特殊要求 ;规格标准号 </t>
        </is>
      </c>
      <c r="F294" s="4" t="inlineStr">
        <is>
          <t>千克</t>
        </is>
      </c>
      <c r="G294" s="0">
        <f>LEFT(D294,FIND("|",D294,1)-1)</f>
        <v/>
      </c>
      <c r="H294" s="0">
        <f>MID(D294,FIND("|",D294,FIND("|",D294,1))+1,FIND("|",D294,FIND("|",D294,1)+1)-FIND("|",D294,FIND("|",D294,1))-1)</f>
        <v/>
      </c>
      <c r="J294" s="0">
        <f>MID(D294,FIND(",",SUBSTITUTE(D294,"|",REPT(",",LEN(D294)),2))+1,FIND(",",SUBSTITUTE(D294,"|",REPT(",",LEN(D294)),3))-FIND(",",SUBSTITUTE(D294,"|",REPT(",",LEN(D294)),2))-1)</f>
        <v/>
      </c>
      <c r="K294" s="0">
        <f>MID(D294,FIND(",",SUBSTITUTE(D294,"|",REPT(",",LEN(D294)),3))+1,FIND(",",SUBSTITUTE(D294,"|",REPT(",",LEN(D294)),4))-FIND(",",SUBSTITUTE(D294,"|",REPT(",",LEN(D294)),3))-1)</f>
        <v/>
      </c>
      <c r="L294" s="0">
        <f>MID(D294,FIND(";",SUBSTITUTE(D294,"|",REPT(";",LEN(D294)),4))+1,FIND(";",SUBSTITUTE(D294,"|",REPT(";",LEN(D294)),5))-FIND(";",SUBSTITUTE(D294,"|",REPT(";",LEN(D294)),4))-1)</f>
        <v/>
      </c>
      <c r="N294" s="0">
        <f>MID(D294,FIND(";",SUBSTITUTE(D294,"|",REPT(";",LEN(D294)),5))+1,LEN(D294))</f>
        <v/>
      </c>
    </row>
    <row r="295" ht="28" customHeight="1" s="21">
      <c r="A295" s="8" t="inlineStr">
        <is>
          <t>100401</t>
        </is>
      </c>
      <c r="B295" s="8" t="inlineStr">
        <is>
          <t>钢带</t>
        </is>
      </c>
      <c r="C295" s="8" t="inlineStr">
        <is>
          <t>600630800</t>
        </is>
      </c>
      <c r="D295" s="8" t="inlineStr">
        <is>
          <t>冷轧耐热钢带|钢带|1Cr18Ni9Ti|δ0.4|GB  4239-1991|冷轧|R</t>
        </is>
      </c>
      <c r="E295" s="8" t="inlineStr">
        <is>
          <t xml:space="preserve">物资名称 冷轧耐热钢带;物资简称 钢带;牌号 1Cr18Ni9Ti;厚度 δ0.4;宽 ;技术标准号 GB  4239-1991;加工工艺 冷轧;热处理工艺 ;特殊要求 R;规格标准号 </t>
        </is>
      </c>
      <c r="F295" s="4" t="inlineStr">
        <is>
          <t>千克</t>
        </is>
      </c>
      <c r="G295" s="0">
        <f>LEFT(D295,FIND("|",D295,1)-1)</f>
        <v/>
      </c>
      <c r="H295" s="0">
        <f>MID(D295,FIND("|",D295,FIND("|",D295,1))+1,FIND("|",D295,FIND("|",D295,1)+1)-FIND("|",D295,FIND("|",D295,1))-1)</f>
        <v/>
      </c>
      <c r="J295" s="0">
        <f>MID(D295,FIND(",",SUBSTITUTE(D295,"|",REPT(",",LEN(D295)),2))+1,FIND(",",SUBSTITUTE(D295,"|",REPT(",",LEN(D295)),3))-FIND(",",SUBSTITUTE(D295,"|",REPT(",",LEN(D295)),2))-1)</f>
        <v/>
      </c>
      <c r="K295" s="0">
        <f>MID(D295,FIND(",",SUBSTITUTE(D295,"|",REPT(",",LEN(D295)),3))+1,FIND(",",SUBSTITUTE(D295,"|",REPT(",",LEN(D295)),4))-FIND(",",SUBSTITUTE(D295,"|",REPT(",",LEN(D295)),3))-1)</f>
        <v/>
      </c>
      <c r="L295" s="0">
        <f>MID(D295,FIND(";",SUBSTITUTE(D295,"|",REPT(";",LEN(D295)),4))+1,FIND(";",SUBSTITUTE(D295,"|",REPT(";",LEN(D295)),5))-FIND(";",SUBSTITUTE(D295,"|",REPT(";",LEN(D295)),4))-1)</f>
        <v/>
      </c>
      <c r="N295" s="0">
        <f>MID(D295,FIND(";",SUBSTITUTE(D295,"|",REPT(";",LEN(D295)),5))+1,FIND(";",SUBSTITUTE(D295,"|",REPT(";",LEN(D295)),6))-FIND(";",SUBSTITUTE(D295,"|",REPT(";",LEN(D295)),5))-1)</f>
        <v/>
      </c>
      <c r="P295" s="0">
        <f>MID(D295,FIND(";",SUBSTITUTE(D295,"|",REPT(";",LEN(D295)),6))+1,LEN(D295))</f>
        <v/>
      </c>
    </row>
    <row r="296" ht="28" customHeight="1" s="21">
      <c r="A296" s="8" t="inlineStr">
        <is>
          <t>100401</t>
        </is>
      </c>
      <c r="B296" s="8" t="inlineStr">
        <is>
          <t>钢带</t>
        </is>
      </c>
      <c r="C296" s="8" t="inlineStr">
        <is>
          <t>600630700</t>
        </is>
      </c>
      <c r="D296" s="8" t="inlineStr">
        <is>
          <t>冷轧耐热钢带|钢带|1Cr18Ni9Ti|δ0.4|GB  4239-1991|冷轧</t>
        </is>
      </c>
      <c r="E296" s="8" t="inlineStr">
        <is>
          <t xml:space="preserve">物资名称 冷轧耐热钢带;物资简称 钢带;牌号 1Cr18Ni9Ti;厚度 δ0.4;宽 ;技术标准号 GB  4239-1991;加工工艺 冷轧;热处理工艺 ;特殊要求 ;规格标准号 </t>
        </is>
      </c>
      <c r="F296" s="4" t="inlineStr">
        <is>
          <t>千克</t>
        </is>
      </c>
      <c r="G296" s="0">
        <f>LEFT(D296,FIND("|",D296,1)-1)</f>
        <v/>
      </c>
      <c r="H296" s="0">
        <f>MID(D296,FIND("|",D296,FIND("|",D296,1))+1,FIND("|",D296,FIND("|",D296,1)+1)-FIND("|",D296,FIND("|",D296,1))-1)</f>
        <v/>
      </c>
      <c r="J296" s="0">
        <f>MID(D296,FIND(",",SUBSTITUTE(D296,"|",REPT(",",LEN(D296)),2))+1,FIND(",",SUBSTITUTE(D296,"|",REPT(",",LEN(D296)),3))-FIND(",",SUBSTITUTE(D296,"|",REPT(",",LEN(D296)),2))-1)</f>
        <v/>
      </c>
      <c r="K296" s="0">
        <f>MID(D296,FIND(",",SUBSTITUTE(D296,"|",REPT(",",LEN(D296)),3))+1,FIND(",",SUBSTITUTE(D296,"|",REPT(",",LEN(D296)),4))-FIND(",",SUBSTITUTE(D296,"|",REPT(",",LEN(D296)),3))-1)</f>
        <v/>
      </c>
      <c r="L296" s="0">
        <f>MID(D296,FIND(";",SUBSTITUTE(D296,"|",REPT(";",LEN(D296)),4))+1,FIND(";",SUBSTITUTE(D296,"|",REPT(";",LEN(D296)),5))-FIND(";",SUBSTITUTE(D296,"|",REPT(";",LEN(D296)),4))-1)</f>
        <v/>
      </c>
      <c r="N296" s="0">
        <f>MID(D296,FIND(";",SUBSTITUTE(D296,"|",REPT(";",LEN(D296)),5))+1,LEN(D296))</f>
        <v/>
      </c>
    </row>
    <row r="297" ht="28" customHeight="1" s="21">
      <c r="A297" s="8" t="inlineStr">
        <is>
          <t>100401</t>
        </is>
      </c>
      <c r="B297" s="8" t="inlineStr">
        <is>
          <t>钢带</t>
        </is>
      </c>
      <c r="C297" s="8" t="inlineStr">
        <is>
          <t>600630600</t>
        </is>
      </c>
      <c r="D297" s="8" t="inlineStr">
        <is>
          <t>冷轧耐热钢带|钢带|1Cr18Ni9Ti|δ0.8|GB  4239-1991|冷轧</t>
        </is>
      </c>
      <c r="E297" s="8" t="inlineStr">
        <is>
          <t xml:space="preserve">物资名称 冷轧耐热钢带;物资简称 钢带;牌号 1Cr18Ni9Ti;厚度 δ0.8;宽 ;技术标准号 GB  4239-1991;加工工艺 冷轧;热处理工艺 ;特殊要求 ;规格标准号 </t>
        </is>
      </c>
      <c r="F297" s="4" t="inlineStr">
        <is>
          <t>千克</t>
        </is>
      </c>
      <c r="G297" s="0">
        <f>LEFT(D297,FIND("|",D297,1)-1)</f>
        <v/>
      </c>
      <c r="H297" s="0">
        <f>MID(D297,FIND("|",D297,FIND("|",D297,1))+1,FIND("|",D297,FIND("|",D297,1)+1)-FIND("|",D297,FIND("|",D297,1))-1)</f>
        <v/>
      </c>
      <c r="J297" s="0">
        <f>MID(D297,FIND(",",SUBSTITUTE(D297,"|",REPT(",",LEN(D297)),2))+1,FIND(",",SUBSTITUTE(D297,"|",REPT(",",LEN(D297)),3))-FIND(",",SUBSTITUTE(D297,"|",REPT(",",LEN(D297)),2))-1)</f>
        <v/>
      </c>
      <c r="K297" s="0">
        <f>MID(D297,FIND(",",SUBSTITUTE(D297,"|",REPT(",",LEN(D297)),3))+1,FIND(",",SUBSTITUTE(D297,"|",REPT(",",LEN(D297)),4))-FIND(",",SUBSTITUTE(D297,"|",REPT(",",LEN(D297)),3))-1)</f>
        <v/>
      </c>
      <c r="L297" s="0">
        <f>MID(D297,FIND(";",SUBSTITUTE(D297,"|",REPT(";",LEN(D297)),4))+1,FIND(";",SUBSTITUTE(D297,"|",REPT(";",LEN(D297)),5))-FIND(";",SUBSTITUTE(D297,"|",REPT(";",LEN(D297)),4))-1)</f>
        <v/>
      </c>
      <c r="N297" s="0">
        <f>MID(D297,FIND(";",SUBSTITUTE(D297,"|",REPT(";",LEN(D297)),5))+1,LEN(D297))</f>
        <v/>
      </c>
    </row>
    <row r="298" ht="28" customHeight="1" s="21">
      <c r="A298" s="8" t="inlineStr">
        <is>
          <t>100401</t>
        </is>
      </c>
      <c r="B298" s="8" t="inlineStr">
        <is>
          <t>钢带</t>
        </is>
      </c>
      <c r="C298" s="8" t="inlineStr">
        <is>
          <t>600630500</t>
        </is>
      </c>
      <c r="D298" s="8" t="inlineStr">
        <is>
          <t>冷轧弹簧钢带|钢带|65Mn|YB/T 5058-2005|GB/T 15391-1994</t>
        </is>
      </c>
      <c r="E298" s="8" t="inlineStr">
        <is>
          <t>物资名称 冷轧弹簧钢带;物资简称 钢带;牌号 65Mn;厚度 ;宽 ;技术标准号 YB/T 5058-2005;加工工艺 ;热处理工艺 ;特殊要求 ;规格标准号 GB/T 15391-1994</t>
        </is>
      </c>
      <c r="F298" s="4" t="inlineStr">
        <is>
          <t>千克</t>
        </is>
      </c>
      <c r="G298" s="0">
        <f>LEFT(D298,FIND("|",D298,1)-1)</f>
        <v/>
      </c>
      <c r="H298" s="0">
        <f>MID(D298,FIND("|",D298,FIND("|",D298,1))+1,FIND("|",D298,FIND("|",D298,1)+1)-FIND("|",D298,FIND("|",D298,1))-1)</f>
        <v/>
      </c>
      <c r="J298" s="0">
        <f>MID(D298,FIND(",",SUBSTITUTE(D298,"|",REPT(",",LEN(D298)),2))+1,FIND(",",SUBSTITUTE(D298,"|",REPT(",",LEN(D298)),3))-FIND(",",SUBSTITUTE(D298,"|",REPT(",",LEN(D298)),2))-1)</f>
        <v/>
      </c>
      <c r="L298" s="0">
        <f>MID(D298,FIND(",",SUBSTITUTE(D298,"|",REPT(",",LEN(D298)),3))+1,FIND(",",SUBSTITUTE(D298,"|",REPT(",",LEN(D298)),4))-FIND(",",SUBSTITUTE(D298,"|",REPT(",",LEN(D298)),3))-1)</f>
        <v/>
      </c>
      <c r="M298" s="0">
        <f>MID(D298,FIND(";",SUBSTITUTE(D298,"|",REPT(";",LEN(D298)),4))+1,LEN(D298))</f>
        <v/>
      </c>
    </row>
    <row r="299" ht="42" customHeight="1" s="21">
      <c r="A299" s="8" t="inlineStr">
        <is>
          <t>100401</t>
        </is>
      </c>
      <c r="B299" s="8" t="inlineStr">
        <is>
          <t>钢带</t>
        </is>
      </c>
      <c r="C299" s="8" t="inlineStr">
        <is>
          <t>600630400</t>
        </is>
      </c>
      <c r="D299" s="8" t="inlineStr">
        <is>
          <t>冷轧弹簧钢带|钢带|65Mn|δ0.1|YB/T 5058-2005|冷轧|EC、FB|GB/T 15391-1994</t>
        </is>
      </c>
      <c r="E299" s="8" t="inlineStr">
        <is>
          <t>物资名称 冷轧弹簧钢带;物资简称 钢带;牌号 65Mn;厚度 δ0.1;宽 ;技术标准号 YB/T 5058-2005;加工工艺 冷轧;热处理工艺 ;特殊要求 EC、FB;规格标准号 GB/T 15391-1994</t>
        </is>
      </c>
      <c r="F299" s="4" t="inlineStr">
        <is>
          <t>千克</t>
        </is>
      </c>
      <c r="G299" s="0">
        <f>LEFT(D299,FIND("|",D299,1)-1)</f>
        <v/>
      </c>
      <c r="H299" s="0">
        <f>MID(D299,FIND("|",D299,FIND("|",D299,1))+1,FIND("|",D299,FIND("|",D299,1)+1)-FIND("|",D299,FIND("|",D299,1))-1)</f>
        <v/>
      </c>
      <c r="J299" s="0">
        <f>MID(D299,FIND(",",SUBSTITUTE(D299,"|",REPT(",",LEN(D299)),2))+1,FIND(",",SUBSTITUTE(D299,"|",REPT(",",LEN(D299)),3))-FIND(",",SUBSTITUTE(D299,"|",REPT(",",LEN(D299)),2))-1)</f>
        <v/>
      </c>
      <c r="K299" s="0">
        <f>MID(D299,FIND(",",SUBSTITUTE(D299,"|",REPT(",",LEN(D299)),3))+1,FIND(",",SUBSTITUTE(D299,"|",REPT(",",LEN(D299)),4))-FIND(",",SUBSTITUTE(D299,"|",REPT(",",LEN(D299)),3))-1)</f>
        <v/>
      </c>
      <c r="L299" s="0">
        <f>MID(D299,FIND(";",SUBSTITUTE(D299,"|",REPT(";",LEN(D299)),4))+1,FIND(";",SUBSTITUTE(D299,"|",REPT(";",LEN(D299)),5))-FIND(";",SUBSTITUTE(D299,"|",REPT(";",LEN(D299)),4))-1)</f>
        <v/>
      </c>
      <c r="M299" s="0">
        <f>MID(D299,FIND(";",SUBSTITUTE(D299,"|",REPT(";",LEN(D299)),7))+1,LEN(D299))</f>
        <v/>
      </c>
      <c r="N299" s="0">
        <f>MID(D299,FIND(";",SUBSTITUTE(D299,"|",REPT(";",LEN(D299)),5))+1,FIND(";",SUBSTITUTE(D299,"|",REPT(";",LEN(D299)),6))-FIND(";",SUBSTITUTE(D299,"|",REPT(";",LEN(D299)),5))-1)</f>
        <v/>
      </c>
      <c r="P299" s="0">
        <f>MID(D299,FIND(";",SUBSTITUTE(D299,"|",REPT(";",LEN(D299)),6))+1,FIND(";",SUBSTITUTE(D299,"|",REPT(";",LEN(D299)),7))-FIND(";",SUBSTITUTE(D299,"|",REPT(";",LEN(D299)),6))-1)</f>
        <v/>
      </c>
    </row>
    <row r="300" ht="42" customHeight="1" s="21">
      <c r="A300" s="8" t="inlineStr">
        <is>
          <t>100401</t>
        </is>
      </c>
      <c r="B300" s="8" t="inlineStr">
        <is>
          <t>钢带</t>
        </is>
      </c>
      <c r="C300" s="8" t="inlineStr">
        <is>
          <t>600630300</t>
        </is>
      </c>
      <c r="D300" s="8" t="inlineStr">
        <is>
          <t>冷轧弹簧钢带|钢带|65Mn|δ0.2|YB/T 5058-2005|冷轧|FB、PT.A、PT.B|GB/T 15391-1994</t>
        </is>
      </c>
      <c r="E300" s="8" t="inlineStr">
        <is>
          <t>物资名称 冷轧弹簧钢带;物资简称 钢带;牌号 65Mn;厚度 δ0.2;宽 ;技术标准号 YB/T 5058-2005;加工工艺 冷轧;热处理工艺 ;特殊要求 FB、PT.A、PT.B;规格标准号 GB/T 15391-1994</t>
        </is>
      </c>
      <c r="F300" s="4" t="inlineStr">
        <is>
          <t>千克</t>
        </is>
      </c>
      <c r="G300" s="0">
        <f>LEFT(D300,FIND("|",D300,1)-1)</f>
        <v/>
      </c>
      <c r="H300" s="0">
        <f>MID(D300,FIND("|",D300,FIND("|",D300,1))+1,FIND("|",D300,FIND("|",D300,1)+1)-FIND("|",D300,FIND("|",D300,1))-1)</f>
        <v/>
      </c>
      <c r="J300" s="0">
        <f>MID(D300,FIND(",",SUBSTITUTE(D300,"|",REPT(",",LEN(D300)),2))+1,FIND(",",SUBSTITUTE(D300,"|",REPT(",",LEN(D300)),3))-FIND(",",SUBSTITUTE(D300,"|",REPT(",",LEN(D300)),2))-1)</f>
        <v/>
      </c>
      <c r="K300" s="0">
        <f>MID(D300,FIND(",",SUBSTITUTE(D300,"|",REPT(",",LEN(D300)),3))+1,FIND(",",SUBSTITUTE(D300,"|",REPT(",",LEN(D300)),4))-FIND(",",SUBSTITUTE(D300,"|",REPT(",",LEN(D300)),3))-1)</f>
        <v/>
      </c>
      <c r="L300" s="0">
        <f>MID(D300,FIND(";",SUBSTITUTE(D300,"|",REPT(";",LEN(D300)),4))+1,FIND(";",SUBSTITUTE(D300,"|",REPT(";",LEN(D300)),5))-FIND(";",SUBSTITUTE(D300,"|",REPT(";",LEN(D300)),4))-1)</f>
        <v/>
      </c>
      <c r="M300" s="0">
        <f>MID(D300,FIND(";",SUBSTITUTE(D300,"|",REPT(";",LEN(D300)),7))+1,LEN(D300))</f>
        <v/>
      </c>
      <c r="N300" s="0">
        <f>MID(D300,FIND(";",SUBSTITUTE(D300,"|",REPT(";",LEN(D300)),5))+1,FIND(";",SUBSTITUTE(D300,"|",REPT(";",LEN(D300)),6))-FIND(";",SUBSTITUTE(D300,"|",REPT(";",LEN(D300)),5))-1)</f>
        <v/>
      </c>
      <c r="P300" s="0">
        <f>MID(D300,FIND(";",SUBSTITUTE(D300,"|",REPT(";",LEN(D300)),6))+1,FIND(";",SUBSTITUTE(D300,"|",REPT(";",LEN(D300)),7))-FIND(";",SUBSTITUTE(D300,"|",REPT(";",LEN(D300)),6))-1)</f>
        <v/>
      </c>
    </row>
    <row r="301" ht="42" customHeight="1" s="21">
      <c r="A301" s="8" t="inlineStr">
        <is>
          <t>100401</t>
        </is>
      </c>
      <c r="B301" s="8" t="inlineStr">
        <is>
          <t>钢带</t>
        </is>
      </c>
      <c r="C301" s="8" t="inlineStr">
        <is>
          <t>600630200</t>
        </is>
      </c>
      <c r="D301" s="8" t="inlineStr">
        <is>
          <t>冷轧弹簧钢带|钢带|65Mn|δ0.5|YB/T 5058-2005|冷轧|PT.B、FB、EC|GB/T 15391-1994</t>
        </is>
      </c>
      <c r="E301" s="8" t="inlineStr">
        <is>
          <t>物资名称 冷轧弹簧钢带;物资简称 钢带;牌号 65Mn;厚度 δ0.5;宽 ;技术标准号 YB/T 5058-2005;加工工艺 冷轧;热处理工艺 ;特殊要求 PT.B、FB、EC;规格标准号 GB/T 15391-1994</t>
        </is>
      </c>
      <c r="F301" s="4" t="inlineStr">
        <is>
          <t>千克</t>
        </is>
      </c>
      <c r="G301" s="0">
        <f>LEFT(D301,FIND("|",D301,1)-1)</f>
        <v/>
      </c>
      <c r="H301" s="0">
        <f>MID(D301,FIND("|",D301,FIND("|",D301,1))+1,FIND("|",D301,FIND("|",D301,1)+1)-FIND("|",D301,FIND("|",D301,1))-1)</f>
        <v/>
      </c>
      <c r="J301" s="0">
        <f>MID(D301,FIND(",",SUBSTITUTE(D301,"|",REPT(",",LEN(D301)),2))+1,FIND(",",SUBSTITUTE(D301,"|",REPT(",",LEN(D301)),3))-FIND(",",SUBSTITUTE(D301,"|",REPT(",",LEN(D301)),2))-1)</f>
        <v/>
      </c>
      <c r="K301" s="0">
        <f>MID(D301,FIND(",",SUBSTITUTE(D301,"|",REPT(",",LEN(D301)),3))+1,FIND(",",SUBSTITUTE(D301,"|",REPT(",",LEN(D301)),4))-FIND(",",SUBSTITUTE(D301,"|",REPT(",",LEN(D301)),3))-1)</f>
        <v/>
      </c>
      <c r="L301" s="0">
        <f>MID(D301,FIND(";",SUBSTITUTE(D301,"|",REPT(";",LEN(D301)),4))+1,FIND(";",SUBSTITUTE(D301,"|",REPT(";",LEN(D301)),5))-FIND(";",SUBSTITUTE(D301,"|",REPT(";",LEN(D301)),4))-1)</f>
        <v/>
      </c>
      <c r="M301" s="0">
        <f>MID(D301,FIND(";",SUBSTITUTE(D301,"|",REPT(";",LEN(D301)),7))+1,LEN(D301))</f>
        <v/>
      </c>
      <c r="N301" s="0">
        <f>MID(D301,FIND(";",SUBSTITUTE(D301,"|",REPT(";",LEN(D301)),5))+1,FIND(";",SUBSTITUTE(D301,"|",REPT(";",LEN(D301)),6))-FIND(";",SUBSTITUTE(D301,"|",REPT(";",LEN(D301)),5))-1)</f>
        <v/>
      </c>
      <c r="P301" s="0">
        <f>MID(D301,FIND(";",SUBSTITUTE(D301,"|",REPT(";",LEN(D301)),6))+1,FIND(";",SUBSTITUTE(D301,"|",REPT(";",LEN(D301)),7))-FIND(";",SUBSTITUTE(D301,"|",REPT(";",LEN(D301)),6))-1)</f>
        <v/>
      </c>
    </row>
    <row r="302" ht="28" customHeight="1" s="21">
      <c r="A302" s="8" t="inlineStr">
        <is>
          <t>100401</t>
        </is>
      </c>
      <c r="B302" s="8" t="inlineStr">
        <is>
          <t>钢带</t>
        </is>
      </c>
      <c r="C302" s="8" t="inlineStr">
        <is>
          <t>600630100</t>
        </is>
      </c>
      <c r="D302" s="8" t="inlineStr">
        <is>
          <t>冷轧弹簧钢带|钢带|65Mn|δ0.5|YB/T 5058-2005|冷轧|GB/T 15391-1994</t>
        </is>
      </c>
      <c r="E302" s="8" t="inlineStr">
        <is>
          <t>物资名称 冷轧弹簧钢带;物资简称 钢带;牌号 65Mn;厚度 δ0.5;宽 ;技术标准号 YB/T 5058-2005;加工工艺 冷轧;热处理工艺 ;特殊要求 ;规格标准号 GB/T 15391-1994</t>
        </is>
      </c>
      <c r="F302" s="4" t="inlineStr">
        <is>
          <t>千克</t>
        </is>
      </c>
      <c r="G302" s="0">
        <f>LEFT(D302,FIND("|",D302,1)-1)</f>
        <v/>
      </c>
      <c r="H302" s="0">
        <f>MID(D302,FIND("|",D302,FIND("|",D302,1))+1,FIND("|",D302,FIND("|",D302,1)+1)-FIND("|",D302,FIND("|",D302,1))-1)</f>
        <v/>
      </c>
      <c r="J302" s="0">
        <f>MID(D302,FIND(",",SUBSTITUTE(D302,"|",REPT(",",LEN(D302)),2))+1,FIND(",",SUBSTITUTE(D302,"|",REPT(",",LEN(D302)),3))-FIND(",",SUBSTITUTE(D302,"|",REPT(",",LEN(D302)),2))-1)</f>
        <v/>
      </c>
      <c r="K302" s="0">
        <f>MID(D302,FIND(",",SUBSTITUTE(D302,"|",REPT(",",LEN(D302)),3))+1,FIND(",",SUBSTITUTE(D302,"|",REPT(",",LEN(D302)),4))-FIND(",",SUBSTITUTE(D302,"|",REPT(",",LEN(D302)),3))-1)</f>
        <v/>
      </c>
      <c r="L302" s="0">
        <f>MID(D302,FIND(";",SUBSTITUTE(D302,"|",REPT(";",LEN(D302)),4))+1,FIND(";",SUBSTITUTE(D302,"|",REPT(";",LEN(D302)),5))-FIND(";",SUBSTITUTE(D302,"|",REPT(";",LEN(D302)),4))-1)</f>
        <v/>
      </c>
      <c r="M302" s="0">
        <f>MID(D302,FIND(";",SUBSTITUTE(D302,"|",REPT(";",LEN(D302)),6))+1,LEN(D302))</f>
        <v/>
      </c>
      <c r="N302" s="0">
        <f>MID(D302,FIND(";",SUBSTITUTE(D302,"|",REPT(";",LEN(D302)),5))+1,FIND(";",SUBSTITUTE(D302,"|",REPT(";",LEN(D302)),6))-FIND(";",SUBSTITUTE(D302,"|",REPT(";",LEN(D302)),5))-1)</f>
        <v/>
      </c>
    </row>
    <row r="303" ht="28" customHeight="1" s="21">
      <c r="A303" s="8" t="inlineStr">
        <is>
          <t>100401</t>
        </is>
      </c>
      <c r="B303" s="8" t="inlineStr">
        <is>
          <t>钢带</t>
        </is>
      </c>
      <c r="C303" s="8" t="inlineStr">
        <is>
          <t>600630000</t>
        </is>
      </c>
      <c r="D303" s="8" t="inlineStr">
        <is>
          <t>冷轧弹簧钢带|钢带|65Mn|δ0.6|YB/T 5058-2005|冷轧|GB/T 15391-1994</t>
        </is>
      </c>
      <c r="E303" s="8" t="inlineStr">
        <is>
          <t>物资名称 冷轧弹簧钢带;物资简称 钢带;牌号 65Mn;厚度 δ0.6;宽 ;技术标准号 YB/T 5058-2005;加工工艺 冷轧;热处理工艺 ;特殊要求 ;规格标准号 GB/T 15391-1994</t>
        </is>
      </c>
      <c r="F303" s="4" t="inlineStr">
        <is>
          <t>千克</t>
        </is>
      </c>
      <c r="G303" s="0">
        <f>LEFT(D303,FIND("|",D303,1)-1)</f>
        <v/>
      </c>
      <c r="H303" s="0">
        <f>MID(D303,FIND("|",D303,FIND("|",D303,1))+1,FIND("|",D303,FIND("|",D303,1)+1)-FIND("|",D303,FIND("|",D303,1))-1)</f>
        <v/>
      </c>
      <c r="J303" s="0">
        <f>MID(D303,FIND(",",SUBSTITUTE(D303,"|",REPT(",",LEN(D303)),2))+1,FIND(",",SUBSTITUTE(D303,"|",REPT(",",LEN(D303)),3))-FIND(",",SUBSTITUTE(D303,"|",REPT(",",LEN(D303)),2))-1)</f>
        <v/>
      </c>
      <c r="K303" s="0">
        <f>MID(D303,FIND(",",SUBSTITUTE(D303,"|",REPT(",",LEN(D303)),3))+1,FIND(",",SUBSTITUTE(D303,"|",REPT(",",LEN(D303)),4))-FIND(",",SUBSTITUTE(D303,"|",REPT(",",LEN(D303)),3))-1)</f>
        <v/>
      </c>
      <c r="L303" s="0">
        <f>MID(D303,FIND(";",SUBSTITUTE(D303,"|",REPT(";",LEN(D303)),4))+1,FIND(";",SUBSTITUTE(D303,"|",REPT(";",LEN(D303)),5))-FIND(";",SUBSTITUTE(D303,"|",REPT(";",LEN(D303)),4))-1)</f>
        <v/>
      </c>
      <c r="M303" s="0">
        <f>MID(D303,FIND(";",SUBSTITUTE(D303,"|",REPT(";",LEN(D303)),6))+1,LEN(D303))</f>
        <v/>
      </c>
      <c r="N303" s="0">
        <f>MID(D303,FIND(";",SUBSTITUTE(D303,"|",REPT(";",LEN(D303)),5))+1,FIND(";",SUBSTITUTE(D303,"|",REPT(";",LEN(D303)),6))-FIND(";",SUBSTITUTE(D303,"|",REPT(";",LEN(D303)),5))-1)</f>
        <v/>
      </c>
    </row>
    <row r="304" ht="28" customHeight="1" s="21">
      <c r="A304" s="8" t="inlineStr">
        <is>
          <t>100401</t>
        </is>
      </c>
      <c r="B304" s="8" t="inlineStr">
        <is>
          <t>钢带</t>
        </is>
      </c>
      <c r="C304" s="8" t="inlineStr">
        <is>
          <t>600629900</t>
        </is>
      </c>
      <c r="D304" s="8" t="inlineStr">
        <is>
          <t>特种钢带|钢带|XSVS-7C27Mo2|δ0.508|厂家约定</t>
        </is>
      </c>
      <c r="E304" s="8" t="inlineStr">
        <is>
          <t xml:space="preserve">物资名称 特种钢带;物资简称 钢带;牌号 XSVS-7C27Mo2;厚度 δ0.508;宽 ;技术标准号 ;加工工艺 ;热处理工艺 ;特殊要求 厂家约定;规格标准号 </t>
        </is>
      </c>
      <c r="F304" s="4" t="inlineStr">
        <is>
          <t>千克</t>
        </is>
      </c>
      <c r="G304" s="0">
        <f>LEFT(D304,FIND("|",D304,1)-1)</f>
        <v/>
      </c>
      <c r="H304" s="0">
        <f>MID(D304,FIND("|",D304,FIND("|",D304,1))+1,FIND("|",D304,FIND("|",D304,1)+1)-FIND("|",D304,FIND("|",D304,1))-1)</f>
        <v/>
      </c>
      <c r="J304" s="0">
        <f>MID(D304,FIND(",",SUBSTITUTE(D304,"|",REPT(",",LEN(D304)),2))+1,FIND(",",SUBSTITUTE(D304,"|",REPT(",",LEN(D304)),3))-FIND(",",SUBSTITUTE(D304,"|",REPT(",",LEN(D304)),2))-1)</f>
        <v/>
      </c>
      <c r="K304" s="0">
        <f>MID(D304,FIND(",",SUBSTITUTE(D304,"|",REPT(",",LEN(D304)),3))+1,FIND(",",SUBSTITUTE(D304,"|",REPT(",",LEN(D304)),4))-FIND(",",SUBSTITUTE(D304,"|",REPT(",",LEN(D304)),3))-1)</f>
        <v/>
      </c>
      <c r="M304" s="0">
        <f>MID(D304,FIND(";",SUBSTITUTE(D304,"|",REPT(";",LEN(D304)),3))+1,LEN(D304))</f>
        <v/>
      </c>
    </row>
    <row r="305">
      <c r="A305" s="0" t="n"/>
      <c r="B305" s="0" t="n"/>
      <c r="C305" s="0" t="n"/>
      <c r="D305" s="0" t="n"/>
      <c r="E305" s="0" t="n"/>
      <c r="F305" s="0" t="n"/>
    </row>
    <row r="306">
      <c r="A306" s="0" t="n"/>
      <c r="B306" s="0" t="n"/>
      <c r="C306" s="0" t="n"/>
      <c r="D306" s="0" t="n"/>
      <c r="E306" s="0" t="n"/>
      <c r="F306" s="0" t="n"/>
    </row>
    <row r="307" s="21"/>
    <row r="308" s="21"/>
    <row r="309" s="21"/>
    <row r="310" s="21"/>
    <row r="311" s="21"/>
    <row r="312" s="21"/>
    <row r="313" s="21"/>
    <row r="314" s="21"/>
    <row r="315" s="21"/>
    <row r="316" s="21"/>
    <row r="317" s="21"/>
    <row r="318" s="21"/>
    <row r="319" s="21"/>
    <row r="320" s="21"/>
    <row r="321" s="21"/>
    <row r="322" s="21"/>
    <row r="323" s="21"/>
    <row r="324" s="21"/>
    <row r="325" s="21"/>
    <row r="326" s="21"/>
    <row r="327" s="21"/>
    <row r="328" s="21"/>
    <row r="329" s="21"/>
    <row r="330" s="21"/>
    <row r="331" s="21"/>
    <row r="332" s="21"/>
    <row r="333" s="21"/>
    <row r="334" s="21"/>
    <row r="335" s="21"/>
    <row r="336" s="21"/>
    <row r="337" s="21"/>
    <row r="338" s="21"/>
    <row r="339" s="21"/>
    <row r="340" s="21"/>
    <row r="341" s="21"/>
    <row r="342" s="21"/>
    <row r="343" s="21"/>
    <row r="344" s="21"/>
    <row r="345" s="21"/>
    <row r="346" s="21"/>
    <row r="347" s="21"/>
    <row r="348" s="21"/>
    <row r="349" s="21"/>
    <row r="350" s="21"/>
    <row r="351" s="21"/>
    <row r="352" s="21"/>
    <row r="353" s="21"/>
    <row r="354" s="21"/>
    <row r="355" s="21"/>
    <row r="356" s="21"/>
    <row r="357" s="21"/>
    <row r="358" s="21"/>
    <row r="359" s="21"/>
    <row r="360" s="21"/>
    <row r="361" s="21"/>
    <row r="362" s="21"/>
    <row r="363" s="21"/>
    <row r="364" s="21"/>
    <row r="365" s="21"/>
    <row r="366" s="21"/>
    <row r="367" s="21"/>
    <row r="368" s="21"/>
    <row r="369" s="21"/>
    <row r="370" s="21"/>
    <row r="371" s="21"/>
    <row r="372" s="21"/>
    <row r="373" s="21"/>
    <row r="374" s="21"/>
    <row r="375" s="21"/>
    <row r="376" s="21"/>
    <row r="377" s="21"/>
    <row r="378" s="21"/>
    <row r="379" s="21"/>
    <row r="380" s="21"/>
    <row r="381" s="21"/>
    <row r="382" s="21"/>
    <row r="383" s="21"/>
    <row r="384" s="21"/>
    <row r="385" s="21"/>
    <row r="386" s="21"/>
    <row r="387" s="21"/>
    <row r="388" s="21"/>
    <row r="389" s="21"/>
    <row r="390" s="21"/>
    <row r="391" s="21"/>
    <row r="392" s="21"/>
    <row r="393" s="21"/>
    <row r="394" s="21"/>
    <row r="395" s="21"/>
    <row r="396" s="21"/>
    <row r="397" s="21"/>
    <row r="398" s="21"/>
    <row r="399" s="21"/>
    <row r="400" s="21"/>
    <row r="401" s="21"/>
    <row r="402" s="21"/>
    <row r="403" s="21"/>
    <row r="404" s="21"/>
    <row r="405" s="21"/>
    <row r="406" s="21"/>
    <row r="407" s="21"/>
    <row r="408" s="21"/>
    <row r="409" s="21"/>
    <row r="410" s="21"/>
    <row r="411" s="21"/>
    <row r="412" s="21"/>
    <row r="413" s="21"/>
    <row r="414" s="21"/>
    <row r="415" s="21"/>
    <row r="416" s="21"/>
    <row r="417" s="21"/>
    <row r="418" s="21"/>
    <row r="419" s="21"/>
    <row r="420" s="21"/>
    <row r="421" s="21"/>
    <row r="422" s="21"/>
    <row r="423" s="21"/>
    <row r="424" s="21"/>
    <row r="425" s="21"/>
    <row r="426" s="21"/>
    <row r="427" s="21"/>
    <row r="428" s="21"/>
    <row r="429" s="21"/>
    <row r="430" s="21"/>
    <row r="431" s="21"/>
    <row r="432" s="21"/>
    <row r="433" s="21"/>
    <row r="434" s="21"/>
    <row r="435" s="21"/>
    <row r="436" s="21"/>
    <row r="437" s="21"/>
    <row r="438" s="21"/>
    <row r="439" s="21"/>
    <row r="440" s="21"/>
    <row r="441" s="21"/>
    <row r="442" s="21"/>
    <row r="443" s="21"/>
    <row r="444" s="21"/>
    <row r="445" s="21"/>
    <row r="446" s="21"/>
    <row r="447" s="21"/>
    <row r="448" s="21"/>
    <row r="449" s="21"/>
    <row r="450" s="21"/>
    <row r="451" s="21"/>
    <row r="452" s="21"/>
    <row r="453" s="21"/>
    <row r="454" s="21"/>
    <row r="455" s="21"/>
    <row r="456" s="21"/>
    <row r="457" s="21"/>
    <row r="458" s="21"/>
    <row r="459" s="21"/>
    <row r="460" s="21"/>
    <row r="461" s="21"/>
    <row r="462" s="21"/>
    <row r="463" s="21"/>
    <row r="464" s="21"/>
    <row r="465" s="21"/>
    <row r="466" s="21"/>
    <row r="467" s="21"/>
    <row r="468" s="21"/>
    <row r="469" s="21"/>
    <row r="470" s="21"/>
    <row r="471" s="21"/>
    <row r="472" s="21"/>
    <row r="473" s="21"/>
    <row r="474" s="21"/>
    <row r="475" s="21"/>
    <row r="476" s="21"/>
    <row r="477" s="21"/>
    <row r="478" s="21"/>
    <row r="479" s="21"/>
    <row r="480" s="21"/>
    <row r="481" s="21"/>
    <row r="482" s="21"/>
    <row r="483" s="21"/>
    <row r="484" s="21"/>
    <row r="485" s="21"/>
    <row r="486" s="21"/>
    <row r="487" s="21"/>
    <row r="488" s="21"/>
    <row r="489" s="21"/>
    <row r="490" s="21"/>
    <row r="491" s="21"/>
    <row r="492" s="21"/>
    <row r="493" s="21"/>
    <row r="494" s="21"/>
    <row r="495" s="21"/>
    <row r="496" s="21"/>
    <row r="497" s="21"/>
    <row r="498" s="21"/>
    <row r="499" s="21"/>
    <row r="500" s="21"/>
    <row r="501" s="21"/>
    <row r="502" s="21"/>
    <row r="503" s="21"/>
    <row r="504" s="21"/>
    <row r="505" s="21"/>
    <row r="506" s="21"/>
    <row r="507" s="21"/>
    <row r="508" s="21"/>
    <row r="509" s="21"/>
    <row r="510" s="21"/>
    <row r="511" s="21"/>
    <row r="512" s="21"/>
    <row r="513" s="21"/>
    <row r="514" s="21"/>
    <row r="515" s="21"/>
    <row r="516" s="21"/>
    <row r="517" s="21"/>
    <row r="518" s="21"/>
    <row r="519" s="21"/>
    <row r="520" s="21"/>
    <row r="521" s="21"/>
    <row r="522" s="21"/>
    <row r="523" s="21"/>
    <row r="524" s="21"/>
    <row r="525" s="21"/>
    <row r="526" s="21"/>
    <row r="527" s="21"/>
    <row r="528" s="21"/>
    <row r="529" s="21"/>
    <row r="530" s="21"/>
    <row r="531" s="21"/>
    <row r="532" s="21"/>
    <row r="533" s="21"/>
    <row r="534" s="21"/>
    <row r="535" s="21"/>
    <row r="536" s="21"/>
    <row r="537" s="21"/>
    <row r="538" s="21"/>
    <row r="539" s="21"/>
    <row r="540" s="21"/>
    <row r="541" s="21"/>
    <row r="542" s="21"/>
    <row r="543" s="21"/>
    <row r="544" s="21"/>
    <row r="545" s="21"/>
    <row r="546" s="21"/>
    <row r="547" s="21"/>
    <row r="548" s="21"/>
    <row r="549" s="21"/>
    <row r="550" s="21"/>
    <row r="551" s="21"/>
    <row r="552" s="21"/>
    <row r="553" s="21"/>
    <row r="554" s="21"/>
    <row r="555" s="21"/>
    <row r="556" s="21"/>
    <row r="557" s="21"/>
    <row r="558" s="21"/>
    <row r="559" s="21"/>
    <row r="560" s="21"/>
    <row r="561" s="21"/>
    <row r="562" s="21"/>
    <row r="563" s="21"/>
    <row r="564" s="21"/>
    <row r="565" s="21"/>
    <row r="566" s="21"/>
    <row r="567" s="21"/>
    <row r="568" s="21"/>
    <row r="569" s="21"/>
    <row r="570" s="21"/>
    <row r="571" s="21"/>
    <row r="572" s="21"/>
    <row r="573" s="21"/>
    <row r="574" s="21"/>
    <row r="575" s="21"/>
    <row r="576" s="21"/>
    <row r="577" s="21"/>
    <row r="578" s="21"/>
    <row r="579" s="21"/>
    <row r="580" s="21"/>
    <row r="581" s="21"/>
    <row r="582" s="21"/>
    <row r="583" s="21"/>
    <row r="584" s="21"/>
    <row r="585" s="21"/>
    <row r="586" s="21"/>
    <row r="587" s="21"/>
    <row r="588" s="21"/>
    <row r="589" s="21"/>
    <row r="590" s="21"/>
    <row r="591" s="21"/>
    <row r="592" s="21"/>
    <row r="593" s="21"/>
    <row r="594" s="21"/>
    <row r="595" s="21"/>
    <row r="596" s="21"/>
    <row r="597" s="21"/>
    <row r="598" s="21"/>
    <row r="599" s="21"/>
    <row r="600" s="21"/>
    <row r="601" s="21"/>
    <row r="602" s="21"/>
    <row r="603" s="21"/>
    <row r="604" s="21"/>
    <row r="605" s="21"/>
    <row r="606" s="21"/>
    <row r="607" s="21"/>
    <row r="608" s="21"/>
    <row r="609" s="21"/>
    <row r="610" s="21"/>
    <row r="611" s="21"/>
    <row r="612" s="21"/>
    <row r="613" s="21"/>
    <row r="614" s="21"/>
    <row r="615" s="21"/>
    <row r="616" s="21"/>
    <row r="617" s="21"/>
    <row r="618" s="21"/>
    <row r="619" s="21"/>
    <row r="620" s="21"/>
    <row r="621" s="21"/>
    <row r="622" s="21"/>
    <row r="623" s="21"/>
    <row r="624" s="21"/>
    <row r="625" s="21"/>
    <row r="626" s="21"/>
    <row r="627" s="21"/>
    <row r="628" s="21"/>
    <row r="629" s="21"/>
    <row r="630" s="21"/>
    <row r="631" s="21"/>
    <row r="632" s="21"/>
    <row r="633" s="21"/>
    <row r="634" s="21"/>
    <row r="635" s="21"/>
    <row r="636" s="21"/>
    <row r="637" s="21"/>
    <row r="638" s="21"/>
    <row r="639" s="21"/>
    <row r="640" s="21"/>
    <row r="641" s="21"/>
    <row r="642" s="21"/>
    <row r="643" s="21"/>
    <row r="644" s="21"/>
    <row r="645" s="21"/>
    <row r="646" s="21"/>
    <row r="647" s="21"/>
    <row r="648" s="21"/>
    <row r="649" s="21"/>
    <row r="650" s="21"/>
    <row r="651" s="21"/>
    <row r="652" s="21"/>
    <row r="653" s="21"/>
    <row r="654" s="21"/>
    <row r="655" s="21"/>
    <row r="656" s="21"/>
    <row r="657" s="21"/>
    <row r="658" s="21"/>
    <row r="659" s="21"/>
    <row r="660" s="21"/>
    <row r="661" s="21"/>
    <row r="662" s="21"/>
    <row r="663" s="21"/>
    <row r="664" s="21"/>
    <row r="665" s="21"/>
    <row r="666" s="21"/>
    <row r="667" s="21"/>
    <row r="668" s="21"/>
    <row r="669" s="21"/>
    <row r="670" s="21"/>
    <row r="671" s="21"/>
    <row r="672" s="21"/>
    <row r="673" s="21"/>
    <row r="674" s="21"/>
    <row r="675" s="21"/>
    <row r="676" s="21"/>
    <row r="677" s="21"/>
    <row r="678" s="21"/>
    <row r="679" s="21"/>
    <row r="680" s="21"/>
    <row r="681" s="21"/>
    <row r="682" s="21"/>
    <row r="683" s="21"/>
    <row r="684" s="21"/>
    <row r="685" s="21"/>
    <row r="686" s="21"/>
    <row r="687" s="21"/>
    <row r="688" s="21"/>
    <row r="689" s="21"/>
    <row r="690" s="21"/>
    <row r="691" s="21"/>
    <row r="692" s="21"/>
    <row r="693" s="21"/>
    <row r="694" s="21"/>
    <row r="695" s="21"/>
    <row r="696" s="21"/>
    <row r="697" s="21"/>
    <row r="698" s="21"/>
    <row r="699" s="21"/>
    <row r="700" s="21"/>
    <row r="701" s="21"/>
    <row r="702" s="21"/>
    <row r="703" s="21"/>
    <row r="704" s="21"/>
    <row r="705" s="21"/>
    <row r="706" s="21"/>
    <row r="707" s="21"/>
    <row r="708" s="21"/>
    <row r="709" s="21"/>
    <row r="710" s="21"/>
    <row r="711" s="21"/>
    <row r="712" s="21"/>
    <row r="713" s="21"/>
    <row r="714" s="21"/>
    <row r="715" s="21"/>
    <row r="716" s="21"/>
    <row r="717" s="21"/>
    <row r="718" s="21"/>
    <row r="719" s="21"/>
    <row r="720" s="21"/>
    <row r="721" s="21"/>
    <row r="722" s="21"/>
    <row r="723" s="21"/>
    <row r="724" s="21"/>
    <row r="725" s="21"/>
    <row r="726" s="21"/>
    <row r="727" s="21"/>
    <row r="728" s="21"/>
    <row r="729" s="21"/>
    <row r="730" s="21"/>
    <row r="731" s="21"/>
    <row r="732" s="21"/>
    <row r="733" s="21"/>
    <row r="734" s="21"/>
    <row r="735" s="21"/>
    <row r="736" s="21"/>
    <row r="737" s="21"/>
    <row r="738" s="21"/>
    <row r="739" s="21"/>
    <row r="740" s="21"/>
    <row r="741" s="21"/>
    <row r="742" s="21"/>
    <row r="743" s="21"/>
    <row r="744" s="21"/>
    <row r="745" s="21"/>
    <row r="746" s="21"/>
    <row r="747" s="21"/>
    <row r="748" s="21"/>
    <row r="749" s="21"/>
    <row r="750" s="21"/>
    <row r="751" s="21"/>
    <row r="752" s="21"/>
    <row r="753" s="21"/>
    <row r="754" s="21"/>
    <row r="755" s="21"/>
    <row r="756" s="21"/>
    <row r="757" s="21"/>
    <row r="758" s="21"/>
    <row r="759" s="21"/>
    <row r="760" s="21"/>
    <row r="761" s="21"/>
    <row r="762" s="21"/>
    <row r="763" s="21"/>
    <row r="764" s="21"/>
    <row r="765" s="21"/>
    <row r="766" s="21"/>
    <row r="767" s="21"/>
    <row r="768" s="21"/>
    <row r="769" s="21"/>
    <row r="770" s="21"/>
    <row r="771" s="21"/>
    <row r="772" s="21"/>
    <row r="773" s="21"/>
    <row r="774" s="21"/>
    <row r="775" s="21"/>
    <row r="776" s="21"/>
    <row r="777" s="21"/>
    <row r="778" s="21"/>
    <row r="779" s="21"/>
    <row r="780" s="21"/>
    <row r="781" s="21"/>
    <row r="782" s="21"/>
    <row r="783" s="21"/>
    <row r="784" s="21"/>
    <row r="785" s="21"/>
    <row r="786" s="21"/>
    <row r="787" s="21"/>
    <row r="788" s="21"/>
    <row r="789" s="21"/>
    <row r="790" s="21"/>
    <row r="791" s="21"/>
    <row r="792" s="21"/>
    <row r="793" s="21"/>
    <row r="794" s="21"/>
    <row r="795" s="21"/>
    <row r="796" s="21"/>
    <row r="797" s="21"/>
    <row r="798" s="21"/>
    <row r="799" s="21"/>
    <row r="800" s="21"/>
    <row r="801" s="21"/>
    <row r="802" s="21"/>
    <row r="803" s="21"/>
    <row r="804" s="21"/>
    <row r="805" s="21"/>
    <row r="806" s="21"/>
    <row r="807" s="21"/>
    <row r="808" s="21"/>
    <row r="809" s="21"/>
    <row r="810" s="21"/>
    <row r="811" s="21"/>
    <row r="812" s="21"/>
    <row r="813" s="21"/>
    <row r="814" s="21"/>
    <row r="815" s="21"/>
    <row r="816" s="21"/>
    <row r="817" s="21"/>
    <row r="818" s="21"/>
    <row r="819" s="21"/>
    <row r="820" s="21"/>
    <row r="821" s="21"/>
    <row r="822" s="21"/>
    <row r="823" s="21"/>
    <row r="824" s="21"/>
    <row r="825" s="21"/>
    <row r="826" s="21"/>
    <row r="827" s="21"/>
    <row r="828" s="21"/>
    <row r="829" s="21"/>
    <row r="830" s="21"/>
    <row r="831" s="21"/>
    <row r="832" s="21"/>
    <row r="833" s="21"/>
    <row r="834" s="21"/>
    <row r="835" s="21"/>
    <row r="836" s="21"/>
    <row r="837" s="21"/>
    <row r="838" s="21"/>
    <row r="839" s="21"/>
    <row r="840" s="21"/>
    <row r="841" s="21"/>
    <row r="842" s="21"/>
    <row r="843" s="21"/>
    <row r="844" s="21"/>
    <row r="845" s="21"/>
    <row r="846" s="21"/>
    <row r="847" s="21"/>
    <row r="848" s="21"/>
    <row r="849" s="21"/>
    <row r="850" s="21"/>
    <row r="851" s="21"/>
    <row r="852" s="21"/>
    <row r="853" s="21"/>
    <row r="854" s="21"/>
    <row r="855" s="21"/>
    <row r="856" s="21"/>
    <row r="857" s="21"/>
    <row r="858" s="21"/>
    <row r="859" s="21"/>
    <row r="860" s="21"/>
    <row r="861" s="21"/>
    <row r="862" s="21"/>
    <row r="863" s="21"/>
    <row r="864" s="21"/>
    <row r="865" s="21"/>
    <row r="866" s="21"/>
    <row r="867" s="21"/>
    <row r="868" s="21"/>
    <row r="869" s="21"/>
    <row r="870" s="21"/>
    <row r="871" s="21"/>
    <row r="872" s="21"/>
    <row r="873" s="21"/>
    <row r="874" s="21"/>
    <row r="875" s="21"/>
    <row r="876" s="21"/>
    <row r="877" s="21"/>
    <row r="878" s="21"/>
    <row r="879" s="21"/>
    <row r="880" s="21"/>
    <row r="881" s="21"/>
    <row r="882" s="21"/>
    <row r="883" s="21"/>
    <row r="884" s="21"/>
    <row r="885" s="21"/>
    <row r="886" s="21"/>
    <row r="887" s="21"/>
    <row r="888" s="21"/>
    <row r="889" s="21"/>
    <row r="890" s="21"/>
    <row r="891" s="21"/>
    <row r="892" s="21"/>
    <row r="893" s="21"/>
    <row r="894" s="21"/>
    <row r="895" s="21"/>
    <row r="896" s="21"/>
    <row r="897" s="21"/>
    <row r="898" s="21"/>
    <row r="899" s="21"/>
    <row r="900" s="21"/>
    <row r="901" s="21"/>
    <row r="902" s="21"/>
    <row r="903" s="21"/>
    <row r="904" s="21"/>
    <row r="905" s="21"/>
    <row r="906" s="21"/>
    <row r="907" s="21"/>
    <row r="908" s="21"/>
    <row r="909" s="21"/>
    <row r="910" s="21"/>
    <row r="911" s="21"/>
    <row r="912" s="21"/>
    <row r="913" s="21"/>
    <row r="914" s="21"/>
    <row r="915" s="21"/>
    <row r="916" s="21"/>
    <row r="917" s="21"/>
    <row r="918" s="21"/>
    <row r="919" s="21"/>
    <row r="920" s="21"/>
    <row r="921" s="21"/>
    <row r="922" s="21"/>
    <row r="923" s="21"/>
    <row r="924" s="21"/>
    <row r="925" s="21"/>
    <row r="926" s="21"/>
    <row r="927" s="21"/>
    <row r="928" s="21"/>
    <row r="929" s="21"/>
    <row r="930" s="21"/>
    <row r="931" s="21"/>
    <row r="932" s="21"/>
    <row r="933" s="21"/>
    <row r="934" s="21"/>
    <row r="935" s="21"/>
    <row r="936" s="21"/>
    <row r="937" s="21"/>
    <row r="938" s="21"/>
    <row r="939" s="21"/>
    <row r="940" s="21"/>
    <row r="941" s="21"/>
    <row r="942" s="21"/>
    <row r="943" s="21"/>
    <row r="944" s="21"/>
    <row r="945" s="21"/>
    <row r="946" s="21"/>
    <row r="947" s="21"/>
    <row r="948" s="21"/>
    <row r="949" s="21"/>
    <row r="950" s="21"/>
    <row r="951" s="21"/>
    <row r="952" s="21"/>
    <row r="953" s="21"/>
    <row r="954" s="21"/>
    <row r="955" s="21"/>
    <row r="956" s="21"/>
    <row r="957" s="21"/>
    <row r="958" s="21"/>
    <row r="959" s="21"/>
    <row r="960" s="21"/>
    <row r="961" s="21"/>
    <row r="962" s="21"/>
    <row r="963" s="21"/>
    <row r="964" s="21"/>
    <row r="965" s="21"/>
    <row r="966" s="21"/>
    <row r="967" s="21"/>
    <row r="968" s="21"/>
    <row r="969" s="21"/>
    <row r="970" s="21"/>
    <row r="971" s="21"/>
    <row r="972" s="21"/>
    <row r="973" s="21"/>
    <row r="974" s="21"/>
    <row r="975" s="21"/>
    <row r="976" s="21"/>
    <row r="977" s="21"/>
    <row r="978" s="21"/>
    <row r="979" s="21"/>
    <row r="980" s="21"/>
    <row r="981" s="21"/>
    <row r="982" s="21"/>
    <row r="983" s="21"/>
    <row r="984" s="21"/>
    <row r="985" s="21"/>
    <row r="986" s="21"/>
    <row r="987" s="21"/>
    <row r="988" s="21"/>
    <row r="989" s="21"/>
    <row r="990" s="21"/>
    <row r="991" s="21"/>
    <row r="992" s="21"/>
    <row r="993" s="21"/>
    <row r="994" s="21"/>
    <row r="995" s="21"/>
    <row r="996" s="21"/>
    <row r="997" s="21"/>
    <row r="998" s="21"/>
    <row r="999" s="21"/>
    <row r="1000" s="21"/>
    <row r="1001" s="21"/>
    <row r="1002" s="21"/>
    <row r="1003" s="21"/>
    <row r="1004" s="21"/>
    <row r="1005" s="21"/>
    <row r="1006" s="21"/>
    <row r="1007" s="21"/>
    <row r="1008" s="21"/>
    <row r="1009" s="21"/>
    <row r="1010" s="21"/>
    <row r="1011" s="21"/>
    <row r="1012" s="21"/>
    <row r="1013" s="21"/>
    <row r="1014" s="21"/>
    <row r="1015" s="21"/>
    <row r="1016" s="21"/>
    <row r="1017" s="21"/>
    <row r="1018" s="21"/>
    <row r="1019" s="21"/>
    <row r="1020" s="21"/>
    <row r="1021" s="21"/>
    <row r="1022" s="21"/>
    <row r="1023" s="21"/>
    <row r="1024" s="21"/>
    <row r="1025" s="21"/>
    <row r="1026" s="21"/>
    <row r="1027" s="21"/>
    <row r="1028" s="21"/>
    <row r="1029" s="21"/>
    <row r="1030" s="21"/>
    <row r="1031" s="21"/>
    <row r="1032" s="21"/>
    <row r="1033" s="21"/>
    <row r="1034" s="21"/>
    <row r="1035" s="21"/>
    <row r="1036" s="21"/>
    <row r="1037" s="21"/>
    <row r="1038" s="21"/>
    <row r="1039" s="21"/>
    <row r="1040" s="21"/>
    <row r="1041" s="21"/>
    <row r="1042" s="21"/>
    <row r="1043" s="21"/>
    <row r="1044" s="21"/>
    <row r="1045" s="21"/>
    <row r="1046" s="21"/>
    <row r="1047" s="21"/>
    <row r="1048" s="21"/>
    <row r="1049" s="21"/>
    <row r="1050" s="21"/>
    <row r="1051" s="21"/>
    <row r="1052" s="21"/>
    <row r="1053" s="21"/>
    <row r="1054" s="21"/>
    <row r="1055" s="21"/>
    <row r="1056" s="21"/>
    <row r="1057" s="21"/>
    <row r="1058" s="21"/>
    <row r="1059" s="21"/>
    <row r="1060" s="21"/>
    <row r="1061" s="21"/>
    <row r="1062" s="21"/>
    <row r="1063" s="21"/>
    <row r="1064" s="21"/>
    <row r="1065" s="21"/>
    <row r="1066" s="21"/>
    <row r="1067" s="21"/>
    <row r="1068" s="21"/>
    <row r="1069" s="21"/>
    <row r="1070" s="21"/>
    <row r="1071" s="21"/>
    <row r="1072" s="21"/>
    <row r="1073" s="21"/>
    <row r="1074" s="21"/>
    <row r="1075" s="21"/>
    <row r="1076" s="21"/>
    <row r="1077" s="21"/>
    <row r="1078" s="21"/>
    <row r="1079" s="21"/>
    <row r="1080" s="21"/>
    <row r="1081" s="21"/>
    <row r="1082" s="21"/>
    <row r="1083" s="21"/>
    <row r="1084" s="21"/>
    <row r="1085" s="21"/>
    <row r="1086" s="21"/>
    <row r="1087" s="21"/>
    <row r="1088" s="21"/>
    <row r="1089" s="21"/>
    <row r="1090" s="21"/>
    <row r="1091" s="21"/>
    <row r="1092" s="21"/>
    <row r="1093" s="21"/>
    <row r="1094" s="21"/>
    <row r="1095" s="21"/>
    <row r="1096" s="21"/>
    <row r="1097" s="21"/>
    <row r="1098" s="21"/>
    <row r="1099" s="21"/>
    <row r="1100" s="21"/>
    <row r="1101" s="21"/>
    <row r="1102" s="21"/>
    <row r="1103" s="21"/>
    <row r="1104" s="21"/>
    <row r="1105" s="21"/>
    <row r="1106" s="21"/>
    <row r="1107" s="21"/>
    <row r="1108" s="21"/>
    <row r="1109" s="21"/>
    <row r="1110" s="21"/>
    <row r="1111" s="21"/>
    <row r="1112" s="21"/>
    <row r="1113" s="21"/>
    <row r="1114" s="21"/>
    <row r="1115" s="21"/>
    <row r="1116" s="21"/>
    <row r="1117" s="21"/>
    <row r="1118" s="21"/>
    <row r="1119" s="21"/>
    <row r="1120" s="21"/>
    <row r="1121" s="21"/>
    <row r="1122" s="21"/>
    <row r="1123" s="21"/>
    <row r="1124" s="21"/>
    <row r="1125" s="21"/>
    <row r="1126" s="21"/>
    <row r="1127" s="21"/>
    <row r="1128" s="21"/>
    <row r="1129" s="21"/>
    <row r="1130" s="21"/>
    <row r="1131" s="21"/>
    <row r="1132" s="21"/>
    <row r="1133" s="21"/>
    <row r="1134" s="21"/>
    <row r="1135" s="21"/>
    <row r="1136" s="21"/>
    <row r="1137" s="21"/>
    <row r="1138" s="21"/>
    <row r="1139" s="21"/>
    <row r="1140" s="21"/>
    <row r="1141" s="21"/>
    <row r="1142" s="21"/>
    <row r="1143" s="21"/>
    <row r="1144" s="21"/>
    <row r="1145" s="21"/>
    <row r="1146" s="21"/>
    <row r="1147" s="21"/>
    <row r="1148" s="21"/>
    <row r="1149" s="21"/>
    <row r="1150" s="21"/>
    <row r="1151" s="21"/>
    <row r="1152" s="21"/>
    <row r="1153" s="21"/>
    <row r="1154" s="21"/>
    <row r="1155" s="21"/>
    <row r="1156" s="21"/>
    <row r="1157" s="21"/>
    <row r="1158" s="21"/>
    <row r="1159" s="21"/>
    <row r="1160" s="21"/>
    <row r="1161" s="21"/>
    <row r="1162" s="21"/>
    <row r="1163" s="21"/>
    <row r="1164" s="21"/>
    <row r="1165" s="21"/>
    <row r="1166" s="21"/>
    <row r="1167" s="21"/>
    <row r="1168" s="21"/>
    <row r="1169" s="21"/>
    <row r="1170" s="21"/>
    <row r="1171" s="21"/>
    <row r="1172" s="21"/>
    <row r="1173" s="21"/>
    <row r="1174" s="21"/>
    <row r="1175" s="21"/>
    <row r="1176" s="21"/>
    <row r="1177" s="21"/>
    <row r="1178" s="21"/>
    <row r="1179" s="21"/>
    <row r="1180" s="21"/>
    <row r="1181" s="21"/>
    <row r="1182" s="21"/>
    <row r="1183" s="21"/>
    <row r="1184" s="21"/>
    <row r="1185" s="21"/>
    <row r="1186" s="21"/>
    <row r="1187" s="21"/>
    <row r="1188" s="21"/>
    <row r="1189" s="21"/>
    <row r="1190" s="21"/>
    <row r="1191" s="21"/>
    <row r="1192" s="21"/>
  </sheetData>
  <mergeCells count="1">
    <mergeCell ref="A2:P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1"/>
  <sheetViews>
    <sheetView topLeftCell="K1" zoomScale="85" zoomScaleNormal="85" workbookViewId="0">
      <pane ySplit="1" topLeftCell="A2" activePane="bottomLeft" state="frozen"/>
      <selection activeCell="A1" sqref="A1"/>
      <selection pane="bottomLeft" activeCell="A2" sqref="$A2:$XFD2"/>
    </sheetView>
  </sheetViews>
  <sheetFormatPr baseColWidth="8" defaultColWidth="9" defaultRowHeight="14"/>
  <cols>
    <col width="20" customWidth="1" style="9" min="1" max="3"/>
    <col width="31.4272727272727" customWidth="1" style="9" min="4" max="4"/>
    <col width="18.2181818181818" customWidth="1" style="9" min="5" max="5"/>
    <col width="14.4" customWidth="1" style="10" min="6" max="6"/>
    <col width="30.4636363636364" customWidth="1" style="11" min="7" max="7"/>
    <col width="12.4636363636364" customWidth="1" style="11" min="8" max="8"/>
    <col width="9" customWidth="1" style="11" min="9" max="9"/>
    <col width="16.2636363636364" customWidth="1" style="11" min="10" max="10"/>
    <col width="23.9363636363636" customWidth="1" style="11" min="11" max="11"/>
    <col width="12.4636363636364" customWidth="1" style="11" min="12" max="12"/>
    <col width="15.8636363636364" customWidth="1" style="11" min="13" max="13"/>
    <col width="16.3363636363636" customWidth="1" style="11" min="14" max="14"/>
    <col width="10.5363636363636" customWidth="1" style="11" min="15" max="15"/>
    <col width="11.3363636363636" customWidth="1" style="11" min="16" max="16"/>
    <col width="14.4636363636364" customWidth="1" style="11" min="17" max="17"/>
  </cols>
  <sheetData>
    <row r="1" ht="28.5" customHeight="1" s="21">
      <c r="A1" s="12" t="inlineStr">
        <is>
          <t>类别编码</t>
        </is>
      </c>
      <c r="B1" s="12" t="inlineStr">
        <is>
          <t>类别名称</t>
        </is>
      </c>
      <c r="C1" s="12" t="inlineStr">
        <is>
          <t>物料代码</t>
        </is>
      </c>
      <c r="D1" s="12" t="inlineStr">
        <is>
          <t>长描述</t>
        </is>
      </c>
      <c r="E1" s="12" t="inlineStr">
        <is>
          <t>全描述</t>
        </is>
      </c>
      <c r="F1" s="12" t="inlineStr">
        <is>
          <t>计量单位</t>
        </is>
      </c>
      <c r="G1" s="11" t="inlineStr">
        <is>
          <t>物资名称</t>
        </is>
      </c>
      <c r="H1" s="11" t="inlineStr">
        <is>
          <t>物资简称</t>
        </is>
      </c>
      <c r="I1" s="11" t="inlineStr">
        <is>
          <t>物资别名</t>
        </is>
      </c>
      <c r="J1" s="11" t="inlineStr">
        <is>
          <t>牌号</t>
        </is>
      </c>
      <c r="K1" s="11" t="inlineStr">
        <is>
          <t>规格</t>
        </is>
      </c>
      <c r="L1" s="11" t="inlineStr">
        <is>
          <t>长度</t>
        </is>
      </c>
      <c r="M1" s="11" t="inlineStr">
        <is>
          <t>技术标准号</t>
        </is>
      </c>
      <c r="N1" s="11" t="inlineStr">
        <is>
          <t>规格标准号</t>
        </is>
      </c>
      <c r="O1" s="11" t="inlineStr">
        <is>
          <t>加工工艺</t>
        </is>
      </c>
      <c r="P1" s="11" t="inlineStr">
        <is>
          <t>热处理工艺</t>
        </is>
      </c>
      <c r="Q1" s="11" t="inlineStr">
        <is>
          <t>特殊要求</t>
        </is>
      </c>
    </row>
    <row r="2" customFormat="1" s="1">
      <c r="A2" s="7" t="inlineStr">
        <is>
          <t>注：“〇”表示必填项，“－”表示非必填项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65.65000000000001" customHeight="1" s="21">
      <c r="A3" s="13" t="n"/>
      <c r="B3" s="13" t="n"/>
      <c r="C3" s="13" t="n"/>
      <c r="D3" s="13" t="n"/>
      <c r="E3" s="13" t="n"/>
      <c r="F3" s="12" t="n"/>
      <c r="G3" s="11" t="inlineStr">
        <is>
          <t>〇</t>
        </is>
      </c>
      <c r="H3" s="11" t="inlineStr">
        <is>
          <t>〇</t>
        </is>
      </c>
      <c r="I3" s="11" t="inlineStr">
        <is>
          <t>－</t>
        </is>
      </c>
      <c r="J3" s="11" t="inlineStr">
        <is>
          <t>〇</t>
        </is>
      </c>
      <c r="K3" s="11" t="inlineStr">
        <is>
          <t>〇</t>
        </is>
      </c>
      <c r="L3" s="11" t="inlineStr">
        <is>
          <t>〇</t>
        </is>
      </c>
      <c r="M3" s="11" t="inlineStr">
        <is>
          <t>〇</t>
        </is>
      </c>
      <c r="N3" s="11" t="inlineStr">
        <is>
          <t>〇</t>
        </is>
      </c>
      <c r="O3" s="11" t="inlineStr">
        <is>
          <t>〇</t>
        </is>
      </c>
      <c r="P3" s="11" t="inlineStr">
        <is>
          <t>〇</t>
        </is>
      </c>
      <c r="Q3" s="11" t="inlineStr">
        <is>
          <t>〇</t>
        </is>
      </c>
    </row>
    <row r="4" ht="65.65000000000001" customHeight="1" s="21">
      <c r="A4" s="13" t="inlineStr">
        <is>
          <t>100201</t>
        </is>
      </c>
      <c r="B4" s="13" t="inlineStr">
        <is>
          <t>圆钢</t>
        </is>
      </c>
      <c r="C4" s="13" t="inlineStr">
        <is>
          <t>603571900</t>
        </is>
      </c>
      <c r="D4" s="13" t="inlineStr">
        <is>
          <t>热轧航空用不锈圆钢|圆钢|2Cr13Ni2|Φ18|YB675-1973|热轧</t>
        </is>
      </c>
      <c r="E4" s="13" t="inlineStr">
        <is>
          <t>物资名称 热轧航空用不锈圆钢;物资简称 圆钢;牌号 2Cr13Ni2;直径 Φ18;技术标准号 YB675-1973;加工工艺 热轧;热处理工艺 ;特殊要求 ;规格标准号</t>
        </is>
      </c>
      <c r="F4" s="12" t="inlineStr">
        <is>
          <t>千克</t>
        </is>
      </c>
      <c r="G4" s="11">
        <f>LEFT(D4,FIND("|",D4,1)-1)</f>
        <v/>
      </c>
      <c r="H4" s="11">
        <f>MID(D4,FIND("|",D4,FIND("|",D4,1))+1,FIND("|",D4,FIND("|",D4,1)+1)-FIND("|",D4,FIND("|",D4,1))-1)</f>
        <v/>
      </c>
      <c r="J4" s="11">
        <f>MID(D4,FIND(";",SUBSTITUTE(D4,"|",REPT(";",LEN(D4)),2))+1,FIND(";",SUBSTITUTE(D4,"|",REPT(";",LEN(D4)),3))-FIND(";",SUBSTITUTE(D4,"|",REPT(";",LEN(D4)),2))-1)</f>
        <v/>
      </c>
      <c r="K4" s="11">
        <f>MID(D4,FIND(";",SUBSTITUTE(D4,"|",REPT(";",LEN(D4)),3))+1,FIND(";",SUBSTITUTE(D4,"|",REPT(";",LEN(D4)),4))-FIND(";",SUBSTITUTE(D4,"|",REPT(";",LEN(D4)),3))-1)</f>
        <v/>
      </c>
      <c r="M4" s="11">
        <f>MID(D4,FIND(";",SUBSTITUTE(D4,"|",REPT(";",LEN(D4)),4))+1,FIND(";",SUBSTITUTE(D4,"|",REPT(";",LEN(D4)),5))-FIND(";",SUBSTITUTE(D4,"|",REPT(";",LEN(D4)),4))-1)</f>
        <v/>
      </c>
      <c r="O4" s="11">
        <f>MID(D4,FIND(";",SUBSTITUTE(D4,"|",REPT(";",LEN(D4)),5))+1,LEN(D4))</f>
        <v/>
      </c>
    </row>
    <row r="5" ht="62.25" customHeight="1" s="21">
      <c r="A5" s="13" t="inlineStr">
        <is>
          <t>100201</t>
        </is>
      </c>
      <c r="B5" s="13" t="inlineStr">
        <is>
          <t>圆钢</t>
        </is>
      </c>
      <c r="C5" s="13" t="inlineStr">
        <is>
          <t>603571800</t>
        </is>
      </c>
      <c r="D5" s="13" t="inlineStr">
        <is>
          <t>热轧优质碳素结构圆钢|圆钢|45|Φ60|GB/T 699-2015|热轧|GB/T 702-2017</t>
        </is>
      </c>
      <c r="E5" s="13" t="inlineStr">
        <is>
          <t>物资名称 热轧优质碳素结构圆钢;物资简称 圆钢;牌号 45;直径 Φ60;技术标准号 GB/T 699-2015;加工工艺 热轧;热处理工艺 ;特殊要求 ;规格标准号 GB/T 702-2017</t>
        </is>
      </c>
      <c r="F5" s="12" t="inlineStr">
        <is>
          <t>千克</t>
        </is>
      </c>
      <c r="G5" s="11">
        <f>LEFT(D5,FIND("|",D5,1)-1)</f>
        <v/>
      </c>
      <c r="H5" s="11">
        <f>MID(D5,FIND("|",D5,FIND("|",D5,1))+1,FIND("|",D5,FIND("|",D5,1)+1)-FIND("|",D5,FIND("|",D5,1))-1)</f>
        <v/>
      </c>
      <c r="J5" s="11">
        <f>MID(D5,FIND(";",SUBSTITUTE(D5,"|",REPT(";",LEN(D5)),2))+1,FIND(";",SUBSTITUTE(D5,"|",REPT(";",LEN(D5)),3))-FIND(";",SUBSTITUTE(D5,"|",REPT(";",LEN(D5)),2))-1)</f>
        <v/>
      </c>
      <c r="K5" s="11">
        <f>MID(D5,FIND(";",SUBSTITUTE(D5,"|",REPT(";",LEN(D5)),3))+1,FIND(";",SUBSTITUTE(D5,"|",REPT(";",LEN(D5)),4))-FIND(";",SUBSTITUTE(D5,"|",REPT(";",LEN(D5)),3))-1)</f>
        <v/>
      </c>
      <c r="M5" s="11">
        <f>MID(D5,FIND(";",SUBSTITUTE(D5,"|",REPT(";",LEN(D5)),4))+1,FIND(";",SUBSTITUTE(D5,"|",REPT(";",LEN(D5)),5))-FIND(";",SUBSTITUTE(D5,"|",REPT(";",LEN(D5)),4))-1)</f>
        <v/>
      </c>
      <c r="N5" s="11">
        <f>MID(D5,FIND(";",SUBSTITUTE(D5,"|",REPT(";",LEN(D5)),6))+1,LEN(D5))</f>
        <v/>
      </c>
      <c r="O5" s="11">
        <f>MID(D5,FIND(";",SUBSTITUTE(D5,"|",REPT(";",LEN(D5)),5))+1,FIND(";",SUBSTITUTE(D5,"|",REPT(";",LEN(D5)),6))-FIND(";",SUBSTITUTE(D5,"|",REPT(";",LEN(D5)),5))-1)</f>
        <v/>
      </c>
    </row>
    <row r="6" ht="64.15000000000001" customHeight="1" s="21">
      <c r="A6" s="13" t="inlineStr">
        <is>
          <t>100201</t>
        </is>
      </c>
      <c r="B6" s="13" t="inlineStr">
        <is>
          <t>圆钢</t>
        </is>
      </c>
      <c r="C6" s="13" t="inlineStr">
        <is>
          <t>603571700</t>
        </is>
      </c>
      <c r="D6" s="13" t="inlineStr">
        <is>
          <t>热轧航空用不锈圆钢|圆钢|2Cr13Ni2|Φ26|YB675-1973|热轧</t>
        </is>
      </c>
      <c r="E6" s="13" t="inlineStr">
        <is>
          <t>物资名称 热轧航空用不锈圆钢;物资简称 圆钢;牌号 2Cr13Ni2;直径 Φ26;技术标准号 YB675-1973;加工工艺 热轧;热处理工艺 ;特殊要求 ;规格标准号</t>
        </is>
      </c>
      <c r="F6" s="12" t="inlineStr">
        <is>
          <t>千克</t>
        </is>
      </c>
      <c r="G6" s="11">
        <f>LEFT(D6,FIND("|",D6,1)-1)</f>
        <v/>
      </c>
      <c r="H6" s="11">
        <f>MID(D6,FIND("|",D6,FIND("|",D6,1))+1,FIND("|",D6,FIND("|",D6,1)+1)-FIND("|",D6,FIND("|",D6,1))-1)</f>
        <v/>
      </c>
      <c r="J6" s="11">
        <f>MID(D6,FIND(";",SUBSTITUTE(D6,"|",REPT(";",LEN(D6)),2))+1,FIND(";",SUBSTITUTE(D6,"|",REPT(";",LEN(D6)),3))-FIND(";",SUBSTITUTE(D6,"|",REPT(";",LEN(D6)),2))-1)</f>
        <v/>
      </c>
      <c r="K6" s="11">
        <f>MID(D6,FIND(";",SUBSTITUTE(D6,"|",REPT(";",LEN(D6)),3))+1,FIND(";",SUBSTITUTE(D6,"|",REPT(";",LEN(D6)),4))-FIND(";",SUBSTITUTE(D6,"|",REPT(";",LEN(D6)),3))-1)</f>
        <v/>
      </c>
      <c r="M6" s="11">
        <f>MID(D6,FIND(";",SUBSTITUTE(D6,"|",REPT(";",LEN(D6)),4))+1,FIND(";",SUBSTITUTE(D6,"|",REPT(";",LEN(D6)),5))-FIND(";",SUBSTITUTE(D6,"|",REPT(";",LEN(D6)),4))-1)</f>
        <v/>
      </c>
      <c r="O6" s="11">
        <f>MID(D6,FIND(";",SUBSTITUTE(D6,"|",REPT(";",LEN(D6)),5))+1,LEN(D6))</f>
        <v/>
      </c>
    </row>
    <row r="7" ht="58.9" customHeight="1" s="21">
      <c r="A7" s="13" t="inlineStr">
        <is>
          <t>100201</t>
        </is>
      </c>
      <c r="B7" s="13" t="inlineStr">
        <is>
          <t>圆钢</t>
        </is>
      </c>
      <c r="C7" s="13" t="inlineStr">
        <is>
          <t>603571600</t>
        </is>
      </c>
      <c r="D7" s="13" t="inlineStr">
        <is>
          <t>热轧航空用不锈圆钢|圆钢|2Cr13Ni2|Φ40|YB675-1973|热轧</t>
        </is>
      </c>
      <c r="E7" s="13" t="inlineStr">
        <is>
          <t>物资名称 热轧航空用不锈圆钢;物资简称 圆钢;牌号 2Cr13Ni2;直径 Φ40;技术标准号 YB675-1973;加工工艺 热轧;热处理工艺 ;特殊要求 ;规格标准号</t>
        </is>
      </c>
      <c r="F7" s="12" t="inlineStr">
        <is>
          <t>千克</t>
        </is>
      </c>
      <c r="G7" s="11">
        <f>LEFT(D7,FIND("|",D7,1)-1)</f>
        <v/>
      </c>
      <c r="H7" s="11">
        <f>MID(D7,FIND("|",D7,FIND("|",D7,1))+1,FIND("|",D7,FIND("|",D7,1)+1)-FIND("|",D7,FIND("|",D7,1))-1)</f>
        <v/>
      </c>
      <c r="J7" s="11">
        <f>MID(D7,FIND(";",SUBSTITUTE(D7,"|",REPT(";",LEN(D7)),2))+1,FIND(";",SUBSTITUTE(D7,"|",REPT(";",LEN(D7)),3))-FIND(";",SUBSTITUTE(D7,"|",REPT(";",LEN(D7)),2))-1)</f>
        <v/>
      </c>
      <c r="K7" s="11">
        <f>MID(D7,FIND(";",SUBSTITUTE(D7,"|",REPT(";",LEN(D7)),3))+1,FIND(";",SUBSTITUTE(D7,"|",REPT(";",LEN(D7)),4))-FIND(";",SUBSTITUTE(D7,"|",REPT(";",LEN(D7)),3))-1)</f>
        <v/>
      </c>
      <c r="M7" s="11">
        <f>MID(D7,FIND(";",SUBSTITUTE(D7,"|",REPT(";",LEN(D7)),4))+1,FIND(";",SUBSTITUTE(D7,"|",REPT(";",LEN(D7)),5))-FIND(";",SUBSTITUTE(D7,"|",REPT(";",LEN(D7)),4))-1)</f>
        <v/>
      </c>
      <c r="O7" s="11">
        <f>MID(D7,FIND(";",SUBSTITUTE(D7,"|",REPT(";",LEN(D7)),5))+1,LEN(D7))</f>
        <v/>
      </c>
    </row>
    <row r="8" ht="48.75" customHeight="1" s="21">
      <c r="A8" s="13" t="inlineStr">
        <is>
          <t>100201</t>
        </is>
      </c>
      <c r="B8" s="13" t="inlineStr">
        <is>
          <t>圆钢</t>
        </is>
      </c>
      <c r="C8" s="13" t="inlineStr">
        <is>
          <t>603571500</t>
        </is>
      </c>
      <c r="D8" s="13" t="inlineStr">
        <is>
          <t>热轧航空用不锈圆钢|圆钢|2Cr13Ni2|Φ24|YB675-1973|热轧</t>
        </is>
      </c>
      <c r="E8" s="13" t="inlineStr">
        <is>
          <t>物资名称 热轧航空用不锈圆钢;物资简称 圆钢;牌号 2Cr13Ni2;直径 Φ24;技术标准号 YB675-1973;加工工艺 热轧;热处理工艺 ;特殊要求 ;规格标准号</t>
        </is>
      </c>
      <c r="F8" s="12" t="inlineStr">
        <is>
          <t>千克</t>
        </is>
      </c>
      <c r="G8" s="11">
        <f>LEFT(D8,FIND("|",D8,1)-1)</f>
        <v/>
      </c>
      <c r="H8" s="11">
        <f>MID(D8,FIND("|",D8,FIND("|",D8,1))+1,FIND("|",D8,FIND("|",D8,1)+1)-FIND("|",D8,FIND("|",D8,1))-1)</f>
        <v/>
      </c>
      <c r="J8" s="11">
        <f>MID(D8,FIND(";",SUBSTITUTE(D8,"|",REPT(";",LEN(D8)),2))+1,FIND(";",SUBSTITUTE(D8,"|",REPT(";",LEN(D8)),3))-FIND(";",SUBSTITUTE(D8,"|",REPT(";",LEN(D8)),2))-1)</f>
        <v/>
      </c>
      <c r="K8" s="11">
        <f>MID(D8,FIND(";",SUBSTITUTE(D8,"|",REPT(";",LEN(D8)),3))+1,FIND(";",SUBSTITUTE(D8,"|",REPT(";",LEN(D8)),4))-FIND(";",SUBSTITUTE(D8,"|",REPT(";",LEN(D8)),3))-1)</f>
        <v/>
      </c>
      <c r="M8" s="11">
        <f>MID(D8,FIND(";",SUBSTITUTE(D8,"|",REPT(";",LEN(D8)),4))+1,FIND(";",SUBSTITUTE(D8,"|",REPT(";",LEN(D8)),5))-FIND(";",SUBSTITUTE(D8,"|",REPT(";",LEN(D8)),4))-1)</f>
        <v/>
      </c>
      <c r="O8" s="11">
        <f>MID(D8,FIND(";",SUBSTITUTE(D8,"|",REPT(";",LEN(D8)),5))+1,LEN(D8))</f>
        <v/>
      </c>
    </row>
    <row r="9" ht="51.75" customHeight="1" s="21">
      <c r="A9" s="13" t="inlineStr">
        <is>
          <t>100201</t>
        </is>
      </c>
      <c r="B9" s="13" t="inlineStr">
        <is>
          <t>圆钢</t>
        </is>
      </c>
      <c r="C9" s="13" t="inlineStr">
        <is>
          <t>603569200</t>
        </is>
      </c>
      <c r="D9" s="13" t="inlineStr">
        <is>
          <t>热轧优质碳素结构圆钢|圆钢|45|Φ235|GB/T 699-2015|热轧|GB/T 702-2017</t>
        </is>
      </c>
      <c r="E9" s="13" t="inlineStr">
        <is>
          <t>物资名称 热轧优质碳素结构圆钢;物资简称 圆钢;牌号 45;直径 Φ235;技术标准号 GB/T 699-2015;加工工艺 热轧;热处理工艺 ;特殊要求 ;规格标准号 GB/T 702-2017</t>
        </is>
      </c>
      <c r="F9" s="12" t="inlineStr">
        <is>
          <t>千克</t>
        </is>
      </c>
      <c r="G9" s="11">
        <f>LEFT(D9,FIND("|",D9,1)-1)</f>
        <v/>
      </c>
      <c r="H9" s="11">
        <f>MID(D9,FIND("|",D9,FIND("|",D9,1))+1,FIND("|",D9,FIND("|",D9,1)+1)-FIND("|",D9,FIND("|",D9,1))-1)</f>
        <v/>
      </c>
      <c r="J9" s="11">
        <f>MID(D9,FIND(";",SUBSTITUTE(D9,"|",REPT(";",LEN(D9)),2))+1,FIND(";",SUBSTITUTE(D9,"|",REPT(";",LEN(D9)),3))-FIND(";",SUBSTITUTE(D9,"|",REPT(";",LEN(D9)),2))-1)</f>
        <v/>
      </c>
      <c r="K9" s="11">
        <f>MID(D9,FIND(";",SUBSTITUTE(D9,"|",REPT(";",LEN(D9)),3))+1,FIND(";",SUBSTITUTE(D9,"|",REPT(";",LEN(D9)),4))-FIND(";",SUBSTITUTE(D9,"|",REPT(";",LEN(D9)),3))-1)</f>
        <v/>
      </c>
      <c r="M9" s="11">
        <f>MID(D9,FIND(";",SUBSTITUTE(D9,"|",REPT(";",LEN(D9)),4))+1,FIND(";",SUBSTITUTE(D9,"|",REPT(";",LEN(D9)),5))-FIND(";",SUBSTITUTE(D9,"|",REPT(";",LEN(D9)),4))-1)</f>
        <v/>
      </c>
      <c r="N9" s="11">
        <f>MID(D9,FIND(";",SUBSTITUTE(D9,"|",REPT(";",LEN(D9)),6))+1,LEN(D9))</f>
        <v/>
      </c>
      <c r="O9" s="11">
        <f>MID(D9,FIND(";",SUBSTITUTE(D9,"|",REPT(";",LEN(D9)),5))+1,FIND(";",SUBSTITUTE(D9,"|",REPT(";",LEN(D9)),6))-FIND(";",SUBSTITUTE(D9,"|",REPT(";",LEN(D9)),5))-1)</f>
        <v/>
      </c>
    </row>
    <row r="10" ht="49.9" customHeight="1" s="21">
      <c r="A10" s="13" t="inlineStr">
        <is>
          <t>100201</t>
        </is>
      </c>
      <c r="B10" s="13" t="inlineStr">
        <is>
          <t>圆钢</t>
        </is>
      </c>
      <c r="C10" s="13" t="inlineStr">
        <is>
          <t>603568700</t>
        </is>
      </c>
      <c r="D10" s="13" t="inlineStr">
        <is>
          <t>合金结构钢棒|钢棒|30CrMnSiA|Φ6|GB/T 3077-2015</t>
        </is>
      </c>
      <c r="E10" s="13" t="inlineStr">
        <is>
          <t>物资名称 合金结构钢棒;物资简称 钢棒;牌号 30CrMnSiA;直径 Φ6;技术标准号 GB/T 3077-2015;加工工艺 ;热处理工艺 ;特殊要求 ;规格标准号</t>
        </is>
      </c>
      <c r="F10" s="12" t="inlineStr">
        <is>
          <t>千克</t>
        </is>
      </c>
      <c r="G10" s="11">
        <f>LEFT(D10,FIND("|",D10,1)-1)</f>
        <v/>
      </c>
      <c r="H10" s="11">
        <f>MID(D10,FIND("|",D10,FIND("|",D10,1))+1,FIND("|",D10,FIND("|",D10,1)+1)-FIND("|",D10,FIND("|",D10,1))-1)</f>
        <v/>
      </c>
      <c r="J10" s="11">
        <f>MID(D10,FIND(";",SUBSTITUTE(D10,"|",REPT(";",LEN(D10)),2))+1,FIND(";",SUBSTITUTE(D10,"|",REPT(";",LEN(D10)),3))-FIND(";",SUBSTITUTE(D10,"|",REPT(";",LEN(D10)),2))-1)</f>
        <v/>
      </c>
      <c r="K10" s="11">
        <f>MID(D10,FIND(";",SUBSTITUTE(D10,"|",REPT(";",LEN(D10)),3))+1,FIND(";",SUBSTITUTE(D10,"|",REPT(";",LEN(D10)),4))-FIND(";",SUBSTITUTE(D10,"|",REPT(";",LEN(D10)),3))-1)</f>
        <v/>
      </c>
      <c r="M10" s="11">
        <f>MID(D10,FIND(";",SUBSTITUTE(D10,"|",REPT(";",LEN(D10)),4))+1,LEN(D10))</f>
        <v/>
      </c>
    </row>
    <row r="11" ht="44.65" customHeight="1" s="21">
      <c r="A11" s="13" t="inlineStr">
        <is>
          <t>100201</t>
        </is>
      </c>
      <c r="B11" s="13" t="inlineStr">
        <is>
          <t>圆钢</t>
        </is>
      </c>
      <c r="C11" s="13" t="inlineStr">
        <is>
          <t>603568400</t>
        </is>
      </c>
      <c r="D11" s="13" t="inlineStr">
        <is>
          <t>合金结构钢棒|钢棒|30CrMnSiA|Φ5|GB/T 3077-2015</t>
        </is>
      </c>
      <c r="E11" s="13" t="inlineStr">
        <is>
          <t>物资名称 合金结构钢棒;物资简称 钢棒;牌号 30CrMnSiA;直径 Φ5;技术标准号 GB/T 3077-2015;加工工艺 ;热处理工艺 ;特殊要求 ;规格标准号</t>
        </is>
      </c>
      <c r="F11" s="12" t="inlineStr">
        <is>
          <t>千克</t>
        </is>
      </c>
      <c r="G11" s="11">
        <f>LEFT(D11,FIND("|",D11,1)-1)</f>
        <v/>
      </c>
      <c r="H11" s="11">
        <f>MID(D11,FIND("|",D11,FIND("|",D11,1))+1,FIND("|",D11,FIND("|",D11,1)+1)-FIND("|",D11,FIND("|",D11,1))-1)</f>
        <v/>
      </c>
      <c r="J11" s="11">
        <f>MID(D11,FIND(";",SUBSTITUTE(D11,"|",REPT(";",LEN(D11)),2))+1,FIND(";",SUBSTITUTE(D11,"|",REPT(";",LEN(D11)),3))-FIND(";",SUBSTITUTE(D11,"|",REPT(";",LEN(D11)),2))-1)</f>
        <v/>
      </c>
      <c r="K11" s="11">
        <f>MID(D11,FIND(";",SUBSTITUTE(D11,"|",REPT(";",LEN(D11)),3))+1,FIND(";",SUBSTITUTE(D11,"|",REPT(";",LEN(D11)),4))-FIND(";",SUBSTITUTE(D11,"|",REPT(";",LEN(D11)),3))-1)</f>
        <v/>
      </c>
      <c r="M11" s="11">
        <f>MID(D11,FIND(";",SUBSTITUTE(D11,"|",REPT(";",LEN(D11)),4))+1,LEN(D11))</f>
        <v/>
      </c>
    </row>
    <row r="12" ht="47.65" customHeight="1" s="21">
      <c r="A12" s="13" t="inlineStr">
        <is>
          <t>100201</t>
        </is>
      </c>
      <c r="B12" s="13" t="inlineStr">
        <is>
          <t>圆钢</t>
        </is>
      </c>
      <c r="C12" s="13" t="inlineStr">
        <is>
          <t>603568100</t>
        </is>
      </c>
      <c r="D12" s="13" t="inlineStr">
        <is>
          <t>合金结构钢棒|钢棒|30CrMnSiA|Φ12|GB/T 3077-2015</t>
        </is>
      </c>
      <c r="E12" s="13" t="inlineStr">
        <is>
          <t>物资名称 合金结构钢棒;物资简称 钢棒;牌号 30CrMnSiA;直径 Φ12;技术标准号 GB/T 3077-2015;加工工艺 ;热处理工艺 ;特殊要求 ;规格标准号</t>
        </is>
      </c>
      <c r="F12" s="12" t="inlineStr">
        <is>
          <t>千克</t>
        </is>
      </c>
      <c r="G12" s="11">
        <f>LEFT(D12,FIND("|",D12,1)-1)</f>
        <v/>
      </c>
      <c r="H12" s="11">
        <f>MID(D12,FIND("|",D12,FIND("|",D12,1))+1,FIND("|",D12,FIND("|",D12,1)+1)-FIND("|",D12,FIND("|",D12,1))-1)</f>
        <v/>
      </c>
      <c r="J12" s="11">
        <f>MID(D12,FIND(";",SUBSTITUTE(D12,"|",REPT(";",LEN(D12)),2))+1,FIND(";",SUBSTITUTE(D12,"|",REPT(";",LEN(D12)),3))-FIND(";",SUBSTITUTE(D12,"|",REPT(";",LEN(D12)),2))-1)</f>
        <v/>
      </c>
      <c r="K12" s="11">
        <f>MID(D12,FIND(";",SUBSTITUTE(D12,"|",REPT(";",LEN(D12)),3))+1,FIND(";",SUBSTITUTE(D12,"|",REPT(";",LEN(D12)),4))-FIND(";",SUBSTITUTE(D12,"|",REPT(";",LEN(D12)),3))-1)</f>
        <v/>
      </c>
      <c r="M12" s="11">
        <f>MID(D12,FIND(";",SUBSTITUTE(D12,"|",REPT(";",LEN(D12)),4))+1,LEN(D12))</f>
        <v/>
      </c>
    </row>
    <row r="13" ht="39.75" customHeight="1" s="21">
      <c r="A13" s="13" t="inlineStr">
        <is>
          <t>100201</t>
        </is>
      </c>
      <c r="B13" s="13" t="inlineStr">
        <is>
          <t>圆钢</t>
        </is>
      </c>
      <c r="C13" s="13" t="inlineStr">
        <is>
          <t>603568000</t>
        </is>
      </c>
      <c r="D13" s="13" t="inlineStr">
        <is>
          <t>合金结构钢棒|钢棒|30CrMnSiA|Φ10|GB/T 3077-2015</t>
        </is>
      </c>
      <c r="E13" s="13" t="inlineStr">
        <is>
          <t>物资名称 合金结构钢棒;物资简称 钢棒;牌号 30CrMnSiA;直径 Φ10;技术标准号 GB/T 3077-2015;加工工艺 ;热处理工艺 ;特殊要求 ;规格标准号</t>
        </is>
      </c>
      <c r="F13" s="12" t="inlineStr">
        <is>
          <t>千克</t>
        </is>
      </c>
      <c r="G13" s="11">
        <f>LEFT(D13,FIND("|",D13,1)-1)</f>
        <v/>
      </c>
      <c r="H13" s="11">
        <f>MID(D13,FIND("|",D13,FIND("|",D13,1))+1,FIND("|",D13,FIND("|",D13,1)+1)-FIND("|",D13,FIND("|",D13,1))-1)</f>
        <v/>
      </c>
      <c r="J13" s="11">
        <f>MID(D13,FIND(";",SUBSTITUTE(D13,"|",REPT(";",LEN(D13)),2))+1,FIND(";",SUBSTITUTE(D13,"|",REPT(";",LEN(D13)),3))-FIND(";",SUBSTITUTE(D13,"|",REPT(";",LEN(D13)),2))-1)</f>
        <v/>
      </c>
      <c r="K13" s="11">
        <f>MID(D13,FIND(";",SUBSTITUTE(D13,"|",REPT(";",LEN(D13)),3))+1,FIND(";",SUBSTITUTE(D13,"|",REPT(";",LEN(D13)),4))-FIND(";",SUBSTITUTE(D13,"|",REPT(";",LEN(D13)),3))-1)</f>
        <v/>
      </c>
      <c r="M13" s="11">
        <f>MID(D13,FIND(";",SUBSTITUTE(D13,"|",REPT(";",LEN(D13)),4))+1,LEN(D13))</f>
        <v/>
      </c>
    </row>
    <row r="14" ht="45" customHeight="1" s="21">
      <c r="A14" s="13" t="inlineStr">
        <is>
          <t>100201</t>
        </is>
      </c>
      <c r="B14" s="13" t="inlineStr">
        <is>
          <t>圆钢</t>
        </is>
      </c>
      <c r="C14" s="13" t="inlineStr">
        <is>
          <t>603567300</t>
        </is>
      </c>
      <c r="D14" s="13" t="inlineStr">
        <is>
          <t>热轧优质碳素结构圆钢|圆钢|45|Φ55|GB/T 699-2015|热轧|GB/T 702-2017</t>
        </is>
      </c>
      <c r="E14" s="13" t="inlineStr">
        <is>
          <t>物资名称 热轧优质碳素结构圆钢;物资简称 圆钢;牌号 45;直径 Φ55;技术标准号 GB/T 699-2015;加工工艺 热轧;热处理工艺 ;特殊要求 ;规格标准号 GB/T 702-2017</t>
        </is>
      </c>
      <c r="F14" s="12" t="inlineStr">
        <is>
          <t>千克</t>
        </is>
      </c>
      <c r="G14" s="11">
        <f>LEFT(D14,FIND("|",D14,1)-1)</f>
        <v/>
      </c>
      <c r="H14" s="11">
        <f>MID(D14,FIND("|",D14,FIND("|",D14,1))+1,FIND("|",D14,FIND("|",D14,1)+1)-FIND("|",D14,FIND("|",D14,1))-1)</f>
        <v/>
      </c>
      <c r="J14" s="11">
        <f>MID(D14,FIND(";",SUBSTITUTE(D14,"|",REPT(";",LEN(D14)),2))+1,FIND(";",SUBSTITUTE(D14,"|",REPT(";",LEN(D14)),3))-FIND(";",SUBSTITUTE(D14,"|",REPT(";",LEN(D14)),2))-1)</f>
        <v/>
      </c>
      <c r="K14" s="11">
        <f>MID(D14,FIND(";",SUBSTITUTE(D14,"|",REPT(";",LEN(D14)),3))+1,FIND(";",SUBSTITUTE(D14,"|",REPT(";",LEN(D14)),4))-FIND(";",SUBSTITUTE(D14,"|",REPT(";",LEN(D14)),3))-1)</f>
        <v/>
      </c>
      <c r="M14" s="11">
        <f>MID(D14,FIND(";",SUBSTITUTE(D14,"|",REPT(";",LEN(D14)),4))+1,FIND(";",SUBSTITUTE(D14,"|",REPT(";",LEN(D14)),5))-FIND(";",SUBSTITUTE(D14,"|",REPT(";",LEN(D14)),4))-1)</f>
        <v/>
      </c>
      <c r="N14" s="11">
        <f>MID(D14,FIND(";",SUBSTITUTE(D14,"|",REPT(";",LEN(D14)),6))+1,LEN(D14))</f>
        <v/>
      </c>
      <c r="O14" s="11">
        <f>MID(D14,FIND(";",SUBSTITUTE(D14,"|",REPT(";",LEN(D14)),5))+1,FIND(";",SUBSTITUTE(D14,"|",REPT(";",LEN(D14)),6))-FIND(";",SUBSTITUTE(D14,"|",REPT(";",LEN(D14)),5))-1)</f>
        <v/>
      </c>
    </row>
    <row r="15" ht="56.25" customHeight="1" s="21">
      <c r="A15" s="13" t="inlineStr">
        <is>
          <t>100201</t>
        </is>
      </c>
      <c r="B15" s="13" t="inlineStr">
        <is>
          <t>圆钢</t>
        </is>
      </c>
      <c r="C15" s="13" t="inlineStr">
        <is>
          <t>603564000</t>
        </is>
      </c>
      <c r="D15" s="13" t="inlineStr">
        <is>
          <t>热轧不锈圆钢|圆钢|14Cr17Ni2|Φ55|GB/T 1220-2007|热轧|GB/T 702-2008</t>
        </is>
      </c>
      <c r="E15" s="13" t="inlineStr">
        <is>
          <t>物资名称 热轧不锈圆钢;物资简称 圆钢;牌号 14Cr17Ni2;直径 Φ55;技术标准号 GB/T 1220-2007;加工工艺 热轧;热处理工艺 ;特殊要求 ;规格标准号 GB/T 702-2008</t>
        </is>
      </c>
      <c r="F15" s="12" t="inlineStr">
        <is>
          <t>千克</t>
        </is>
      </c>
      <c r="G15" s="11">
        <f>LEFT(D15,FIND("|",D15,1)-1)</f>
        <v/>
      </c>
      <c r="H15" s="11">
        <f>MID(D15,FIND("|",D15,FIND("|",D15,1))+1,FIND("|",D15,FIND("|",D15,1)+1)-FIND("|",D15,FIND("|",D15,1))-1)</f>
        <v/>
      </c>
      <c r="J15" s="11">
        <f>MID(D15,FIND(";",SUBSTITUTE(D15,"|",REPT(";",LEN(D15)),2))+1,FIND(";",SUBSTITUTE(D15,"|",REPT(";",LEN(D15)),3))-FIND(";",SUBSTITUTE(D15,"|",REPT(";",LEN(D15)),2))-1)</f>
        <v/>
      </c>
      <c r="K15" s="11">
        <f>MID(D15,FIND(";",SUBSTITUTE(D15,"|",REPT(";",LEN(D15)),3))+1,FIND(";",SUBSTITUTE(D15,"|",REPT(";",LEN(D15)),4))-FIND(";",SUBSTITUTE(D15,"|",REPT(";",LEN(D15)),3))-1)</f>
        <v/>
      </c>
      <c r="M15" s="11">
        <f>MID(D15,FIND(";",SUBSTITUTE(D15,"|",REPT(";",LEN(D15)),4))+1,FIND(";",SUBSTITUTE(D15,"|",REPT(";",LEN(D15)),5))-FIND(";",SUBSTITUTE(D15,"|",REPT(";",LEN(D15)),4))-1)</f>
        <v/>
      </c>
      <c r="N15" s="11">
        <f>MID(D15,FIND(";",SUBSTITUTE(D15,"|",REPT(";",LEN(D15)),6))+1,LEN(D15))</f>
        <v/>
      </c>
      <c r="O15" s="11">
        <f>MID(D15,FIND(";",SUBSTITUTE(D15,"|",REPT(";",LEN(D15)),5))+1,FIND(";",SUBSTITUTE(D15,"|",REPT(";",LEN(D15)),6))-FIND(";",SUBSTITUTE(D15,"|",REPT(";",LEN(D15)),5))-1)</f>
        <v/>
      </c>
    </row>
    <row r="16" ht="140" customHeight="1" s="21">
      <c r="A16" s="13" t="inlineStr">
        <is>
          <t>100201</t>
        </is>
      </c>
      <c r="B16" s="13" t="inlineStr">
        <is>
          <t>圆钢</t>
        </is>
      </c>
      <c r="C16" s="13" t="inlineStr">
        <is>
          <t>603563900</t>
        </is>
      </c>
      <c r="D16" s="13" t="inlineStr">
        <is>
          <t>热轧不锈圆钢|圆钢|14Cr17Ni2|Φ36|GB/T 1220-2007|热轧|GB/T 702-2008</t>
        </is>
      </c>
      <c r="E16" s="13" t="inlineStr">
        <is>
          <t>物资名称 热轧不锈圆钢;物资简称 圆钢;牌号 14Cr17Ni2;直径 Φ36;技术标准号 GB/T 1220-2007;加工工艺 热轧;热处理工艺 ;特殊要求 ;规格标准号 GB/T 702-2008</t>
        </is>
      </c>
      <c r="F16" s="12" t="inlineStr">
        <is>
          <t>千克</t>
        </is>
      </c>
      <c r="G16" s="11">
        <f>LEFT(D16,FIND("|",D16,1)-1)</f>
        <v/>
      </c>
      <c r="H16" s="11">
        <f>MID(D16,FIND("|",D16,FIND("|",D16,1))+1,FIND("|",D16,FIND("|",D16,1)+1)-FIND("|",D16,FIND("|",D16,1))-1)</f>
        <v/>
      </c>
      <c r="J16" s="11">
        <f>MID(D16,FIND(";",SUBSTITUTE(D16,"|",REPT(";",LEN(D16)),2))+1,FIND(";",SUBSTITUTE(D16,"|",REPT(";",LEN(D16)),3))-FIND(";",SUBSTITUTE(D16,"|",REPT(";",LEN(D16)),2))-1)</f>
        <v/>
      </c>
      <c r="K16" s="11">
        <f>MID(D16,FIND(";",SUBSTITUTE(D16,"|",REPT(";",LEN(D16)),3))+1,FIND(";",SUBSTITUTE(D16,"|",REPT(";",LEN(D16)),4))-FIND(";",SUBSTITUTE(D16,"|",REPT(";",LEN(D16)),3))-1)</f>
        <v/>
      </c>
      <c r="M16" s="11">
        <f>MID(D16,FIND(";",SUBSTITUTE(D16,"|",REPT(";",LEN(D16)),4))+1,FIND(";",SUBSTITUTE(D16,"|",REPT(";",LEN(D16)),5))-FIND(";",SUBSTITUTE(D16,"|",REPT(";",LEN(D16)),4))-1)</f>
        <v/>
      </c>
      <c r="N16" s="11">
        <f>MID(D16,FIND(";",SUBSTITUTE(D16,"|",REPT(";",LEN(D16)),6))+1,LEN(D16))</f>
        <v/>
      </c>
      <c r="O16" s="11">
        <f>MID(D16,FIND(";",SUBSTITUTE(D16,"|",REPT(";",LEN(D16)),5))+1,FIND(";",SUBSTITUTE(D16,"|",REPT(";",LEN(D16)),6))-FIND(";",SUBSTITUTE(D16,"|",REPT(";",LEN(D16)),5))-1)</f>
        <v/>
      </c>
    </row>
    <row r="17" ht="140" customHeight="1" s="21">
      <c r="A17" s="13" t="inlineStr">
        <is>
          <t>100201</t>
        </is>
      </c>
      <c r="B17" s="13" t="inlineStr">
        <is>
          <t>圆钢</t>
        </is>
      </c>
      <c r="C17" s="13" t="inlineStr">
        <is>
          <t>603563800</t>
        </is>
      </c>
      <c r="D17" s="13" t="inlineStr">
        <is>
          <t>热轧不锈圆钢|圆钢|14Cr17Ni2|Φ70|GB/T 1220-2007|热轧|GB/T 702-2008</t>
        </is>
      </c>
      <c r="E17" s="13" t="inlineStr">
        <is>
          <t>物资名称 热轧不锈圆钢;物资简称 圆钢;牌号 14Cr17Ni2;直径 Φ70;技术标准号 GB/T 1220-2007;加工工艺 热轧;热处理工艺 ;特殊要求 ;规格标准号 GB/T 702-2008</t>
        </is>
      </c>
      <c r="F17" s="12" t="inlineStr">
        <is>
          <t>千克</t>
        </is>
      </c>
      <c r="G17" s="11">
        <f>LEFT(D17,FIND("|",D17,1)-1)</f>
        <v/>
      </c>
      <c r="H17" s="11">
        <f>MID(D17,FIND("|",D17,FIND("|",D17,1))+1,FIND("|",D17,FIND("|",D17,1)+1)-FIND("|",D17,FIND("|",D17,1))-1)</f>
        <v/>
      </c>
      <c r="J17" s="11">
        <f>MID(D17,FIND(";",SUBSTITUTE(D17,"|",REPT(";",LEN(D17)),2))+1,FIND(";",SUBSTITUTE(D17,"|",REPT(";",LEN(D17)),3))-FIND(";",SUBSTITUTE(D17,"|",REPT(";",LEN(D17)),2))-1)</f>
        <v/>
      </c>
      <c r="K17" s="11">
        <f>MID(D17,FIND(";",SUBSTITUTE(D17,"|",REPT(";",LEN(D17)),3))+1,FIND(";",SUBSTITUTE(D17,"|",REPT(";",LEN(D17)),4))-FIND(";",SUBSTITUTE(D17,"|",REPT(";",LEN(D17)),3))-1)</f>
        <v/>
      </c>
      <c r="M17" s="11">
        <f>MID(D17,FIND(";",SUBSTITUTE(D17,"|",REPT(";",LEN(D17)),4))+1,FIND(";",SUBSTITUTE(D17,"|",REPT(";",LEN(D17)),5))-FIND(";",SUBSTITUTE(D17,"|",REPT(";",LEN(D17)),4))-1)</f>
        <v/>
      </c>
      <c r="N17" s="11">
        <f>MID(D17,FIND(";",SUBSTITUTE(D17,"|",REPT(";",LEN(D17)),6))+1,LEN(D17))</f>
        <v/>
      </c>
      <c r="O17" s="11">
        <f>MID(D17,FIND(";",SUBSTITUTE(D17,"|",REPT(";",LEN(D17)),5))+1,FIND(";",SUBSTITUTE(D17,"|",REPT(";",LEN(D17)),6))-FIND(";",SUBSTITUTE(D17,"|",REPT(";",LEN(D17)),5))-1)</f>
        <v/>
      </c>
    </row>
    <row r="18" ht="140" customHeight="1" s="21">
      <c r="A18" s="13" t="inlineStr">
        <is>
          <t>100201</t>
        </is>
      </c>
      <c r="B18" s="13" t="inlineStr">
        <is>
          <t>圆钢</t>
        </is>
      </c>
      <c r="C18" s="13" t="inlineStr">
        <is>
          <t>603563700</t>
        </is>
      </c>
      <c r="D18" s="13" t="inlineStr">
        <is>
          <t>热轧不锈圆钢|圆钢|14Cr17Ni2|Φ80|GB/T 1220-2007|热轧|GB/T 702-2008</t>
        </is>
      </c>
      <c r="E18" s="13" t="inlineStr">
        <is>
          <t>物资名称 热轧不锈圆钢;物资简称 圆钢;牌号 14Cr17Ni2;直径 Φ80;技术标准号 GB/T 1220-2007;加工工艺 热轧;热处理工艺 ;特殊要求 ;规格标准号 GB/T 702-2008</t>
        </is>
      </c>
      <c r="F18" s="12" t="inlineStr">
        <is>
          <t>千克</t>
        </is>
      </c>
      <c r="G18" s="11">
        <f>LEFT(D18,FIND("|",D18,1)-1)</f>
        <v/>
      </c>
      <c r="H18" s="11">
        <f>MID(D18,FIND("|",D18,FIND("|",D18,1))+1,FIND("|",D18,FIND("|",D18,1)+1)-FIND("|",D18,FIND("|",D18,1))-1)</f>
        <v/>
      </c>
      <c r="J18" s="11">
        <f>MID(D18,FIND(";",SUBSTITUTE(D18,"|",REPT(";",LEN(D18)),2))+1,FIND(";",SUBSTITUTE(D18,"|",REPT(";",LEN(D18)),3))-FIND(";",SUBSTITUTE(D18,"|",REPT(";",LEN(D18)),2))-1)</f>
        <v/>
      </c>
      <c r="K18" s="11">
        <f>MID(D18,FIND(";",SUBSTITUTE(D18,"|",REPT(";",LEN(D18)),3))+1,FIND(";",SUBSTITUTE(D18,"|",REPT(";",LEN(D18)),4))-FIND(";",SUBSTITUTE(D18,"|",REPT(";",LEN(D18)),3))-1)</f>
        <v/>
      </c>
      <c r="M18" s="11">
        <f>MID(D18,FIND(";",SUBSTITUTE(D18,"|",REPT(";",LEN(D18)),4))+1,FIND(";",SUBSTITUTE(D18,"|",REPT(";",LEN(D18)),5))-FIND(";",SUBSTITUTE(D18,"|",REPT(";",LEN(D18)),4))-1)</f>
        <v/>
      </c>
      <c r="N18" s="11">
        <f>MID(D18,FIND(";",SUBSTITUTE(D18,"|",REPT(";",LEN(D18)),6))+1,LEN(D18))</f>
        <v/>
      </c>
      <c r="O18" s="11">
        <f>MID(D18,FIND(";",SUBSTITUTE(D18,"|",REPT(";",LEN(D18)),5))+1,FIND(";",SUBSTITUTE(D18,"|",REPT(";",LEN(D18)),6))-FIND(";",SUBSTITUTE(D18,"|",REPT(";",LEN(D18)),5))-1)</f>
        <v/>
      </c>
    </row>
    <row r="19" ht="140" customHeight="1" s="21">
      <c r="A19" s="13" t="inlineStr">
        <is>
          <t>100201</t>
        </is>
      </c>
      <c r="B19" s="13" t="inlineStr">
        <is>
          <t>圆钢</t>
        </is>
      </c>
      <c r="C19" s="13" t="inlineStr">
        <is>
          <t>603563600</t>
        </is>
      </c>
      <c r="D19" s="13" t="inlineStr">
        <is>
          <t>热轧合金结构圆钢|圆钢|30CrMnSiA|Φ80|GB/T 3077-2015|热轧|GB/T 702-2008</t>
        </is>
      </c>
      <c r="E19" s="13" t="inlineStr">
        <is>
          <t>物资名称 热轧合金结构圆钢;物资简称 圆钢;牌号 30CrMnSiA;直径 Φ80;技术标准号 GB/T 3077-2015;加工工艺 热轧;热处理工艺 ;特殊要求 ;规格标准号 GB/T 702-2008</t>
        </is>
      </c>
      <c r="F19" s="12" t="inlineStr">
        <is>
          <t>千克</t>
        </is>
      </c>
      <c r="G19" s="11">
        <f>LEFT(D19,FIND("|",D19,1)-1)</f>
        <v/>
      </c>
      <c r="H19" s="11">
        <f>MID(D19,FIND("|",D19,FIND("|",D19,1))+1,FIND("|",D19,FIND("|",D19,1)+1)-FIND("|",D19,FIND("|",D19,1))-1)</f>
        <v/>
      </c>
      <c r="J19" s="11">
        <f>MID(D19,FIND(";",SUBSTITUTE(D19,"|",REPT(";",LEN(D19)),2))+1,FIND(";",SUBSTITUTE(D19,"|",REPT(";",LEN(D19)),3))-FIND(";",SUBSTITUTE(D19,"|",REPT(";",LEN(D19)),2))-1)</f>
        <v/>
      </c>
      <c r="K19" s="11">
        <f>MID(D19,FIND(";",SUBSTITUTE(D19,"|",REPT(";",LEN(D19)),3))+1,FIND(";",SUBSTITUTE(D19,"|",REPT(";",LEN(D19)),4))-FIND(";",SUBSTITUTE(D19,"|",REPT(";",LEN(D19)),3))-1)</f>
        <v/>
      </c>
      <c r="M19" s="11">
        <f>MID(D19,FIND(";",SUBSTITUTE(D19,"|",REPT(";",LEN(D19)),4))+1,FIND(";",SUBSTITUTE(D19,"|",REPT(";",LEN(D19)),5))-FIND(";",SUBSTITUTE(D19,"|",REPT(";",LEN(D19)),4))-1)</f>
        <v/>
      </c>
      <c r="N19" s="11">
        <f>MID(D19,FIND(";",SUBSTITUTE(D19,"|",REPT(";",LEN(D19)),6))+1,LEN(D19))</f>
        <v/>
      </c>
      <c r="O19" s="11">
        <f>MID(D19,FIND(";",SUBSTITUTE(D19,"|",REPT(";",LEN(D19)),5))+1,FIND(";",SUBSTITUTE(D19,"|",REPT(";",LEN(D19)),6))-FIND(";",SUBSTITUTE(D19,"|",REPT(";",LEN(D19)),5))-1)</f>
        <v/>
      </c>
    </row>
    <row r="20" ht="126" customHeight="1" s="21">
      <c r="A20" s="13" t="inlineStr">
        <is>
          <t>100201</t>
        </is>
      </c>
      <c r="B20" s="13" t="inlineStr">
        <is>
          <t>圆钢</t>
        </is>
      </c>
      <c r="C20" s="13" t="inlineStr">
        <is>
          <t>603558300</t>
        </is>
      </c>
      <c r="D20" s="13" t="inlineStr">
        <is>
          <t>合金结构钢棒|钢棒|30CrMnSiA|Φ80|GB/T 3077-2015</t>
        </is>
      </c>
      <c r="E20" s="13" t="inlineStr">
        <is>
          <t>物资名称 合金结构钢棒;物资简称 钢棒;牌号 30CrMnSiA;直径 Φ80;技术标准号 GB/T 3077-2015;加工工艺 ;热处理工艺 ;特殊要求 ;规格标准号</t>
        </is>
      </c>
      <c r="F20" s="12" t="inlineStr">
        <is>
          <t>千克</t>
        </is>
      </c>
      <c r="G20" s="11">
        <f>LEFT(D20,FIND("|",D20,1)-1)</f>
        <v/>
      </c>
      <c r="H20" s="11">
        <f>MID(D20,FIND("|",D20,FIND("|",D20,1))+1,FIND("|",D20,FIND("|",D20,1)+1)-FIND("|",D20,FIND("|",D20,1))-1)</f>
        <v/>
      </c>
      <c r="J20" s="11">
        <f>MID(D20,FIND(";",SUBSTITUTE(D20,"|",REPT(";",LEN(D20)),2))+1,FIND(";",SUBSTITUTE(D20,"|",REPT(";",LEN(D20)),3))-FIND(";",SUBSTITUTE(D20,"|",REPT(";",LEN(D20)),2))-1)</f>
        <v/>
      </c>
      <c r="K20" s="11">
        <f>MID(D20,FIND(";",SUBSTITUTE(D20,"|",REPT(";",LEN(D20)),3))+1,FIND(";",SUBSTITUTE(D20,"|",REPT(";",LEN(D20)),4))-FIND(";",SUBSTITUTE(D20,"|",REPT(";",LEN(D20)),3))-1)</f>
        <v/>
      </c>
      <c r="M20" s="11">
        <f>MID(D20,FIND(";",SUBSTITUTE(D20,"|",REPT(";",LEN(D20)),4))+1,LEN(D20))</f>
        <v/>
      </c>
    </row>
    <row r="21" ht="126" customHeight="1" s="21">
      <c r="A21" s="13" t="inlineStr">
        <is>
          <t>100201</t>
        </is>
      </c>
      <c r="B21" s="13" t="inlineStr">
        <is>
          <t>圆钢</t>
        </is>
      </c>
      <c r="C21" s="13" t="inlineStr">
        <is>
          <t>603558200</t>
        </is>
      </c>
      <c r="D21" s="13" t="inlineStr">
        <is>
          <t>热轧合金结构圆钢|圆钢|35CrMnSiA|Φ70|GB/T 3077-2015|热轧</t>
        </is>
      </c>
      <c r="E21" s="13" t="inlineStr">
        <is>
          <t>物资名称 热轧合金结构圆钢;物资简称 圆钢;牌号 35CrMnSiA;直径 Φ70;技术标准号 GB/T 3077-2015;加工工艺 热轧;热处理工艺 ;特殊要求 ;规格标准号</t>
        </is>
      </c>
      <c r="F21" s="12" t="inlineStr">
        <is>
          <t>千克</t>
        </is>
      </c>
      <c r="G21" s="11">
        <f>LEFT(D21,FIND("|",D21,1)-1)</f>
        <v/>
      </c>
      <c r="H21" s="11">
        <f>MID(D21,FIND("|",D21,FIND("|",D21,1))+1,FIND("|",D21,FIND("|",D21,1)+1)-FIND("|",D21,FIND("|",D21,1))-1)</f>
        <v/>
      </c>
      <c r="J21" s="11">
        <f>MID(D21,FIND(";",SUBSTITUTE(D21,"|",REPT(";",LEN(D21)),2))+1,FIND(";",SUBSTITUTE(D21,"|",REPT(";",LEN(D21)),3))-FIND(";",SUBSTITUTE(D21,"|",REPT(";",LEN(D21)),2))-1)</f>
        <v/>
      </c>
      <c r="K21" s="11">
        <f>MID(D21,FIND(";",SUBSTITUTE(D21,"|",REPT(";",LEN(D21)),3))+1,FIND(";",SUBSTITUTE(D21,"|",REPT(";",LEN(D21)),4))-FIND(";",SUBSTITUTE(D21,"|",REPT(";",LEN(D21)),3))-1)</f>
        <v/>
      </c>
      <c r="M21" s="11">
        <f>MID(D21,FIND(";",SUBSTITUTE(D21,"|",REPT(";",LEN(D21)),4))+1,FIND(";",SUBSTITUTE(D21,"|",REPT(";",LEN(D21)),5))-FIND(";",SUBSTITUTE(D21,"|",REPT(";",LEN(D21)),4))-1)</f>
        <v/>
      </c>
      <c r="O21" s="11">
        <f>MID(D21,FIND(";",SUBSTITUTE(D21,"|",REPT(";",LEN(D21)),5))+1,LEN(D21))</f>
        <v/>
      </c>
    </row>
    <row r="22" ht="140" customHeight="1" s="21">
      <c r="A22" s="13" t="inlineStr">
        <is>
          <t>100201</t>
        </is>
      </c>
      <c r="B22" s="13" t="inlineStr">
        <is>
          <t>圆钢</t>
        </is>
      </c>
      <c r="C22" s="13" t="inlineStr">
        <is>
          <t>603550100</t>
        </is>
      </c>
      <c r="D22" s="13" t="inlineStr">
        <is>
          <t>热轧合金结构圆钢|圆钢|30CrMnSi|Φ50|GB/T 3077-2015|热轧|GB/T 702-2017</t>
        </is>
      </c>
      <c r="E22" s="13" t="inlineStr">
        <is>
          <t>物资名称 热轧合金结构圆钢;物资简称 圆钢;牌号 30CrMnSi;直径 Φ50;技术标准号 GB/T 3077-2015;加工工艺 热轧;热处理工艺 ;特殊要求 ;规格标准号 GB/T 702-2017</t>
        </is>
      </c>
      <c r="F22" s="12" t="inlineStr">
        <is>
          <t>千克</t>
        </is>
      </c>
      <c r="G22" s="11">
        <f>LEFT(D22,FIND("|",D22,1)-1)</f>
        <v/>
      </c>
      <c r="H22" s="11">
        <f>MID(D22,FIND("|",D22,FIND("|",D22,1))+1,FIND("|",D22,FIND("|",D22,1)+1)-FIND("|",D22,FIND("|",D22,1))-1)</f>
        <v/>
      </c>
      <c r="J22" s="11">
        <f>MID(D22,FIND(";",SUBSTITUTE(D22,"|",REPT(";",LEN(D22)),2))+1,FIND(";",SUBSTITUTE(D22,"|",REPT(";",LEN(D22)),3))-FIND(";",SUBSTITUTE(D22,"|",REPT(";",LEN(D22)),2))-1)</f>
        <v/>
      </c>
      <c r="K22" s="11">
        <f>MID(D22,FIND(";",SUBSTITUTE(D22,"|",REPT(";",LEN(D22)),3))+1,FIND(";",SUBSTITUTE(D22,"|",REPT(";",LEN(D22)),4))-FIND(";",SUBSTITUTE(D22,"|",REPT(";",LEN(D22)),3))-1)</f>
        <v/>
      </c>
      <c r="M22" s="11">
        <f>MID(D22,FIND(";",SUBSTITUTE(D22,"|",REPT(";",LEN(D22)),4))+1,FIND(";",SUBSTITUTE(D22,"|",REPT(";",LEN(D22)),5))-FIND(";",SUBSTITUTE(D22,"|",REPT(";",LEN(D22)),4))-1)</f>
        <v/>
      </c>
      <c r="N22" s="11">
        <f>MID(D22,FIND(";",SUBSTITUTE(D22,"|",REPT(";",LEN(D22)),6))+1,LEN(D22))</f>
        <v/>
      </c>
      <c r="O22" s="11">
        <f>MID(D22,FIND(";",SUBSTITUTE(D22,"|",REPT(";",LEN(D22)),5))+1,FIND(";",SUBSTITUTE(D22,"|",REPT(";",LEN(D22)),6))-FIND(";",SUBSTITUTE(D22,"|",REPT(";",LEN(D22)),5))-1)</f>
        <v/>
      </c>
      <c r="P22" s="14" t="n"/>
    </row>
    <row r="23" ht="126" customHeight="1" s="21">
      <c r="A23" s="13" t="inlineStr">
        <is>
          <t>100201</t>
        </is>
      </c>
      <c r="B23" s="13" t="inlineStr">
        <is>
          <t>圆钢</t>
        </is>
      </c>
      <c r="C23" s="13" t="inlineStr">
        <is>
          <t>603545500</t>
        </is>
      </c>
      <c r="D23" s="13" t="inlineStr">
        <is>
          <t>热轧不锈圆钢|圆钢|20Cr13|GB/T 1220-2007|热轧|GB/T 702-2017</t>
        </is>
      </c>
      <c r="E23" s="13" t="inlineStr">
        <is>
          <t>物资名称 热轧不锈圆钢;物资简称 圆钢;牌号 20Cr13;直径 Φ;技术标准号 GB/T 1220-2007;加工工艺 热轧;热处理工艺 ;特殊要求 ;规格标准号 GB/T 702-2017</t>
        </is>
      </c>
      <c r="F23" s="12" t="inlineStr">
        <is>
          <t>千克</t>
        </is>
      </c>
      <c r="G23" s="11">
        <f>LEFT(D23,FIND("|",D23,1)-1)</f>
        <v/>
      </c>
      <c r="H23" s="11">
        <f>MID(D23,FIND("|",D23,FIND("|",D23,1))+1,FIND("|",D23,FIND("|",D23,1)+1)-FIND("|",D23,FIND("|",D23,1))-1)</f>
        <v/>
      </c>
      <c r="J23" s="11">
        <f>MID(D23,FIND(";",SUBSTITUTE(D23,"|",REPT(";",LEN(D23)),2))+1,FIND(";",SUBSTITUTE(D23,"|",REPT(";",LEN(D23)),3))-FIND(";",SUBSTITUTE(D23,"|",REPT(";",LEN(D23)),2))-1)</f>
        <v/>
      </c>
      <c r="M23" s="11">
        <f>MID(D23,FIND(";",SUBSTITUTE(D23,"|",REPT(";",LEN(D23)),3))+1,FIND(";",SUBSTITUTE(D23,"|",REPT(";",LEN(D23)),4))-FIND(";",SUBSTITUTE(D23,"|",REPT(";",LEN(D23)),3))-1)</f>
        <v/>
      </c>
      <c r="N23" s="11">
        <f>MID(D23,FIND(";",SUBSTITUTE(D23,"|",REPT(";",LEN(D23)),5))+1,LEN(D23))</f>
        <v/>
      </c>
      <c r="O23" s="11">
        <f>MID(D23,FIND(";",SUBSTITUTE(D23,"|",REPT(";",LEN(D23)),4))+1,FIND(";",SUBSTITUTE(D23,"|",REPT(";",LEN(D23)),5))-FIND(";",SUBSTITUTE(D23,"|",REPT(";",LEN(D23)),4))-1)</f>
        <v/>
      </c>
    </row>
    <row r="24" ht="140" customHeight="1" s="21">
      <c r="A24" s="13" t="inlineStr">
        <is>
          <t>100201</t>
        </is>
      </c>
      <c r="B24" s="13" t="inlineStr">
        <is>
          <t>圆钢</t>
        </is>
      </c>
      <c r="C24" s="13" t="inlineStr">
        <is>
          <t>603542200</t>
        </is>
      </c>
      <c r="D24" s="13" t="inlineStr">
        <is>
          <t>热轧航空用优质结构圆钢|圆钢|30CrMnSiNi2A|Φ80|GJB 1951-1994|热轧|GB/T 702-2017</t>
        </is>
      </c>
      <c r="E24" s="13" t="inlineStr">
        <is>
          <t>物资名称 热轧航空用优质结构圆钢;物资简称 圆钢;牌号 30CrMnSiNi2A;直径 Φ80;技术标准号 GJB 1951-1994;加工工艺 热轧;热处理工艺 ;特殊要求 ;规格标准号 GB/T 702-2017</t>
        </is>
      </c>
      <c r="F24" s="12" t="inlineStr">
        <is>
          <t>千克</t>
        </is>
      </c>
      <c r="G24" s="11">
        <f>LEFT(D24,FIND("|",D24,1)-1)</f>
        <v/>
      </c>
      <c r="H24" s="11">
        <f>MID(D24,FIND("|",D24,FIND("|",D24,1))+1,FIND("|",D24,FIND("|",D24,1)+1)-FIND("|",D24,FIND("|",D24,1))-1)</f>
        <v/>
      </c>
      <c r="J24" s="11">
        <f>MID(D24,FIND(";",SUBSTITUTE(D24,"|",REPT(";",LEN(D24)),2))+1,FIND(";",SUBSTITUTE(D24,"|",REPT(";",LEN(D24)),3))-FIND(";",SUBSTITUTE(D24,"|",REPT(";",LEN(D24)),2))-1)</f>
        <v/>
      </c>
      <c r="K24" s="11">
        <f>MID(D24,FIND(";",SUBSTITUTE(D24,"|",REPT(";",LEN(D24)),3))+1,FIND(";",SUBSTITUTE(D24,"|",REPT(";",LEN(D24)),4))-FIND(";",SUBSTITUTE(D24,"|",REPT(";",LEN(D24)),3))-1)</f>
        <v/>
      </c>
      <c r="M24" s="11">
        <f>MID(D24,FIND(";",SUBSTITUTE(D24,"|",REPT(";",LEN(D24)),4))+1,FIND(";",SUBSTITUTE(D24,"|",REPT(";",LEN(D24)),5))-FIND(";",SUBSTITUTE(D24,"|",REPT(";",LEN(D24)),4))-1)</f>
        <v/>
      </c>
      <c r="N24" s="11">
        <f>MID(D24,FIND(";",SUBSTITUTE(D24,"|",REPT(";",LEN(D24)),6))+1,LEN(D24))</f>
        <v/>
      </c>
      <c r="O24" s="11">
        <f>MID(D24,FIND(";",SUBSTITUTE(D24,"|",REPT(";",LEN(D24)),5))+1,FIND(";",SUBSTITUTE(D24,"|",REPT(";",LEN(D24)),6))-FIND(";",SUBSTITUTE(D24,"|",REPT(";",LEN(D24)),5))-1)</f>
        <v/>
      </c>
    </row>
    <row r="25" ht="126" customHeight="1" s="21">
      <c r="A25" s="13" t="inlineStr">
        <is>
          <t>100201</t>
        </is>
      </c>
      <c r="B25" s="13" t="inlineStr">
        <is>
          <t>圆钢</t>
        </is>
      </c>
      <c r="C25" s="13" t="inlineStr">
        <is>
          <t>603541700</t>
        </is>
      </c>
      <c r="D25" s="13" t="inlineStr">
        <is>
          <t>合金结构钢棒|钢棒|30CrMnSiA|GB/T 3077-2015</t>
        </is>
      </c>
      <c r="E25" s="13" t="inlineStr">
        <is>
          <t>物资名称 合金结构钢棒;物资简称 钢棒;牌号 30CrMnSiA;直径 Φ;技术标准号 GB/T 3077-2015;加工工艺 ;热处理工艺 ;特殊要求 ;规格标准号</t>
        </is>
      </c>
      <c r="F25" s="12" t="inlineStr">
        <is>
          <t>千克</t>
        </is>
      </c>
      <c r="G25" s="11">
        <f>LEFT(D25,FIND("|",D25,1)-1)</f>
        <v/>
      </c>
      <c r="H25" s="11">
        <f>MID(D25,FIND("|",D25,FIND("|",D25,1))+1,FIND("|",D25,FIND("|",D25,1)+1)-FIND("|",D25,FIND("|",D25,1))-1)</f>
        <v/>
      </c>
      <c r="J25" s="11">
        <f>MID(D25,FIND(";",SUBSTITUTE(D25,"|",REPT(";",LEN(D25)),2))+1,FIND(";",SUBSTITUTE(D25,"|",REPT(";",LEN(D25)),3))-FIND(";",SUBSTITUTE(D25,"|",REPT(";",LEN(D25)),2))-1)</f>
        <v/>
      </c>
      <c r="M25" s="11">
        <f>MID(D25,FIND(";",SUBSTITUTE(D25,"|",REPT(";",LEN(D25)),3))+1,LEN(D25))</f>
        <v/>
      </c>
    </row>
    <row r="26" ht="140" customHeight="1" s="21">
      <c r="A26" s="13" t="inlineStr">
        <is>
          <t>100201</t>
        </is>
      </c>
      <c r="B26" s="13" t="inlineStr">
        <is>
          <t>圆钢</t>
        </is>
      </c>
      <c r="C26" s="13" t="inlineStr">
        <is>
          <t>603541200</t>
        </is>
      </c>
      <c r="D26" s="13" t="inlineStr">
        <is>
          <t>热轧不锈圆钢|圆钢|12Cr18Ni9|Φ90|GB/T 1220-2007|热轧|GB/T 702-2008</t>
        </is>
      </c>
      <c r="E26" s="13" t="inlineStr">
        <is>
          <t>物资名称 热轧不锈圆钢;物资简称 圆钢;牌号 12Cr18Ni9;直径 Φ90;技术标准号 GB/T 1220-2007;加工工艺 热轧;热处理工艺 ;特殊要求 ;规格标准号 GB/T 702-2008</t>
        </is>
      </c>
      <c r="F26" s="12" t="inlineStr">
        <is>
          <t>千克</t>
        </is>
      </c>
      <c r="G26" s="11">
        <f>LEFT(D26,FIND("|",D26,1)-1)</f>
        <v/>
      </c>
      <c r="H26" s="11">
        <f>MID(D26,FIND("|",D26,FIND("|",D26,1))+1,FIND("|",D26,FIND("|",D26,1)+1)-FIND("|",D26,FIND("|",D26,1))-1)</f>
        <v/>
      </c>
      <c r="J26" s="11">
        <f>MID(D26,FIND(";",SUBSTITUTE(D26,"|",REPT(";",LEN(D26)),2))+1,FIND(";",SUBSTITUTE(D26,"|",REPT(";",LEN(D26)),3))-FIND(";",SUBSTITUTE(D26,"|",REPT(";",LEN(D26)),2))-1)</f>
        <v/>
      </c>
      <c r="K26" s="11">
        <f>MID(D26,FIND(";",SUBSTITUTE(D26,"|",REPT(";",LEN(D26)),3))+1,FIND(";",SUBSTITUTE(D26,"|",REPT(";",LEN(D26)),4))-FIND(";",SUBSTITUTE(D26,"|",REPT(";",LEN(D26)),3))-1)</f>
        <v/>
      </c>
      <c r="M26" s="11">
        <f>MID(D26,FIND(";",SUBSTITUTE(D26,"|",REPT(";",LEN(D26)),4))+1,FIND(";",SUBSTITUTE(D26,"|",REPT(";",LEN(D26)),5))-FIND(";",SUBSTITUTE(D26,"|",REPT(";",LEN(D26)),4))-1)</f>
        <v/>
      </c>
      <c r="N26" s="11">
        <f>MID(D26,FIND(";",SUBSTITUTE(D26,"|",REPT(";",LEN(D26)),6))+1,LEN(D26))</f>
        <v/>
      </c>
      <c r="O26" s="11">
        <f>MID(D26,FIND(";",SUBSTITUTE(D26,"|",REPT(";",LEN(D26)),5))+1,FIND(";",SUBSTITUTE(D26,"|",REPT(";",LEN(D26)),6))-FIND(";",SUBSTITUTE(D26,"|",REPT(";",LEN(D26)),5))-1)</f>
        <v/>
      </c>
    </row>
    <row r="27" ht="140" customHeight="1" s="21">
      <c r="A27" s="13" t="inlineStr">
        <is>
          <t>100201</t>
        </is>
      </c>
      <c r="B27" s="13" t="inlineStr">
        <is>
          <t>圆钢</t>
        </is>
      </c>
      <c r="C27" s="13" t="inlineStr">
        <is>
          <t>603540400</t>
        </is>
      </c>
      <c r="D27" s="13" t="inlineStr">
        <is>
          <t>热轧合金结构圆钢|圆钢|30CrMnSiA|Φ15|GB/T 3077-1999|热轧|GB/T 702-2008</t>
        </is>
      </c>
      <c r="E27" s="13" t="inlineStr">
        <is>
          <t>物资名称 热轧合金结构圆钢;物资简称 圆钢;牌号 30CrMnSiA;直径 Φ15;技术标准号 GB/T 3077-1999;加工工艺 热轧;热处理工艺 ;特殊要求 ;规格标准号 GB/T 702-2008</t>
        </is>
      </c>
      <c r="F27" s="12" t="inlineStr">
        <is>
          <t>千克</t>
        </is>
      </c>
      <c r="G27" s="11">
        <f>LEFT(D27,FIND("|",D27,1)-1)</f>
        <v/>
      </c>
      <c r="H27" s="11">
        <f>MID(D27,FIND("|",D27,FIND("|",D27,1))+1,FIND("|",D27,FIND("|",D27,1)+1)-FIND("|",D27,FIND("|",D27,1))-1)</f>
        <v/>
      </c>
      <c r="J27" s="11">
        <f>MID(D27,FIND(";",SUBSTITUTE(D27,"|",REPT(";",LEN(D27)),2))+1,FIND(";",SUBSTITUTE(D27,"|",REPT(";",LEN(D27)),3))-FIND(";",SUBSTITUTE(D27,"|",REPT(";",LEN(D27)),2))-1)</f>
        <v/>
      </c>
      <c r="K27" s="11">
        <f>MID(D27,FIND(";",SUBSTITUTE(D27,"|",REPT(";",LEN(D27)),3))+1,FIND(";",SUBSTITUTE(D27,"|",REPT(";",LEN(D27)),4))-FIND(";",SUBSTITUTE(D27,"|",REPT(";",LEN(D27)),3))-1)</f>
        <v/>
      </c>
      <c r="M27" s="11">
        <f>MID(D27,FIND(";",SUBSTITUTE(D27,"|",REPT(";",LEN(D27)),4))+1,FIND(";",SUBSTITUTE(D27,"|",REPT(";",LEN(D27)),5))-FIND(";",SUBSTITUTE(D27,"|",REPT(";",LEN(D27)),4))-1)</f>
        <v/>
      </c>
      <c r="N27" s="11">
        <f>MID(D27,FIND(";",SUBSTITUTE(D27,"|",REPT(";",LEN(D27)),6))+1,LEN(D27))</f>
        <v/>
      </c>
      <c r="O27" s="11">
        <f>MID(D27,FIND(";",SUBSTITUTE(D27,"|",REPT(";",LEN(D27)),5))+1,FIND(";",SUBSTITUTE(D27,"|",REPT(";",LEN(D27)),6))-FIND(";",SUBSTITUTE(D27,"|",REPT(";",LEN(D27)),5))-1)</f>
        <v/>
      </c>
    </row>
    <row r="28" ht="140" customHeight="1" s="21">
      <c r="A28" s="13" t="inlineStr">
        <is>
          <t>100201</t>
        </is>
      </c>
      <c r="B28" s="13" t="inlineStr">
        <is>
          <t>圆钢</t>
        </is>
      </c>
      <c r="C28" s="13" t="inlineStr">
        <is>
          <t>603538900</t>
        </is>
      </c>
      <c r="D28" s="13" t="inlineStr">
        <is>
          <t>热轧合金结构圆钢|圆钢|30CrMnSiA|GB/T 3077-2015|热轧|GB/T 702-2017</t>
        </is>
      </c>
      <c r="E28" s="13" t="inlineStr">
        <is>
          <t>物资名称 热轧合金结构圆钢;物资简称 圆钢;牌号 30CrMnSiA;直径 Φ;技术标准号 GB/T 3077-2015;加工工艺 热轧;热处理工艺 ;特殊要求 ;规格标准号 GB/T 702-2017</t>
        </is>
      </c>
      <c r="F28" s="12" t="inlineStr">
        <is>
          <t>千克</t>
        </is>
      </c>
      <c r="G28" s="11">
        <f>LEFT(D28,FIND("|",D28,1)-1)</f>
        <v/>
      </c>
      <c r="H28" s="11">
        <f>MID(D28,FIND("|",D28,FIND("|",D28,1))+1,FIND("|",D28,FIND("|",D28,1)+1)-FIND("|",D28,FIND("|",D28,1))-1)</f>
        <v/>
      </c>
      <c r="J28" s="11">
        <f>MID(D28,FIND(";",SUBSTITUTE(D28,"|",REPT(";",LEN(D28)),2))+1,FIND(";",SUBSTITUTE(D28,"|",REPT(";",LEN(D28)),3))-FIND(";",SUBSTITUTE(D28,"|",REPT(";",LEN(D28)),2))-1)</f>
        <v/>
      </c>
      <c r="M28" s="11">
        <f>MID(D28,FIND(";",SUBSTITUTE(D28,"|",REPT(";",LEN(D28)),3))+1,FIND(";",SUBSTITUTE(D28,"|",REPT(";",LEN(D28)),4))-FIND(";",SUBSTITUTE(D28,"|",REPT(";",LEN(D28)),3))-1)</f>
        <v/>
      </c>
      <c r="N28" s="11">
        <f>MID(D28,FIND(";",SUBSTITUTE(D28,"|",REPT(";",LEN(D28)),5))+1,LEN(D28))</f>
        <v/>
      </c>
      <c r="O28" s="11">
        <f>MID(D28,FIND(";",SUBSTITUTE(D28,"|",REPT(";",LEN(D28)),4))+1,FIND(";",SUBSTITUTE(D28,"|",REPT(";",LEN(D28)),5))-FIND(";",SUBSTITUTE(D28,"|",REPT(";",LEN(D28)),4))-1)</f>
        <v/>
      </c>
    </row>
    <row r="29" ht="140" customHeight="1" s="21">
      <c r="A29" s="13" t="inlineStr">
        <is>
          <t>100201</t>
        </is>
      </c>
      <c r="B29" s="13" t="inlineStr">
        <is>
          <t>圆钢</t>
        </is>
      </c>
      <c r="C29" s="13" t="inlineStr">
        <is>
          <t>603537700</t>
        </is>
      </c>
      <c r="D29" s="13" t="inlineStr">
        <is>
          <t>热轧不锈圆钢|圆钢|06Cr19Ni10|GB/T 1220-2007|热轧|GB/T 702-2017</t>
        </is>
      </c>
      <c r="E29" s="13" t="inlineStr">
        <is>
          <t>物资名称 热轧不锈圆钢;物资简称 圆钢;牌号 06Cr19Ni10;直径 Φ;技术标准号 GB/T 1220-2007;加工工艺 热轧;热处理工艺 ;特殊要求 ;规格标准号 GB/T 702-2017</t>
        </is>
      </c>
      <c r="F29" s="12" t="inlineStr">
        <is>
          <t>千克</t>
        </is>
      </c>
      <c r="G29" s="11">
        <f>LEFT(D29,FIND("|",D29,1)-1)</f>
        <v/>
      </c>
      <c r="H29" s="11">
        <f>MID(D29,FIND("|",D29,FIND("|",D29,1))+1,FIND("|",D29,FIND("|",D29,1)+1)-FIND("|",D29,FIND("|",D29,1))-1)</f>
        <v/>
      </c>
      <c r="J29" s="11">
        <f>MID(D29,FIND(";",SUBSTITUTE(D29,"|",REPT(";",LEN(D29)),2))+1,FIND(";",SUBSTITUTE(D29,"|",REPT(";",LEN(D29)),3))-FIND(";",SUBSTITUTE(D29,"|",REPT(";",LEN(D29)),2))-1)</f>
        <v/>
      </c>
      <c r="M29" s="11">
        <f>MID(D29,FIND(";",SUBSTITUTE(D29,"|",REPT(";",LEN(D29)),3))+1,FIND(";",SUBSTITUTE(D29,"|",REPT(";",LEN(D29)),4))-FIND(";",SUBSTITUTE(D29,"|",REPT(";",LEN(D29)),3))-1)</f>
        <v/>
      </c>
      <c r="N29" s="11">
        <f>MID(D29,FIND(";",SUBSTITUTE(D29,"|",REPT(";",LEN(D29)),5))+1,LEN(D29))</f>
        <v/>
      </c>
      <c r="O29" s="11">
        <f>MID(D29,FIND(";",SUBSTITUTE(D29,"|",REPT(";",LEN(D29)),4))+1,FIND(";",SUBSTITUTE(D29,"|",REPT(";",LEN(D29)),5))-FIND(";",SUBSTITUTE(D29,"|",REPT(";",LEN(D29)),4))-1)</f>
        <v/>
      </c>
    </row>
    <row r="30" ht="140" customHeight="1" s="21">
      <c r="A30" s="13" t="inlineStr">
        <is>
          <t>100201</t>
        </is>
      </c>
      <c r="B30" s="13" t="inlineStr">
        <is>
          <t>圆钢</t>
        </is>
      </c>
      <c r="C30" s="13" t="inlineStr">
        <is>
          <t>603537500</t>
        </is>
      </c>
      <c r="D30" s="13" t="inlineStr">
        <is>
          <t>热轧合金结构圆钢|圆钢|35CrMnSiA|GB/T 3077-2015|热轧|GB/T 702-2017</t>
        </is>
      </c>
      <c r="E30" s="13" t="inlineStr">
        <is>
          <t>物资名称 热轧合金结构圆钢;物资简称 圆钢;牌号 35CrMnSiA;直径 Φ;技术标准号 GB/T 3077-2015;加工工艺 热轧;热处理工艺 ;特殊要求 ;规格标准号 GB/T 702-2017</t>
        </is>
      </c>
      <c r="F30" s="12" t="inlineStr">
        <is>
          <t>千克</t>
        </is>
      </c>
      <c r="G30" s="11">
        <f>LEFT(D30,FIND("|",D30,1)-1)</f>
        <v/>
      </c>
      <c r="H30" s="11">
        <f>MID(D30,FIND("|",D30,FIND("|",D30,1))+1,FIND("|",D30,FIND("|",D30,1)+1)-FIND("|",D30,FIND("|",D30,1))-1)</f>
        <v/>
      </c>
      <c r="J30" s="11">
        <f>MID(D30,FIND(";",SUBSTITUTE(D30,"|",REPT(";",LEN(D30)),2))+1,FIND(";",SUBSTITUTE(D30,"|",REPT(";",LEN(D30)),3))-FIND(";",SUBSTITUTE(D30,"|",REPT(";",LEN(D30)),2))-1)</f>
        <v/>
      </c>
      <c r="M30" s="11">
        <f>MID(D30,FIND(";",SUBSTITUTE(D30,"|",REPT(";",LEN(D30)),3))+1,FIND(";",SUBSTITUTE(D30,"|",REPT(";",LEN(D30)),4))-FIND(";",SUBSTITUTE(D30,"|",REPT(";",LEN(D30)),3))-1)</f>
        <v/>
      </c>
      <c r="N30" s="11">
        <f>MID(D30,FIND(";",SUBSTITUTE(D30,"|",REPT(";",LEN(D30)),5))+1,LEN(D30))</f>
        <v/>
      </c>
      <c r="O30" s="11">
        <f>MID(D30,FIND(";",SUBSTITUTE(D30,"|",REPT(";",LEN(D30)),4))+1,FIND(";",SUBSTITUTE(D30,"|",REPT(";",LEN(D30)),5))-FIND(";",SUBSTITUTE(D30,"|",REPT(";",LEN(D30)),4))-1)</f>
        <v/>
      </c>
    </row>
    <row r="31" ht="140" customHeight="1" s="21">
      <c r="A31" s="13" t="inlineStr">
        <is>
          <t>100201</t>
        </is>
      </c>
      <c r="B31" s="13" t="inlineStr">
        <is>
          <t>圆钢</t>
        </is>
      </c>
      <c r="C31" s="13" t="inlineStr">
        <is>
          <t>603519700</t>
        </is>
      </c>
      <c r="D31" s="13" t="inlineStr">
        <is>
          <t>热轧不锈圆钢|圆钢|06Cr19Ni10|Φ160|GB/T 1220-2007|热轧|GB/T 702-2017</t>
        </is>
      </c>
      <c r="E31" s="13" t="inlineStr">
        <is>
          <t>物资名称 热轧不锈圆钢;物资简称 圆钢;牌号 06Cr19Ni10;直径 Φ160;技术标准号 GB/T 1220-2007;加工工艺 热轧;热处理工艺 ;特殊要求 ;规格标准号 GB/T 702-2017</t>
        </is>
      </c>
      <c r="F31" s="12" t="inlineStr">
        <is>
          <t>千克</t>
        </is>
      </c>
      <c r="G31" s="11">
        <f>LEFT(D31,FIND("|",D31,1)-1)</f>
        <v/>
      </c>
      <c r="H31" s="11">
        <f>MID(D31,FIND("|",D31,FIND("|",D31,1))+1,FIND("|",D31,FIND("|",D31,1)+1)-FIND("|",D31,FIND("|",D31,1))-1)</f>
        <v/>
      </c>
      <c r="J31" s="11">
        <f>MID(D31,FIND(";",SUBSTITUTE(D31,"|",REPT(";",LEN(D31)),2))+1,FIND(";",SUBSTITUTE(D31,"|",REPT(";",LEN(D31)),3))-FIND(";",SUBSTITUTE(D31,"|",REPT(";",LEN(D31)),2))-1)</f>
        <v/>
      </c>
      <c r="K31" s="11">
        <f>MID(D31,FIND(";",SUBSTITUTE(D31,"|",REPT(";",LEN(D31)),3))+1,FIND(";",SUBSTITUTE(D31,"|",REPT(";",LEN(D31)),4))-FIND(";",SUBSTITUTE(D31,"|",REPT(";",LEN(D31)),3))-1)</f>
        <v/>
      </c>
      <c r="M31" s="11">
        <f>MID(D31,FIND(";",SUBSTITUTE(D31,"|",REPT(";",LEN(D31)),4))+1,FIND(";",SUBSTITUTE(D31,"|",REPT(";",LEN(D31)),5))-FIND(";",SUBSTITUTE(D31,"|",REPT(";",LEN(D31)),4))-1)</f>
        <v/>
      </c>
      <c r="N31" s="11">
        <f>MID(D31,FIND(";",SUBSTITUTE(D31,"|",REPT(";",LEN(D31)),6))+1,LEN(D31))</f>
        <v/>
      </c>
      <c r="O31" s="11">
        <f>MID(D31,FIND(";",SUBSTITUTE(D31,"|",REPT(";",LEN(D31)),5))+1,FIND(";",SUBSTITUTE(D31,"|",REPT(";",LEN(D31)),6))-FIND(";",SUBSTITUTE(D31,"|",REPT(";",LEN(D31)),5))-1)</f>
        <v/>
      </c>
    </row>
    <row r="32" ht="126" customHeight="1" s="21">
      <c r="A32" s="13" t="inlineStr">
        <is>
          <t>100201</t>
        </is>
      </c>
      <c r="B32" s="13" t="inlineStr">
        <is>
          <t>圆钢</t>
        </is>
      </c>
      <c r="C32" s="13" t="inlineStr">
        <is>
          <t>603415800</t>
        </is>
      </c>
      <c r="D32" s="13" t="inlineStr">
        <is>
          <t>热轧不锈圆钢|圆钢|20Cr13|Φ95|GB/T 1220-2007|热轧|GB/T 702-2008</t>
        </is>
      </c>
      <c r="E32" s="13" t="inlineStr">
        <is>
          <t>物资名称 热轧不锈圆钢;物资简称 圆钢;牌号 20Cr13;直径 Φ95;技术标准号 GB/T 1220-2007;加工工艺 热轧;热处理工艺 ;特殊要求 ;规格标准号 GB/T 702-2008</t>
        </is>
      </c>
      <c r="F32" s="12" t="inlineStr">
        <is>
          <t>千克</t>
        </is>
      </c>
      <c r="G32" s="11">
        <f>LEFT(D32,FIND("|",D32,1)-1)</f>
        <v/>
      </c>
      <c r="H32" s="11">
        <f>MID(D32,FIND("|",D32,FIND("|",D32,1))+1,FIND("|",D32,FIND("|",D32,1)+1)-FIND("|",D32,FIND("|",D32,1))-1)</f>
        <v/>
      </c>
      <c r="J32" s="11">
        <f>MID(D32,FIND(";",SUBSTITUTE(D32,"|",REPT(";",LEN(D32)),2))+1,FIND(";",SUBSTITUTE(D32,"|",REPT(";",LEN(D32)),3))-FIND(";",SUBSTITUTE(D32,"|",REPT(";",LEN(D32)),2))-1)</f>
        <v/>
      </c>
      <c r="K32" s="11">
        <f>MID(D32,FIND(";",SUBSTITUTE(D32,"|",REPT(";",LEN(D32)),3))+1,FIND(";",SUBSTITUTE(D32,"|",REPT(";",LEN(D32)),4))-FIND(";",SUBSTITUTE(D32,"|",REPT(";",LEN(D32)),3))-1)</f>
        <v/>
      </c>
      <c r="M32" s="11">
        <f>MID(D32,FIND(";",SUBSTITUTE(D32,"|",REPT(";",LEN(D32)),4))+1,FIND(";",SUBSTITUTE(D32,"|",REPT(";",LEN(D32)),5))-FIND(";",SUBSTITUTE(D32,"|",REPT(";",LEN(D32)),4))-1)</f>
        <v/>
      </c>
      <c r="N32" s="11">
        <f>MID(D32,FIND(";",SUBSTITUTE(D32,"|",REPT(";",LEN(D32)),6))+1,LEN(D32))</f>
        <v/>
      </c>
      <c r="O32" s="11">
        <f>MID(D32,FIND(";",SUBSTITUTE(D32,"|",REPT(";",LEN(D32)),5))+1,FIND(";",SUBSTITUTE(D32,"|",REPT(";",LEN(D32)),6))-FIND(";",SUBSTITUTE(D32,"|",REPT(";",LEN(D32)),5))-1)</f>
        <v/>
      </c>
    </row>
    <row r="33" ht="140" customHeight="1" s="21">
      <c r="A33" s="13" t="inlineStr">
        <is>
          <t>100201</t>
        </is>
      </c>
      <c r="B33" s="13" t="inlineStr">
        <is>
          <t>圆钢</t>
        </is>
      </c>
      <c r="C33" s="13" t="inlineStr">
        <is>
          <t>603186400</t>
        </is>
      </c>
      <c r="D33" s="13" t="inlineStr">
        <is>
          <t>热轧合金结构圆钢|圆钢|30CrMnSiA|Φ54|GB/T 3077-1999|热轧|GB/T 702-2008</t>
        </is>
      </c>
      <c r="E33" s="13" t="inlineStr">
        <is>
          <t>物资名称 热轧合金结构圆钢;物资简称 圆钢;牌号 30CrMnSiA;直径 Φ54;技术标准号 GB/T 3077-1999;加工工艺 热轧;热处理工艺 ;特殊要求 ;规格标准号 GB/T 702-2008</t>
        </is>
      </c>
      <c r="F33" s="12" t="inlineStr">
        <is>
          <t>千克</t>
        </is>
      </c>
      <c r="G33" s="11">
        <f>LEFT(D33,FIND("|",D33,1)-1)</f>
        <v/>
      </c>
      <c r="H33" s="11">
        <f>MID(D33,FIND("|",D33,FIND("|",D33,1))+1,FIND("|",D33,FIND("|",D33,1)+1)-FIND("|",D33,FIND("|",D33,1))-1)</f>
        <v/>
      </c>
      <c r="J33" s="11">
        <f>MID(D33,FIND(";",SUBSTITUTE(D33,"|",REPT(";",LEN(D33)),2))+1,FIND(";",SUBSTITUTE(D33,"|",REPT(";",LEN(D33)),3))-FIND(";",SUBSTITUTE(D33,"|",REPT(";",LEN(D33)),2))-1)</f>
        <v/>
      </c>
      <c r="K33" s="11">
        <f>MID(D33,FIND(";",SUBSTITUTE(D33,"|",REPT(";",LEN(D33)),3))+1,FIND(";",SUBSTITUTE(D33,"|",REPT(";",LEN(D33)),4))-FIND(";",SUBSTITUTE(D33,"|",REPT(";",LEN(D33)),3))-1)</f>
        <v/>
      </c>
      <c r="M33" s="11">
        <f>MID(D33,FIND(";",SUBSTITUTE(D33,"|",REPT(";",LEN(D33)),4))+1,FIND(";",SUBSTITUTE(D33,"|",REPT(";",LEN(D33)),5))-FIND(";",SUBSTITUTE(D33,"|",REPT(";",LEN(D33)),4))-1)</f>
        <v/>
      </c>
      <c r="N33" s="11">
        <f>MID(D33,FIND(";",SUBSTITUTE(D33,"|",REPT(";",LEN(D33)),6))+1,LEN(D33))</f>
        <v/>
      </c>
      <c r="O33" s="11">
        <f>MID(D33,FIND(";",SUBSTITUTE(D33,"|",REPT(";",LEN(D33)),5))+1,FIND(";",SUBSTITUTE(D33,"|",REPT(";",LEN(D33)),6))-FIND(";",SUBSTITUTE(D33,"|",REPT(";",LEN(D33)),5))-1)</f>
        <v/>
      </c>
    </row>
    <row r="34" ht="126" customHeight="1" s="21">
      <c r="A34" s="13" t="inlineStr">
        <is>
          <t>100201</t>
        </is>
      </c>
      <c r="B34" s="13" t="inlineStr">
        <is>
          <t>圆钢</t>
        </is>
      </c>
      <c r="C34" s="13" t="inlineStr">
        <is>
          <t>603164500</t>
        </is>
      </c>
      <c r="D34" s="13" t="inlineStr">
        <is>
          <t>热轧不锈圆钢|圆钢|1Cr17Ni2|Φ12|GB/T 1220-1992|热轧|GB/T 702-2008</t>
        </is>
      </c>
      <c r="E34" s="13" t="inlineStr">
        <is>
          <t>物资名称 热轧不锈圆钢;物资简称 圆钢;牌号 1Cr17Ni2;直径 Φ12;技术标准号 GB/T 1220-1992;加工工艺 热轧;热处理工艺 ;特殊要求 ;规格标准号 GB/T 702-2008</t>
        </is>
      </c>
      <c r="F34" s="12" t="inlineStr">
        <is>
          <t>千克</t>
        </is>
      </c>
      <c r="G34" s="11">
        <f>LEFT(D34,FIND("|",D34,1)-1)</f>
        <v/>
      </c>
      <c r="H34" s="11">
        <f>MID(D34,FIND("|",D34,FIND("|",D34,1))+1,FIND("|",D34,FIND("|",D34,1)+1)-FIND("|",D34,FIND("|",D34,1))-1)</f>
        <v/>
      </c>
      <c r="J34" s="11">
        <f>MID(D34,FIND(";",SUBSTITUTE(D34,"|",REPT(";",LEN(D34)),2))+1,FIND(";",SUBSTITUTE(D34,"|",REPT(";",LEN(D34)),3))-FIND(";",SUBSTITUTE(D34,"|",REPT(";",LEN(D34)),2))-1)</f>
        <v/>
      </c>
      <c r="K34" s="11">
        <f>MID(D34,FIND(";",SUBSTITUTE(D34,"|",REPT(";",LEN(D34)),3))+1,FIND(";",SUBSTITUTE(D34,"|",REPT(";",LEN(D34)),4))-FIND(";",SUBSTITUTE(D34,"|",REPT(";",LEN(D34)),3))-1)</f>
        <v/>
      </c>
      <c r="M34" s="11">
        <f>MID(D34,FIND(";",SUBSTITUTE(D34,"|",REPT(";",LEN(D34)),4))+1,FIND(";",SUBSTITUTE(D34,"|",REPT(";",LEN(D34)),5))-FIND(";",SUBSTITUTE(D34,"|",REPT(";",LEN(D34)),4))-1)</f>
        <v/>
      </c>
      <c r="N34" s="11">
        <f>MID(D34,FIND(";",SUBSTITUTE(D34,"|",REPT(";",LEN(D34)),6))+1,LEN(D34))</f>
        <v/>
      </c>
      <c r="O34" s="11">
        <f>MID(D34,FIND(";",SUBSTITUTE(D34,"|",REPT(";",LEN(D34)),5))+1,FIND(";",SUBSTITUTE(D34,"|",REPT(";",LEN(D34)),6))-FIND(";",SUBSTITUTE(D34,"|",REPT(";",LEN(D34)),5))-1)</f>
        <v/>
      </c>
    </row>
    <row r="35" ht="140" customHeight="1" s="21">
      <c r="A35" s="13" t="inlineStr">
        <is>
          <t>100201</t>
        </is>
      </c>
      <c r="B35" s="13" t="inlineStr">
        <is>
          <t>圆钢</t>
        </is>
      </c>
      <c r="C35" s="13" t="inlineStr">
        <is>
          <t>603161300</t>
        </is>
      </c>
      <c r="D35" s="13" t="inlineStr">
        <is>
          <t>热轧航空用不锈圆钢|圆钢|1Cr18Ni9Ti|Φ95|GJB 2294A-2014|热轧|GB/T 702-2008</t>
        </is>
      </c>
      <c r="E35" s="13" t="inlineStr">
        <is>
          <t>物资名称 热轧航空用不锈圆钢;物资简称 圆钢;牌号 1Cr18Ni9Ti;直径 Φ95;技术标准号 GJB 2294A-2014;加工工艺 热轧;热处理工艺 ;特殊要求 ;规格标准号 GB/T 702-2008</t>
        </is>
      </c>
      <c r="F35" s="12" t="inlineStr">
        <is>
          <t>千克</t>
        </is>
      </c>
      <c r="G35" s="11">
        <f>LEFT(D35,FIND("|",D35,1)-1)</f>
        <v/>
      </c>
      <c r="H35" s="11">
        <f>MID(D35,FIND("|",D35,FIND("|",D35,1))+1,FIND("|",D35,FIND("|",D35,1)+1)-FIND("|",D35,FIND("|",D35,1))-1)</f>
        <v/>
      </c>
      <c r="J35" s="11">
        <f>MID(D35,FIND(";",SUBSTITUTE(D35,"|",REPT(";",LEN(D35)),2))+1,FIND(";",SUBSTITUTE(D35,"|",REPT(";",LEN(D35)),3))-FIND(";",SUBSTITUTE(D35,"|",REPT(";",LEN(D35)),2))-1)</f>
        <v/>
      </c>
      <c r="K35" s="11">
        <f>MID(D35,FIND(";",SUBSTITUTE(D35,"|",REPT(";",LEN(D35)),3))+1,FIND(";",SUBSTITUTE(D35,"|",REPT(";",LEN(D35)),4))-FIND(";",SUBSTITUTE(D35,"|",REPT(";",LEN(D35)),3))-1)</f>
        <v/>
      </c>
      <c r="M35" s="11">
        <f>MID(D35,FIND(";",SUBSTITUTE(D35,"|",REPT(";",LEN(D35)),4))+1,FIND(";",SUBSTITUTE(D35,"|",REPT(";",LEN(D35)),5))-FIND(";",SUBSTITUTE(D35,"|",REPT(";",LEN(D35)),4))-1)</f>
        <v/>
      </c>
      <c r="N35" s="11">
        <f>MID(D35,FIND(";",SUBSTITUTE(D35,"|",REPT(";",LEN(D35)),6))+1,LEN(D35))</f>
        <v/>
      </c>
      <c r="O35" s="11">
        <f>MID(D35,FIND(";",SUBSTITUTE(D35,"|",REPT(";",LEN(D35)),5))+1,FIND(";",SUBSTITUTE(D35,"|",REPT(";",LEN(D35)),6))-FIND(";",SUBSTITUTE(D35,"|",REPT(";",LEN(D35)),5))-1)</f>
        <v/>
      </c>
    </row>
    <row r="36" ht="140" customHeight="1" s="21">
      <c r="A36" s="13" t="inlineStr">
        <is>
          <t>100201</t>
        </is>
      </c>
      <c r="B36" s="13" t="inlineStr">
        <is>
          <t>圆钢</t>
        </is>
      </c>
      <c r="C36" s="13" t="inlineStr">
        <is>
          <t>603152900</t>
        </is>
      </c>
      <c r="D36" s="13" t="inlineStr">
        <is>
          <t>热轧航空用不锈圆钢|圆钢|1Cr18Ni9Ti|Φ132|GJB 2294A-2014|热轧|GB/T 702-2008</t>
        </is>
      </c>
      <c r="E36" s="13" t="inlineStr">
        <is>
          <t>物资名称 热轧航空用不锈圆钢;物资简称 圆钢;牌号 1Cr18Ni9Ti;直径 Φ132;技术标准号 GJB 2294A-2014;加工工艺 热轧;热处理工艺 ;特殊要求 ;规格标准号 GB/T 702-2008</t>
        </is>
      </c>
      <c r="F36" s="12" t="inlineStr">
        <is>
          <t>千克</t>
        </is>
      </c>
      <c r="G36" s="11">
        <f>LEFT(D36,FIND("|",D36,1)-1)</f>
        <v/>
      </c>
      <c r="H36" s="11">
        <f>MID(D36,FIND("|",D36,FIND("|",D36,1))+1,FIND("|",D36,FIND("|",D36,1)+1)-FIND("|",D36,FIND("|",D36,1))-1)</f>
        <v/>
      </c>
      <c r="J36" s="11">
        <f>MID(D36,FIND(";",SUBSTITUTE(D36,"|",REPT(";",LEN(D36)),2))+1,FIND(";",SUBSTITUTE(D36,"|",REPT(";",LEN(D36)),3))-FIND(";",SUBSTITUTE(D36,"|",REPT(";",LEN(D36)),2))-1)</f>
        <v/>
      </c>
      <c r="K36" s="11">
        <f>MID(D36,FIND(";",SUBSTITUTE(D36,"|",REPT(";",LEN(D36)),3))+1,FIND(";",SUBSTITUTE(D36,"|",REPT(";",LEN(D36)),4))-FIND(";",SUBSTITUTE(D36,"|",REPT(";",LEN(D36)),3))-1)</f>
        <v/>
      </c>
      <c r="M36" s="11">
        <f>MID(D36,FIND(";",SUBSTITUTE(D36,"|",REPT(";",LEN(D36)),4))+1,FIND(";",SUBSTITUTE(D36,"|",REPT(";",LEN(D36)),5))-FIND(";",SUBSTITUTE(D36,"|",REPT(";",LEN(D36)),4))-1)</f>
        <v/>
      </c>
      <c r="N36" s="11">
        <f>MID(D36,FIND(";",SUBSTITUTE(D36,"|",REPT(";",LEN(D36)),6))+1,LEN(D36))</f>
        <v/>
      </c>
      <c r="O36" s="11">
        <f>MID(D36,FIND(";",SUBSTITUTE(D36,"|",REPT(";",LEN(D36)),5))+1,FIND(";",SUBSTITUTE(D36,"|",REPT(";",LEN(D36)),6))-FIND(";",SUBSTITUTE(D36,"|",REPT(";",LEN(D36)),5))-1)</f>
        <v/>
      </c>
    </row>
    <row r="37" ht="126" customHeight="1" s="21">
      <c r="A37" s="13" t="inlineStr">
        <is>
          <t>100201</t>
        </is>
      </c>
      <c r="B37" s="13" t="inlineStr">
        <is>
          <t>圆钢</t>
        </is>
      </c>
      <c r="C37" s="13" t="inlineStr">
        <is>
          <t>603122200</t>
        </is>
      </c>
      <c r="D37" s="13" t="inlineStr">
        <is>
          <t>热轧合金结构圆钢|圆钢|40Cr|Φ16|GB/T 3077-2015|热轧|GB/T 702-2008</t>
        </is>
      </c>
      <c r="E37" s="13" t="inlineStr">
        <is>
          <t>物资名称 热轧合金结构圆钢;物资简称 圆钢;牌号 40Cr;直径 Φ16;技术标准号 GB/T 3077-2015;加工工艺 热轧;热处理工艺 ;特殊要求 ;规格标准号 GB/T 702-2008</t>
        </is>
      </c>
      <c r="F37" s="12" t="inlineStr">
        <is>
          <t>千克</t>
        </is>
      </c>
      <c r="G37" s="11">
        <f>LEFT(D37,FIND("|",D37,1)-1)</f>
        <v/>
      </c>
      <c r="H37" s="11">
        <f>MID(D37,FIND("|",D37,FIND("|",D37,1))+1,FIND("|",D37,FIND("|",D37,1)+1)-FIND("|",D37,FIND("|",D37,1))-1)</f>
        <v/>
      </c>
      <c r="J37" s="11">
        <f>MID(D37,FIND(";",SUBSTITUTE(D37,"|",REPT(";",LEN(D37)),2))+1,FIND(";",SUBSTITUTE(D37,"|",REPT(";",LEN(D37)),3))-FIND(";",SUBSTITUTE(D37,"|",REPT(";",LEN(D37)),2))-1)</f>
        <v/>
      </c>
      <c r="K37" s="11">
        <f>MID(D37,FIND(";",SUBSTITUTE(D37,"|",REPT(";",LEN(D37)),3))+1,FIND(";",SUBSTITUTE(D37,"|",REPT(";",LEN(D37)),4))-FIND(";",SUBSTITUTE(D37,"|",REPT(";",LEN(D37)),3))-1)</f>
        <v/>
      </c>
      <c r="M37" s="11">
        <f>MID(D37,FIND(";",SUBSTITUTE(D37,"|",REPT(";",LEN(D37)),4))+1,FIND(";",SUBSTITUTE(D37,"|",REPT(";",LEN(D37)),5))-FIND(";",SUBSTITUTE(D37,"|",REPT(";",LEN(D37)),4))-1)</f>
        <v/>
      </c>
      <c r="N37" s="11">
        <f>MID(D37,FIND(";",SUBSTITUTE(D37,"|",REPT(";",LEN(D37)),6))+1,LEN(D37))</f>
        <v/>
      </c>
      <c r="O37" s="11">
        <f>MID(D37,FIND(";",SUBSTITUTE(D37,"|",REPT(";",LEN(D37)),5))+1,FIND(";",SUBSTITUTE(D37,"|",REPT(";",LEN(D37)),6))-FIND(";",SUBSTITUTE(D37,"|",REPT(";",LEN(D37)),5))-1)</f>
        <v/>
      </c>
    </row>
    <row r="38" ht="140" customHeight="1" s="21">
      <c r="A38" s="13" t="inlineStr">
        <is>
          <t>100201</t>
        </is>
      </c>
      <c r="B38" s="13" t="inlineStr">
        <is>
          <t>圆钢</t>
        </is>
      </c>
      <c r="C38" s="13" t="inlineStr">
        <is>
          <t>603121900</t>
        </is>
      </c>
      <c r="D38" s="13" t="inlineStr">
        <is>
          <t>热轧合金结构圆钢|圆钢|30CrMnSiA|Φ55|GB/T 3077-1999|热轧|GB/T 702-2008</t>
        </is>
      </c>
      <c r="E38" s="13" t="inlineStr">
        <is>
          <t>物资名称 热轧合金结构圆钢;物资简称 圆钢;牌号 30CrMnSiA;直径 Φ55;技术标准号 GB/T 3077-1999;加工工艺 热轧;热处理工艺 ;特殊要求 ;规格标准号 GB/T 702-2008</t>
        </is>
      </c>
      <c r="F38" s="12" t="inlineStr">
        <is>
          <t>千克</t>
        </is>
      </c>
      <c r="G38" s="11">
        <f>LEFT(D38,FIND("|",D38,1)-1)</f>
        <v/>
      </c>
      <c r="H38" s="11">
        <f>MID(D38,FIND("|",D38,FIND("|",D38,1))+1,FIND("|",D38,FIND("|",D38,1)+1)-FIND("|",D38,FIND("|",D38,1))-1)</f>
        <v/>
      </c>
      <c r="J38" s="11">
        <f>MID(D38,FIND(";",SUBSTITUTE(D38,"|",REPT(";",LEN(D38)),2))+1,FIND(";",SUBSTITUTE(D38,"|",REPT(";",LEN(D38)),3))-FIND(";",SUBSTITUTE(D38,"|",REPT(";",LEN(D38)),2))-1)</f>
        <v/>
      </c>
      <c r="K38" s="11">
        <f>MID(D38,FIND(";",SUBSTITUTE(D38,"|",REPT(";",LEN(D38)),3))+1,FIND(";",SUBSTITUTE(D38,"|",REPT(";",LEN(D38)),4))-FIND(";",SUBSTITUTE(D38,"|",REPT(";",LEN(D38)),3))-1)</f>
        <v/>
      </c>
      <c r="M38" s="11">
        <f>MID(D38,FIND(";",SUBSTITUTE(D38,"|",REPT(";",LEN(D38)),4))+1,FIND(";",SUBSTITUTE(D38,"|",REPT(";",LEN(D38)),5))-FIND(";",SUBSTITUTE(D38,"|",REPT(";",LEN(D38)),4))-1)</f>
        <v/>
      </c>
      <c r="N38" s="11">
        <f>MID(D38,FIND(";",SUBSTITUTE(D38,"|",REPT(";",LEN(D38)),6))+1,LEN(D38))</f>
        <v/>
      </c>
      <c r="O38" s="11">
        <f>MID(D38,FIND(";",SUBSTITUTE(D38,"|",REPT(";",LEN(D38)),5))+1,FIND(";",SUBSTITUTE(D38,"|",REPT(";",LEN(D38)),6))-FIND(";",SUBSTITUTE(D38,"|",REPT(";",LEN(D38)),5))-1)</f>
        <v/>
      </c>
    </row>
    <row r="39" ht="126" customHeight="1" s="21">
      <c r="A39" s="13" t="inlineStr">
        <is>
          <t>100201</t>
        </is>
      </c>
      <c r="B39" s="13" t="inlineStr">
        <is>
          <t>圆钢</t>
        </is>
      </c>
      <c r="C39" s="13" t="inlineStr">
        <is>
          <t>603108600</t>
        </is>
      </c>
      <c r="D39" s="13" t="inlineStr">
        <is>
          <t>冷拉弹簧圆钢|圆钢|60Si2MnA|Φ6|GB/T 1222-2016|冷拉|GB/T 905-1994</t>
        </is>
      </c>
      <c r="E39" s="13" t="inlineStr">
        <is>
          <t>物资名称 冷拉弹簧圆钢;物资简称 圆钢;牌号 60Si2MnA;直径 Φ6;技术标准号 GB/T 1222-2016;加工工艺 冷拉;热处理工艺 ;特殊要求 ;规格标准号 GB/T 905-1994</t>
        </is>
      </c>
      <c r="F39" s="12" t="inlineStr">
        <is>
          <t>千克</t>
        </is>
      </c>
      <c r="G39" s="11">
        <f>LEFT(D39,FIND("|",D39,1)-1)</f>
        <v/>
      </c>
      <c r="H39" s="11">
        <f>MID(D39,FIND("|",D39,FIND("|",D39,1))+1,FIND("|",D39,FIND("|",D39,1)+1)-FIND("|",D39,FIND("|",D39,1))-1)</f>
        <v/>
      </c>
      <c r="J39" s="11">
        <f>MID(D39,FIND(";",SUBSTITUTE(D39,"|",REPT(";",LEN(D39)),2))+1,FIND(";",SUBSTITUTE(D39,"|",REPT(";",LEN(D39)),3))-FIND(";",SUBSTITUTE(D39,"|",REPT(";",LEN(D39)),2))-1)</f>
        <v/>
      </c>
      <c r="K39" s="11">
        <f>MID(D39,FIND(";",SUBSTITUTE(D39,"|",REPT(";",LEN(D39)),3))+1,FIND(";",SUBSTITUTE(D39,"|",REPT(";",LEN(D39)),4))-FIND(";",SUBSTITUTE(D39,"|",REPT(";",LEN(D39)),3))-1)</f>
        <v/>
      </c>
      <c r="M39" s="11">
        <f>MID(D39,FIND(";",SUBSTITUTE(D39,"|",REPT(";",LEN(D39)),4))+1,FIND(";",SUBSTITUTE(D39,"|",REPT(";",LEN(D39)),5))-FIND(";",SUBSTITUTE(D39,"|",REPT(";",LEN(D39)),4))-1)</f>
        <v/>
      </c>
      <c r="N39" s="11">
        <f>MID(D39,FIND(";",SUBSTITUTE(D39,"|",REPT(";",LEN(D39)),6))+1,LEN(D39))</f>
        <v/>
      </c>
      <c r="O39" s="11">
        <f>MID(D39,FIND(";",SUBSTITUTE(D39,"|",REPT(";",LEN(D39)),5))+1,FIND(";",SUBSTITUTE(D39,"|",REPT(";",LEN(D39)),6))-FIND(";",SUBSTITUTE(D39,"|",REPT(";",LEN(D39)),5))-1)</f>
        <v/>
      </c>
    </row>
    <row r="40" ht="126" customHeight="1" s="21">
      <c r="A40" s="13" t="inlineStr">
        <is>
          <t>100201</t>
        </is>
      </c>
      <c r="B40" s="13" t="inlineStr">
        <is>
          <t>圆钢</t>
        </is>
      </c>
      <c r="C40" s="13" t="inlineStr">
        <is>
          <t>603010600</t>
        </is>
      </c>
      <c r="D40" s="13" t="inlineStr">
        <is>
          <t>热轧合金结构圆钢|圆钢|40Cr|Φ25|GB/T 3077-2015|热轧|GB/T 702-2008</t>
        </is>
      </c>
      <c r="E40" s="13" t="inlineStr">
        <is>
          <t>物资名称 热轧合金结构圆钢;物资简称 圆钢;牌号 40Cr;直径 Φ25;技术标准号 GB/T 3077-2015;加工工艺 热轧;热处理工艺 ;特殊要求 ;规格标准号 GB/T 702-2008</t>
        </is>
      </c>
      <c r="F40" s="12" t="inlineStr">
        <is>
          <t>千克</t>
        </is>
      </c>
      <c r="G40" s="11">
        <f>LEFT(D40,FIND("|",D40,1)-1)</f>
        <v/>
      </c>
      <c r="H40" s="11">
        <f>MID(D40,FIND("|",D40,FIND("|",D40,1))+1,FIND("|",D40,FIND("|",D40,1)+1)-FIND("|",D40,FIND("|",D40,1))-1)</f>
        <v/>
      </c>
      <c r="J40" s="11">
        <f>MID(D40,FIND(";",SUBSTITUTE(D40,"|",REPT(";",LEN(D40)),2))+1,FIND(";",SUBSTITUTE(D40,"|",REPT(";",LEN(D40)),3))-FIND(";",SUBSTITUTE(D40,"|",REPT(";",LEN(D40)),2))-1)</f>
        <v/>
      </c>
      <c r="K40" s="11">
        <f>MID(D40,FIND(";",SUBSTITUTE(D40,"|",REPT(";",LEN(D40)),3))+1,FIND(";",SUBSTITUTE(D40,"|",REPT(";",LEN(D40)),4))-FIND(";",SUBSTITUTE(D40,"|",REPT(";",LEN(D40)),3))-1)</f>
        <v/>
      </c>
      <c r="M40" s="11">
        <f>MID(D40,FIND(";",SUBSTITUTE(D40,"|",REPT(";",LEN(D40)),4))+1,FIND(";",SUBSTITUTE(D40,"|",REPT(";",LEN(D40)),5))-FIND(";",SUBSTITUTE(D40,"|",REPT(";",LEN(D40)),4))-1)</f>
        <v/>
      </c>
      <c r="N40" s="11">
        <f>MID(D40,FIND(";",SUBSTITUTE(D40,"|",REPT(";",LEN(D40)),6))+1,LEN(D40))</f>
        <v/>
      </c>
      <c r="O40" s="11">
        <f>MID(D40,FIND(";",SUBSTITUTE(D40,"|",REPT(";",LEN(D40)),5))+1,FIND(";",SUBSTITUTE(D40,"|",REPT(";",LEN(D40)),6))-FIND(";",SUBSTITUTE(D40,"|",REPT(";",LEN(D40)),5))-1)</f>
        <v/>
      </c>
    </row>
    <row r="41" ht="126" customHeight="1" s="21">
      <c r="A41" s="13" t="inlineStr">
        <is>
          <t>100201</t>
        </is>
      </c>
      <c r="B41" s="13" t="inlineStr">
        <is>
          <t>圆钢</t>
        </is>
      </c>
      <c r="C41" s="13" t="inlineStr">
        <is>
          <t>603010500</t>
        </is>
      </c>
      <c r="D41" s="13" t="inlineStr">
        <is>
          <t>热轧合金结构圆钢|圆钢|40Cr|Φ30|GB/T 3077-2015|热轧|GB/T 702-2008</t>
        </is>
      </c>
      <c r="E41" s="13" t="inlineStr">
        <is>
          <t>物资名称 热轧合金结构圆钢;物资简称 圆钢;牌号 40Cr;直径 Φ30;技术标准号 GB/T 3077-2015;加工工艺 热轧;热处理工艺 ;特殊要求 ;规格标准号 GB/T 702-2008</t>
        </is>
      </c>
      <c r="F41" s="12" t="inlineStr">
        <is>
          <t>千克</t>
        </is>
      </c>
      <c r="G41" s="11">
        <f>LEFT(D41,FIND("|",D41,1)-1)</f>
        <v/>
      </c>
      <c r="H41" s="11">
        <f>MID(D41,FIND("|",D41,FIND("|",D41,1))+1,FIND("|",D41,FIND("|",D41,1)+1)-FIND("|",D41,FIND("|",D41,1))-1)</f>
        <v/>
      </c>
      <c r="J41" s="11">
        <f>MID(D41,FIND(";",SUBSTITUTE(D41,"|",REPT(";",LEN(D41)),2))+1,FIND(";",SUBSTITUTE(D41,"|",REPT(";",LEN(D41)),3))-FIND(";",SUBSTITUTE(D41,"|",REPT(";",LEN(D41)),2))-1)</f>
        <v/>
      </c>
      <c r="K41" s="11">
        <f>MID(D41,FIND(";",SUBSTITUTE(D41,"|",REPT(";",LEN(D41)),3))+1,FIND(";",SUBSTITUTE(D41,"|",REPT(";",LEN(D41)),4))-FIND(";",SUBSTITUTE(D41,"|",REPT(";",LEN(D41)),3))-1)</f>
        <v/>
      </c>
      <c r="M41" s="11">
        <f>MID(D41,FIND(";",SUBSTITUTE(D41,"|",REPT(";",LEN(D41)),4))+1,FIND(";",SUBSTITUTE(D41,"|",REPT(";",LEN(D41)),5))-FIND(";",SUBSTITUTE(D41,"|",REPT(";",LEN(D41)),4))-1)</f>
        <v/>
      </c>
      <c r="N41" s="11">
        <f>MID(D41,FIND(";",SUBSTITUTE(D41,"|",REPT(";",LEN(D41)),6))+1,LEN(D41))</f>
        <v/>
      </c>
      <c r="O41" s="11">
        <f>MID(D41,FIND(";",SUBSTITUTE(D41,"|",REPT(";",LEN(D41)),5))+1,FIND(";",SUBSTITUTE(D41,"|",REPT(";",LEN(D41)),6))-FIND(";",SUBSTITUTE(D41,"|",REPT(";",LEN(D41)),5))-1)</f>
        <v/>
      </c>
    </row>
    <row r="42" ht="126" customHeight="1" s="21">
      <c r="A42" s="13" t="inlineStr">
        <is>
          <t>100201</t>
        </is>
      </c>
      <c r="B42" s="13" t="inlineStr">
        <is>
          <t>圆钢</t>
        </is>
      </c>
      <c r="C42" s="13" t="inlineStr">
        <is>
          <t>603010300</t>
        </is>
      </c>
      <c r="D42" s="13" t="inlineStr">
        <is>
          <t>热轧不锈圆钢|圆钢|20Cr13|Φ100|GB/T 1220-2007|热轧|GB/T 702-2008</t>
        </is>
      </c>
      <c r="E42" s="13" t="inlineStr">
        <is>
          <t>物资名称 热轧不锈圆钢;物资简称 圆钢;牌号 20Cr13;直径 Φ100;技术标准号 GB/T 1220-2007;加工工艺 热轧;热处理工艺 ;特殊要求 ;规格标准号 GB/T 702-2008</t>
        </is>
      </c>
      <c r="F42" s="12" t="inlineStr">
        <is>
          <t>千克</t>
        </is>
      </c>
      <c r="G42" s="11">
        <f>LEFT(D42,FIND("|",D42,1)-1)</f>
        <v/>
      </c>
      <c r="H42" s="11">
        <f>MID(D42,FIND("|",D42,FIND("|",D42,1))+1,FIND("|",D42,FIND("|",D42,1)+1)-FIND("|",D42,FIND("|",D42,1))-1)</f>
        <v/>
      </c>
      <c r="J42" s="11">
        <f>MID(D42,FIND(";",SUBSTITUTE(D42,"|",REPT(";",LEN(D42)),2))+1,FIND(";",SUBSTITUTE(D42,"|",REPT(";",LEN(D42)),3))-FIND(";",SUBSTITUTE(D42,"|",REPT(";",LEN(D42)),2))-1)</f>
        <v/>
      </c>
      <c r="K42" s="11">
        <f>MID(D42,FIND(";",SUBSTITUTE(D42,"|",REPT(";",LEN(D42)),3))+1,FIND(";",SUBSTITUTE(D42,"|",REPT(";",LEN(D42)),4))-FIND(";",SUBSTITUTE(D42,"|",REPT(";",LEN(D42)),3))-1)</f>
        <v/>
      </c>
      <c r="M42" s="11">
        <f>MID(D42,FIND(";",SUBSTITUTE(D42,"|",REPT(";",LEN(D42)),4))+1,FIND(";",SUBSTITUTE(D42,"|",REPT(";",LEN(D42)),5))-FIND(";",SUBSTITUTE(D42,"|",REPT(";",LEN(D42)),4))-1)</f>
        <v/>
      </c>
      <c r="N42" s="11">
        <f>MID(D42,FIND(";",SUBSTITUTE(D42,"|",REPT(";",LEN(D42)),6))+1,LEN(D42))</f>
        <v/>
      </c>
      <c r="O42" s="11">
        <f>MID(D42,FIND(";",SUBSTITUTE(D42,"|",REPT(";",LEN(D42)),5))+1,FIND(";",SUBSTITUTE(D42,"|",REPT(";",LEN(D42)),6))-FIND(";",SUBSTITUTE(D42,"|",REPT(";",LEN(D42)),5))-1)</f>
        <v/>
      </c>
    </row>
    <row r="43" ht="112" customHeight="1" s="21">
      <c r="A43" s="13" t="inlineStr">
        <is>
          <t>100201</t>
        </is>
      </c>
      <c r="B43" s="13" t="inlineStr">
        <is>
          <t>圆钢</t>
        </is>
      </c>
      <c r="C43" s="13" t="inlineStr">
        <is>
          <t>602974900</t>
        </is>
      </c>
      <c r="D43" s="13" t="inlineStr">
        <is>
          <t>碳素工具圆钢|圆钢|T10A|Φ260|北京兵工</t>
        </is>
      </c>
      <c r="E43" s="13" t="inlineStr">
        <is>
          <t>物资名称 碳素工具圆钢;物资简称 圆钢;牌号 T10A;直径 Φ260;技术标准号 空;加工工艺 ;热处理工艺 ;特殊要求 北京兵工;规格标准号</t>
        </is>
      </c>
      <c r="F43" s="12" t="inlineStr">
        <is>
          <t>千克</t>
        </is>
      </c>
      <c r="G43" s="11">
        <f>LEFT(D43,FIND("|",D43,1)-1)</f>
        <v/>
      </c>
      <c r="H43" s="11">
        <f>MID(D43,FIND("|",D43,FIND("|",D43,1))+1,FIND("|",D43,FIND("|",D43,1)+1)-FIND("|",D43,FIND("|",D43,1))-1)</f>
        <v/>
      </c>
      <c r="J43" s="11">
        <f>MID(D43,FIND(";",SUBSTITUTE(D43,"|",REPT(";",LEN(D43)),2))+1,FIND(";",SUBSTITUTE(D43,"|",REPT(";",LEN(D43)),3))-FIND(";",SUBSTITUTE(D43,"|",REPT(";",LEN(D43)),2))-1)</f>
        <v/>
      </c>
      <c r="K43" s="11">
        <f>MID(D43,FIND(";",SUBSTITUTE(D43,"|",REPT(";",LEN(D43)),3))+1,FIND(";",SUBSTITUTE(D43,"|",REPT(";",LEN(D43)),4))-FIND(";",SUBSTITUTE(D43,"|",REPT(";",LEN(D43)),3))-1)</f>
        <v/>
      </c>
      <c r="Q43" s="11">
        <f>MID(D43,FIND(";",SUBSTITUTE(D43,"|",REPT(";",LEN(D43)),4))+1,LEN(D43))</f>
        <v/>
      </c>
    </row>
    <row r="44" ht="112" customHeight="1" s="21">
      <c r="A44" s="13" t="inlineStr">
        <is>
          <t>100201</t>
        </is>
      </c>
      <c r="B44" s="13" t="inlineStr">
        <is>
          <t>圆钢</t>
        </is>
      </c>
      <c r="C44" s="13" t="inlineStr">
        <is>
          <t>602974800</t>
        </is>
      </c>
      <c r="D44" s="13" t="inlineStr">
        <is>
          <t>碳素工具圆钢|圆钢|T10A|Φ250|北京兵工</t>
        </is>
      </c>
      <c r="E44" s="13" t="inlineStr">
        <is>
          <t>物资名称 碳素工具圆钢;物资简称 圆钢;牌号 T10A;直径 Φ250;技术标准号 空;加工工艺 ;热处理工艺 ;特殊要求 北京兵工;规格标准号</t>
        </is>
      </c>
      <c r="F44" s="12" t="inlineStr">
        <is>
          <t>千克</t>
        </is>
      </c>
      <c r="G44" s="11">
        <f>LEFT(D44,FIND("|",D44,1)-1)</f>
        <v/>
      </c>
      <c r="H44" s="11">
        <f>MID(D44,FIND("|",D44,FIND("|",D44,1))+1,FIND("|",D44,FIND("|",D44,1)+1)-FIND("|",D44,FIND("|",D44,1))-1)</f>
        <v/>
      </c>
      <c r="J44" s="11">
        <f>MID(D44,FIND(";",SUBSTITUTE(D44,"|",REPT(";",LEN(D44)),2))+1,FIND(";",SUBSTITUTE(D44,"|",REPT(";",LEN(D44)),3))-FIND(";",SUBSTITUTE(D44,"|",REPT(";",LEN(D44)),2))-1)</f>
        <v/>
      </c>
      <c r="K44" s="11">
        <f>MID(D44,FIND(";",SUBSTITUTE(D44,"|",REPT(";",LEN(D44)),3))+1,FIND(";",SUBSTITUTE(D44,"|",REPT(";",LEN(D44)),4))-FIND(";",SUBSTITUTE(D44,"|",REPT(";",LEN(D44)),3))-1)</f>
        <v/>
      </c>
      <c r="Q44" s="11">
        <f>MID(D44,FIND(";",SUBSTITUTE(D44,"|",REPT(";",LEN(D44)),4))+1,LEN(D44))</f>
        <v/>
      </c>
    </row>
    <row r="45" ht="140" customHeight="1" s="21">
      <c r="A45" s="13" t="inlineStr">
        <is>
          <t>100201</t>
        </is>
      </c>
      <c r="B45" s="13" t="inlineStr">
        <is>
          <t>圆钢</t>
        </is>
      </c>
      <c r="C45" s="13" t="inlineStr">
        <is>
          <t>602948300</t>
        </is>
      </c>
      <c r="D45" s="13" t="inlineStr">
        <is>
          <t>热轧优质碳素结构圆钢|圆钢|45|Φ220|GB/T 699-1999|热轧|GB/T 702-2008</t>
        </is>
      </c>
      <c r="E45" s="13" t="inlineStr">
        <is>
          <t>物资名称 热轧优质碳素结构圆钢;物资简称 圆钢;牌号 45;直径 Φ220;技术标准号 GB/T 699-1999;加工工艺 热轧;热处理工艺 ;特殊要求 ;规格标准号 GB/T 702-2008</t>
        </is>
      </c>
      <c r="F45" s="12" t="inlineStr">
        <is>
          <t>千克</t>
        </is>
      </c>
      <c r="G45" s="11">
        <f>LEFT(D45,FIND("|",D45,1)-1)</f>
        <v/>
      </c>
      <c r="H45" s="11">
        <f>MID(D45,FIND("|",D45,FIND("|",D45,1))+1,FIND("|",D45,FIND("|",D45,1)+1)-FIND("|",D45,FIND("|",D45,1))-1)</f>
        <v/>
      </c>
      <c r="J45" s="11">
        <f>MID(D45,FIND(";",SUBSTITUTE(D45,"|",REPT(";",LEN(D45)),2))+1,FIND(";",SUBSTITUTE(D45,"|",REPT(";",LEN(D45)),3))-FIND(";",SUBSTITUTE(D45,"|",REPT(";",LEN(D45)),2))-1)</f>
        <v/>
      </c>
      <c r="K45" s="11">
        <f>MID(D45,FIND(";",SUBSTITUTE(D45,"|",REPT(";",LEN(D45)),3))+1,FIND(";",SUBSTITUTE(D45,"|",REPT(";",LEN(D45)),4))-FIND(";",SUBSTITUTE(D45,"|",REPT(";",LEN(D45)),3))-1)</f>
        <v/>
      </c>
      <c r="M45" s="11">
        <f>MID(D45,FIND(";",SUBSTITUTE(D45,"|",REPT(";",LEN(D45)),4))+1,FIND(";",SUBSTITUTE(D45,"|",REPT(";",LEN(D45)),5))-FIND(";",SUBSTITUTE(D45,"|",REPT(";",LEN(D45)),4))-1)</f>
        <v/>
      </c>
      <c r="N45" s="11">
        <f>MID(D45,FIND(";",SUBSTITUTE(D45,"|",REPT(";",LEN(D45)),6))+1,LEN(D45))</f>
        <v/>
      </c>
      <c r="O45" s="11">
        <f>MID(D45,FIND(";",SUBSTITUTE(D45,"|",REPT(";",LEN(D45)),5))+1,FIND(";",SUBSTITUTE(D45,"|",REPT(";",LEN(D45)),6))-FIND(";",SUBSTITUTE(D45,"|",REPT(";",LEN(D45)),5))-1)</f>
        <v/>
      </c>
    </row>
    <row r="46" ht="126" customHeight="1" s="21">
      <c r="A46" s="13" t="inlineStr">
        <is>
          <t>100201</t>
        </is>
      </c>
      <c r="B46" s="13" t="inlineStr">
        <is>
          <t>圆钢</t>
        </is>
      </c>
      <c r="C46" s="13" t="inlineStr">
        <is>
          <t>602887100</t>
        </is>
      </c>
      <c r="D46" s="13" t="inlineStr">
        <is>
          <t>热轧合金结构圆钢|圆钢|40Cr|Φ60|GB/T 3077-2015|热轧|GB/T 702-2008</t>
        </is>
      </c>
      <c r="E46" s="13" t="inlineStr">
        <is>
          <t>物资名称 热轧合金结构圆钢;物资简称 圆钢;牌号 40Cr;直径 Φ60;技术标准号 GB/T 3077-2015;加工工艺 热轧;热处理工艺 ;特殊要求 ;规格标准号 GB/T 702-2008</t>
        </is>
      </c>
      <c r="F46" s="12" t="inlineStr">
        <is>
          <t>千克</t>
        </is>
      </c>
      <c r="G46" s="11">
        <f>LEFT(D46,FIND("|",D46,1)-1)</f>
        <v/>
      </c>
      <c r="H46" s="11">
        <f>MID(D46,FIND("|",D46,FIND("|",D46,1))+1,FIND("|",D46,FIND("|",D46,1)+1)-FIND("|",D46,FIND("|",D46,1))-1)</f>
        <v/>
      </c>
      <c r="J46" s="11">
        <f>MID(D46,FIND(";",SUBSTITUTE(D46,"|",REPT(";",LEN(D46)),2))+1,FIND(";",SUBSTITUTE(D46,"|",REPT(";",LEN(D46)),3))-FIND(";",SUBSTITUTE(D46,"|",REPT(";",LEN(D46)),2))-1)</f>
        <v/>
      </c>
      <c r="K46" s="11">
        <f>MID(D46,FIND(";",SUBSTITUTE(D46,"|",REPT(";",LEN(D46)),3))+1,FIND(";",SUBSTITUTE(D46,"|",REPT(";",LEN(D46)),4))-FIND(";",SUBSTITUTE(D46,"|",REPT(";",LEN(D46)),3))-1)</f>
        <v/>
      </c>
      <c r="M46" s="11">
        <f>MID(D46,FIND(";",SUBSTITUTE(D46,"|",REPT(";",LEN(D46)),4))+1,FIND(";",SUBSTITUTE(D46,"|",REPT(";",LEN(D46)),5))-FIND(";",SUBSTITUTE(D46,"|",REPT(";",LEN(D46)),4))-1)</f>
        <v/>
      </c>
      <c r="N46" s="11">
        <f>MID(D46,FIND(";",SUBSTITUTE(D46,"|",REPT(";",LEN(D46)),6))+1,LEN(D46))</f>
        <v/>
      </c>
      <c r="O46" s="11">
        <f>MID(D46,FIND(";",SUBSTITUTE(D46,"|",REPT(";",LEN(D46)),5))+1,FIND(";",SUBSTITUTE(D46,"|",REPT(";",LEN(D46)),6))-FIND(";",SUBSTITUTE(D46,"|",REPT(";",LEN(D46)),5))-1)</f>
        <v/>
      </c>
    </row>
    <row r="47" ht="140" customHeight="1" s="21">
      <c r="A47" s="13" t="inlineStr">
        <is>
          <t>100201</t>
        </is>
      </c>
      <c r="B47" s="13" t="inlineStr">
        <is>
          <t>圆钢</t>
        </is>
      </c>
      <c r="C47" s="13" t="inlineStr">
        <is>
          <t>602886800</t>
        </is>
      </c>
      <c r="D47" s="13" t="inlineStr">
        <is>
          <t>热轧航空用不锈圆钢|圆钢|1Cr18Ni9Ti|Φ75|GJB 2294A-2014|热轧|GB/T 702-2008</t>
        </is>
      </c>
      <c r="E47" s="13" t="inlineStr">
        <is>
          <t>物资名称 热轧航空用不锈圆钢;物资简称 圆钢;牌号 1Cr18Ni9Ti;直径 Φ75;技术标准号 GJB 2294A-2014;加工工艺 热轧;热处理工艺 ;特殊要求 ;规格标准号 GB/T 702-2008</t>
        </is>
      </c>
      <c r="F47" s="12" t="inlineStr">
        <is>
          <t>千克</t>
        </is>
      </c>
      <c r="G47" s="11">
        <f>LEFT(D47,FIND("|",D47,1)-1)</f>
        <v/>
      </c>
      <c r="H47" s="11">
        <f>MID(D47,FIND("|",D47,FIND("|",D47,1))+1,FIND("|",D47,FIND("|",D47,1)+1)-FIND("|",D47,FIND("|",D47,1))-1)</f>
        <v/>
      </c>
      <c r="J47" s="11">
        <f>MID(D47,FIND(";",SUBSTITUTE(D47,"|",REPT(";",LEN(D47)),2))+1,FIND(";",SUBSTITUTE(D47,"|",REPT(";",LEN(D47)),3))-FIND(";",SUBSTITUTE(D47,"|",REPT(";",LEN(D47)),2))-1)</f>
        <v/>
      </c>
      <c r="K47" s="11">
        <f>MID(D47,FIND(";",SUBSTITUTE(D47,"|",REPT(";",LEN(D47)),3))+1,FIND(";",SUBSTITUTE(D47,"|",REPT(";",LEN(D47)),4))-FIND(";",SUBSTITUTE(D47,"|",REPT(";",LEN(D47)),3))-1)</f>
        <v/>
      </c>
      <c r="M47" s="11">
        <f>MID(D47,FIND(";",SUBSTITUTE(D47,"|",REPT(";",LEN(D47)),4))+1,FIND(";",SUBSTITUTE(D47,"|",REPT(";",LEN(D47)),5))-FIND(";",SUBSTITUTE(D47,"|",REPT(";",LEN(D47)),4))-1)</f>
        <v/>
      </c>
      <c r="N47" s="11">
        <f>MID(D47,FIND(";",SUBSTITUTE(D47,"|",REPT(";",LEN(D47)),6))+1,LEN(D47))</f>
        <v/>
      </c>
      <c r="O47" s="11">
        <f>MID(D47,FIND(";",SUBSTITUTE(D47,"|",REPT(";",LEN(D47)),5))+1,FIND(";",SUBSTITUTE(D47,"|",REPT(";",LEN(D47)),6))-FIND(";",SUBSTITUTE(D47,"|",REPT(";",LEN(D47)),5))-1)</f>
        <v/>
      </c>
    </row>
    <row r="48" ht="140" customHeight="1" s="21">
      <c r="A48" s="13" t="inlineStr">
        <is>
          <t>100201</t>
        </is>
      </c>
      <c r="B48" s="13" t="inlineStr">
        <is>
          <t>圆钢</t>
        </is>
      </c>
      <c r="C48" s="13" t="inlineStr">
        <is>
          <t>602886700</t>
        </is>
      </c>
      <c r="D48" s="13" t="inlineStr">
        <is>
          <t>热轧航空用不锈圆钢|圆钢|1Cr18Ni9Ti|Φ80|GJB 2294A-2014|热轧|GB/T 702-2008</t>
        </is>
      </c>
      <c r="E48" s="13" t="inlineStr">
        <is>
          <t>物资名称 热轧航空用不锈圆钢;物资简称 圆钢;牌号 1Cr18Ni9Ti;直径 Φ80;技术标准号 GJB 2294A-2014;加工工艺 热轧;热处理工艺 ;特殊要求 ;规格标准号 GB/T 702-2008</t>
        </is>
      </c>
      <c r="F48" s="12" t="inlineStr">
        <is>
          <t>千克</t>
        </is>
      </c>
      <c r="G48" s="11">
        <f>LEFT(D48,FIND("|",D48,1)-1)</f>
        <v/>
      </c>
      <c r="H48" s="11">
        <f>MID(D48,FIND("|",D48,FIND("|",D48,1))+1,FIND("|",D48,FIND("|",D48,1)+1)-FIND("|",D48,FIND("|",D48,1))-1)</f>
        <v/>
      </c>
      <c r="J48" s="11">
        <f>MID(D48,FIND(";",SUBSTITUTE(D48,"|",REPT(";",LEN(D48)),2))+1,FIND(";",SUBSTITUTE(D48,"|",REPT(";",LEN(D48)),3))-FIND(";",SUBSTITUTE(D48,"|",REPT(";",LEN(D48)),2))-1)</f>
        <v/>
      </c>
      <c r="K48" s="11">
        <f>MID(D48,FIND(";",SUBSTITUTE(D48,"|",REPT(";",LEN(D48)),3))+1,FIND(";",SUBSTITUTE(D48,"|",REPT(";",LEN(D48)),4))-FIND(";",SUBSTITUTE(D48,"|",REPT(";",LEN(D48)),3))-1)</f>
        <v/>
      </c>
      <c r="M48" s="11">
        <f>MID(D48,FIND(";",SUBSTITUTE(D48,"|",REPT(";",LEN(D48)),4))+1,FIND(";",SUBSTITUTE(D48,"|",REPT(";",LEN(D48)),5))-FIND(";",SUBSTITUTE(D48,"|",REPT(";",LEN(D48)),4))-1)</f>
        <v/>
      </c>
      <c r="N48" s="11">
        <f>MID(D48,FIND(";",SUBSTITUTE(D48,"|",REPT(";",LEN(D48)),6))+1,LEN(D48))</f>
        <v/>
      </c>
      <c r="O48" s="11">
        <f>MID(D48,FIND(";",SUBSTITUTE(D48,"|",REPT(";",LEN(D48)),5))+1,FIND(";",SUBSTITUTE(D48,"|",REPT(";",LEN(D48)),6))-FIND(";",SUBSTITUTE(D48,"|",REPT(";",LEN(D48)),5))-1)</f>
        <v/>
      </c>
    </row>
    <row r="49" ht="140" customHeight="1" s="21">
      <c r="A49" s="13" t="inlineStr">
        <is>
          <t>100201</t>
        </is>
      </c>
      <c r="B49" s="13" t="inlineStr">
        <is>
          <t>圆钢</t>
        </is>
      </c>
      <c r="C49" s="13" t="inlineStr">
        <is>
          <t>602886600</t>
        </is>
      </c>
      <c r="D49" s="13" t="inlineStr">
        <is>
          <t>热轧航空用不锈圆钢|圆钢|1Cr18Ni9Ti|Φ45|GJB 2294A-2014|热轧|GB/T 702-2008</t>
        </is>
      </c>
      <c r="E49" s="13" t="inlineStr">
        <is>
          <t>物资名称 热轧航空用不锈圆钢;物资简称 圆钢;牌号 1Cr18Ni9Ti;直径 Φ45;技术标准号 GJB 2294A-2014;加工工艺 热轧;热处理工艺 ;特殊要求 ;规格标准号 GB/T 702-2008</t>
        </is>
      </c>
      <c r="F49" s="12" t="inlineStr">
        <is>
          <t>千克</t>
        </is>
      </c>
      <c r="G49" s="11">
        <f>LEFT(D49,FIND("|",D49,1)-1)</f>
        <v/>
      </c>
      <c r="H49" s="11">
        <f>MID(D49,FIND("|",D49,FIND("|",D49,1))+1,FIND("|",D49,FIND("|",D49,1)+1)-FIND("|",D49,FIND("|",D49,1))-1)</f>
        <v/>
      </c>
      <c r="J49" s="11">
        <f>MID(D49,FIND(";",SUBSTITUTE(D49,"|",REPT(";",LEN(D49)),2))+1,FIND(";",SUBSTITUTE(D49,"|",REPT(";",LEN(D49)),3))-FIND(";",SUBSTITUTE(D49,"|",REPT(";",LEN(D49)),2))-1)</f>
        <v/>
      </c>
      <c r="K49" s="11">
        <f>MID(D49,FIND(";",SUBSTITUTE(D49,"|",REPT(";",LEN(D49)),3))+1,FIND(";",SUBSTITUTE(D49,"|",REPT(";",LEN(D49)),4))-FIND(";",SUBSTITUTE(D49,"|",REPT(";",LEN(D49)),3))-1)</f>
        <v/>
      </c>
      <c r="M49" s="11">
        <f>MID(D49,FIND(";",SUBSTITUTE(D49,"|",REPT(";",LEN(D49)),4))+1,FIND(";",SUBSTITUTE(D49,"|",REPT(";",LEN(D49)),5))-FIND(";",SUBSTITUTE(D49,"|",REPT(";",LEN(D49)),4))-1)</f>
        <v/>
      </c>
      <c r="N49" s="11">
        <f>MID(D49,FIND(";",SUBSTITUTE(D49,"|",REPT(";",LEN(D49)),6))+1,LEN(D49))</f>
        <v/>
      </c>
      <c r="O49" s="11">
        <f>MID(D49,FIND(";",SUBSTITUTE(D49,"|",REPT(";",LEN(D49)),5))+1,FIND(";",SUBSTITUTE(D49,"|",REPT(";",LEN(D49)),6))-FIND(";",SUBSTITUTE(D49,"|",REPT(";",LEN(D49)),5))-1)</f>
        <v/>
      </c>
    </row>
    <row r="50" ht="140" customHeight="1" s="21">
      <c r="A50" s="13" t="inlineStr">
        <is>
          <t>100201</t>
        </is>
      </c>
      <c r="B50" s="13" t="inlineStr">
        <is>
          <t>圆钢</t>
        </is>
      </c>
      <c r="C50" s="13" t="inlineStr">
        <is>
          <t>602886500</t>
        </is>
      </c>
      <c r="D50" s="13" t="inlineStr">
        <is>
          <t>热轧航空用不锈圆钢|圆钢|1Cr18Ni9Ti|Φ30|GJB 2294A-2014|热轧|GB/T 702-2008</t>
        </is>
      </c>
      <c r="E50" s="13" t="inlineStr">
        <is>
          <t>物资名称 热轧航空用不锈圆钢;物资简称 圆钢;牌号 1Cr18Ni9Ti;直径 Φ30;技术标准号 GJB 2294A-2014;加工工艺 热轧;热处理工艺 ;特殊要求 ;规格标准号 GB/T 702-2008</t>
        </is>
      </c>
      <c r="F50" s="12" t="inlineStr">
        <is>
          <t>千克</t>
        </is>
      </c>
      <c r="G50" s="11">
        <f>LEFT(D50,FIND("|",D50,1)-1)</f>
        <v/>
      </c>
      <c r="H50" s="11">
        <f>MID(D50,FIND("|",D50,FIND("|",D50,1))+1,FIND("|",D50,FIND("|",D50,1)+1)-FIND("|",D50,FIND("|",D50,1))-1)</f>
        <v/>
      </c>
      <c r="J50" s="11">
        <f>MID(D50,FIND(";",SUBSTITUTE(D50,"|",REPT(";",LEN(D50)),2))+1,FIND(";",SUBSTITUTE(D50,"|",REPT(";",LEN(D50)),3))-FIND(";",SUBSTITUTE(D50,"|",REPT(";",LEN(D50)),2))-1)</f>
        <v/>
      </c>
      <c r="K50" s="11">
        <f>MID(D50,FIND(";",SUBSTITUTE(D50,"|",REPT(";",LEN(D50)),3))+1,FIND(";",SUBSTITUTE(D50,"|",REPT(";",LEN(D50)),4))-FIND(";",SUBSTITUTE(D50,"|",REPT(";",LEN(D50)),3))-1)</f>
        <v/>
      </c>
      <c r="M50" s="11">
        <f>MID(D50,FIND(";",SUBSTITUTE(D50,"|",REPT(";",LEN(D50)),4))+1,FIND(";",SUBSTITUTE(D50,"|",REPT(";",LEN(D50)),5))-FIND(";",SUBSTITUTE(D50,"|",REPT(";",LEN(D50)),4))-1)</f>
        <v/>
      </c>
      <c r="N50" s="11">
        <f>MID(D50,FIND(";",SUBSTITUTE(D50,"|",REPT(";",LEN(D50)),6))+1,LEN(D50))</f>
        <v/>
      </c>
      <c r="O50" s="11">
        <f>MID(D50,FIND(";",SUBSTITUTE(D50,"|",REPT(";",LEN(D50)),5))+1,FIND(";",SUBSTITUTE(D50,"|",REPT(";",LEN(D50)),6))-FIND(";",SUBSTITUTE(D50,"|",REPT(";",LEN(D50)),5))-1)</f>
        <v/>
      </c>
    </row>
    <row r="51" ht="140" customHeight="1" s="21">
      <c r="A51" s="13" t="inlineStr">
        <is>
          <t>100201</t>
        </is>
      </c>
      <c r="B51" s="13" t="inlineStr">
        <is>
          <t>圆钢</t>
        </is>
      </c>
      <c r="C51" s="13" t="inlineStr">
        <is>
          <t>602642300</t>
        </is>
      </c>
      <c r="D51" s="13" t="inlineStr">
        <is>
          <t>热轧航空用不锈圆钢|圆钢|1Cr18Ni9Ti|Φ50|GJB 2294A-2014|热轧|GB/T 702-2008</t>
        </is>
      </c>
      <c r="E51" s="13" t="inlineStr">
        <is>
          <t>物资名称 热轧航空用不锈圆钢;物资简称 圆钢;牌号 1Cr18Ni9Ti;直径 Φ50;技术标准号 GJB 2294A-2014;加工工艺 热轧;热处理工艺 ;特殊要求 ;规格标准号 GB/T 702-2008</t>
        </is>
      </c>
      <c r="F51" s="12" t="inlineStr">
        <is>
          <t>千克</t>
        </is>
      </c>
      <c r="G51" s="11">
        <f>LEFT(D51,FIND("|",D51,1)-1)</f>
        <v/>
      </c>
      <c r="H51" s="11">
        <f>MID(D51,FIND("|",D51,FIND("|",D51,1))+1,FIND("|",D51,FIND("|",D51,1)+1)-FIND("|",D51,FIND("|",D51,1))-1)</f>
        <v/>
      </c>
      <c r="J51" s="11">
        <f>MID(D51,FIND(";",SUBSTITUTE(D51,"|",REPT(";",LEN(D51)),2))+1,FIND(";",SUBSTITUTE(D51,"|",REPT(";",LEN(D51)),3))-FIND(";",SUBSTITUTE(D51,"|",REPT(";",LEN(D51)),2))-1)</f>
        <v/>
      </c>
      <c r="K51" s="11">
        <f>MID(D51,FIND(";",SUBSTITUTE(D51,"|",REPT(";",LEN(D51)),3))+1,FIND(";",SUBSTITUTE(D51,"|",REPT(";",LEN(D51)),4))-FIND(";",SUBSTITUTE(D51,"|",REPT(";",LEN(D51)),3))-1)</f>
        <v/>
      </c>
      <c r="M51" s="11">
        <f>MID(D51,FIND(";",SUBSTITUTE(D51,"|",REPT(";",LEN(D51)),4))+1,FIND(";",SUBSTITUTE(D51,"|",REPT(";",LEN(D51)),5))-FIND(";",SUBSTITUTE(D51,"|",REPT(";",LEN(D51)),4))-1)</f>
        <v/>
      </c>
      <c r="N51" s="11">
        <f>MID(D51,FIND(";",SUBSTITUTE(D51,"|",REPT(";",LEN(D51)),6))+1,LEN(D51))</f>
        <v/>
      </c>
      <c r="O51" s="11">
        <f>MID(D51,FIND(";",SUBSTITUTE(D51,"|",REPT(";",LEN(D51)),5))+1,FIND(";",SUBSTITUTE(D51,"|",REPT(";",LEN(D51)),6))-FIND(";",SUBSTITUTE(D51,"|",REPT(";",LEN(D51)),5))-1)</f>
        <v/>
      </c>
    </row>
    <row r="52" ht="126" customHeight="1" s="21">
      <c r="A52" s="13" t="inlineStr">
        <is>
          <t>100201</t>
        </is>
      </c>
      <c r="B52" s="13" t="inlineStr">
        <is>
          <t>圆钢</t>
        </is>
      </c>
      <c r="C52" s="13" t="inlineStr">
        <is>
          <t>602640500</t>
        </is>
      </c>
      <c r="D52" s="13" t="inlineStr">
        <is>
          <t>冷拉高碳铬轴承圆钢|圆钢|GCr15|Φ4.8|GB/T 18254-2002|冷拉</t>
        </is>
      </c>
      <c r="E52" s="13" t="inlineStr">
        <is>
          <t>物资名称 冷拉高碳铬轴承圆钢;物资简称 圆钢;牌号 GCr15;直径 Φ4.8;技术标准号 GB/T 18254-2002;加工工艺 冷拉;热处理工艺 ;特殊要求 ;规格标准号</t>
        </is>
      </c>
      <c r="F52" s="12" t="inlineStr">
        <is>
          <t>千克</t>
        </is>
      </c>
      <c r="G52" s="11">
        <f>LEFT(D52,FIND("|",D52,1)-1)</f>
        <v/>
      </c>
      <c r="H52" s="11">
        <f>MID(D52,FIND("|",D52,FIND("|",D52,1))+1,FIND("|",D52,FIND("|",D52,1)+1)-FIND("|",D52,FIND("|",D52,1))-1)</f>
        <v/>
      </c>
      <c r="J52" s="11">
        <f>MID(D52,FIND(";",SUBSTITUTE(D52,"|",REPT(";",LEN(D52)),2))+1,FIND(";",SUBSTITUTE(D52,"|",REPT(";",LEN(D52)),3))-FIND(";",SUBSTITUTE(D52,"|",REPT(";",LEN(D52)),2))-1)</f>
        <v/>
      </c>
      <c r="K52" s="11">
        <f>MID(D52,FIND(";",SUBSTITUTE(D52,"|",REPT(";",LEN(D52)),3))+1,FIND(";",SUBSTITUTE(D52,"|",REPT(";",LEN(D52)),4))-FIND(";",SUBSTITUTE(D52,"|",REPT(";",LEN(D52)),3))-1)</f>
        <v/>
      </c>
      <c r="M52" s="11">
        <f>MID(D52,FIND(";",SUBSTITUTE(D52,"|",REPT(";",LEN(D52)),4))+1,FIND(";",SUBSTITUTE(D52,"|",REPT(";",LEN(D52)),5))-FIND(";",SUBSTITUTE(D52,"|",REPT(";",LEN(D52)),4))-1)</f>
        <v/>
      </c>
      <c r="O52" s="11">
        <f>MID(D52,FIND(";",SUBSTITUTE(D52,"|",REPT(";",LEN(D52)),5))+1,LEN(D52))</f>
        <v/>
      </c>
    </row>
    <row r="53" ht="126" customHeight="1" s="21">
      <c r="A53" s="13" t="inlineStr">
        <is>
          <t>100201</t>
        </is>
      </c>
      <c r="B53" s="13" t="inlineStr">
        <is>
          <t>圆钢</t>
        </is>
      </c>
      <c r="C53" s="13" t="inlineStr">
        <is>
          <t>602631700</t>
        </is>
      </c>
      <c r="D53" s="13" t="inlineStr">
        <is>
          <t>热轧优质碳素结构圆钢|圆钢|45|Φ6|GB/T 699-1999|热轧|GB/T 702-2008</t>
        </is>
      </c>
      <c r="E53" s="13" t="inlineStr">
        <is>
          <t>物资名称 热轧优质碳素结构圆钢;物资简称 圆钢;牌号 45;直径 Φ6;技术标准号 GB/T 699-1999;加工工艺 热轧;热处理工艺 ;特殊要求 ;规格标准号 GB/T 702-2008</t>
        </is>
      </c>
      <c r="F53" s="12" t="inlineStr">
        <is>
          <t>千克</t>
        </is>
      </c>
      <c r="G53" s="11">
        <f>LEFT(D53,FIND("|",D53,1)-1)</f>
        <v/>
      </c>
      <c r="H53" s="11">
        <f>MID(D53,FIND("|",D53,FIND("|",D53,1))+1,FIND("|",D53,FIND("|",D53,1)+1)-FIND("|",D53,FIND("|",D53,1))-1)</f>
        <v/>
      </c>
      <c r="J53" s="11">
        <f>MID(D53,FIND(";",SUBSTITUTE(D53,"|",REPT(";",LEN(D53)),2))+1,FIND(";",SUBSTITUTE(D53,"|",REPT(";",LEN(D53)),3))-FIND(";",SUBSTITUTE(D53,"|",REPT(";",LEN(D53)),2))-1)</f>
        <v/>
      </c>
      <c r="K53" s="11">
        <f>MID(D53,FIND(";",SUBSTITUTE(D53,"|",REPT(";",LEN(D53)),3))+1,FIND(";",SUBSTITUTE(D53,"|",REPT(";",LEN(D53)),4))-FIND(";",SUBSTITUTE(D53,"|",REPT(";",LEN(D53)),3))-1)</f>
        <v/>
      </c>
      <c r="M53" s="11">
        <f>MID(D53,FIND(";",SUBSTITUTE(D53,"|",REPT(";",LEN(D53)),4))+1,FIND(";",SUBSTITUTE(D53,"|",REPT(";",LEN(D53)),5))-FIND(";",SUBSTITUTE(D53,"|",REPT(";",LEN(D53)),4))-1)</f>
        <v/>
      </c>
      <c r="N53" s="11">
        <f>MID(D53,FIND(";",SUBSTITUTE(D53,"|",REPT(";",LEN(D53)),6))+1,LEN(D53))</f>
        <v/>
      </c>
      <c r="O53" s="11">
        <f>MID(D53,FIND(";",SUBSTITUTE(D53,"|",REPT(";",LEN(D53)),5))+1,FIND(";",SUBSTITUTE(D53,"|",REPT(";",LEN(D53)),6))-FIND(";",SUBSTITUTE(D53,"|",REPT(";",LEN(D53)),5))-1)</f>
        <v/>
      </c>
    </row>
    <row r="54" ht="140" customHeight="1" s="21">
      <c r="A54" s="13" t="inlineStr">
        <is>
          <t>100201</t>
        </is>
      </c>
      <c r="B54" s="13" t="inlineStr">
        <is>
          <t>圆钢</t>
        </is>
      </c>
      <c r="C54" s="13" t="inlineStr">
        <is>
          <t>602356800</t>
        </is>
      </c>
      <c r="D54" s="13" t="inlineStr">
        <is>
          <t>热轧合金结构圆钢|圆钢|45CrNiMoVA|Φ70|GB/T 3077-2015|热轧|GB/T 702-2017</t>
        </is>
      </c>
      <c r="E54" s="13" t="inlineStr">
        <is>
          <t>物资名称 热轧合金结构圆钢;物资简称 圆钢;牌号 45CrNiMoVA;直径 Φ70;技术标准号 GB/T 3077-2015;加工工艺 热轧;热处理工艺 ;特殊要求 ;规格标准号 GB/T 702-2017</t>
        </is>
      </c>
      <c r="F54" s="12" t="inlineStr">
        <is>
          <t>千克</t>
        </is>
      </c>
      <c r="G54" s="11">
        <f>LEFT(D54,FIND("|",D54,1)-1)</f>
        <v/>
      </c>
      <c r="H54" s="11">
        <f>MID(D54,FIND("|",D54,FIND("|",D54,1))+1,FIND("|",D54,FIND("|",D54,1)+1)-FIND("|",D54,FIND("|",D54,1))-1)</f>
        <v/>
      </c>
      <c r="J54" s="11">
        <f>MID(D54,FIND(";",SUBSTITUTE(D54,"|",REPT(";",LEN(D54)),2))+1,FIND(";",SUBSTITUTE(D54,"|",REPT(";",LEN(D54)),3))-FIND(";",SUBSTITUTE(D54,"|",REPT(";",LEN(D54)),2))-1)</f>
        <v/>
      </c>
      <c r="K54" s="11">
        <f>MID(D54,FIND(";",SUBSTITUTE(D54,"|",REPT(";",LEN(D54)),3))+1,FIND(";",SUBSTITUTE(D54,"|",REPT(";",LEN(D54)),4))-FIND(";",SUBSTITUTE(D54,"|",REPT(";",LEN(D54)),3))-1)</f>
        <v/>
      </c>
      <c r="M54" s="11">
        <f>MID(D54,FIND(";",SUBSTITUTE(D54,"|",REPT(";",LEN(D54)),4))+1,FIND(";",SUBSTITUTE(D54,"|",REPT(";",LEN(D54)),5))-FIND(";",SUBSTITUTE(D54,"|",REPT(";",LEN(D54)),4))-1)</f>
        <v/>
      </c>
      <c r="N54" s="11">
        <f>MID(D54,FIND(";",SUBSTITUTE(D54,"|",REPT(";",LEN(D54)),6))+1,LEN(D54))</f>
        <v/>
      </c>
      <c r="O54" s="11">
        <f>MID(D54,FIND(";",SUBSTITUTE(D54,"|",REPT(";",LEN(D54)),5))+1,FIND(";",SUBSTITUTE(D54,"|",REPT(";",LEN(D54)),6))-FIND(";",SUBSTITUTE(D54,"|",REPT(";",LEN(D54)),5))-1)</f>
        <v/>
      </c>
    </row>
    <row r="55" ht="126" customHeight="1" s="21">
      <c r="A55" s="13" t="inlineStr">
        <is>
          <t>100201</t>
        </is>
      </c>
      <c r="B55" s="13" t="inlineStr">
        <is>
          <t>圆钢</t>
        </is>
      </c>
      <c r="C55" s="13" t="inlineStr">
        <is>
          <t>602356700</t>
        </is>
      </c>
      <c r="D55" s="13" t="inlineStr">
        <is>
          <t>热轧不锈圆钢|圆钢|40Cr13|Φ12|GB/T 1220-2007|热轧|GB/T 702-2008</t>
        </is>
      </c>
      <c r="E55" s="13" t="inlineStr">
        <is>
          <t>物资名称 热轧不锈圆钢;物资简称 圆钢;牌号 40Cr13;直径 Φ12;技术标准号 GB/T 1220-2007;加工工艺 热轧;热处理工艺 ;特殊要求 ;规格标准号 GB/T 702-2008</t>
        </is>
      </c>
      <c r="F55" s="12" t="inlineStr">
        <is>
          <t>千克</t>
        </is>
      </c>
      <c r="G55" s="11">
        <f>LEFT(D55,FIND("|",D55,1)-1)</f>
        <v/>
      </c>
      <c r="H55" s="11">
        <f>MID(D55,FIND("|",D55,FIND("|",D55,1))+1,FIND("|",D55,FIND("|",D55,1)+1)-FIND("|",D55,FIND("|",D55,1))-1)</f>
        <v/>
      </c>
      <c r="J55" s="11">
        <f>MID(D55,FIND(";",SUBSTITUTE(D55,"|",REPT(";",LEN(D55)),2))+1,FIND(";",SUBSTITUTE(D55,"|",REPT(";",LEN(D55)),3))-FIND(";",SUBSTITUTE(D55,"|",REPT(";",LEN(D55)),2))-1)</f>
        <v/>
      </c>
      <c r="K55" s="11">
        <f>MID(D55,FIND(";",SUBSTITUTE(D55,"|",REPT(";",LEN(D55)),3))+1,FIND(";",SUBSTITUTE(D55,"|",REPT(";",LEN(D55)),4))-FIND(";",SUBSTITUTE(D55,"|",REPT(";",LEN(D55)),3))-1)</f>
        <v/>
      </c>
      <c r="M55" s="11">
        <f>MID(D55,FIND(";",SUBSTITUTE(D55,"|",REPT(";",LEN(D55)),4))+1,FIND(";",SUBSTITUTE(D55,"|",REPT(";",LEN(D55)),5))-FIND(";",SUBSTITUTE(D55,"|",REPT(";",LEN(D55)),4))-1)</f>
        <v/>
      </c>
      <c r="N55" s="11">
        <f>MID(D55,FIND(";",SUBSTITUTE(D55,"|",REPT(";",LEN(D55)),6))+1,LEN(D55))</f>
        <v/>
      </c>
      <c r="O55" s="11">
        <f>MID(D55,FIND(";",SUBSTITUTE(D55,"|",REPT(";",LEN(D55)),5))+1,FIND(";",SUBSTITUTE(D55,"|",REPT(";",LEN(D55)),6))-FIND(";",SUBSTITUTE(D55,"|",REPT(";",LEN(D55)),5))-1)</f>
        <v/>
      </c>
    </row>
    <row r="56" ht="140" customHeight="1" s="21">
      <c r="A56" s="13" t="inlineStr">
        <is>
          <t>100201</t>
        </is>
      </c>
      <c r="B56" s="13" t="inlineStr">
        <is>
          <t>圆钢</t>
        </is>
      </c>
      <c r="C56" s="13" t="inlineStr">
        <is>
          <t>602356600</t>
        </is>
      </c>
      <c r="D56" s="13" t="inlineStr">
        <is>
          <t>热轧合金结构圆钢|圆钢|45CrNiMoVA|Φ50|GB/T 3077-2015|热轧|GB/T 702-2017</t>
        </is>
      </c>
      <c r="E56" s="13" t="inlineStr">
        <is>
          <t>物资名称 热轧合金结构圆钢;物资简称 圆钢;牌号 45CrNiMoVA;直径 Φ50;技术标准号 GB/T 3077-2015;加工工艺 热轧;热处理工艺 ;特殊要求 ;规格标准号 GB/T 702-2017</t>
        </is>
      </c>
      <c r="F56" s="12" t="inlineStr">
        <is>
          <t>千克</t>
        </is>
      </c>
      <c r="G56" s="11">
        <f>LEFT(D56,FIND("|",D56,1)-1)</f>
        <v/>
      </c>
      <c r="H56" s="11">
        <f>MID(D56,FIND("|",D56,FIND("|",D56,1))+1,FIND("|",D56,FIND("|",D56,1)+1)-FIND("|",D56,FIND("|",D56,1))-1)</f>
        <v/>
      </c>
      <c r="J56" s="11">
        <f>MID(D56,FIND(";",SUBSTITUTE(D56,"|",REPT(";",LEN(D56)),2))+1,FIND(";",SUBSTITUTE(D56,"|",REPT(";",LEN(D56)),3))-FIND(";",SUBSTITUTE(D56,"|",REPT(";",LEN(D56)),2))-1)</f>
        <v/>
      </c>
      <c r="K56" s="11">
        <f>MID(D56,FIND(";",SUBSTITUTE(D56,"|",REPT(";",LEN(D56)),3))+1,FIND(";",SUBSTITUTE(D56,"|",REPT(";",LEN(D56)),4))-FIND(";",SUBSTITUTE(D56,"|",REPT(";",LEN(D56)),3))-1)</f>
        <v/>
      </c>
      <c r="M56" s="11">
        <f>MID(D56,FIND(";",SUBSTITUTE(D56,"|",REPT(";",LEN(D56)),4))+1,FIND(";",SUBSTITUTE(D56,"|",REPT(";",LEN(D56)),5))-FIND(";",SUBSTITUTE(D56,"|",REPT(";",LEN(D56)),4))-1)</f>
        <v/>
      </c>
      <c r="N56" s="11">
        <f>MID(D56,FIND(";",SUBSTITUTE(D56,"|",REPT(";",LEN(D56)),6))+1,LEN(D56))</f>
        <v/>
      </c>
      <c r="O56" s="11">
        <f>MID(D56,FIND(";",SUBSTITUTE(D56,"|",REPT(";",LEN(D56)),5))+1,FIND(";",SUBSTITUTE(D56,"|",REPT(";",LEN(D56)),6))-FIND(";",SUBSTITUTE(D56,"|",REPT(";",LEN(D56)),5))-1)</f>
        <v/>
      </c>
    </row>
    <row r="57" ht="140" customHeight="1" s="21">
      <c r="A57" s="13" t="inlineStr">
        <is>
          <t>100201</t>
        </is>
      </c>
      <c r="B57" s="13" t="inlineStr">
        <is>
          <t>圆钢</t>
        </is>
      </c>
      <c r="C57" s="13" t="inlineStr">
        <is>
          <t>602356500</t>
        </is>
      </c>
      <c r="D57" s="13" t="inlineStr">
        <is>
          <t>热轧合金结构圆钢|圆钢|45CrNiMoVA|Φ45|GB/T 3077-2015|热轧|GB/T 702-2017</t>
        </is>
      </c>
      <c r="E57" s="13" t="inlineStr">
        <is>
          <t>物资名称 热轧合金结构圆钢;物资简称 圆钢;牌号 45CrNiMoVA;直径 Φ45;技术标准号 GB/T 3077-2015;加工工艺 热轧;热处理工艺 ;特殊要求 ;规格标准号 GB/T 702-2017</t>
        </is>
      </c>
      <c r="F57" s="12" t="inlineStr">
        <is>
          <t>千克</t>
        </is>
      </c>
      <c r="G57" s="11">
        <f>LEFT(D57,FIND("|",D57,1)-1)</f>
        <v/>
      </c>
      <c r="H57" s="11">
        <f>MID(D57,FIND("|",D57,FIND("|",D57,1))+1,FIND("|",D57,FIND("|",D57,1)+1)-FIND("|",D57,FIND("|",D57,1))-1)</f>
        <v/>
      </c>
      <c r="J57" s="11">
        <f>MID(D57,FIND(";",SUBSTITUTE(D57,"|",REPT(";",LEN(D57)),2))+1,FIND(";",SUBSTITUTE(D57,"|",REPT(";",LEN(D57)),3))-FIND(";",SUBSTITUTE(D57,"|",REPT(";",LEN(D57)),2))-1)</f>
        <v/>
      </c>
      <c r="K57" s="11">
        <f>MID(D57,FIND(";",SUBSTITUTE(D57,"|",REPT(";",LEN(D57)),3))+1,FIND(";",SUBSTITUTE(D57,"|",REPT(";",LEN(D57)),4))-FIND(";",SUBSTITUTE(D57,"|",REPT(";",LEN(D57)),3))-1)</f>
        <v/>
      </c>
      <c r="M57" s="11">
        <f>MID(D57,FIND(";",SUBSTITUTE(D57,"|",REPT(";",LEN(D57)),4))+1,FIND(";",SUBSTITUTE(D57,"|",REPT(";",LEN(D57)),5))-FIND(";",SUBSTITUTE(D57,"|",REPT(";",LEN(D57)),4))-1)</f>
        <v/>
      </c>
      <c r="N57" s="11">
        <f>MID(D57,FIND(";",SUBSTITUTE(D57,"|",REPT(";",LEN(D57)),6))+1,LEN(D57))</f>
        <v/>
      </c>
      <c r="O57" s="11">
        <f>MID(D57,FIND(";",SUBSTITUTE(D57,"|",REPT(";",LEN(D57)),5))+1,FIND(";",SUBSTITUTE(D57,"|",REPT(";",LEN(D57)),6))-FIND(";",SUBSTITUTE(D57,"|",REPT(";",LEN(D57)),5))-1)</f>
        <v/>
      </c>
    </row>
    <row r="58" ht="126" customHeight="1" s="21">
      <c r="A58" s="13" t="inlineStr">
        <is>
          <t>100201</t>
        </is>
      </c>
      <c r="B58" s="13" t="inlineStr">
        <is>
          <t>圆钢</t>
        </is>
      </c>
      <c r="C58" s="13" t="inlineStr">
        <is>
          <t>602356400</t>
        </is>
      </c>
      <c r="D58" s="13" t="inlineStr">
        <is>
          <t>热轧优质碳素结构圆钢|圆钢|45|Φ8|GB/T 699-2015|热轧|GB/T 702-2017</t>
        </is>
      </c>
      <c r="E58" s="13" t="inlineStr">
        <is>
          <t>物资名称 热轧优质碳素结构圆钢;物资简称 圆钢;牌号 45;直径 Φ8;技术标准号 GB/T 699-2015;加工工艺 热轧;热处理工艺 ;特殊要求 ;规格标准号 GB/T 702-2017</t>
        </is>
      </c>
      <c r="F58" s="12" t="inlineStr">
        <is>
          <t>千克</t>
        </is>
      </c>
      <c r="G58" s="11">
        <f>LEFT(D58,FIND("|",D58,1)-1)</f>
        <v/>
      </c>
      <c r="H58" s="11">
        <f>MID(D58,FIND("|",D58,FIND("|",D58,1))+1,FIND("|",D58,FIND("|",D58,1)+1)-FIND("|",D58,FIND("|",D58,1))-1)</f>
        <v/>
      </c>
      <c r="J58" s="11">
        <f>MID(D58,FIND(";",SUBSTITUTE(D58,"|",REPT(";",LEN(D58)),2))+1,FIND(";",SUBSTITUTE(D58,"|",REPT(";",LEN(D58)),3))-FIND(";",SUBSTITUTE(D58,"|",REPT(";",LEN(D58)),2))-1)</f>
        <v/>
      </c>
      <c r="K58" s="11">
        <f>MID(D58,FIND(";",SUBSTITUTE(D58,"|",REPT(";",LEN(D58)),3))+1,FIND(";",SUBSTITUTE(D58,"|",REPT(";",LEN(D58)),4))-FIND(";",SUBSTITUTE(D58,"|",REPT(";",LEN(D58)),3))-1)</f>
        <v/>
      </c>
      <c r="M58" s="11">
        <f>MID(D58,FIND(";",SUBSTITUTE(D58,"|",REPT(";",LEN(D58)),4))+1,FIND(";",SUBSTITUTE(D58,"|",REPT(";",LEN(D58)),5))-FIND(";",SUBSTITUTE(D58,"|",REPT(";",LEN(D58)),4))-1)</f>
        <v/>
      </c>
      <c r="N58" s="11">
        <f>MID(D58,FIND(";",SUBSTITUTE(D58,"|",REPT(";",LEN(D58)),6))+1,LEN(D58))</f>
        <v/>
      </c>
      <c r="O58" s="11">
        <f>MID(D58,FIND(";",SUBSTITUTE(D58,"|",REPT(";",LEN(D58)),5))+1,FIND(";",SUBSTITUTE(D58,"|",REPT(";",LEN(D58)),6))-FIND(";",SUBSTITUTE(D58,"|",REPT(";",LEN(D58)),5))-1)</f>
        <v/>
      </c>
    </row>
    <row r="59" ht="140" customHeight="1" s="21">
      <c r="A59" s="13" t="inlineStr">
        <is>
          <t>100201</t>
        </is>
      </c>
      <c r="B59" s="13" t="inlineStr">
        <is>
          <t>圆钢</t>
        </is>
      </c>
      <c r="C59" s="13" t="inlineStr">
        <is>
          <t>602356300</t>
        </is>
      </c>
      <c r="D59" s="13" t="inlineStr">
        <is>
          <t>热轧优质碳素结构圆钢|圆钢|45|Φ265|GB/T 699-2015|热轧|GB/T 702-2008</t>
        </is>
      </c>
      <c r="E59" s="13" t="inlineStr">
        <is>
          <t>物资名称 热轧优质碳素结构圆钢;物资简称 圆钢;牌号 45;直径 Φ265;技术标准号 GB/T 699-2015;加工工艺 热轧;热处理工艺 ;特殊要求 ;规格标准号 GB/T 702-2008</t>
        </is>
      </c>
      <c r="F59" s="12" t="inlineStr">
        <is>
          <t>千克</t>
        </is>
      </c>
      <c r="G59" s="11">
        <f>LEFT(D59,FIND("|",D59,1)-1)</f>
        <v/>
      </c>
      <c r="H59" s="11">
        <f>MID(D59,FIND("|",D59,FIND("|",D59,1))+1,FIND("|",D59,FIND("|",D59,1)+1)-FIND("|",D59,FIND("|",D59,1))-1)</f>
        <v/>
      </c>
      <c r="J59" s="11">
        <f>MID(D59,FIND(";",SUBSTITUTE(D59,"|",REPT(";",LEN(D59)),2))+1,FIND(";",SUBSTITUTE(D59,"|",REPT(";",LEN(D59)),3))-FIND(";",SUBSTITUTE(D59,"|",REPT(";",LEN(D59)),2))-1)</f>
        <v/>
      </c>
      <c r="K59" s="11">
        <f>MID(D59,FIND(";",SUBSTITUTE(D59,"|",REPT(";",LEN(D59)),3))+1,FIND(";",SUBSTITUTE(D59,"|",REPT(";",LEN(D59)),4))-FIND(";",SUBSTITUTE(D59,"|",REPT(";",LEN(D59)),3))-1)</f>
        <v/>
      </c>
      <c r="M59" s="11">
        <f>MID(D59,FIND(";",SUBSTITUTE(D59,"|",REPT(";",LEN(D59)),4))+1,FIND(";",SUBSTITUTE(D59,"|",REPT(";",LEN(D59)),5))-FIND(";",SUBSTITUTE(D59,"|",REPT(";",LEN(D59)),4))-1)</f>
        <v/>
      </c>
      <c r="N59" s="11">
        <f>MID(D59,FIND(";",SUBSTITUTE(D59,"|",REPT(";",LEN(D59)),6))+1,LEN(D59))</f>
        <v/>
      </c>
      <c r="O59" s="11">
        <f>MID(D59,FIND(";",SUBSTITUTE(D59,"|",REPT(";",LEN(D59)),5))+1,FIND(";",SUBSTITUTE(D59,"|",REPT(";",LEN(D59)),6))-FIND(";",SUBSTITUTE(D59,"|",REPT(";",LEN(D59)),5))-1)</f>
        <v/>
      </c>
    </row>
    <row r="60" ht="140" customHeight="1" s="21">
      <c r="A60" s="13" t="inlineStr">
        <is>
          <t>100201</t>
        </is>
      </c>
      <c r="B60" s="13" t="inlineStr">
        <is>
          <t>圆钢</t>
        </is>
      </c>
      <c r="C60" s="13" t="inlineStr">
        <is>
          <t>602356200</t>
        </is>
      </c>
      <c r="D60" s="13" t="inlineStr">
        <is>
          <t>热轧合金结构圆钢|圆钢|30CrMnSiA|Φ14|GB/T 3077-2015|热轧|GB/T 702-2008</t>
        </is>
      </c>
      <c r="E60" s="13" t="inlineStr">
        <is>
          <t>物资名称 热轧合金结构圆钢;物资简称 圆钢;牌号 30CrMnSiA;直径 Φ14;技术标准号 GB/T 3077-2015;加工工艺 热轧;热处理工艺 ;特殊要求 ;规格标准号 GB/T 702-2008</t>
        </is>
      </c>
      <c r="F60" s="12" t="inlineStr">
        <is>
          <t>千克</t>
        </is>
      </c>
      <c r="G60" s="11">
        <f>LEFT(D60,FIND("|",D60,1)-1)</f>
        <v/>
      </c>
      <c r="H60" s="11">
        <f>MID(D60,FIND("|",D60,FIND("|",D60,1))+1,FIND("|",D60,FIND("|",D60,1)+1)-FIND("|",D60,FIND("|",D60,1))-1)</f>
        <v/>
      </c>
      <c r="J60" s="11">
        <f>MID(D60,FIND(";",SUBSTITUTE(D60,"|",REPT(";",LEN(D60)),2))+1,FIND(";",SUBSTITUTE(D60,"|",REPT(";",LEN(D60)),3))-FIND(";",SUBSTITUTE(D60,"|",REPT(";",LEN(D60)),2))-1)</f>
        <v/>
      </c>
      <c r="K60" s="11">
        <f>MID(D60,FIND(";",SUBSTITUTE(D60,"|",REPT(";",LEN(D60)),3))+1,FIND(";",SUBSTITUTE(D60,"|",REPT(";",LEN(D60)),4))-FIND(";",SUBSTITUTE(D60,"|",REPT(";",LEN(D60)),3))-1)</f>
        <v/>
      </c>
      <c r="M60" s="11">
        <f>MID(D60,FIND(";",SUBSTITUTE(D60,"|",REPT(";",LEN(D60)),4))+1,FIND(";",SUBSTITUTE(D60,"|",REPT(";",LEN(D60)),5))-FIND(";",SUBSTITUTE(D60,"|",REPT(";",LEN(D60)),4))-1)</f>
        <v/>
      </c>
      <c r="N60" s="11">
        <f>MID(D60,FIND(";",SUBSTITUTE(D60,"|",REPT(";",LEN(D60)),6))+1,LEN(D60))</f>
        <v/>
      </c>
      <c r="O60" s="11">
        <f>MID(D60,FIND(";",SUBSTITUTE(D60,"|",REPT(";",LEN(D60)),5))+1,FIND(";",SUBSTITUTE(D60,"|",REPT(";",LEN(D60)),6))-FIND(";",SUBSTITUTE(D60,"|",REPT(";",LEN(D60)),5))-1)</f>
        <v/>
      </c>
    </row>
    <row r="61" ht="140" customHeight="1" s="21">
      <c r="A61" s="13" t="inlineStr">
        <is>
          <t>100201</t>
        </is>
      </c>
      <c r="B61" s="13" t="inlineStr">
        <is>
          <t>圆钢</t>
        </is>
      </c>
      <c r="C61" s="13" t="inlineStr">
        <is>
          <t>602356100</t>
        </is>
      </c>
      <c r="D61" s="13" t="inlineStr">
        <is>
          <t>热轧优质碳素结构圆钢|圆钢|45|Φ205|GB/T 699-2015|热轧|GB/T 702-2008</t>
        </is>
      </c>
      <c r="E61" s="13" t="inlineStr">
        <is>
          <t>物资名称 热轧优质碳素结构圆钢;物资简称 圆钢;牌号 45;直径 Φ205;技术标准号 GB/T 699-2015;加工工艺 热轧;热处理工艺 ;特殊要求 ;规格标准号 GB/T 702-2008</t>
        </is>
      </c>
      <c r="F61" s="12" t="inlineStr">
        <is>
          <t>千克</t>
        </is>
      </c>
      <c r="G61" s="11">
        <f>LEFT(D61,FIND("|",D61,1)-1)</f>
        <v/>
      </c>
      <c r="H61" s="11">
        <f>MID(D61,FIND("|",D61,FIND("|",D61,1))+1,FIND("|",D61,FIND("|",D61,1)+1)-FIND("|",D61,FIND("|",D61,1))-1)</f>
        <v/>
      </c>
      <c r="J61" s="11">
        <f>MID(D61,FIND(";",SUBSTITUTE(D61,"|",REPT(";",LEN(D61)),2))+1,FIND(";",SUBSTITUTE(D61,"|",REPT(";",LEN(D61)),3))-FIND(";",SUBSTITUTE(D61,"|",REPT(";",LEN(D61)),2))-1)</f>
        <v/>
      </c>
      <c r="K61" s="11">
        <f>MID(D61,FIND(";",SUBSTITUTE(D61,"|",REPT(";",LEN(D61)),3))+1,FIND(";",SUBSTITUTE(D61,"|",REPT(";",LEN(D61)),4))-FIND(";",SUBSTITUTE(D61,"|",REPT(";",LEN(D61)),3))-1)</f>
        <v/>
      </c>
      <c r="M61" s="11">
        <f>MID(D61,FIND(";",SUBSTITUTE(D61,"|",REPT(";",LEN(D61)),4))+1,FIND(";",SUBSTITUTE(D61,"|",REPT(";",LEN(D61)),5))-FIND(";",SUBSTITUTE(D61,"|",REPT(";",LEN(D61)),4))-1)</f>
        <v/>
      </c>
      <c r="N61" s="11">
        <f>MID(D61,FIND(";",SUBSTITUTE(D61,"|",REPT(";",LEN(D61)),6))+1,LEN(D61))</f>
        <v/>
      </c>
      <c r="O61" s="11">
        <f>MID(D61,FIND(";",SUBSTITUTE(D61,"|",REPT(";",LEN(D61)),5))+1,FIND(";",SUBSTITUTE(D61,"|",REPT(";",LEN(D61)),6))-FIND(";",SUBSTITUTE(D61,"|",REPT(";",LEN(D61)),5))-1)</f>
        <v/>
      </c>
    </row>
    <row r="62" ht="140" customHeight="1" s="21">
      <c r="A62" s="13" t="inlineStr">
        <is>
          <t>100201</t>
        </is>
      </c>
      <c r="B62" s="13" t="inlineStr">
        <is>
          <t>圆钢</t>
        </is>
      </c>
      <c r="C62" s="13" t="inlineStr">
        <is>
          <t>602356000</t>
        </is>
      </c>
      <c r="D62" s="13" t="inlineStr">
        <is>
          <t>热轧航空用不锈圆钢|圆钢|1Cr18Ni9Ti|Φ27|GJB 2294-1995|热轧|GB/T 702-2008</t>
        </is>
      </c>
      <c r="E62" s="13" t="inlineStr">
        <is>
          <t>物资名称 热轧航空用不锈圆钢;物资简称 圆钢;牌号 1Cr18Ni9Ti;直径 Φ27;技术标准号 GJB 2294-1995;加工工艺 热轧;热处理工艺 ;特殊要求 ;规格标准号 GB/T 702-2008</t>
        </is>
      </c>
      <c r="F62" s="12" t="inlineStr">
        <is>
          <t>千克</t>
        </is>
      </c>
      <c r="G62" s="11">
        <f>LEFT(D62,FIND("|",D62,1)-1)</f>
        <v/>
      </c>
      <c r="H62" s="11">
        <f>MID(D62,FIND("|",D62,FIND("|",D62,1))+1,FIND("|",D62,FIND("|",D62,1)+1)-FIND("|",D62,FIND("|",D62,1))-1)</f>
        <v/>
      </c>
      <c r="J62" s="11">
        <f>MID(D62,FIND(";",SUBSTITUTE(D62,"|",REPT(";",LEN(D62)),2))+1,FIND(";",SUBSTITUTE(D62,"|",REPT(";",LEN(D62)),3))-FIND(";",SUBSTITUTE(D62,"|",REPT(";",LEN(D62)),2))-1)</f>
        <v/>
      </c>
      <c r="K62" s="11">
        <f>MID(D62,FIND(";",SUBSTITUTE(D62,"|",REPT(";",LEN(D62)),3))+1,FIND(";",SUBSTITUTE(D62,"|",REPT(";",LEN(D62)),4))-FIND(";",SUBSTITUTE(D62,"|",REPT(";",LEN(D62)),3))-1)</f>
        <v/>
      </c>
      <c r="M62" s="11">
        <f>MID(D62,FIND(";",SUBSTITUTE(D62,"|",REPT(";",LEN(D62)),4))+1,FIND(";",SUBSTITUTE(D62,"|",REPT(";",LEN(D62)),5))-FIND(";",SUBSTITUTE(D62,"|",REPT(";",LEN(D62)),4))-1)</f>
        <v/>
      </c>
      <c r="N62" s="11">
        <f>MID(D62,FIND(";",SUBSTITUTE(D62,"|",REPT(";",LEN(D62)),6))+1,LEN(D62))</f>
        <v/>
      </c>
      <c r="O62" s="11">
        <f>MID(D62,FIND(";",SUBSTITUTE(D62,"|",REPT(";",LEN(D62)),5))+1,FIND(";",SUBSTITUTE(D62,"|",REPT(";",LEN(D62)),6))-FIND(";",SUBSTITUTE(D62,"|",REPT(";",LEN(D62)),5))-1)</f>
        <v/>
      </c>
    </row>
    <row r="63" ht="140" customHeight="1" s="21">
      <c r="A63" s="13" t="inlineStr">
        <is>
          <t>100201</t>
        </is>
      </c>
      <c r="B63" s="13" t="inlineStr">
        <is>
          <t>圆钢</t>
        </is>
      </c>
      <c r="C63" s="13" t="inlineStr">
        <is>
          <t>602355100</t>
        </is>
      </c>
      <c r="D63" s="13" t="inlineStr">
        <is>
          <t>热轧航空用不锈圆钢|圆钢|1Cr18Ni9Ti|Φ75|GJB 2294-1995|热轧|GB/T 702-2008</t>
        </is>
      </c>
      <c r="E63" s="13" t="inlineStr">
        <is>
          <t>物资名称 热轧航空用不锈圆钢;物资简称 圆钢;牌号 1Cr18Ni9Ti;直径 Φ75;技术标准号 GJB 2294-1995;加工工艺 热轧;热处理工艺 ;特殊要求 ;规格标准号 GB/T 702-2008</t>
        </is>
      </c>
      <c r="F63" s="12" t="inlineStr">
        <is>
          <t>千克</t>
        </is>
      </c>
      <c r="G63" s="11">
        <f>LEFT(D63,FIND("|",D63,1)-1)</f>
        <v/>
      </c>
      <c r="H63" s="11">
        <f>MID(D63,FIND("|",D63,FIND("|",D63,1))+1,FIND("|",D63,FIND("|",D63,1)+1)-FIND("|",D63,FIND("|",D63,1))-1)</f>
        <v/>
      </c>
      <c r="J63" s="11">
        <f>MID(D63,FIND(";",SUBSTITUTE(D63,"|",REPT(";",LEN(D63)),2))+1,FIND(";",SUBSTITUTE(D63,"|",REPT(";",LEN(D63)),3))-FIND(";",SUBSTITUTE(D63,"|",REPT(";",LEN(D63)),2))-1)</f>
        <v/>
      </c>
      <c r="K63" s="11">
        <f>MID(D63,FIND(";",SUBSTITUTE(D63,"|",REPT(";",LEN(D63)),3))+1,FIND(";",SUBSTITUTE(D63,"|",REPT(";",LEN(D63)),4))-FIND(";",SUBSTITUTE(D63,"|",REPT(";",LEN(D63)),3))-1)</f>
        <v/>
      </c>
      <c r="M63" s="11">
        <f>MID(D63,FIND(";",SUBSTITUTE(D63,"|",REPT(";",LEN(D63)),4))+1,FIND(";",SUBSTITUTE(D63,"|",REPT(";",LEN(D63)),5))-FIND(";",SUBSTITUTE(D63,"|",REPT(";",LEN(D63)),4))-1)</f>
        <v/>
      </c>
      <c r="N63" s="11">
        <f>MID(D63,FIND(";",SUBSTITUTE(D63,"|",REPT(";",LEN(D63)),6))+1,LEN(D63))</f>
        <v/>
      </c>
      <c r="O63" s="11">
        <f>MID(D63,FIND(";",SUBSTITUTE(D63,"|",REPT(";",LEN(D63)),5))+1,FIND(";",SUBSTITUTE(D63,"|",REPT(";",LEN(D63)),6))-FIND(";",SUBSTITUTE(D63,"|",REPT(";",LEN(D63)),5))-1)</f>
        <v/>
      </c>
    </row>
    <row r="64" ht="140" customHeight="1" s="21">
      <c r="A64" s="13" t="inlineStr">
        <is>
          <t>100201</t>
        </is>
      </c>
      <c r="B64" s="13" t="inlineStr">
        <is>
          <t>圆钢</t>
        </is>
      </c>
      <c r="C64" s="13" t="inlineStr">
        <is>
          <t>602353200</t>
        </is>
      </c>
      <c r="D64" s="13" t="inlineStr">
        <is>
          <t>锻制航空航天用超高强度圆钢|圆钢|45CrNiMo1VA|Φ75|GJB 5063-2001|锻制|GB/T 908-2008</t>
        </is>
      </c>
      <c r="E64" s="13" t="inlineStr">
        <is>
          <t>物资名称 锻制航空航天用超高强度圆钢;物资简称 圆钢;牌号 45CrNiMo1VA;直径 Φ75;技术标准号 GJB 5063-2001;加工工艺 锻制;热处理工艺 ;特殊要求 ;规格标准号 GB/T 908-2008</t>
        </is>
      </c>
      <c r="F64" s="12" t="inlineStr">
        <is>
          <t>千克</t>
        </is>
      </c>
      <c r="G64" s="11">
        <f>LEFT(D64,FIND("|",D64,1)-1)</f>
        <v/>
      </c>
      <c r="H64" s="11">
        <f>MID(D64,FIND("|",D64,FIND("|",D64,1))+1,FIND("|",D64,FIND("|",D64,1)+1)-FIND("|",D64,FIND("|",D64,1))-1)</f>
        <v/>
      </c>
      <c r="J64" s="11">
        <f>MID(D64,FIND(";",SUBSTITUTE(D64,"|",REPT(";",LEN(D64)),2))+1,FIND(";",SUBSTITUTE(D64,"|",REPT(";",LEN(D64)),3))-FIND(";",SUBSTITUTE(D64,"|",REPT(";",LEN(D64)),2))-1)</f>
        <v/>
      </c>
      <c r="K64" s="11">
        <f>MID(D64,FIND(";",SUBSTITUTE(D64,"|",REPT(";",LEN(D64)),3))+1,FIND(";",SUBSTITUTE(D64,"|",REPT(";",LEN(D64)),4))-FIND(";",SUBSTITUTE(D64,"|",REPT(";",LEN(D64)),3))-1)</f>
        <v/>
      </c>
      <c r="M64" s="11">
        <f>MID(D64,FIND(";",SUBSTITUTE(D64,"|",REPT(";",LEN(D64)),4))+1,FIND(";",SUBSTITUTE(D64,"|",REPT(";",LEN(D64)),5))-FIND(";",SUBSTITUTE(D64,"|",REPT(";",LEN(D64)),4))-1)</f>
        <v/>
      </c>
      <c r="N64" s="11">
        <f>MID(D64,FIND(";",SUBSTITUTE(D64,"|",REPT(";",LEN(D64)),6))+1,LEN(D64))</f>
        <v/>
      </c>
      <c r="O64" s="11">
        <f>MID(D64,FIND(";",SUBSTITUTE(D64,"|",REPT(";",LEN(D64)),5))+1,FIND(";",SUBSTITUTE(D64,"|",REPT(";",LEN(D64)),6))-FIND(";",SUBSTITUTE(D64,"|",REPT(";",LEN(D64)),5))-1)</f>
        <v/>
      </c>
    </row>
    <row r="65" ht="140" customHeight="1" s="21">
      <c r="A65" s="13" t="inlineStr">
        <is>
          <t>100201</t>
        </is>
      </c>
      <c r="B65" s="13" t="inlineStr">
        <is>
          <t>圆钢</t>
        </is>
      </c>
      <c r="C65" s="13" t="inlineStr">
        <is>
          <t>602346100</t>
        </is>
      </c>
      <c r="D65" s="13" t="inlineStr">
        <is>
          <t>冷拉优质碳素结构圆钢|圆钢|45|Φ250|GB/T 3078-2008|冷拉|GB/T 905-1994</t>
        </is>
      </c>
      <c r="E65" s="13" t="inlineStr">
        <is>
          <t>物资名称 冷拉优质碳素结构圆钢;物资简称 圆钢;牌号 45;直径 Φ250;技术标准号 GB/T 3078-2008;加工工艺 冷拉;热处理工艺 ;特殊要求 ;规格标准号 GB/T 905-1994</t>
        </is>
      </c>
      <c r="F65" s="12" t="inlineStr">
        <is>
          <t>千克</t>
        </is>
      </c>
      <c r="G65" s="11">
        <f>LEFT(D65,FIND("|",D65,1)-1)</f>
        <v/>
      </c>
      <c r="H65" s="11">
        <f>MID(D65,FIND("|",D65,FIND("|",D65,1))+1,FIND("|",D65,FIND("|",D65,1)+1)-FIND("|",D65,FIND("|",D65,1))-1)</f>
        <v/>
      </c>
      <c r="J65" s="11">
        <f>MID(D65,FIND(";",SUBSTITUTE(D65,"|",REPT(";",LEN(D65)),2))+1,FIND(";",SUBSTITUTE(D65,"|",REPT(";",LEN(D65)),3))-FIND(";",SUBSTITUTE(D65,"|",REPT(";",LEN(D65)),2))-1)</f>
        <v/>
      </c>
      <c r="K65" s="11">
        <f>MID(D65,FIND(";",SUBSTITUTE(D65,"|",REPT(";",LEN(D65)),3))+1,FIND(";",SUBSTITUTE(D65,"|",REPT(";",LEN(D65)),4))-FIND(";",SUBSTITUTE(D65,"|",REPT(";",LEN(D65)),3))-1)</f>
        <v/>
      </c>
      <c r="M65" s="11">
        <f>MID(D65,FIND(";",SUBSTITUTE(D65,"|",REPT(";",LEN(D65)),4))+1,FIND(";",SUBSTITUTE(D65,"|",REPT(";",LEN(D65)),5))-FIND(";",SUBSTITUTE(D65,"|",REPT(";",LEN(D65)),4))-1)</f>
        <v/>
      </c>
      <c r="N65" s="11">
        <f>MID(D65,FIND(";",SUBSTITUTE(D65,"|",REPT(";",LEN(D65)),6))+1,LEN(D65))</f>
        <v/>
      </c>
      <c r="O65" s="11">
        <f>MID(D65,FIND(";",SUBSTITUTE(D65,"|",REPT(";",LEN(D65)),5))+1,FIND(";",SUBSTITUTE(D65,"|",REPT(";",LEN(D65)),6))-FIND(";",SUBSTITUTE(D65,"|",REPT(";",LEN(D65)),5))-1)</f>
        <v/>
      </c>
    </row>
    <row r="66" ht="140" customHeight="1" s="21">
      <c r="A66" s="13" t="inlineStr">
        <is>
          <t>100201</t>
        </is>
      </c>
      <c r="B66" s="13" t="inlineStr">
        <is>
          <t>圆钢</t>
        </is>
      </c>
      <c r="C66" s="13" t="inlineStr">
        <is>
          <t>602346000</t>
        </is>
      </c>
      <c r="D66" s="13" t="inlineStr">
        <is>
          <t>冷拉优质碳素结构圆钢|圆钢|45|Φ260|GB/T 3078-2008|冷拉|GB/T 905-1994</t>
        </is>
      </c>
      <c r="E66" s="13" t="inlineStr">
        <is>
          <t>物资名称 冷拉优质碳素结构圆钢;物资简称 圆钢;牌号 45;直径 Φ260;技术标准号 GB/T 3078-2008;加工工艺 冷拉;热处理工艺 ;特殊要求 ;规格标准号 GB/T 905-1994</t>
        </is>
      </c>
      <c r="F66" s="12" t="inlineStr">
        <is>
          <t>千克</t>
        </is>
      </c>
      <c r="G66" s="11">
        <f>LEFT(D66,FIND("|",D66,1)-1)</f>
        <v/>
      </c>
      <c r="H66" s="11">
        <f>MID(D66,FIND("|",D66,FIND("|",D66,1))+1,FIND("|",D66,FIND("|",D66,1)+1)-FIND("|",D66,FIND("|",D66,1))-1)</f>
        <v/>
      </c>
      <c r="J66" s="11">
        <f>MID(D66,FIND(";",SUBSTITUTE(D66,"|",REPT(";",LEN(D66)),2))+1,FIND(";",SUBSTITUTE(D66,"|",REPT(";",LEN(D66)),3))-FIND(";",SUBSTITUTE(D66,"|",REPT(";",LEN(D66)),2))-1)</f>
        <v/>
      </c>
      <c r="K66" s="11">
        <f>MID(D66,FIND(";",SUBSTITUTE(D66,"|",REPT(";",LEN(D66)),3))+1,FIND(";",SUBSTITUTE(D66,"|",REPT(";",LEN(D66)),4))-FIND(";",SUBSTITUTE(D66,"|",REPT(";",LEN(D66)),3))-1)</f>
        <v/>
      </c>
      <c r="M66" s="11">
        <f>MID(D66,FIND(";",SUBSTITUTE(D66,"|",REPT(";",LEN(D66)),4))+1,FIND(";",SUBSTITUTE(D66,"|",REPT(";",LEN(D66)),5))-FIND(";",SUBSTITUTE(D66,"|",REPT(";",LEN(D66)),4))-1)</f>
        <v/>
      </c>
      <c r="N66" s="11">
        <f>MID(D66,FIND(";",SUBSTITUTE(D66,"|",REPT(";",LEN(D66)),6))+1,LEN(D66))</f>
        <v/>
      </c>
      <c r="O66" s="11">
        <f>MID(D66,FIND(";",SUBSTITUTE(D66,"|",REPT(";",LEN(D66)),5))+1,FIND(";",SUBSTITUTE(D66,"|",REPT(";",LEN(D66)),6))-FIND(";",SUBSTITUTE(D66,"|",REPT(";",LEN(D66)),5))-1)</f>
        <v/>
      </c>
    </row>
    <row r="67" ht="126" customHeight="1" s="21">
      <c r="A67" s="13" t="inlineStr">
        <is>
          <t>100201</t>
        </is>
      </c>
      <c r="B67" s="13" t="inlineStr">
        <is>
          <t>圆钢</t>
        </is>
      </c>
      <c r="C67" s="13" t="inlineStr">
        <is>
          <t>602331600</t>
        </is>
      </c>
      <c r="D67" s="13" t="inlineStr">
        <is>
          <t>热轧优质碳素结构圆钢|圆钢|45|Φ60|GB/T 699-1999|热轧|GB/T 702-2008</t>
        </is>
      </c>
      <c r="E67" s="13" t="inlineStr">
        <is>
          <t>物资名称 热轧优质碳素结构圆钢;物资简称 圆钢;牌号 45;直径 Φ60;技术标准号 GB/T 699-1999;加工工艺 热轧;热处理工艺 ;特殊要求 ;规格标准号 GB/T 702-2008</t>
        </is>
      </c>
      <c r="F67" s="12" t="inlineStr">
        <is>
          <t>千克</t>
        </is>
      </c>
      <c r="G67" s="11">
        <f>LEFT(D67,FIND("|",D67,1)-1)</f>
        <v/>
      </c>
      <c r="H67" s="11">
        <f>MID(D67,FIND("|",D67,FIND("|",D67,1))+1,FIND("|",D67,FIND("|",D67,1)+1)-FIND("|",D67,FIND("|",D67,1))-1)</f>
        <v/>
      </c>
      <c r="J67" s="11">
        <f>MID(D67,FIND(";",SUBSTITUTE(D67,"|",REPT(";",LEN(D67)),2))+1,FIND(";",SUBSTITUTE(D67,"|",REPT(";",LEN(D67)),3))-FIND(";",SUBSTITUTE(D67,"|",REPT(";",LEN(D67)),2))-1)</f>
        <v/>
      </c>
      <c r="K67" s="11">
        <f>MID(D67,FIND(";",SUBSTITUTE(D67,"|",REPT(";",LEN(D67)),3))+1,FIND(";",SUBSTITUTE(D67,"|",REPT(";",LEN(D67)),4))-FIND(";",SUBSTITUTE(D67,"|",REPT(";",LEN(D67)),3))-1)</f>
        <v/>
      </c>
      <c r="M67" s="11">
        <f>MID(D67,FIND(";",SUBSTITUTE(D67,"|",REPT(";",LEN(D67)),4))+1,FIND(";",SUBSTITUTE(D67,"|",REPT(";",LEN(D67)),5))-FIND(";",SUBSTITUTE(D67,"|",REPT(";",LEN(D67)),4))-1)</f>
        <v/>
      </c>
      <c r="N67" s="11">
        <f>MID(D67,FIND(";",SUBSTITUTE(D67,"|",REPT(";",LEN(D67)),6))+1,LEN(D67))</f>
        <v/>
      </c>
      <c r="O67" s="11">
        <f>MID(D67,FIND(";",SUBSTITUTE(D67,"|",REPT(";",LEN(D67)),5))+1,FIND(";",SUBSTITUTE(D67,"|",REPT(";",LEN(D67)),6))-FIND(";",SUBSTITUTE(D67,"|",REPT(";",LEN(D67)),5))-1)</f>
        <v/>
      </c>
    </row>
    <row r="68" ht="140" customHeight="1" s="21">
      <c r="A68" s="13" t="inlineStr">
        <is>
          <t>100201</t>
        </is>
      </c>
      <c r="B68" s="13" t="inlineStr">
        <is>
          <t>圆钢</t>
        </is>
      </c>
      <c r="C68" s="13" t="inlineStr">
        <is>
          <t>602305400</t>
        </is>
      </c>
      <c r="D68" s="13" t="inlineStr">
        <is>
          <t>热轧耐热圆钢|圆钢|06Cr19Ni10|Φ5|GB/T 1221-2007|热轧|GB/T 702-2004</t>
        </is>
      </c>
      <c r="E68" s="13" t="inlineStr">
        <is>
          <t>物资名称 热轧耐热圆钢;物资简称 圆钢;牌号 06Cr19Ni10;直径 Φ5;技术标准号 GB/T 1221-2007;加工工艺 热轧;热处理工艺 ;特殊要求 ;规格标准号 GB/T 702-2004</t>
        </is>
      </c>
      <c r="F68" s="12" t="inlineStr">
        <is>
          <t>千克</t>
        </is>
      </c>
      <c r="G68" s="11">
        <f>LEFT(D68,FIND("|",D68,1)-1)</f>
        <v/>
      </c>
      <c r="H68" s="11">
        <f>MID(D68,FIND("|",D68,FIND("|",D68,1))+1,FIND("|",D68,FIND("|",D68,1)+1)-FIND("|",D68,FIND("|",D68,1))-1)</f>
        <v/>
      </c>
      <c r="J68" s="11">
        <f>MID(D68,FIND(";",SUBSTITUTE(D68,"|",REPT(";",LEN(D68)),2))+1,FIND(";",SUBSTITUTE(D68,"|",REPT(";",LEN(D68)),3))-FIND(";",SUBSTITUTE(D68,"|",REPT(";",LEN(D68)),2))-1)</f>
        <v/>
      </c>
      <c r="K68" s="11">
        <f>MID(D68,FIND(";",SUBSTITUTE(D68,"|",REPT(";",LEN(D68)),3))+1,FIND(";",SUBSTITUTE(D68,"|",REPT(";",LEN(D68)),4))-FIND(";",SUBSTITUTE(D68,"|",REPT(";",LEN(D68)),3))-1)</f>
        <v/>
      </c>
      <c r="M68" s="11">
        <f>MID(D68,FIND(";",SUBSTITUTE(D68,"|",REPT(";",LEN(D68)),4))+1,FIND(";",SUBSTITUTE(D68,"|",REPT(";",LEN(D68)),5))-FIND(";",SUBSTITUTE(D68,"|",REPT(";",LEN(D68)),4))-1)</f>
        <v/>
      </c>
      <c r="N68" s="11">
        <f>MID(D68,FIND(";",SUBSTITUTE(D68,"|",REPT(";",LEN(D68)),6))+1,LEN(D68))</f>
        <v/>
      </c>
      <c r="O68" s="11">
        <f>MID(D68,FIND(";",SUBSTITUTE(D68,"|",REPT(";",LEN(D68)),5))+1,FIND(";",SUBSTITUTE(D68,"|",REPT(";",LEN(D68)),6))-FIND(";",SUBSTITUTE(D68,"|",REPT(";",LEN(D68)),5))-1)</f>
        <v/>
      </c>
    </row>
    <row r="69" ht="140" customHeight="1" s="21">
      <c r="A69" s="13" t="inlineStr">
        <is>
          <t>100201</t>
        </is>
      </c>
      <c r="B69" s="13" t="inlineStr">
        <is>
          <t>圆钢</t>
        </is>
      </c>
      <c r="C69" s="13" t="inlineStr">
        <is>
          <t>602294600</t>
        </is>
      </c>
      <c r="D69" s="13" t="inlineStr">
        <is>
          <t>热轧航空用不锈圆钢|圆钢|1Cr18Ni9Ti|Φ25|GJB 2294A-2014|热轧|GB/T 702-2008</t>
        </is>
      </c>
      <c r="E69" s="13" t="inlineStr">
        <is>
          <t>物资名称 热轧航空用不锈圆钢;物资简称 圆钢;牌号 1Cr18Ni9Ti;直径 Φ25;技术标准号 GJB 2294A-2014;加工工艺 热轧;热处理工艺 ;特殊要求 ;规格标准号 GB/T 702-2008</t>
        </is>
      </c>
      <c r="F69" s="12" t="inlineStr">
        <is>
          <t>千克</t>
        </is>
      </c>
      <c r="G69" s="11">
        <f>LEFT(D69,FIND("|",D69,1)-1)</f>
        <v/>
      </c>
      <c r="H69" s="11">
        <f>MID(D69,FIND("|",D69,FIND("|",D69,1))+1,FIND("|",D69,FIND("|",D69,1)+1)-FIND("|",D69,FIND("|",D69,1))-1)</f>
        <v/>
      </c>
      <c r="J69" s="11">
        <f>MID(D69,FIND(";",SUBSTITUTE(D69,"|",REPT(";",LEN(D69)),2))+1,FIND(";",SUBSTITUTE(D69,"|",REPT(";",LEN(D69)),3))-FIND(";",SUBSTITUTE(D69,"|",REPT(";",LEN(D69)),2))-1)</f>
        <v/>
      </c>
      <c r="K69" s="11">
        <f>MID(D69,FIND(";",SUBSTITUTE(D69,"|",REPT(";",LEN(D69)),3))+1,FIND(";",SUBSTITUTE(D69,"|",REPT(";",LEN(D69)),4))-FIND(";",SUBSTITUTE(D69,"|",REPT(";",LEN(D69)),3))-1)</f>
        <v/>
      </c>
      <c r="M69" s="11">
        <f>MID(D69,FIND(";",SUBSTITUTE(D69,"|",REPT(";",LEN(D69)),4))+1,FIND(";",SUBSTITUTE(D69,"|",REPT(";",LEN(D69)),5))-FIND(";",SUBSTITUTE(D69,"|",REPT(";",LEN(D69)),4))-1)</f>
        <v/>
      </c>
      <c r="N69" s="11">
        <f>MID(D69,FIND(";",SUBSTITUTE(D69,"|",REPT(";",LEN(D69)),6))+1,LEN(D69))</f>
        <v/>
      </c>
      <c r="O69" s="11">
        <f>MID(D69,FIND(";",SUBSTITUTE(D69,"|",REPT(";",LEN(D69)),5))+1,FIND(";",SUBSTITUTE(D69,"|",REPT(";",LEN(D69)),6))-FIND(";",SUBSTITUTE(D69,"|",REPT(";",LEN(D69)),5))-1)</f>
        <v/>
      </c>
    </row>
    <row r="70" ht="140" customHeight="1" s="21">
      <c r="A70" s="13" t="inlineStr">
        <is>
          <t>100201</t>
        </is>
      </c>
      <c r="B70" s="13" t="inlineStr">
        <is>
          <t>圆钢</t>
        </is>
      </c>
      <c r="C70" s="13" t="inlineStr">
        <is>
          <t>602294500</t>
        </is>
      </c>
      <c r="D70" s="13" t="inlineStr">
        <is>
          <t>热轧航空用不锈圆钢|圆钢|1Cr18Ni9Ti|Φ40|GJB 2294A-2014|热轧|GB/T 702-2008</t>
        </is>
      </c>
      <c r="E70" s="13" t="inlineStr">
        <is>
          <t>物资名称 热轧航空用不锈圆钢;物资简称 圆钢;牌号 1Cr18Ni9Ti;直径 Φ40;技术标准号 GJB 2294A-2014;加工工艺 热轧;热处理工艺 ;特殊要求 ;规格标准号 GB/T 702-2008</t>
        </is>
      </c>
      <c r="F70" s="12" t="inlineStr">
        <is>
          <t>千克</t>
        </is>
      </c>
      <c r="G70" s="11">
        <f>LEFT(D70,FIND("|",D70,1)-1)</f>
        <v/>
      </c>
      <c r="H70" s="11">
        <f>MID(D70,FIND("|",D70,FIND("|",D70,1))+1,FIND("|",D70,FIND("|",D70,1)+1)-FIND("|",D70,FIND("|",D70,1))-1)</f>
        <v/>
      </c>
      <c r="J70" s="11">
        <f>MID(D70,FIND(";",SUBSTITUTE(D70,"|",REPT(";",LEN(D70)),2))+1,FIND(";",SUBSTITUTE(D70,"|",REPT(";",LEN(D70)),3))-FIND(";",SUBSTITUTE(D70,"|",REPT(";",LEN(D70)),2))-1)</f>
        <v/>
      </c>
      <c r="K70" s="11">
        <f>MID(D70,FIND(";",SUBSTITUTE(D70,"|",REPT(";",LEN(D70)),3))+1,FIND(";",SUBSTITUTE(D70,"|",REPT(";",LEN(D70)),4))-FIND(";",SUBSTITUTE(D70,"|",REPT(";",LEN(D70)),3))-1)</f>
        <v/>
      </c>
      <c r="M70" s="11">
        <f>MID(D70,FIND(";",SUBSTITUTE(D70,"|",REPT(";",LEN(D70)),4))+1,FIND(";",SUBSTITUTE(D70,"|",REPT(";",LEN(D70)),5))-FIND(";",SUBSTITUTE(D70,"|",REPT(";",LEN(D70)),4))-1)</f>
        <v/>
      </c>
      <c r="N70" s="11">
        <f>MID(D70,FIND(";",SUBSTITUTE(D70,"|",REPT(";",LEN(D70)),6))+1,LEN(D70))</f>
        <v/>
      </c>
      <c r="O70" s="11">
        <f>MID(D70,FIND(";",SUBSTITUTE(D70,"|",REPT(";",LEN(D70)),5))+1,FIND(";",SUBSTITUTE(D70,"|",REPT(";",LEN(D70)),6))-FIND(";",SUBSTITUTE(D70,"|",REPT(";",LEN(D70)),5))-1)</f>
        <v/>
      </c>
    </row>
    <row r="71" ht="126" customHeight="1" s="21">
      <c r="A71" s="13" t="inlineStr">
        <is>
          <t>100201</t>
        </is>
      </c>
      <c r="B71" s="13" t="inlineStr">
        <is>
          <t>圆钢</t>
        </is>
      </c>
      <c r="C71" s="13" t="inlineStr">
        <is>
          <t>602291000</t>
        </is>
      </c>
      <c r="D71" s="13" t="inlineStr">
        <is>
          <t>航空用优质结构圆钢|圆钢|38CrMoAlA|GJB 1951A-2020</t>
        </is>
      </c>
      <c r="E71" s="13" t="inlineStr">
        <is>
          <t xml:space="preserve">物资名称 航空用优质结构圆钢;物资简称 圆钢;牌号 38CrMoAlA;直径 Φ;技术标准号 GJB 1951A-2020;加工工艺 ;热处理工艺 ;特殊要求 ;规格标准号 </t>
        </is>
      </c>
      <c r="F71" s="12" t="inlineStr">
        <is>
          <t>千克</t>
        </is>
      </c>
      <c r="G71" s="11">
        <f>LEFT(D71,FIND("|",D71,1)-1)</f>
        <v/>
      </c>
      <c r="H71" s="11">
        <f>MID(D71,FIND("|",D71,FIND("|",D71,1))+1,FIND("|",D71,FIND("|",D71,1)+1)-FIND("|",D71,FIND("|",D71,1))-1)</f>
        <v/>
      </c>
      <c r="J71" s="11">
        <f>MID(D71,FIND(";",SUBSTITUTE(D71,"|",REPT(";",LEN(D71)),2))+1,FIND(";",SUBSTITUTE(D71,"|",REPT(";",LEN(D71)),3))-FIND(";",SUBSTITUTE(D71,"|",REPT(";",LEN(D71)),2))-1)</f>
        <v/>
      </c>
      <c r="M71" s="11">
        <f>MID(D71,FIND(";",SUBSTITUTE(D71,"|",REPT(";",LEN(D71)),3))+1,LEN(D71))</f>
        <v/>
      </c>
    </row>
    <row r="72" ht="126" customHeight="1" s="21">
      <c r="A72" s="13" t="inlineStr">
        <is>
          <t>100201</t>
        </is>
      </c>
      <c r="B72" s="13" t="inlineStr">
        <is>
          <t>圆钢</t>
        </is>
      </c>
      <c r="C72" s="13" t="inlineStr">
        <is>
          <t>602289700</t>
        </is>
      </c>
      <c r="D72" s="13" t="inlineStr">
        <is>
          <t>热轧合金结构圆钢|圆钢|40Cr|GB/T 3077-2015|热轧|GB/T 702-2008</t>
        </is>
      </c>
      <c r="E72" s="13" t="inlineStr">
        <is>
          <t>物资名称 热轧合金结构圆钢;物资简称 圆钢;牌号 40Cr;直径 Φ;技术标准号 GB/T 3077-2015;加工工艺 热轧;热处理工艺 ;特殊要求 ;规格标准号 GB/T 702-2008</t>
        </is>
      </c>
      <c r="F72" s="12" t="inlineStr">
        <is>
          <t>千克</t>
        </is>
      </c>
      <c r="G72" s="11">
        <f>LEFT(D72,FIND("|",D72,1)-1)</f>
        <v/>
      </c>
      <c r="H72" s="11">
        <f>MID(D72,FIND("|",D72,FIND("|",D72,1))+1,FIND("|",D72,FIND("|",D72,1)+1)-FIND("|",D72,FIND("|",D72,1))-1)</f>
        <v/>
      </c>
      <c r="J72" s="11">
        <f>MID(D72,FIND(";",SUBSTITUTE(D72,"|",REPT(";",LEN(D72)),2))+1,FIND(";",SUBSTITUTE(D72,"|",REPT(";",LEN(D72)),3))-FIND(";",SUBSTITUTE(D72,"|",REPT(";",LEN(D72)),2))-1)</f>
        <v/>
      </c>
      <c r="M72" s="11">
        <f>MID(D72,FIND(";",SUBSTITUTE(D72,"|",REPT(";",LEN(D72)),3))+1,FIND(";",SUBSTITUTE(D72,"|",REPT(";",LEN(D72)),4))-FIND(";",SUBSTITUTE(D72,"|",REPT(";",LEN(D72)),3))-1)</f>
        <v/>
      </c>
      <c r="N72" s="11">
        <f>MID(D72,FIND(";",SUBSTITUTE(D72,"|",REPT(";",LEN(D72)),5))+1,LEN(D72))</f>
        <v/>
      </c>
      <c r="O72" s="11">
        <f>MID(D72,FIND(";",SUBSTITUTE(D72,"|",REPT(";",LEN(D72)),4))+1,FIND(";",SUBSTITUTE(D72,"|",REPT(";",LEN(D72)),5))-FIND(";",SUBSTITUTE(D72,"|",REPT(";",LEN(D72)),4))-1)</f>
        <v/>
      </c>
    </row>
    <row r="73" ht="126" customHeight="1" s="21">
      <c r="A73" s="13" t="inlineStr">
        <is>
          <t>100201</t>
        </is>
      </c>
      <c r="B73" s="13" t="inlineStr">
        <is>
          <t>圆钢</t>
        </is>
      </c>
      <c r="C73" s="13" t="inlineStr">
        <is>
          <t>602289600</t>
        </is>
      </c>
      <c r="D73" s="13" t="inlineStr">
        <is>
          <t>热轧航空用不锈圆钢|圆钢|1Cr18Ni9Ti|GJB 2294A-2014|热轧</t>
        </is>
      </c>
      <c r="E73" s="13" t="inlineStr">
        <is>
          <t xml:space="preserve">物资名称 热轧航空用不锈圆钢;物资简称 圆钢;牌号 1Cr18Ni9Ti;直径 Φ;技术标准号 GJB 2294A-2014;加工工艺 热轧;热处理工艺 ;特殊要求 ;规格标准号 </t>
        </is>
      </c>
      <c r="F73" s="12" t="inlineStr">
        <is>
          <t>千克</t>
        </is>
      </c>
      <c r="G73" s="11">
        <f>LEFT(D73,FIND("|",D73,1)-1)</f>
        <v/>
      </c>
      <c r="H73" s="11">
        <f>MID(D73,FIND("|",D73,FIND("|",D73,1))+1,FIND("|",D73,FIND("|",D73,1)+1)-FIND("|",D73,FIND("|",D73,1))-1)</f>
        <v/>
      </c>
      <c r="J73" s="11">
        <f>MID(D73,FIND(";",SUBSTITUTE(D73,"|",REPT(";",LEN(D73)),2))+1,FIND(";",SUBSTITUTE(D73,"|",REPT(";",LEN(D73)),3))-FIND(";",SUBSTITUTE(D73,"|",REPT(";",LEN(D73)),2))-1)</f>
        <v/>
      </c>
      <c r="M73" s="11">
        <f>MID(D73,FIND(";",SUBSTITUTE(D73,"|",REPT(";",LEN(D73)),3))+1,FIND(";",SUBSTITUTE(D73,"|",REPT(";",LEN(D73)),4))-FIND(";",SUBSTITUTE(D73,"|",REPT(";",LEN(D73)),3))-1)</f>
        <v/>
      </c>
    </row>
    <row r="74" ht="126" customHeight="1" s="21">
      <c r="A74" s="13" t="inlineStr">
        <is>
          <t>100201</t>
        </is>
      </c>
      <c r="B74" s="13" t="inlineStr">
        <is>
          <t>圆钢</t>
        </is>
      </c>
      <c r="C74" s="13" t="inlineStr">
        <is>
          <t>602288400</t>
        </is>
      </c>
      <c r="D74" s="13" t="inlineStr">
        <is>
          <t>热轧合金结构圆钢|圆钢|40Cr|Φ52|GB/T 3077-2015|热轧|GB/T 702-2008</t>
        </is>
      </c>
      <c r="E74" s="13" t="inlineStr">
        <is>
          <t>物资名称 热轧合金结构圆钢;物资简称 圆钢;牌号 40Cr;直径 Φ52;技术标准号 GB/T 3077-2015;加工工艺 热轧;热处理工艺 ;特殊要求 ;规格标准号 GB/T 702-2008</t>
        </is>
      </c>
      <c r="F74" s="12" t="inlineStr">
        <is>
          <t>千克</t>
        </is>
      </c>
      <c r="G74" s="11">
        <f>LEFT(D74,FIND("|",D74,1)-1)</f>
        <v/>
      </c>
      <c r="H74" s="11">
        <f>MID(D74,FIND("|",D74,FIND("|",D74,1))+1,FIND("|",D74,FIND("|",D74,1)+1)-FIND("|",D74,FIND("|",D74,1))-1)</f>
        <v/>
      </c>
      <c r="J74" s="11">
        <f>MID(D74,FIND(";",SUBSTITUTE(D74,"|",REPT(";",LEN(D74)),2))+1,FIND(";",SUBSTITUTE(D74,"|",REPT(";",LEN(D74)),3))-FIND(";",SUBSTITUTE(D74,"|",REPT(";",LEN(D74)),2))-1)</f>
        <v/>
      </c>
      <c r="K74" s="11">
        <f>MID(D74,FIND(";",SUBSTITUTE(D74,"|",REPT(";",LEN(D74)),3))+1,FIND(";",SUBSTITUTE(D74,"|",REPT(";",LEN(D74)),4))-FIND(";",SUBSTITUTE(D74,"|",REPT(";",LEN(D74)),3))-1)</f>
        <v/>
      </c>
      <c r="M74" s="11">
        <f>MID(D74,FIND(";",SUBSTITUTE(D74,"|",REPT(";",LEN(D74)),4))+1,FIND(";",SUBSTITUTE(D74,"|",REPT(";",LEN(D74)),5))-FIND(";",SUBSTITUTE(D74,"|",REPT(";",LEN(D74)),4))-1)</f>
        <v/>
      </c>
      <c r="N74" s="11">
        <f>MID(D74,FIND(";",SUBSTITUTE(D74,"|",REPT(";",LEN(D74)),6))+1,LEN(D74))</f>
        <v/>
      </c>
      <c r="O74" s="11">
        <f>MID(D74,FIND(";",SUBSTITUTE(D74,"|",REPT(";",LEN(D74)),5))+1,FIND(";",SUBSTITUTE(D74,"|",REPT(";",LEN(D74)),6))-FIND(";",SUBSTITUTE(D74,"|",REPT(";",LEN(D74)),5))-1)</f>
        <v/>
      </c>
    </row>
    <row r="75" ht="140" customHeight="1" s="21">
      <c r="A75" s="13" t="inlineStr">
        <is>
          <t>100201</t>
        </is>
      </c>
      <c r="B75" s="13" t="inlineStr">
        <is>
          <t>圆钢</t>
        </is>
      </c>
      <c r="C75" s="13" t="inlineStr">
        <is>
          <t>602288300</t>
        </is>
      </c>
      <c r="D75" s="13" t="inlineStr">
        <is>
          <t>热轧航空用不锈圆钢|圆钢|1Cr18Ni9Ti|Φ68|GJB 2294A-2014|热轧|GB/T 702-2008</t>
        </is>
      </c>
      <c r="E75" s="13" t="inlineStr">
        <is>
          <t>物资名称 热轧航空用不锈圆钢;物资简称 圆钢;牌号 1Cr18Ni9Ti;直径 Φ68;技术标准号 GJB 2294A-2014;加工工艺 热轧;热处理工艺 ;特殊要求 ;规格标准号 GB/T 702-2008</t>
        </is>
      </c>
      <c r="F75" s="12" t="inlineStr">
        <is>
          <t>千克</t>
        </is>
      </c>
      <c r="G75" s="11">
        <f>LEFT(D75,FIND("|",D75,1)-1)</f>
        <v/>
      </c>
      <c r="H75" s="11">
        <f>MID(D75,FIND("|",D75,FIND("|",D75,1))+1,FIND("|",D75,FIND("|",D75,1)+1)-FIND("|",D75,FIND("|",D75,1))-1)</f>
        <v/>
      </c>
      <c r="J75" s="11">
        <f>MID(D75,FIND(";",SUBSTITUTE(D75,"|",REPT(";",LEN(D75)),2))+1,FIND(";",SUBSTITUTE(D75,"|",REPT(";",LEN(D75)),3))-FIND(";",SUBSTITUTE(D75,"|",REPT(";",LEN(D75)),2))-1)</f>
        <v/>
      </c>
      <c r="K75" s="11">
        <f>MID(D75,FIND(";",SUBSTITUTE(D75,"|",REPT(";",LEN(D75)),3))+1,FIND(";",SUBSTITUTE(D75,"|",REPT(";",LEN(D75)),4))-FIND(";",SUBSTITUTE(D75,"|",REPT(";",LEN(D75)),3))-1)</f>
        <v/>
      </c>
      <c r="M75" s="11">
        <f>MID(D75,FIND(";",SUBSTITUTE(D75,"|",REPT(";",LEN(D75)),4))+1,FIND(";",SUBSTITUTE(D75,"|",REPT(";",LEN(D75)),5))-FIND(";",SUBSTITUTE(D75,"|",REPT(";",LEN(D75)),4))-1)</f>
        <v/>
      </c>
      <c r="N75" s="11">
        <f>MID(D75,FIND(";",SUBSTITUTE(D75,"|",REPT(";",LEN(D75)),6))+1,LEN(D75))</f>
        <v/>
      </c>
      <c r="O75" s="11">
        <f>MID(D75,FIND(";",SUBSTITUTE(D75,"|",REPT(";",LEN(D75)),5))+1,FIND(";",SUBSTITUTE(D75,"|",REPT(";",LEN(D75)),6))-FIND(";",SUBSTITUTE(D75,"|",REPT(";",LEN(D75)),5))-1)</f>
        <v/>
      </c>
    </row>
    <row r="76" ht="126" customHeight="1" s="21">
      <c r="A76" s="13" t="inlineStr">
        <is>
          <t>100201</t>
        </is>
      </c>
      <c r="B76" s="13" t="inlineStr">
        <is>
          <t>圆钢</t>
        </is>
      </c>
      <c r="C76" s="13" t="inlineStr">
        <is>
          <t>602284900</t>
        </is>
      </c>
      <c r="D76" s="13" t="inlineStr">
        <is>
          <t>热轧不锈圆钢|圆钢|20Cr13|Φ85|GB/T 1220-2007|热轧|GB/T 702-2008</t>
        </is>
      </c>
      <c r="E76" s="13" t="inlineStr">
        <is>
          <t>物资名称 热轧不锈圆钢;物资简称 圆钢;牌号 20Cr13;直径 Φ85;技术标准号 GB/T 1220-2007;加工工艺 热轧;热处理工艺 ;特殊要求 ;规格标准号 GB/T 702-2008</t>
        </is>
      </c>
      <c r="F76" s="12" t="inlineStr">
        <is>
          <t>千克</t>
        </is>
      </c>
      <c r="G76" s="11">
        <f>LEFT(D76,FIND("|",D76,1)-1)</f>
        <v/>
      </c>
      <c r="H76" s="11">
        <f>MID(D76,FIND("|",D76,FIND("|",D76,1))+1,FIND("|",D76,FIND("|",D76,1)+1)-FIND("|",D76,FIND("|",D76,1))-1)</f>
        <v/>
      </c>
      <c r="J76" s="11">
        <f>MID(D76,FIND(";",SUBSTITUTE(D76,"|",REPT(";",LEN(D76)),2))+1,FIND(";",SUBSTITUTE(D76,"|",REPT(";",LEN(D76)),3))-FIND(";",SUBSTITUTE(D76,"|",REPT(";",LEN(D76)),2))-1)</f>
        <v/>
      </c>
      <c r="K76" s="11">
        <f>MID(D76,FIND(";",SUBSTITUTE(D76,"|",REPT(";",LEN(D76)),3))+1,FIND(";",SUBSTITUTE(D76,"|",REPT(";",LEN(D76)),4))-FIND(";",SUBSTITUTE(D76,"|",REPT(";",LEN(D76)),3))-1)</f>
        <v/>
      </c>
      <c r="M76" s="11">
        <f>MID(D76,FIND(";",SUBSTITUTE(D76,"|",REPT(";",LEN(D76)),4))+1,FIND(";",SUBSTITUTE(D76,"|",REPT(";",LEN(D76)),5))-FIND(";",SUBSTITUTE(D76,"|",REPT(";",LEN(D76)),4))-1)</f>
        <v/>
      </c>
      <c r="N76" s="11">
        <f>MID(D76,FIND(";",SUBSTITUTE(D76,"|",REPT(";",LEN(D76)),6))+1,LEN(D76))</f>
        <v/>
      </c>
      <c r="O76" s="11">
        <f>MID(D76,FIND(";",SUBSTITUTE(D76,"|",REPT(";",LEN(D76)),5))+1,FIND(";",SUBSTITUTE(D76,"|",REPT(";",LEN(D76)),6))-FIND(";",SUBSTITUTE(D76,"|",REPT(";",LEN(D76)),5))-1)</f>
        <v/>
      </c>
    </row>
    <row r="77" ht="140" customHeight="1" s="21">
      <c r="A77" s="13" t="inlineStr">
        <is>
          <t>100201</t>
        </is>
      </c>
      <c r="B77" s="13" t="inlineStr">
        <is>
          <t>圆钢</t>
        </is>
      </c>
      <c r="C77" s="13" t="inlineStr">
        <is>
          <t>602284800</t>
        </is>
      </c>
      <c r="D77" s="13" t="inlineStr">
        <is>
          <t>热轧不锈圆钢|圆钢|1Cr18Ni9Ti|Φ65|GB/T 1220-1992|热轧|GB/T 702-2008</t>
        </is>
      </c>
      <c r="E77" s="13" t="inlineStr">
        <is>
          <t>物资名称 热轧不锈圆钢;物资简称 圆钢;牌号 1Cr18Ni9Ti;直径 Φ65;技术标准号 GB/T 1220-1992;加工工艺 热轧;热处理工艺 ;特殊要求 ;规格标准号 GB/T 702-2008</t>
        </is>
      </c>
      <c r="F77" s="12" t="inlineStr">
        <is>
          <t>千克</t>
        </is>
      </c>
      <c r="G77" s="11">
        <f>LEFT(D77,FIND("|",D77,1)-1)</f>
        <v/>
      </c>
      <c r="H77" s="11">
        <f>MID(D77,FIND("|",D77,FIND("|",D77,1))+1,FIND("|",D77,FIND("|",D77,1)+1)-FIND("|",D77,FIND("|",D77,1))-1)</f>
        <v/>
      </c>
      <c r="J77" s="11">
        <f>MID(D77,FIND(";",SUBSTITUTE(D77,"|",REPT(";",LEN(D77)),2))+1,FIND(";",SUBSTITUTE(D77,"|",REPT(";",LEN(D77)),3))-FIND(";",SUBSTITUTE(D77,"|",REPT(";",LEN(D77)),2))-1)</f>
        <v/>
      </c>
      <c r="K77" s="11">
        <f>MID(D77,FIND(";",SUBSTITUTE(D77,"|",REPT(";",LEN(D77)),3))+1,FIND(";",SUBSTITUTE(D77,"|",REPT(";",LEN(D77)),4))-FIND(";",SUBSTITUTE(D77,"|",REPT(";",LEN(D77)),3))-1)</f>
        <v/>
      </c>
      <c r="M77" s="11">
        <f>MID(D77,FIND(";",SUBSTITUTE(D77,"|",REPT(";",LEN(D77)),4))+1,FIND(";",SUBSTITUTE(D77,"|",REPT(";",LEN(D77)),5))-FIND(";",SUBSTITUTE(D77,"|",REPT(";",LEN(D77)),4))-1)</f>
        <v/>
      </c>
      <c r="N77" s="11">
        <f>MID(D77,FIND(";",SUBSTITUTE(D77,"|",REPT(";",LEN(D77)),6))+1,LEN(D77))</f>
        <v/>
      </c>
      <c r="O77" s="11">
        <f>MID(D77,FIND(";",SUBSTITUTE(D77,"|",REPT(";",LEN(D77)),5))+1,FIND(";",SUBSTITUTE(D77,"|",REPT(";",LEN(D77)),6))-FIND(";",SUBSTITUTE(D77,"|",REPT(";",LEN(D77)),5))-1)</f>
        <v/>
      </c>
    </row>
    <row r="78" ht="140" customHeight="1" s="21">
      <c r="A78" s="13" t="inlineStr">
        <is>
          <t>100201</t>
        </is>
      </c>
      <c r="B78" s="13" t="inlineStr">
        <is>
          <t>圆钢</t>
        </is>
      </c>
      <c r="C78" s="13" t="inlineStr">
        <is>
          <t>602284700</t>
        </is>
      </c>
      <c r="D78" s="13" t="inlineStr">
        <is>
          <t>热轧航空用不锈圆钢|圆钢|1Cr18Ni9Ti|Φ160|GJB 2294A-2014|热轧|GB/T 702-2008</t>
        </is>
      </c>
      <c r="E78" s="13" t="inlineStr">
        <is>
          <t>物资名称 热轧航空用不锈圆钢;物资简称 圆钢;牌号 1Cr18Ni9Ti;直径 Φ160;技术标准号 GJB 2294A-2014;加工工艺 热轧;热处理工艺 ;特殊要求 ;规格标准号 GB/T 702-2008</t>
        </is>
      </c>
      <c r="F78" s="12" t="inlineStr">
        <is>
          <t>千克</t>
        </is>
      </c>
      <c r="G78" s="11">
        <f>LEFT(D78,FIND("|",D78,1)-1)</f>
        <v/>
      </c>
      <c r="H78" s="11">
        <f>MID(D78,FIND("|",D78,FIND("|",D78,1))+1,FIND("|",D78,FIND("|",D78,1)+1)-FIND("|",D78,FIND("|",D78,1))-1)</f>
        <v/>
      </c>
      <c r="J78" s="11">
        <f>MID(D78,FIND(";",SUBSTITUTE(D78,"|",REPT(";",LEN(D78)),2))+1,FIND(";",SUBSTITUTE(D78,"|",REPT(";",LEN(D78)),3))-FIND(";",SUBSTITUTE(D78,"|",REPT(";",LEN(D78)),2))-1)</f>
        <v/>
      </c>
      <c r="K78" s="11">
        <f>MID(D78,FIND(";",SUBSTITUTE(D78,"|",REPT(";",LEN(D78)),3))+1,FIND(";",SUBSTITUTE(D78,"|",REPT(";",LEN(D78)),4))-FIND(";",SUBSTITUTE(D78,"|",REPT(";",LEN(D78)),3))-1)</f>
        <v/>
      </c>
      <c r="M78" s="11">
        <f>MID(D78,FIND(";",SUBSTITUTE(D78,"|",REPT(";",LEN(D78)),4))+1,FIND(";",SUBSTITUTE(D78,"|",REPT(";",LEN(D78)),5))-FIND(";",SUBSTITUTE(D78,"|",REPT(";",LEN(D78)),4))-1)</f>
        <v/>
      </c>
      <c r="N78" s="11">
        <f>MID(D78,FIND(";",SUBSTITUTE(D78,"|",REPT(";",LEN(D78)),6))+1,LEN(D78))</f>
        <v/>
      </c>
      <c r="O78" s="11">
        <f>MID(D78,FIND(";",SUBSTITUTE(D78,"|",REPT(";",LEN(D78)),5))+1,FIND(";",SUBSTITUTE(D78,"|",REPT(";",LEN(D78)),6))-FIND(";",SUBSTITUTE(D78,"|",REPT(";",LEN(D78)),5))-1)</f>
        <v/>
      </c>
    </row>
    <row r="79" ht="140" customHeight="1" s="21">
      <c r="A79" s="13" t="inlineStr">
        <is>
          <t>100201</t>
        </is>
      </c>
      <c r="B79" s="13" t="inlineStr">
        <is>
          <t>圆钢</t>
        </is>
      </c>
      <c r="C79" s="13" t="inlineStr">
        <is>
          <t>602284600</t>
        </is>
      </c>
      <c r="D79" s="13" t="inlineStr">
        <is>
          <t>热轧航空用不锈圆钢|圆钢|1Cr18Ni9Ti|Φ60|GJB 2294A-2014|热轧|GB/T 702-2008</t>
        </is>
      </c>
      <c r="E79" s="13" t="inlineStr">
        <is>
          <t>物资名称 热轧航空用不锈圆钢;物资简称 圆钢;牌号 1Cr18Ni9Ti;直径 Φ60;技术标准号 GJB 2294A-2014;加工工艺 热轧;热处理工艺 ;特殊要求 ;规格标准号 GB/T 702-2008</t>
        </is>
      </c>
      <c r="F79" s="12" t="inlineStr">
        <is>
          <t>千克</t>
        </is>
      </c>
      <c r="G79" s="11">
        <f>LEFT(D79,FIND("|",D79,1)-1)</f>
        <v/>
      </c>
      <c r="H79" s="11">
        <f>MID(D79,FIND("|",D79,FIND("|",D79,1))+1,FIND("|",D79,FIND("|",D79,1)+1)-FIND("|",D79,FIND("|",D79,1))-1)</f>
        <v/>
      </c>
      <c r="J79" s="11">
        <f>MID(D79,FIND(";",SUBSTITUTE(D79,"|",REPT(";",LEN(D79)),2))+1,FIND(";",SUBSTITUTE(D79,"|",REPT(";",LEN(D79)),3))-FIND(";",SUBSTITUTE(D79,"|",REPT(";",LEN(D79)),2))-1)</f>
        <v/>
      </c>
      <c r="K79" s="11">
        <f>MID(D79,FIND(";",SUBSTITUTE(D79,"|",REPT(";",LEN(D79)),3))+1,FIND(";",SUBSTITUTE(D79,"|",REPT(";",LEN(D79)),4))-FIND(";",SUBSTITUTE(D79,"|",REPT(";",LEN(D79)),3))-1)</f>
        <v/>
      </c>
      <c r="M79" s="11">
        <f>MID(D79,FIND(";",SUBSTITUTE(D79,"|",REPT(";",LEN(D79)),4))+1,FIND(";",SUBSTITUTE(D79,"|",REPT(";",LEN(D79)),5))-FIND(";",SUBSTITUTE(D79,"|",REPT(";",LEN(D79)),4))-1)</f>
        <v/>
      </c>
      <c r="N79" s="11">
        <f>MID(D79,FIND(";",SUBSTITUTE(D79,"|",REPT(";",LEN(D79)),6))+1,LEN(D79))</f>
        <v/>
      </c>
      <c r="O79" s="11">
        <f>MID(D79,FIND(";",SUBSTITUTE(D79,"|",REPT(";",LEN(D79)),5))+1,FIND(";",SUBSTITUTE(D79,"|",REPT(";",LEN(D79)),6))-FIND(";",SUBSTITUTE(D79,"|",REPT(";",LEN(D79)),5))-1)</f>
        <v/>
      </c>
    </row>
    <row r="80" ht="140" customHeight="1" s="21">
      <c r="A80" s="13" t="inlineStr">
        <is>
          <t>100201</t>
        </is>
      </c>
      <c r="B80" s="13" t="inlineStr">
        <is>
          <t>圆钢</t>
        </is>
      </c>
      <c r="C80" s="13" t="inlineStr">
        <is>
          <t>602284500</t>
        </is>
      </c>
      <c r="D80" s="13" t="inlineStr">
        <is>
          <t>热轧航空用不锈圆钢|圆钢|1Cr18Ni9Ti|Φ70|GJB 2294A-2014|热轧|GB/T 702-2008</t>
        </is>
      </c>
      <c r="E80" s="13" t="inlineStr">
        <is>
          <t>物资名称 热轧航空用不锈圆钢;物资简称 圆钢;牌号 1Cr18Ni9Ti;直径 Φ70;技术标准号 GJB 2294A-2014;加工工艺 热轧;热处理工艺 ;特殊要求 ;规格标准号 GB/T 702-2008</t>
        </is>
      </c>
      <c r="F80" s="12" t="inlineStr">
        <is>
          <t>千克</t>
        </is>
      </c>
      <c r="G80" s="11">
        <f>LEFT(D80,FIND("|",D80,1)-1)</f>
        <v/>
      </c>
      <c r="H80" s="11">
        <f>MID(D80,FIND("|",D80,FIND("|",D80,1))+1,FIND("|",D80,FIND("|",D80,1)+1)-FIND("|",D80,FIND("|",D80,1))-1)</f>
        <v/>
      </c>
      <c r="J80" s="11">
        <f>MID(D80,FIND(";",SUBSTITUTE(D80,"|",REPT(";",LEN(D80)),2))+1,FIND(";",SUBSTITUTE(D80,"|",REPT(";",LEN(D80)),3))-FIND(";",SUBSTITUTE(D80,"|",REPT(";",LEN(D80)),2))-1)</f>
        <v/>
      </c>
      <c r="K80" s="11">
        <f>MID(D80,FIND(";",SUBSTITUTE(D80,"|",REPT(";",LEN(D80)),3))+1,FIND(";",SUBSTITUTE(D80,"|",REPT(";",LEN(D80)),4))-FIND(";",SUBSTITUTE(D80,"|",REPT(";",LEN(D80)),3))-1)</f>
        <v/>
      </c>
      <c r="M80" s="11">
        <f>MID(D80,FIND(";",SUBSTITUTE(D80,"|",REPT(";",LEN(D80)),4))+1,FIND(";",SUBSTITUTE(D80,"|",REPT(";",LEN(D80)),5))-FIND(";",SUBSTITUTE(D80,"|",REPT(";",LEN(D80)),4))-1)</f>
        <v/>
      </c>
      <c r="N80" s="11">
        <f>MID(D80,FIND(";",SUBSTITUTE(D80,"|",REPT(";",LEN(D80)),6))+1,LEN(D80))</f>
        <v/>
      </c>
      <c r="O80" s="11">
        <f>MID(D80,FIND(";",SUBSTITUTE(D80,"|",REPT(";",LEN(D80)),5))+1,FIND(";",SUBSTITUTE(D80,"|",REPT(";",LEN(D80)),6))-FIND(";",SUBSTITUTE(D80,"|",REPT(";",LEN(D80)),5))-1)</f>
        <v/>
      </c>
    </row>
    <row r="81" ht="140" customHeight="1" s="21">
      <c r="A81" s="13" t="inlineStr">
        <is>
          <t>100201</t>
        </is>
      </c>
      <c r="B81" s="13" t="inlineStr">
        <is>
          <t>圆钢</t>
        </is>
      </c>
      <c r="C81" s="13" t="inlineStr">
        <is>
          <t>602284400</t>
        </is>
      </c>
      <c r="D81" s="13" t="inlineStr">
        <is>
          <t>热轧航空用不锈圆钢|圆钢|1Cr18Ni9Ti|Φ28|GJB 2294A-2014|热轧|GB/T 702-2008</t>
        </is>
      </c>
      <c r="E81" s="13" t="inlineStr">
        <is>
          <t>物资名称 热轧航空用不锈圆钢;物资简称 圆钢;牌号 1Cr18Ni9Ti;直径 Φ28;技术标准号 GJB 2294A-2014;加工工艺 热轧;热处理工艺 ;特殊要求 ;规格标准号 GB/T 702-2008</t>
        </is>
      </c>
      <c r="F81" s="12" t="inlineStr">
        <is>
          <t>千克</t>
        </is>
      </c>
      <c r="G81" s="11">
        <f>LEFT(D81,FIND("|",D81,1)-1)</f>
        <v/>
      </c>
      <c r="H81" s="11">
        <f>MID(D81,FIND("|",D81,FIND("|",D81,1))+1,FIND("|",D81,FIND("|",D81,1)+1)-FIND("|",D81,FIND("|",D81,1))-1)</f>
        <v/>
      </c>
      <c r="J81" s="11">
        <f>MID(D81,FIND(";",SUBSTITUTE(D81,"|",REPT(";",LEN(D81)),2))+1,FIND(";",SUBSTITUTE(D81,"|",REPT(";",LEN(D81)),3))-FIND(";",SUBSTITUTE(D81,"|",REPT(";",LEN(D81)),2))-1)</f>
        <v/>
      </c>
      <c r="K81" s="11">
        <f>MID(D81,FIND(";",SUBSTITUTE(D81,"|",REPT(";",LEN(D81)),3))+1,FIND(";",SUBSTITUTE(D81,"|",REPT(";",LEN(D81)),4))-FIND(";",SUBSTITUTE(D81,"|",REPT(";",LEN(D81)),3))-1)</f>
        <v/>
      </c>
      <c r="M81" s="11">
        <f>MID(D81,FIND(";",SUBSTITUTE(D81,"|",REPT(";",LEN(D81)),4))+1,FIND(";",SUBSTITUTE(D81,"|",REPT(";",LEN(D81)),5))-FIND(";",SUBSTITUTE(D81,"|",REPT(";",LEN(D81)),4))-1)</f>
        <v/>
      </c>
      <c r="N81" s="11">
        <f>MID(D81,FIND(";",SUBSTITUTE(D81,"|",REPT(";",LEN(D81)),6))+1,LEN(D81))</f>
        <v/>
      </c>
      <c r="O81" s="11">
        <f>MID(D81,FIND(";",SUBSTITUTE(D81,"|",REPT(";",LEN(D81)),5))+1,FIND(";",SUBSTITUTE(D81,"|",REPT(";",LEN(D81)),6))-FIND(";",SUBSTITUTE(D81,"|",REPT(";",LEN(D81)),5))-1)</f>
        <v/>
      </c>
    </row>
    <row r="82" ht="140" customHeight="1" s="21">
      <c r="A82" s="13" t="inlineStr">
        <is>
          <t>100201</t>
        </is>
      </c>
      <c r="B82" s="13" t="inlineStr">
        <is>
          <t>圆钢</t>
        </is>
      </c>
      <c r="C82" s="13" t="inlineStr">
        <is>
          <t>602284300</t>
        </is>
      </c>
      <c r="D82" s="13" t="inlineStr">
        <is>
          <t>热轧航空用不锈圆钢|圆钢|1Cr18Ni9Ti|Φ52|GJB 2294A-2014|热轧|GB/T 702-2008</t>
        </is>
      </c>
      <c r="E82" s="13" t="inlineStr">
        <is>
          <t>物资名称 热轧航空用不锈圆钢;物资简称 圆钢;牌号 1Cr18Ni9Ti;直径 Φ52;技术标准号 GJB 2294A-2014;加工工艺 热轧;热处理工艺 ;特殊要求 ;规格标准号 GB/T 702-2008</t>
        </is>
      </c>
      <c r="F82" s="12" t="inlineStr">
        <is>
          <t>千克</t>
        </is>
      </c>
      <c r="G82" s="11">
        <f>LEFT(D82,FIND("|",D82,1)-1)</f>
        <v/>
      </c>
      <c r="H82" s="11">
        <f>MID(D82,FIND("|",D82,FIND("|",D82,1))+1,FIND("|",D82,FIND("|",D82,1)+1)-FIND("|",D82,FIND("|",D82,1))-1)</f>
        <v/>
      </c>
      <c r="J82" s="11">
        <f>MID(D82,FIND(";",SUBSTITUTE(D82,"|",REPT(";",LEN(D82)),2))+1,FIND(";",SUBSTITUTE(D82,"|",REPT(";",LEN(D82)),3))-FIND(";",SUBSTITUTE(D82,"|",REPT(";",LEN(D82)),2))-1)</f>
        <v/>
      </c>
      <c r="K82" s="11">
        <f>MID(D82,FIND(";",SUBSTITUTE(D82,"|",REPT(";",LEN(D82)),3))+1,FIND(";",SUBSTITUTE(D82,"|",REPT(";",LEN(D82)),4))-FIND(";",SUBSTITUTE(D82,"|",REPT(";",LEN(D82)),3))-1)</f>
        <v/>
      </c>
      <c r="M82" s="11">
        <f>MID(D82,FIND(";",SUBSTITUTE(D82,"|",REPT(";",LEN(D82)),4))+1,FIND(";",SUBSTITUTE(D82,"|",REPT(";",LEN(D82)),5))-FIND(";",SUBSTITUTE(D82,"|",REPT(";",LEN(D82)),4))-1)</f>
        <v/>
      </c>
      <c r="N82" s="11">
        <f>MID(D82,FIND(";",SUBSTITUTE(D82,"|",REPT(";",LEN(D82)),6))+1,LEN(D82))</f>
        <v/>
      </c>
      <c r="O82" s="11">
        <f>MID(D82,FIND(";",SUBSTITUTE(D82,"|",REPT(";",LEN(D82)),5))+1,FIND(";",SUBSTITUTE(D82,"|",REPT(";",LEN(D82)),6))-FIND(";",SUBSTITUTE(D82,"|",REPT(";",LEN(D82)),5))-1)</f>
        <v/>
      </c>
    </row>
    <row r="83" ht="140" customHeight="1" s="21">
      <c r="A83" s="13" t="inlineStr">
        <is>
          <t>100201</t>
        </is>
      </c>
      <c r="B83" s="13" t="inlineStr">
        <is>
          <t>圆钢</t>
        </is>
      </c>
      <c r="C83" s="13" t="inlineStr">
        <is>
          <t>602284200</t>
        </is>
      </c>
      <c r="D83" s="13" t="inlineStr">
        <is>
          <t>热轧航空用不锈圆钢|圆钢|1Cr18Ni9Ti|Φ62|GJB 2294A-2014|热轧|GB/T 702-2008</t>
        </is>
      </c>
      <c r="E83" s="13" t="inlineStr">
        <is>
          <t>物资名称 热轧航空用不锈圆钢;物资简称 圆钢;牌号 1Cr18Ni9Ti;直径 Φ62;技术标准号 GJB 2294A-2014;加工工艺 热轧;热处理工艺 ;特殊要求 ;规格标准号 GB/T 702-2008</t>
        </is>
      </c>
      <c r="F83" s="12" t="inlineStr">
        <is>
          <t>千克</t>
        </is>
      </c>
      <c r="G83" s="11">
        <f>LEFT(D83,FIND("|",D83,1)-1)</f>
        <v/>
      </c>
      <c r="H83" s="11">
        <f>MID(D83,FIND("|",D83,FIND("|",D83,1))+1,FIND("|",D83,FIND("|",D83,1)+1)-FIND("|",D83,FIND("|",D83,1))-1)</f>
        <v/>
      </c>
      <c r="J83" s="11">
        <f>MID(D83,FIND(";",SUBSTITUTE(D83,"|",REPT(";",LEN(D83)),2))+1,FIND(";",SUBSTITUTE(D83,"|",REPT(";",LEN(D83)),3))-FIND(";",SUBSTITUTE(D83,"|",REPT(";",LEN(D83)),2))-1)</f>
        <v/>
      </c>
      <c r="K83" s="11">
        <f>MID(D83,FIND(";",SUBSTITUTE(D83,"|",REPT(";",LEN(D83)),3))+1,FIND(";",SUBSTITUTE(D83,"|",REPT(";",LEN(D83)),4))-FIND(";",SUBSTITUTE(D83,"|",REPT(";",LEN(D83)),3))-1)</f>
        <v/>
      </c>
      <c r="M83" s="11">
        <f>MID(D83,FIND(";",SUBSTITUTE(D83,"|",REPT(";",LEN(D83)),4))+1,FIND(";",SUBSTITUTE(D83,"|",REPT(";",LEN(D83)),5))-FIND(";",SUBSTITUTE(D83,"|",REPT(";",LEN(D83)),4))-1)</f>
        <v/>
      </c>
      <c r="N83" s="11">
        <f>MID(D83,FIND(";",SUBSTITUTE(D83,"|",REPT(";",LEN(D83)),6))+1,LEN(D83))</f>
        <v/>
      </c>
      <c r="O83" s="11">
        <f>MID(D83,FIND(";",SUBSTITUTE(D83,"|",REPT(";",LEN(D83)),5))+1,FIND(";",SUBSTITUTE(D83,"|",REPT(";",LEN(D83)),6))-FIND(";",SUBSTITUTE(D83,"|",REPT(";",LEN(D83)),5))-1)</f>
        <v/>
      </c>
    </row>
    <row r="84" ht="140" customHeight="1" s="21">
      <c r="A84" s="13" t="inlineStr">
        <is>
          <t>100201</t>
        </is>
      </c>
      <c r="B84" s="13" t="inlineStr">
        <is>
          <t>圆钢</t>
        </is>
      </c>
      <c r="C84" s="13" t="inlineStr">
        <is>
          <t>602284100</t>
        </is>
      </c>
      <c r="D84" s="13" t="inlineStr">
        <is>
          <t>热轧航空用不锈圆钢|圆钢|1Cr18Ni9Ti|Φ85|GJB 2294A-2014|热轧|GB/T 702-2008</t>
        </is>
      </c>
      <c r="E84" s="13" t="inlineStr">
        <is>
          <t>物资名称 热轧航空用不锈圆钢;物资简称 圆钢;牌号 1Cr18Ni9Ti;直径 Φ85;技术标准号 GJB 2294A-2014;加工工艺 热轧;热处理工艺 ;特殊要求 ;规格标准号 GB/T 702-2008</t>
        </is>
      </c>
      <c r="F84" s="12" t="inlineStr">
        <is>
          <t>千克</t>
        </is>
      </c>
      <c r="G84" s="11">
        <f>LEFT(D84,FIND("|",D84,1)-1)</f>
        <v/>
      </c>
      <c r="H84" s="11">
        <f>MID(D84,FIND("|",D84,FIND("|",D84,1))+1,FIND("|",D84,FIND("|",D84,1)+1)-FIND("|",D84,FIND("|",D84,1))-1)</f>
        <v/>
      </c>
      <c r="J84" s="11">
        <f>MID(D84,FIND(";",SUBSTITUTE(D84,"|",REPT(";",LEN(D84)),2))+1,FIND(";",SUBSTITUTE(D84,"|",REPT(";",LEN(D84)),3))-FIND(";",SUBSTITUTE(D84,"|",REPT(";",LEN(D84)),2))-1)</f>
        <v/>
      </c>
      <c r="K84" s="11">
        <f>MID(D84,FIND(";",SUBSTITUTE(D84,"|",REPT(";",LEN(D84)),3))+1,FIND(";",SUBSTITUTE(D84,"|",REPT(";",LEN(D84)),4))-FIND(";",SUBSTITUTE(D84,"|",REPT(";",LEN(D84)),3))-1)</f>
        <v/>
      </c>
      <c r="M84" s="11">
        <f>MID(D84,FIND(";",SUBSTITUTE(D84,"|",REPT(";",LEN(D84)),4))+1,FIND(";",SUBSTITUTE(D84,"|",REPT(";",LEN(D84)),5))-FIND(";",SUBSTITUTE(D84,"|",REPT(";",LEN(D84)),4))-1)</f>
        <v/>
      </c>
      <c r="N84" s="11">
        <f>MID(D84,FIND(";",SUBSTITUTE(D84,"|",REPT(";",LEN(D84)),6))+1,LEN(D84))</f>
        <v/>
      </c>
      <c r="O84" s="11">
        <f>MID(D84,FIND(";",SUBSTITUTE(D84,"|",REPT(";",LEN(D84)),5))+1,FIND(";",SUBSTITUTE(D84,"|",REPT(";",LEN(D84)),6))-FIND(";",SUBSTITUTE(D84,"|",REPT(";",LEN(D84)),5))-1)</f>
        <v/>
      </c>
    </row>
    <row r="85" ht="140" customHeight="1" s="21">
      <c r="A85" s="13" t="inlineStr">
        <is>
          <t>100201</t>
        </is>
      </c>
      <c r="B85" s="13" t="inlineStr">
        <is>
          <t>圆钢</t>
        </is>
      </c>
      <c r="C85" s="13" t="inlineStr">
        <is>
          <t>602284000</t>
        </is>
      </c>
      <c r="D85" s="13" t="inlineStr">
        <is>
          <t>热轧航空用不锈圆钢|圆钢|1Cr18Ni9Ti|Φ65|GJB 2294A-2014|热轧|GB/T 702-2008</t>
        </is>
      </c>
      <c r="E85" s="13" t="inlineStr">
        <is>
          <t>物资名称 热轧航空用不锈圆钢;物资简称 圆钢;牌号 1Cr18Ni9Ti;直径 Φ65;技术标准号 GJB 2294A-2014;加工工艺 热轧;热处理工艺 ;特殊要求 ;规格标准号 GB/T 702-2008</t>
        </is>
      </c>
      <c r="F85" s="12" t="inlineStr">
        <is>
          <t>千克</t>
        </is>
      </c>
      <c r="G85" s="11">
        <f>LEFT(D85,FIND("|",D85,1)-1)</f>
        <v/>
      </c>
      <c r="H85" s="11">
        <f>MID(D85,FIND("|",D85,FIND("|",D85,1))+1,FIND("|",D85,FIND("|",D85,1)+1)-FIND("|",D85,FIND("|",D85,1))-1)</f>
        <v/>
      </c>
      <c r="J85" s="11">
        <f>MID(D85,FIND(";",SUBSTITUTE(D85,"|",REPT(";",LEN(D85)),2))+1,FIND(";",SUBSTITUTE(D85,"|",REPT(";",LEN(D85)),3))-FIND(";",SUBSTITUTE(D85,"|",REPT(";",LEN(D85)),2))-1)</f>
        <v/>
      </c>
      <c r="K85" s="11">
        <f>MID(D85,FIND(";",SUBSTITUTE(D85,"|",REPT(";",LEN(D85)),3))+1,FIND(";",SUBSTITUTE(D85,"|",REPT(";",LEN(D85)),4))-FIND(";",SUBSTITUTE(D85,"|",REPT(";",LEN(D85)),3))-1)</f>
        <v/>
      </c>
      <c r="M85" s="11">
        <f>MID(D85,FIND(";",SUBSTITUTE(D85,"|",REPT(";",LEN(D85)),4))+1,FIND(";",SUBSTITUTE(D85,"|",REPT(";",LEN(D85)),5))-FIND(";",SUBSTITUTE(D85,"|",REPT(";",LEN(D85)),4))-1)</f>
        <v/>
      </c>
      <c r="N85" s="11">
        <f>MID(D85,FIND(";",SUBSTITUTE(D85,"|",REPT(";",LEN(D85)),6))+1,LEN(D85))</f>
        <v/>
      </c>
      <c r="O85" s="11">
        <f>MID(D85,FIND(";",SUBSTITUTE(D85,"|",REPT(";",LEN(D85)),5))+1,FIND(";",SUBSTITUTE(D85,"|",REPT(";",LEN(D85)),6))-FIND(";",SUBSTITUTE(D85,"|",REPT(";",LEN(D85)),5))-1)</f>
        <v/>
      </c>
    </row>
    <row r="86" ht="140" customHeight="1" s="21">
      <c r="A86" s="13" t="inlineStr">
        <is>
          <t>100201</t>
        </is>
      </c>
      <c r="B86" s="13" t="inlineStr">
        <is>
          <t>圆钢</t>
        </is>
      </c>
      <c r="C86" s="13" t="inlineStr">
        <is>
          <t>602283900</t>
        </is>
      </c>
      <c r="D86" s="13" t="inlineStr">
        <is>
          <t>热轧航空用不锈圆钢|圆钢|1Cr18Ni9Ti|Φ35|GJB 2294A-2014|热轧|GB/T 702-2008</t>
        </is>
      </c>
      <c r="E86" s="13" t="inlineStr">
        <is>
          <t>物资名称 热轧航空用不锈圆钢;物资简称 圆钢;牌号 1Cr18Ni9Ti;直径 Φ35;技术标准号 GJB 2294A-2014;加工工艺 热轧;热处理工艺 ;特殊要求 ;规格标准号 GB/T 702-2008</t>
        </is>
      </c>
      <c r="F86" s="12" t="inlineStr">
        <is>
          <t>千克</t>
        </is>
      </c>
      <c r="G86" s="11">
        <f>LEFT(D86,FIND("|",D86,1)-1)</f>
        <v/>
      </c>
      <c r="H86" s="11">
        <f>MID(D86,FIND("|",D86,FIND("|",D86,1))+1,FIND("|",D86,FIND("|",D86,1)+1)-FIND("|",D86,FIND("|",D86,1))-1)</f>
        <v/>
      </c>
      <c r="J86" s="11">
        <f>MID(D86,FIND(";",SUBSTITUTE(D86,"|",REPT(";",LEN(D86)),2))+1,FIND(";",SUBSTITUTE(D86,"|",REPT(";",LEN(D86)),3))-FIND(";",SUBSTITUTE(D86,"|",REPT(";",LEN(D86)),2))-1)</f>
        <v/>
      </c>
      <c r="K86" s="11">
        <f>MID(D86,FIND(";",SUBSTITUTE(D86,"|",REPT(";",LEN(D86)),3))+1,FIND(";",SUBSTITUTE(D86,"|",REPT(";",LEN(D86)),4))-FIND(";",SUBSTITUTE(D86,"|",REPT(";",LEN(D86)),3))-1)</f>
        <v/>
      </c>
      <c r="M86" s="11">
        <f>MID(D86,FIND(";",SUBSTITUTE(D86,"|",REPT(";",LEN(D86)),4))+1,FIND(";",SUBSTITUTE(D86,"|",REPT(";",LEN(D86)),5))-FIND(";",SUBSTITUTE(D86,"|",REPT(";",LEN(D86)),4))-1)</f>
        <v/>
      </c>
      <c r="N86" s="11">
        <f>MID(D86,FIND(";",SUBSTITUTE(D86,"|",REPT(";",LEN(D86)),6))+1,LEN(D86))</f>
        <v/>
      </c>
      <c r="O86" s="11">
        <f>MID(D86,FIND(";",SUBSTITUTE(D86,"|",REPT(";",LEN(D86)),5))+1,FIND(";",SUBSTITUTE(D86,"|",REPT(";",LEN(D86)),6))-FIND(";",SUBSTITUTE(D86,"|",REPT(";",LEN(D86)),5))-1)</f>
        <v/>
      </c>
    </row>
    <row r="87" ht="140" customHeight="1" s="21">
      <c r="A87" s="13" t="inlineStr">
        <is>
          <t>100201</t>
        </is>
      </c>
      <c r="B87" s="13" t="inlineStr">
        <is>
          <t>圆钢</t>
        </is>
      </c>
      <c r="C87" s="13" t="inlineStr">
        <is>
          <t>602283800</t>
        </is>
      </c>
      <c r="D87" s="13" t="inlineStr">
        <is>
          <t>热轧航空用不锈圆钢|圆钢|1Cr18Ni9Ti|Φ58|GJB 2294A-2014|热轧|GB/T 702-2008</t>
        </is>
      </c>
      <c r="E87" s="13" t="inlineStr">
        <is>
          <t>物资名称 热轧航空用不锈圆钢;物资简称 圆钢;牌号 1Cr18Ni9Ti;直径 Φ58;技术标准号 GJB 2294A-2014;加工工艺 热轧;热处理工艺 ;特殊要求 ;规格标准号 GB/T 702-2008</t>
        </is>
      </c>
      <c r="F87" s="12" t="inlineStr">
        <is>
          <t>千克</t>
        </is>
      </c>
      <c r="G87" s="11">
        <f>LEFT(D87,FIND("|",D87,1)-1)</f>
        <v/>
      </c>
      <c r="H87" s="11">
        <f>MID(D87,FIND("|",D87,FIND("|",D87,1))+1,FIND("|",D87,FIND("|",D87,1)+1)-FIND("|",D87,FIND("|",D87,1))-1)</f>
        <v/>
      </c>
      <c r="J87" s="11">
        <f>MID(D87,FIND(";",SUBSTITUTE(D87,"|",REPT(";",LEN(D87)),2))+1,FIND(";",SUBSTITUTE(D87,"|",REPT(";",LEN(D87)),3))-FIND(";",SUBSTITUTE(D87,"|",REPT(";",LEN(D87)),2))-1)</f>
        <v/>
      </c>
      <c r="K87" s="11">
        <f>MID(D87,FIND(";",SUBSTITUTE(D87,"|",REPT(";",LEN(D87)),3))+1,FIND(";",SUBSTITUTE(D87,"|",REPT(";",LEN(D87)),4))-FIND(";",SUBSTITUTE(D87,"|",REPT(";",LEN(D87)),3))-1)</f>
        <v/>
      </c>
      <c r="M87" s="11">
        <f>MID(D87,FIND(";",SUBSTITUTE(D87,"|",REPT(";",LEN(D87)),4))+1,FIND(";",SUBSTITUTE(D87,"|",REPT(";",LEN(D87)),5))-FIND(";",SUBSTITUTE(D87,"|",REPT(";",LEN(D87)),4))-1)</f>
        <v/>
      </c>
      <c r="N87" s="11">
        <f>MID(D87,FIND(";",SUBSTITUTE(D87,"|",REPT(";",LEN(D87)),6))+1,LEN(D87))</f>
        <v/>
      </c>
      <c r="O87" s="11">
        <f>MID(D87,FIND(";",SUBSTITUTE(D87,"|",REPT(";",LEN(D87)),5))+1,FIND(";",SUBSTITUTE(D87,"|",REPT(";",LEN(D87)),6))-FIND(";",SUBSTITUTE(D87,"|",REPT(";",LEN(D87)),5))-1)</f>
        <v/>
      </c>
    </row>
    <row r="88" ht="140" customHeight="1" s="21">
      <c r="A88" s="13" t="inlineStr">
        <is>
          <t>100201</t>
        </is>
      </c>
      <c r="B88" s="13" t="inlineStr">
        <is>
          <t>圆钢</t>
        </is>
      </c>
      <c r="C88" s="13" t="inlineStr">
        <is>
          <t>602283700</t>
        </is>
      </c>
      <c r="D88" s="13" t="inlineStr">
        <is>
          <t>热轧航空用不锈圆钢|圆钢|1Cr18Ni9Ti|Φ10|GJB 2294A-2014|热轧|GB/T 702-2008</t>
        </is>
      </c>
      <c r="E88" s="13" t="inlineStr">
        <is>
          <t>物资名称 热轧航空用不锈圆钢;物资简称 圆钢;牌号 1Cr18Ni9Ti;直径 Φ10;技术标准号 GJB 2294A-2014;加工工艺 热轧;热处理工艺 ;特殊要求 ;规格标准号 GB/T 702-2008</t>
        </is>
      </c>
      <c r="F88" s="12" t="inlineStr">
        <is>
          <t>千克</t>
        </is>
      </c>
      <c r="G88" s="11">
        <f>LEFT(D88,FIND("|",D88,1)-1)</f>
        <v/>
      </c>
      <c r="H88" s="11">
        <f>MID(D88,FIND("|",D88,FIND("|",D88,1))+1,FIND("|",D88,FIND("|",D88,1)+1)-FIND("|",D88,FIND("|",D88,1))-1)</f>
        <v/>
      </c>
      <c r="J88" s="11">
        <f>MID(D88,FIND(";",SUBSTITUTE(D88,"|",REPT(";",LEN(D88)),2))+1,FIND(";",SUBSTITUTE(D88,"|",REPT(";",LEN(D88)),3))-FIND(";",SUBSTITUTE(D88,"|",REPT(";",LEN(D88)),2))-1)</f>
        <v/>
      </c>
      <c r="K88" s="11">
        <f>MID(D88,FIND(";",SUBSTITUTE(D88,"|",REPT(";",LEN(D88)),3))+1,FIND(";",SUBSTITUTE(D88,"|",REPT(";",LEN(D88)),4))-FIND(";",SUBSTITUTE(D88,"|",REPT(";",LEN(D88)),3))-1)</f>
        <v/>
      </c>
      <c r="M88" s="11">
        <f>MID(D88,FIND(";",SUBSTITUTE(D88,"|",REPT(";",LEN(D88)),4))+1,FIND(";",SUBSTITUTE(D88,"|",REPT(";",LEN(D88)),5))-FIND(";",SUBSTITUTE(D88,"|",REPT(";",LEN(D88)),4))-1)</f>
        <v/>
      </c>
      <c r="N88" s="11">
        <f>MID(D88,FIND(";",SUBSTITUTE(D88,"|",REPT(";",LEN(D88)),6))+1,LEN(D88))</f>
        <v/>
      </c>
      <c r="O88" s="11">
        <f>MID(D88,FIND(";",SUBSTITUTE(D88,"|",REPT(";",LEN(D88)),5))+1,FIND(";",SUBSTITUTE(D88,"|",REPT(";",LEN(D88)),6))-FIND(";",SUBSTITUTE(D88,"|",REPT(";",LEN(D88)),5))-1)</f>
        <v/>
      </c>
    </row>
    <row r="89" ht="140" customHeight="1" s="21">
      <c r="A89" s="13" t="inlineStr">
        <is>
          <t>100201</t>
        </is>
      </c>
      <c r="B89" s="13" t="inlineStr">
        <is>
          <t>圆钢</t>
        </is>
      </c>
      <c r="C89" s="13" t="inlineStr">
        <is>
          <t>602283600</t>
        </is>
      </c>
      <c r="D89" s="13" t="inlineStr">
        <is>
          <t>热轧航空用不锈圆钢|圆钢|1Cr18Ni9Ti|Φ90|GJB 2294A-2014|热轧|GB/T 702-2008</t>
        </is>
      </c>
      <c r="E89" s="13" t="inlineStr">
        <is>
          <t>物资名称 热轧航空用不锈圆钢;物资简称 圆钢;牌号 1Cr18Ni9Ti;直径 Φ90;技术标准号 GJB 2294A-2014;加工工艺 热轧;热处理工艺 ;特殊要求 ;规格标准号 GB/T 702-2008</t>
        </is>
      </c>
      <c r="F89" s="12" t="inlineStr">
        <is>
          <t>千克</t>
        </is>
      </c>
      <c r="G89" s="11">
        <f>LEFT(D89,FIND("|",D89,1)-1)</f>
        <v/>
      </c>
      <c r="H89" s="11">
        <f>MID(D89,FIND("|",D89,FIND("|",D89,1))+1,FIND("|",D89,FIND("|",D89,1)+1)-FIND("|",D89,FIND("|",D89,1))-1)</f>
        <v/>
      </c>
      <c r="J89" s="11">
        <f>MID(D89,FIND(";",SUBSTITUTE(D89,"|",REPT(";",LEN(D89)),2))+1,FIND(";",SUBSTITUTE(D89,"|",REPT(";",LEN(D89)),3))-FIND(";",SUBSTITUTE(D89,"|",REPT(";",LEN(D89)),2))-1)</f>
        <v/>
      </c>
      <c r="K89" s="11">
        <f>MID(D89,FIND(";",SUBSTITUTE(D89,"|",REPT(";",LEN(D89)),3))+1,FIND(";",SUBSTITUTE(D89,"|",REPT(";",LEN(D89)),4))-FIND(";",SUBSTITUTE(D89,"|",REPT(";",LEN(D89)),3))-1)</f>
        <v/>
      </c>
      <c r="M89" s="11">
        <f>MID(D89,FIND(";",SUBSTITUTE(D89,"|",REPT(";",LEN(D89)),4))+1,FIND(";",SUBSTITUTE(D89,"|",REPT(";",LEN(D89)),5))-FIND(";",SUBSTITUTE(D89,"|",REPT(";",LEN(D89)),4))-1)</f>
        <v/>
      </c>
      <c r="N89" s="11">
        <f>MID(D89,FIND(";",SUBSTITUTE(D89,"|",REPT(";",LEN(D89)),6))+1,LEN(D89))</f>
        <v/>
      </c>
      <c r="O89" s="11">
        <f>MID(D89,FIND(";",SUBSTITUTE(D89,"|",REPT(";",LEN(D89)),5))+1,FIND(";",SUBSTITUTE(D89,"|",REPT(";",LEN(D89)),6))-FIND(";",SUBSTITUTE(D89,"|",REPT(";",LEN(D89)),5))-1)</f>
        <v/>
      </c>
    </row>
    <row r="90" ht="140" customHeight="1" s="21">
      <c r="A90" s="13" t="inlineStr">
        <is>
          <t>100201</t>
        </is>
      </c>
      <c r="B90" s="13" t="inlineStr">
        <is>
          <t>圆钢</t>
        </is>
      </c>
      <c r="C90" s="13" t="inlineStr">
        <is>
          <t>602283500</t>
        </is>
      </c>
      <c r="D90" s="13" t="inlineStr">
        <is>
          <t>热轧航空用不锈圆钢|圆钢|1Cr18Ni9Ti|Φ105|GJB 2294A-2014|热轧|GB/T 702-2008</t>
        </is>
      </c>
      <c r="E90" s="13" t="inlineStr">
        <is>
          <t>物资名称 热轧航空用不锈圆钢;物资简称 圆钢;牌号 1Cr18Ni9Ti;直径 Φ105;技术标准号 GJB 2294A-2014;加工工艺 热轧;热处理工艺 ;特殊要求 ;规格标准号 GB/T 702-2008</t>
        </is>
      </c>
      <c r="F90" s="12" t="inlineStr">
        <is>
          <t>千克</t>
        </is>
      </c>
      <c r="G90" s="11">
        <f>LEFT(D90,FIND("|",D90,1)-1)</f>
        <v/>
      </c>
      <c r="H90" s="11">
        <f>MID(D90,FIND("|",D90,FIND("|",D90,1))+1,FIND("|",D90,FIND("|",D90,1)+1)-FIND("|",D90,FIND("|",D90,1))-1)</f>
        <v/>
      </c>
      <c r="J90" s="11">
        <f>MID(D90,FIND(";",SUBSTITUTE(D90,"|",REPT(";",LEN(D90)),2))+1,FIND(";",SUBSTITUTE(D90,"|",REPT(";",LEN(D90)),3))-FIND(";",SUBSTITUTE(D90,"|",REPT(";",LEN(D90)),2))-1)</f>
        <v/>
      </c>
      <c r="K90" s="11">
        <f>MID(D90,FIND(";",SUBSTITUTE(D90,"|",REPT(";",LEN(D90)),3))+1,FIND(";",SUBSTITUTE(D90,"|",REPT(";",LEN(D90)),4))-FIND(";",SUBSTITUTE(D90,"|",REPT(";",LEN(D90)),3))-1)</f>
        <v/>
      </c>
      <c r="M90" s="11">
        <f>MID(D90,FIND(";",SUBSTITUTE(D90,"|",REPT(";",LEN(D90)),4))+1,FIND(";",SUBSTITUTE(D90,"|",REPT(";",LEN(D90)),5))-FIND(";",SUBSTITUTE(D90,"|",REPT(";",LEN(D90)),4))-1)</f>
        <v/>
      </c>
      <c r="N90" s="11">
        <f>MID(D90,FIND(";",SUBSTITUTE(D90,"|",REPT(";",LEN(D90)),6))+1,LEN(D90))</f>
        <v/>
      </c>
      <c r="O90" s="11">
        <f>MID(D90,FIND(";",SUBSTITUTE(D90,"|",REPT(";",LEN(D90)),5))+1,FIND(";",SUBSTITUTE(D90,"|",REPT(";",LEN(D90)),6))-FIND(";",SUBSTITUTE(D90,"|",REPT(";",LEN(D90)),5))-1)</f>
        <v/>
      </c>
    </row>
    <row r="91" ht="140" customHeight="1" s="21">
      <c r="A91" s="13" t="inlineStr">
        <is>
          <t>100201</t>
        </is>
      </c>
      <c r="B91" s="13" t="inlineStr">
        <is>
          <t>圆钢</t>
        </is>
      </c>
      <c r="C91" s="13" t="inlineStr">
        <is>
          <t>602279000</t>
        </is>
      </c>
      <c r="D91" s="13" t="inlineStr">
        <is>
          <t>热轧优质碳素结构圆钢|圆钢|45|Φ205|GB/T 699-1999|热轧|GB/T 702-2008</t>
        </is>
      </c>
      <c r="E91" s="13" t="inlineStr">
        <is>
          <t>物资名称 热轧优质碳素结构圆钢;物资简称 圆钢;牌号 45;直径 Φ205;技术标准号 GB/T 699-1999;加工工艺 热轧;热处理工艺 ;特殊要求 ;规格标准号 GB/T 702-2008</t>
        </is>
      </c>
      <c r="F91" s="12" t="inlineStr">
        <is>
          <t>千克</t>
        </is>
      </c>
      <c r="G91" s="11">
        <f>LEFT(D91,FIND("|",D91,1)-1)</f>
        <v/>
      </c>
      <c r="H91" s="11">
        <f>MID(D91,FIND("|",D91,FIND("|",D91,1))+1,FIND("|",D91,FIND("|",D91,1)+1)-FIND("|",D91,FIND("|",D91,1))-1)</f>
        <v/>
      </c>
      <c r="J91" s="11">
        <f>MID(D91,FIND(";",SUBSTITUTE(D91,"|",REPT(";",LEN(D91)),2))+1,FIND(";",SUBSTITUTE(D91,"|",REPT(";",LEN(D91)),3))-FIND(";",SUBSTITUTE(D91,"|",REPT(";",LEN(D91)),2))-1)</f>
        <v/>
      </c>
      <c r="K91" s="11">
        <f>MID(D91,FIND(";",SUBSTITUTE(D91,"|",REPT(";",LEN(D91)),3))+1,FIND(";",SUBSTITUTE(D91,"|",REPT(";",LEN(D91)),4))-FIND(";",SUBSTITUTE(D91,"|",REPT(";",LEN(D91)),3))-1)</f>
        <v/>
      </c>
      <c r="M91" s="11">
        <f>MID(D91,FIND(";",SUBSTITUTE(D91,"|",REPT(";",LEN(D91)),4))+1,FIND(";",SUBSTITUTE(D91,"|",REPT(";",LEN(D91)),5))-FIND(";",SUBSTITUTE(D91,"|",REPT(";",LEN(D91)),4))-1)</f>
        <v/>
      </c>
      <c r="N91" s="11">
        <f>MID(D91,FIND(";",SUBSTITUTE(D91,"|",REPT(";",LEN(D91)),6))+1,LEN(D91))</f>
        <v/>
      </c>
      <c r="O91" s="11">
        <f>MID(D91,FIND(";",SUBSTITUTE(D91,"|",REPT(";",LEN(D91)),5))+1,FIND(";",SUBSTITUTE(D91,"|",REPT(";",LEN(D91)),6))-FIND(";",SUBSTITUTE(D91,"|",REPT(";",LEN(D91)),5))-1)</f>
        <v/>
      </c>
    </row>
    <row r="92" ht="140" customHeight="1" s="21">
      <c r="A92" s="13" t="inlineStr">
        <is>
          <t>100201</t>
        </is>
      </c>
      <c r="B92" s="13" t="inlineStr">
        <is>
          <t>圆钢</t>
        </is>
      </c>
      <c r="C92" s="13" t="inlineStr">
        <is>
          <t>602278900</t>
        </is>
      </c>
      <c r="D92" s="13" t="inlineStr">
        <is>
          <t>热轧航空用不锈圆钢|圆钢|1Cr18Ni9Ti|Φ135|GJB 2294-1995|热轧|GB/T 702-2008</t>
        </is>
      </c>
      <c r="E92" s="13" t="inlineStr">
        <is>
          <t>物资名称 热轧航空用不锈圆钢;物资简称 圆钢;牌号 1Cr18Ni9Ti;直径 Φ135;技术标准号 GJB 2294-1995;加工工艺 热轧;热处理工艺 ;特殊要求 ;规格标准号 GB/T 702-2008</t>
        </is>
      </c>
      <c r="F92" s="12" t="inlineStr">
        <is>
          <t>千克</t>
        </is>
      </c>
      <c r="G92" s="11">
        <f>LEFT(D92,FIND("|",D92,1)-1)</f>
        <v/>
      </c>
      <c r="H92" s="11">
        <f>MID(D92,FIND("|",D92,FIND("|",D92,1))+1,FIND("|",D92,FIND("|",D92,1)+1)-FIND("|",D92,FIND("|",D92,1))-1)</f>
        <v/>
      </c>
      <c r="J92" s="11">
        <f>MID(D92,FIND(";",SUBSTITUTE(D92,"|",REPT(";",LEN(D92)),2))+1,FIND(";",SUBSTITUTE(D92,"|",REPT(";",LEN(D92)),3))-FIND(";",SUBSTITUTE(D92,"|",REPT(";",LEN(D92)),2))-1)</f>
        <v/>
      </c>
      <c r="K92" s="11">
        <f>MID(D92,FIND(";",SUBSTITUTE(D92,"|",REPT(";",LEN(D92)),3))+1,FIND(";",SUBSTITUTE(D92,"|",REPT(";",LEN(D92)),4))-FIND(";",SUBSTITUTE(D92,"|",REPT(";",LEN(D92)),3))-1)</f>
        <v/>
      </c>
      <c r="M92" s="11">
        <f>MID(D92,FIND(";",SUBSTITUTE(D92,"|",REPT(";",LEN(D92)),4))+1,FIND(";",SUBSTITUTE(D92,"|",REPT(";",LEN(D92)),5))-FIND(";",SUBSTITUTE(D92,"|",REPT(";",LEN(D92)),4))-1)</f>
        <v/>
      </c>
      <c r="N92" s="11">
        <f>MID(D92,FIND(";",SUBSTITUTE(D92,"|",REPT(";",LEN(D92)),6))+1,LEN(D92))</f>
        <v/>
      </c>
      <c r="O92" s="11">
        <f>MID(D92,FIND(";",SUBSTITUTE(D92,"|",REPT(";",LEN(D92)),5))+1,FIND(";",SUBSTITUTE(D92,"|",REPT(";",LEN(D92)),6))-FIND(";",SUBSTITUTE(D92,"|",REPT(";",LEN(D92)),5))-1)</f>
        <v/>
      </c>
    </row>
    <row r="93" ht="126" customHeight="1" s="21">
      <c r="A93" s="13" t="inlineStr">
        <is>
          <t>100201</t>
        </is>
      </c>
      <c r="B93" s="13" t="inlineStr">
        <is>
          <t>圆钢</t>
        </is>
      </c>
      <c r="C93" s="13" t="inlineStr">
        <is>
          <t>602268400</t>
        </is>
      </c>
      <c r="D93" s="13" t="inlineStr">
        <is>
          <t>热轧不锈圆钢|圆钢|40Cr13|Φ18|GB/T 1220-2007|热轧|GB/T 702-2008</t>
        </is>
      </c>
      <c r="E93" s="13" t="inlineStr">
        <is>
          <t>物资名称 热轧不锈圆钢;物资简称 圆钢;牌号 40Cr13;直径 Φ18;技术标准号 GB/T 1220-2007;加工工艺 热轧;热处理工艺 ;特殊要求 ;规格标准号 GB/T 702-2008</t>
        </is>
      </c>
      <c r="F93" s="12" t="inlineStr">
        <is>
          <t>千克</t>
        </is>
      </c>
      <c r="G93" s="11">
        <f>LEFT(D93,FIND("|",D93,1)-1)</f>
        <v/>
      </c>
      <c r="H93" s="11">
        <f>MID(D93,FIND("|",D93,FIND("|",D93,1))+1,FIND("|",D93,FIND("|",D93,1)+1)-FIND("|",D93,FIND("|",D93,1))-1)</f>
        <v/>
      </c>
      <c r="J93" s="11">
        <f>MID(D93,FIND(";",SUBSTITUTE(D93,"|",REPT(";",LEN(D93)),2))+1,FIND(";",SUBSTITUTE(D93,"|",REPT(";",LEN(D93)),3))-FIND(";",SUBSTITUTE(D93,"|",REPT(";",LEN(D93)),2))-1)</f>
        <v/>
      </c>
      <c r="K93" s="11">
        <f>MID(D93,FIND(";",SUBSTITUTE(D93,"|",REPT(";",LEN(D93)),3))+1,FIND(";",SUBSTITUTE(D93,"|",REPT(";",LEN(D93)),4))-FIND(";",SUBSTITUTE(D93,"|",REPT(";",LEN(D93)),3))-1)</f>
        <v/>
      </c>
      <c r="M93" s="11">
        <f>MID(D93,FIND(";",SUBSTITUTE(D93,"|",REPT(";",LEN(D93)),4))+1,FIND(";",SUBSTITUTE(D93,"|",REPT(";",LEN(D93)),5))-FIND(";",SUBSTITUTE(D93,"|",REPT(";",LEN(D93)),4))-1)</f>
        <v/>
      </c>
      <c r="N93" s="11">
        <f>MID(D93,FIND(";",SUBSTITUTE(D93,"|",REPT(";",LEN(D93)),6))+1,LEN(D93))</f>
        <v/>
      </c>
      <c r="O93" s="11">
        <f>MID(D93,FIND(";",SUBSTITUTE(D93,"|",REPT(";",LEN(D93)),5))+1,FIND(";",SUBSTITUTE(D93,"|",REPT(";",LEN(D93)),6))-FIND(";",SUBSTITUTE(D93,"|",REPT(";",LEN(D93)),5))-1)</f>
        <v/>
      </c>
    </row>
    <row r="94" ht="140" customHeight="1" s="21">
      <c r="A94" s="13" t="inlineStr">
        <is>
          <t>100201</t>
        </is>
      </c>
      <c r="B94" s="13" t="inlineStr">
        <is>
          <t>圆钢</t>
        </is>
      </c>
      <c r="C94" s="13" t="inlineStr">
        <is>
          <t>602208900</t>
        </is>
      </c>
      <c r="D94" s="13" t="inlineStr">
        <is>
          <t>航空用优质结构圆钢|圆钢|38CrMoAlA|Φ40|GJB 1951A-2020|GB/T 702-2008</t>
        </is>
      </c>
      <c r="E94" s="13" t="inlineStr">
        <is>
          <t>物资名称 航空用优质结构圆钢;物资简称 圆钢;牌号 38CrMoAlA;直径 Φ40;技术标准号 GJB 1951A-2020;加工工艺 ;热处理工艺 ;特殊要求 ;规格标准号 GB/T 702-2008</t>
        </is>
      </c>
      <c r="F94" s="12" t="inlineStr">
        <is>
          <t>千克</t>
        </is>
      </c>
      <c r="G94" s="11">
        <f>LEFT(D94,FIND("|",D94,1)-1)</f>
        <v/>
      </c>
      <c r="H94" s="11">
        <f>MID(D94,FIND("|",D94,FIND("|",D94,1))+1,FIND("|",D94,FIND("|",D94,1)+1)-FIND("|",D94,FIND("|",D94,1))-1)</f>
        <v/>
      </c>
      <c r="J94" s="11">
        <f>MID(D94,FIND(";",SUBSTITUTE(D94,"|",REPT(";",LEN(D94)),2))+1,FIND(";",SUBSTITUTE(D94,"|",REPT(";",LEN(D94)),3))-FIND(";",SUBSTITUTE(D94,"|",REPT(";",LEN(D94)),2))-1)</f>
        <v/>
      </c>
      <c r="K94" s="11">
        <f>MID(D94,FIND(";",SUBSTITUTE(D94,"|",REPT(";",LEN(D94)),3))+1,FIND(";",SUBSTITUTE(D94,"|",REPT(";",LEN(D94)),4))-FIND(";",SUBSTITUTE(D94,"|",REPT(";",LEN(D94)),3))-1)</f>
        <v/>
      </c>
      <c r="M94" s="11">
        <f>MID(D94,FIND(";",SUBSTITUTE(D94,"|",REPT(";",LEN(D94)),4))+1,FIND(";",SUBSTITUTE(D94,"|",REPT(";",LEN(D94)),5))-FIND(";",SUBSTITUTE(D94,"|",REPT(";",LEN(D94)),4))-1)</f>
        <v/>
      </c>
      <c r="N94" s="11">
        <f>MID(D94,FIND(";",SUBSTITUTE(D94,"|",REPT(";",LEN(D94)),5))+1,LEN(D94))</f>
        <v/>
      </c>
    </row>
    <row r="95" ht="140" customHeight="1" s="21">
      <c r="A95" s="13" t="inlineStr">
        <is>
          <t>100201</t>
        </is>
      </c>
      <c r="B95" s="13" t="inlineStr">
        <is>
          <t>圆钢</t>
        </is>
      </c>
      <c r="C95" s="13" t="inlineStr">
        <is>
          <t>602208800</t>
        </is>
      </c>
      <c r="D95" s="13" t="inlineStr">
        <is>
          <t>航空用优质结构圆钢|圆钢|38CrMoAlA|Φ100|GJB 1951A-2020|GB/T 702-2008</t>
        </is>
      </c>
      <c r="E95" s="13" t="inlineStr">
        <is>
          <t>物资名称 航空用优质结构圆钢;物资简称 圆钢;牌号 38CrMoAlA;直径 Φ100;技术标准号 GJB 1951A-2020;加工工艺 ;热处理工艺 ;特殊要求 ;规格标准号 GB/T 702-2008</t>
        </is>
      </c>
      <c r="F95" s="12" t="inlineStr">
        <is>
          <t>千克</t>
        </is>
      </c>
      <c r="G95" s="11">
        <f>LEFT(D95,FIND("|",D95,1)-1)</f>
        <v/>
      </c>
      <c r="H95" s="11">
        <f>MID(D95,FIND("|",D95,FIND("|",D95,1))+1,FIND("|",D95,FIND("|",D95,1)+1)-FIND("|",D95,FIND("|",D95,1))-1)</f>
        <v/>
      </c>
      <c r="J95" s="11">
        <f>MID(D95,FIND(";",SUBSTITUTE(D95,"|",REPT(";",LEN(D95)),2))+1,FIND(";",SUBSTITUTE(D95,"|",REPT(";",LEN(D95)),3))-FIND(";",SUBSTITUTE(D95,"|",REPT(";",LEN(D95)),2))-1)</f>
        <v/>
      </c>
      <c r="K95" s="11">
        <f>MID(D95,FIND(";",SUBSTITUTE(D95,"|",REPT(";",LEN(D95)),3))+1,FIND(";",SUBSTITUTE(D95,"|",REPT(";",LEN(D95)),4))-FIND(";",SUBSTITUTE(D95,"|",REPT(";",LEN(D95)),3))-1)</f>
        <v/>
      </c>
      <c r="M95" s="11">
        <f>MID(D95,FIND(";",SUBSTITUTE(D95,"|",REPT(";",LEN(D95)),4))+1,FIND(";",SUBSTITUTE(D95,"|",REPT(";",LEN(D95)),5))-FIND(";",SUBSTITUTE(D95,"|",REPT(";",LEN(D95)),4))-1)</f>
        <v/>
      </c>
      <c r="N95" s="11">
        <f>MID(D95,FIND(";",SUBSTITUTE(D95,"|",REPT(";",LEN(D95)),5))+1,LEN(D95))</f>
        <v/>
      </c>
    </row>
    <row r="96" ht="140" customHeight="1" s="21">
      <c r="A96" s="13" t="inlineStr">
        <is>
          <t>100201</t>
        </is>
      </c>
      <c r="B96" s="13" t="inlineStr">
        <is>
          <t>圆钢</t>
        </is>
      </c>
      <c r="C96" s="13" t="inlineStr">
        <is>
          <t>602188900</t>
        </is>
      </c>
      <c r="D96" s="13" t="inlineStr">
        <is>
          <t>热轧不锈圆钢|圆钢|06Cr19Ni10|Φ50|GB/T 1220-2007|热轧|GB/T 702-2008</t>
        </is>
      </c>
      <c r="E96" s="13" t="inlineStr">
        <is>
          <t>物资名称 热轧不锈圆钢;物资简称 圆钢;牌号 06Cr19Ni10;直径 Φ50;技术标准号 GB/T 1220-2007;加工工艺 热轧;热处理工艺 ;特殊要求 ;规格标准号 GB/T 702-2008</t>
        </is>
      </c>
      <c r="F96" s="12" t="inlineStr">
        <is>
          <t>千克</t>
        </is>
      </c>
      <c r="G96" s="11">
        <f>LEFT(D96,FIND("|",D96,1)-1)</f>
        <v/>
      </c>
      <c r="H96" s="11">
        <f>MID(D96,FIND("|",D96,FIND("|",D96,1))+1,FIND("|",D96,FIND("|",D96,1)+1)-FIND("|",D96,FIND("|",D96,1))-1)</f>
        <v/>
      </c>
      <c r="J96" s="11">
        <f>MID(D96,FIND(";",SUBSTITUTE(D96,"|",REPT(";",LEN(D96)),2))+1,FIND(";",SUBSTITUTE(D96,"|",REPT(";",LEN(D96)),3))-FIND(";",SUBSTITUTE(D96,"|",REPT(";",LEN(D96)),2))-1)</f>
        <v/>
      </c>
      <c r="K96" s="11">
        <f>MID(D96,FIND(";",SUBSTITUTE(D96,"|",REPT(";",LEN(D96)),3))+1,FIND(";",SUBSTITUTE(D96,"|",REPT(";",LEN(D96)),4))-FIND(";",SUBSTITUTE(D96,"|",REPT(";",LEN(D96)),3))-1)</f>
        <v/>
      </c>
      <c r="M96" s="11">
        <f>MID(D96,FIND(";",SUBSTITUTE(D96,"|",REPT(";",LEN(D96)),4))+1,FIND(";",SUBSTITUTE(D96,"|",REPT(";",LEN(D96)),5))-FIND(";",SUBSTITUTE(D96,"|",REPT(";",LEN(D96)),4))-1)</f>
        <v/>
      </c>
      <c r="N96" s="11">
        <f>MID(D96,FIND(";",SUBSTITUTE(D96,"|",REPT(";",LEN(D96)),6))+1,LEN(D96))</f>
        <v/>
      </c>
      <c r="O96" s="11">
        <f>MID(D96,FIND(";",SUBSTITUTE(D96,"|",REPT(";",LEN(D96)),5))+1,FIND(";",SUBSTITUTE(D96,"|",REPT(";",LEN(D96)),6))-FIND(";",SUBSTITUTE(D96,"|",REPT(";",LEN(D96)),5))-1)</f>
        <v/>
      </c>
    </row>
    <row r="97" ht="140" customHeight="1" s="21">
      <c r="A97" s="13" t="inlineStr">
        <is>
          <t>100201</t>
        </is>
      </c>
      <c r="B97" s="13" t="inlineStr">
        <is>
          <t>圆钢</t>
        </is>
      </c>
      <c r="C97" s="13" t="inlineStr">
        <is>
          <t>602188800</t>
        </is>
      </c>
      <c r="D97" s="13" t="inlineStr">
        <is>
          <t>热轧不锈圆钢|圆钢|06Cr19Ni10|Φ70|GB/T 1220-2007|热轧|GB/T 702-2008</t>
        </is>
      </c>
      <c r="E97" s="13" t="inlineStr">
        <is>
          <t>物资名称 热轧不锈圆钢;物资简称 圆钢;牌号 06Cr19Ni10;直径 Φ70;技术标准号 GB/T 1220-2007;加工工艺 热轧;热处理工艺 ;特殊要求 ;规格标准号 GB/T 702-2008</t>
        </is>
      </c>
      <c r="F97" s="12" t="inlineStr">
        <is>
          <t>千克</t>
        </is>
      </c>
      <c r="G97" s="11">
        <f>LEFT(D97,FIND("|",D97,1)-1)</f>
        <v/>
      </c>
      <c r="H97" s="11">
        <f>MID(D97,FIND("|",D97,FIND("|",D97,1))+1,FIND("|",D97,FIND("|",D97,1)+1)-FIND("|",D97,FIND("|",D97,1))-1)</f>
        <v/>
      </c>
      <c r="J97" s="11">
        <f>MID(D97,FIND(";",SUBSTITUTE(D97,"|",REPT(";",LEN(D97)),2))+1,FIND(";",SUBSTITUTE(D97,"|",REPT(";",LEN(D97)),3))-FIND(";",SUBSTITUTE(D97,"|",REPT(";",LEN(D97)),2))-1)</f>
        <v/>
      </c>
      <c r="K97" s="11">
        <f>MID(D97,FIND(";",SUBSTITUTE(D97,"|",REPT(";",LEN(D97)),3))+1,FIND(";",SUBSTITUTE(D97,"|",REPT(";",LEN(D97)),4))-FIND(";",SUBSTITUTE(D97,"|",REPT(";",LEN(D97)),3))-1)</f>
        <v/>
      </c>
      <c r="M97" s="11">
        <f>MID(D97,FIND(";",SUBSTITUTE(D97,"|",REPT(";",LEN(D97)),4))+1,FIND(";",SUBSTITUTE(D97,"|",REPT(";",LEN(D97)),5))-FIND(";",SUBSTITUTE(D97,"|",REPT(";",LEN(D97)),4))-1)</f>
        <v/>
      </c>
      <c r="N97" s="11">
        <f>MID(D97,FIND(";",SUBSTITUTE(D97,"|",REPT(";",LEN(D97)),6))+1,LEN(D97))</f>
        <v/>
      </c>
      <c r="O97" s="11">
        <f>MID(D97,FIND(";",SUBSTITUTE(D97,"|",REPT(";",LEN(D97)),5))+1,FIND(";",SUBSTITUTE(D97,"|",REPT(";",LEN(D97)),6))-FIND(";",SUBSTITUTE(D97,"|",REPT(";",LEN(D97)),5))-1)</f>
        <v/>
      </c>
    </row>
    <row r="98" ht="140" customHeight="1" s="21">
      <c r="A98" s="13" t="inlineStr">
        <is>
          <t>100201</t>
        </is>
      </c>
      <c r="B98" s="13" t="inlineStr">
        <is>
          <t>圆钢</t>
        </is>
      </c>
      <c r="C98" s="13" t="inlineStr">
        <is>
          <t>602188700</t>
        </is>
      </c>
      <c r="D98" s="13" t="inlineStr">
        <is>
          <t>热轧不锈圆钢|圆钢|06Cr19Ni10|Φ280|GB/T 1220-2007|热轧|GB/T 702-2008</t>
        </is>
      </c>
      <c r="E98" s="13" t="inlineStr">
        <is>
          <t>物资名称 热轧不锈圆钢;物资简称 圆钢;牌号 06Cr19Ni10;直径 Φ280;技术标准号 GB/T 1220-2007;加工工艺 热轧;热处理工艺 ;特殊要求 ;规格标准号 GB/T 702-2008</t>
        </is>
      </c>
      <c r="F98" s="12" t="inlineStr">
        <is>
          <t>千克</t>
        </is>
      </c>
      <c r="G98" s="11">
        <f>LEFT(D98,FIND("|",D98,1)-1)</f>
        <v/>
      </c>
      <c r="H98" s="11">
        <f>MID(D98,FIND("|",D98,FIND("|",D98,1))+1,FIND("|",D98,FIND("|",D98,1)+1)-FIND("|",D98,FIND("|",D98,1))-1)</f>
        <v/>
      </c>
      <c r="J98" s="11">
        <f>MID(D98,FIND(";",SUBSTITUTE(D98,"|",REPT(";",LEN(D98)),2))+1,FIND(";",SUBSTITUTE(D98,"|",REPT(";",LEN(D98)),3))-FIND(";",SUBSTITUTE(D98,"|",REPT(";",LEN(D98)),2))-1)</f>
        <v/>
      </c>
      <c r="K98" s="11">
        <f>MID(D98,FIND(";",SUBSTITUTE(D98,"|",REPT(";",LEN(D98)),3))+1,FIND(";",SUBSTITUTE(D98,"|",REPT(";",LEN(D98)),4))-FIND(";",SUBSTITUTE(D98,"|",REPT(";",LEN(D98)),3))-1)</f>
        <v/>
      </c>
      <c r="M98" s="11">
        <f>MID(D98,FIND(";",SUBSTITUTE(D98,"|",REPT(";",LEN(D98)),4))+1,FIND(";",SUBSTITUTE(D98,"|",REPT(";",LEN(D98)),5))-FIND(";",SUBSTITUTE(D98,"|",REPT(";",LEN(D98)),4))-1)</f>
        <v/>
      </c>
      <c r="N98" s="11">
        <f>MID(D98,FIND(";",SUBSTITUTE(D98,"|",REPT(";",LEN(D98)),6))+1,LEN(D98))</f>
        <v/>
      </c>
      <c r="O98" s="11">
        <f>MID(D98,FIND(";",SUBSTITUTE(D98,"|",REPT(";",LEN(D98)),5))+1,FIND(";",SUBSTITUTE(D98,"|",REPT(";",LEN(D98)),6))-FIND(";",SUBSTITUTE(D98,"|",REPT(";",LEN(D98)),5))-1)</f>
        <v/>
      </c>
    </row>
    <row r="99" ht="140" customHeight="1" s="21">
      <c r="A99" s="13" t="inlineStr">
        <is>
          <t>100201</t>
        </is>
      </c>
      <c r="B99" s="13" t="inlineStr">
        <is>
          <t>圆钢</t>
        </is>
      </c>
      <c r="C99" s="13" t="inlineStr">
        <is>
          <t>602188600</t>
        </is>
      </c>
      <c r="D99" s="13" t="inlineStr">
        <is>
          <t>热轧不锈圆钢|圆钢|06Cr19Ni10|Φ80|GB/T 1220-2007|热轧|GB/T 702-2008</t>
        </is>
      </c>
      <c r="E99" s="13" t="inlineStr">
        <is>
          <t>物资名称 热轧不锈圆钢;物资简称 圆钢;牌号 06Cr19Ni10;直径 Φ80;技术标准号 GB/T 1220-2007;加工工艺 热轧;热处理工艺 ;特殊要求 ;规格标准号 GB/T 702-2008</t>
        </is>
      </c>
      <c r="F99" s="12" t="inlineStr">
        <is>
          <t>千克</t>
        </is>
      </c>
      <c r="G99" s="11">
        <f>LEFT(D99,FIND("|",D99,1)-1)</f>
        <v/>
      </c>
      <c r="H99" s="11">
        <f>MID(D99,FIND("|",D99,FIND("|",D99,1))+1,FIND("|",D99,FIND("|",D99,1)+1)-FIND("|",D99,FIND("|",D99,1))-1)</f>
        <v/>
      </c>
      <c r="J99" s="11">
        <f>MID(D99,FIND(";",SUBSTITUTE(D99,"|",REPT(";",LEN(D99)),2))+1,FIND(";",SUBSTITUTE(D99,"|",REPT(";",LEN(D99)),3))-FIND(";",SUBSTITUTE(D99,"|",REPT(";",LEN(D99)),2))-1)</f>
        <v/>
      </c>
      <c r="K99" s="11">
        <f>MID(D99,FIND(";",SUBSTITUTE(D99,"|",REPT(";",LEN(D99)),3))+1,FIND(";",SUBSTITUTE(D99,"|",REPT(";",LEN(D99)),4))-FIND(";",SUBSTITUTE(D99,"|",REPT(";",LEN(D99)),3))-1)</f>
        <v/>
      </c>
      <c r="M99" s="11">
        <f>MID(D99,FIND(";",SUBSTITUTE(D99,"|",REPT(";",LEN(D99)),4))+1,FIND(";",SUBSTITUTE(D99,"|",REPT(";",LEN(D99)),5))-FIND(";",SUBSTITUTE(D99,"|",REPT(";",LEN(D99)),4))-1)</f>
        <v/>
      </c>
      <c r="N99" s="11">
        <f>MID(D99,FIND(";",SUBSTITUTE(D99,"|",REPT(";",LEN(D99)),6))+1,LEN(D99))</f>
        <v/>
      </c>
      <c r="O99" s="11">
        <f>MID(D99,FIND(";",SUBSTITUTE(D99,"|",REPT(";",LEN(D99)),5))+1,FIND(";",SUBSTITUTE(D99,"|",REPT(";",LEN(D99)),6))-FIND(";",SUBSTITUTE(D99,"|",REPT(";",LEN(D99)),5))-1)</f>
        <v/>
      </c>
    </row>
    <row r="100" ht="140" customHeight="1" s="21">
      <c r="A100" s="13" t="inlineStr">
        <is>
          <t>100201</t>
        </is>
      </c>
      <c r="B100" s="13" t="inlineStr">
        <is>
          <t>圆钢</t>
        </is>
      </c>
      <c r="C100" s="13" t="inlineStr">
        <is>
          <t>602188500</t>
        </is>
      </c>
      <c r="D100" s="13" t="inlineStr">
        <is>
          <t>热轧不锈圆钢|圆钢|06Cr19Ni10|Φ12|GB/T 1220-2007|热轧|GB/T 702-2008</t>
        </is>
      </c>
      <c r="E100" s="13" t="inlineStr">
        <is>
          <t>物资名称 热轧不锈圆钢;物资简称 圆钢;牌号 06Cr19Ni10;直径 Φ12;技术标准号 GB/T 1220-2007;加工工艺 热轧;热处理工艺 ;特殊要求 ;规格标准号 GB/T 702-2008</t>
        </is>
      </c>
      <c r="F100" s="12" t="inlineStr">
        <is>
          <t>千克</t>
        </is>
      </c>
      <c r="G100" s="11">
        <f>LEFT(D100,FIND("|",D100,1)-1)</f>
        <v/>
      </c>
      <c r="H100" s="11">
        <f>MID(D100,FIND("|",D100,FIND("|",D100,1))+1,FIND("|",D100,FIND("|",D100,1)+1)-FIND("|",D100,FIND("|",D100,1))-1)</f>
        <v/>
      </c>
      <c r="J100" s="11">
        <f>MID(D100,FIND(";",SUBSTITUTE(D100,"|",REPT(";",LEN(D100)),2))+1,FIND(";",SUBSTITUTE(D100,"|",REPT(";",LEN(D100)),3))-FIND(";",SUBSTITUTE(D100,"|",REPT(";",LEN(D100)),2))-1)</f>
        <v/>
      </c>
      <c r="K100" s="11">
        <f>MID(D100,FIND(";",SUBSTITUTE(D100,"|",REPT(";",LEN(D100)),3))+1,FIND(";",SUBSTITUTE(D100,"|",REPT(";",LEN(D100)),4))-FIND(";",SUBSTITUTE(D100,"|",REPT(";",LEN(D100)),3))-1)</f>
        <v/>
      </c>
      <c r="M100" s="11">
        <f>MID(D100,FIND(";",SUBSTITUTE(D100,"|",REPT(";",LEN(D100)),4))+1,FIND(";",SUBSTITUTE(D100,"|",REPT(";",LEN(D100)),5))-FIND(";",SUBSTITUTE(D100,"|",REPT(";",LEN(D100)),4))-1)</f>
        <v/>
      </c>
      <c r="N100" s="11">
        <f>MID(D100,FIND(";",SUBSTITUTE(D100,"|",REPT(";",LEN(D100)),6))+1,LEN(D100))</f>
        <v/>
      </c>
      <c r="O100" s="11">
        <f>MID(D100,FIND(";",SUBSTITUTE(D100,"|",REPT(";",LEN(D100)),5))+1,FIND(";",SUBSTITUTE(D100,"|",REPT(";",LEN(D100)),6))-FIND(";",SUBSTITUTE(D100,"|",REPT(";",LEN(D100)),5))-1)</f>
        <v/>
      </c>
    </row>
    <row r="101" ht="140" customHeight="1" s="21">
      <c r="A101" s="13" t="inlineStr">
        <is>
          <t>100201</t>
        </is>
      </c>
      <c r="B101" s="13" t="inlineStr">
        <is>
          <t>圆钢</t>
        </is>
      </c>
      <c r="C101" s="13" t="inlineStr">
        <is>
          <t>602188400</t>
        </is>
      </c>
      <c r="D101" s="13" t="inlineStr">
        <is>
          <t>热轧不锈圆钢|圆钢|06Cr19Ni10|Φ90|GB/T 1220-2007|热轧|GB/T 702-2008</t>
        </is>
      </c>
      <c r="E101" s="13" t="inlineStr">
        <is>
          <t>物资名称 热轧不锈圆钢;物资简称 圆钢;牌号 06Cr19Ni10;直径 Φ90;技术标准号 GB/T 1220-2007;加工工艺 热轧;热处理工艺 ;特殊要求 ;规格标准号 GB/T 702-2008</t>
        </is>
      </c>
      <c r="F101" s="12" t="inlineStr">
        <is>
          <t>千克</t>
        </is>
      </c>
      <c r="G101" s="11">
        <f>LEFT(D101,FIND("|",D101,1)-1)</f>
        <v/>
      </c>
      <c r="H101" s="11">
        <f>MID(D101,FIND("|",D101,FIND("|",D101,1))+1,FIND("|",D101,FIND("|",D101,1)+1)-FIND("|",D101,FIND("|",D101,1))-1)</f>
        <v/>
      </c>
      <c r="J101" s="11">
        <f>MID(D101,FIND(";",SUBSTITUTE(D101,"|",REPT(";",LEN(D101)),2))+1,FIND(";",SUBSTITUTE(D101,"|",REPT(";",LEN(D101)),3))-FIND(";",SUBSTITUTE(D101,"|",REPT(";",LEN(D101)),2))-1)</f>
        <v/>
      </c>
      <c r="K101" s="11">
        <f>MID(D101,FIND(";",SUBSTITUTE(D101,"|",REPT(";",LEN(D101)),3))+1,FIND(";",SUBSTITUTE(D101,"|",REPT(";",LEN(D101)),4))-FIND(";",SUBSTITUTE(D101,"|",REPT(";",LEN(D101)),3))-1)</f>
        <v/>
      </c>
      <c r="M101" s="11">
        <f>MID(D101,FIND(";",SUBSTITUTE(D101,"|",REPT(";",LEN(D101)),4))+1,FIND(";",SUBSTITUTE(D101,"|",REPT(";",LEN(D101)),5))-FIND(";",SUBSTITUTE(D101,"|",REPT(";",LEN(D101)),4))-1)</f>
        <v/>
      </c>
      <c r="N101" s="11">
        <f>MID(D101,FIND(";",SUBSTITUTE(D101,"|",REPT(";",LEN(D101)),6))+1,LEN(D101))</f>
        <v/>
      </c>
      <c r="O101" s="11">
        <f>MID(D101,FIND(";",SUBSTITUTE(D101,"|",REPT(";",LEN(D101)),5))+1,FIND(";",SUBSTITUTE(D101,"|",REPT(";",LEN(D101)),6))-FIND(";",SUBSTITUTE(D101,"|",REPT(";",LEN(D101)),5))-1)</f>
        <v/>
      </c>
    </row>
    <row r="102" ht="140" customHeight="1" s="21">
      <c r="A102" s="13" t="inlineStr">
        <is>
          <t>100201</t>
        </is>
      </c>
      <c r="B102" s="13" t="inlineStr">
        <is>
          <t>圆钢</t>
        </is>
      </c>
      <c r="C102" s="13" t="inlineStr">
        <is>
          <t>602184700</t>
        </is>
      </c>
      <c r="D102" s="13" t="inlineStr">
        <is>
          <t>热轧合金结构圆钢|圆钢|35CrMnSiA|Φ25|GB/T 3077-2015|热轧|GB/T 702-2017</t>
        </is>
      </c>
      <c r="E102" s="13" t="inlineStr">
        <is>
          <t>物资名称 热轧合金结构圆钢;物资简称 圆钢;牌号 35CrMnSiA;直径 Φ25;技术标准号 GB/T 3077-2015;加工工艺 热轧;热处理工艺 ;特殊要求 ;规格标准号 GB/T 702-2017</t>
        </is>
      </c>
      <c r="F102" s="12" t="inlineStr">
        <is>
          <t>千克</t>
        </is>
      </c>
      <c r="G102" s="11">
        <f>LEFT(D102,FIND("|",D102,1)-1)</f>
        <v/>
      </c>
      <c r="H102" s="11">
        <f>MID(D102,FIND("|",D102,FIND("|",D102,1))+1,FIND("|",D102,FIND("|",D102,1)+1)-FIND("|",D102,FIND("|",D102,1))-1)</f>
        <v/>
      </c>
      <c r="J102" s="11">
        <f>MID(D102,FIND(";",SUBSTITUTE(D102,"|",REPT(";",LEN(D102)),2))+1,FIND(";",SUBSTITUTE(D102,"|",REPT(";",LEN(D102)),3))-FIND(";",SUBSTITUTE(D102,"|",REPT(";",LEN(D102)),2))-1)</f>
        <v/>
      </c>
      <c r="K102" s="11">
        <f>MID(D102,FIND(";",SUBSTITUTE(D102,"|",REPT(";",LEN(D102)),3))+1,FIND(";",SUBSTITUTE(D102,"|",REPT(";",LEN(D102)),4))-FIND(";",SUBSTITUTE(D102,"|",REPT(";",LEN(D102)),3))-1)</f>
        <v/>
      </c>
      <c r="M102" s="11">
        <f>MID(D102,FIND(";",SUBSTITUTE(D102,"|",REPT(";",LEN(D102)),4))+1,FIND(";",SUBSTITUTE(D102,"|",REPT(";",LEN(D102)),5))-FIND(";",SUBSTITUTE(D102,"|",REPT(";",LEN(D102)),4))-1)</f>
        <v/>
      </c>
      <c r="N102" s="11">
        <f>MID(D102,FIND(";",SUBSTITUTE(D102,"|",REPT(";",LEN(D102)),6))+1,LEN(D102))</f>
        <v/>
      </c>
      <c r="O102" s="11">
        <f>MID(D102,FIND(";",SUBSTITUTE(D102,"|",REPT(";",LEN(D102)),5))+1,FIND(";",SUBSTITUTE(D102,"|",REPT(";",LEN(D102)),6))-FIND(";",SUBSTITUTE(D102,"|",REPT(";",LEN(D102)),5))-1)</f>
        <v/>
      </c>
    </row>
    <row r="103" ht="140" customHeight="1" s="21">
      <c r="A103" s="13" t="inlineStr">
        <is>
          <t>100201</t>
        </is>
      </c>
      <c r="B103" s="13" t="inlineStr">
        <is>
          <t>圆钢</t>
        </is>
      </c>
      <c r="C103" s="13" t="inlineStr">
        <is>
          <t>602184600</t>
        </is>
      </c>
      <c r="D103" s="13" t="inlineStr">
        <is>
          <t>热轧合金结构圆钢|圆钢|35CrMnSiA|Φ60|GB/T 3077-2015|热轧|GB/T 702-2017</t>
        </is>
      </c>
      <c r="E103" s="13" t="inlineStr">
        <is>
          <t>物资名称 热轧合金结构圆钢;物资简称 圆钢;牌号 35CrMnSiA;直径 Φ60;技术标准号 GB/T 3077-2015;加工工艺 热轧;热处理工艺 ;特殊要求 ;规格标准号 GB/T 702-2017</t>
        </is>
      </c>
      <c r="F103" s="12" t="inlineStr">
        <is>
          <t>千克</t>
        </is>
      </c>
      <c r="G103" s="11">
        <f>LEFT(D103,FIND("|",D103,1)-1)</f>
        <v/>
      </c>
      <c r="H103" s="11">
        <f>MID(D103,FIND("|",D103,FIND("|",D103,1))+1,FIND("|",D103,FIND("|",D103,1)+1)-FIND("|",D103,FIND("|",D103,1))-1)</f>
        <v/>
      </c>
      <c r="J103" s="11">
        <f>MID(D103,FIND(";",SUBSTITUTE(D103,"|",REPT(";",LEN(D103)),2))+1,FIND(";",SUBSTITUTE(D103,"|",REPT(";",LEN(D103)),3))-FIND(";",SUBSTITUTE(D103,"|",REPT(";",LEN(D103)),2))-1)</f>
        <v/>
      </c>
      <c r="K103" s="11">
        <f>MID(D103,FIND(";",SUBSTITUTE(D103,"|",REPT(";",LEN(D103)),3))+1,FIND(";",SUBSTITUTE(D103,"|",REPT(";",LEN(D103)),4))-FIND(";",SUBSTITUTE(D103,"|",REPT(";",LEN(D103)),3))-1)</f>
        <v/>
      </c>
      <c r="M103" s="11">
        <f>MID(D103,FIND(";",SUBSTITUTE(D103,"|",REPT(";",LEN(D103)),4))+1,FIND(";",SUBSTITUTE(D103,"|",REPT(";",LEN(D103)),5))-FIND(";",SUBSTITUTE(D103,"|",REPT(";",LEN(D103)),4))-1)</f>
        <v/>
      </c>
      <c r="N103" s="11">
        <f>MID(D103,FIND(";",SUBSTITUTE(D103,"|",REPT(";",LEN(D103)),6))+1,LEN(D103))</f>
        <v/>
      </c>
      <c r="O103" s="11">
        <f>MID(D103,FIND(";",SUBSTITUTE(D103,"|",REPT(";",LEN(D103)),5))+1,FIND(";",SUBSTITUTE(D103,"|",REPT(";",LEN(D103)),6))-FIND(";",SUBSTITUTE(D103,"|",REPT(";",LEN(D103)),5))-1)</f>
        <v/>
      </c>
    </row>
    <row r="104" ht="140" customHeight="1" s="21">
      <c r="A104" s="13" t="inlineStr">
        <is>
          <t>100201</t>
        </is>
      </c>
      <c r="B104" s="13" t="inlineStr">
        <is>
          <t>圆钢</t>
        </is>
      </c>
      <c r="C104" s="13" t="inlineStr">
        <is>
          <t>602184500</t>
        </is>
      </c>
      <c r="D104" s="13" t="inlineStr">
        <is>
          <t>热轧合金结构圆钢|圆钢|35CrMnSiA|Φ15|GB/T 3077-2015|热轧|GB/T 702-2017</t>
        </is>
      </c>
      <c r="E104" s="13" t="inlineStr">
        <is>
          <t>物资名称 热轧合金结构圆钢;物资简称 圆钢;牌号 35CrMnSiA;直径 Φ15;技术标准号 GB/T 3077-2015;加工工艺 热轧;热处理工艺 ;特殊要求 ;规格标准号 GB/T 702-2017</t>
        </is>
      </c>
      <c r="F104" s="12" t="inlineStr">
        <is>
          <t>千克</t>
        </is>
      </c>
      <c r="G104" s="11">
        <f>LEFT(D104,FIND("|",D104,1)-1)</f>
        <v/>
      </c>
      <c r="H104" s="11">
        <f>MID(D104,FIND("|",D104,FIND("|",D104,1))+1,FIND("|",D104,FIND("|",D104,1)+1)-FIND("|",D104,FIND("|",D104,1))-1)</f>
        <v/>
      </c>
      <c r="J104" s="11">
        <f>MID(D104,FIND(";",SUBSTITUTE(D104,"|",REPT(";",LEN(D104)),2))+1,FIND(";",SUBSTITUTE(D104,"|",REPT(";",LEN(D104)),3))-FIND(";",SUBSTITUTE(D104,"|",REPT(";",LEN(D104)),2))-1)</f>
        <v/>
      </c>
      <c r="K104" s="11">
        <f>MID(D104,FIND(";",SUBSTITUTE(D104,"|",REPT(";",LEN(D104)),3))+1,FIND(";",SUBSTITUTE(D104,"|",REPT(";",LEN(D104)),4))-FIND(";",SUBSTITUTE(D104,"|",REPT(";",LEN(D104)),3))-1)</f>
        <v/>
      </c>
      <c r="M104" s="11">
        <f>MID(D104,FIND(";",SUBSTITUTE(D104,"|",REPT(";",LEN(D104)),4))+1,FIND(";",SUBSTITUTE(D104,"|",REPT(";",LEN(D104)),5))-FIND(";",SUBSTITUTE(D104,"|",REPT(";",LEN(D104)),4))-1)</f>
        <v/>
      </c>
      <c r="N104" s="11">
        <f>MID(D104,FIND(";",SUBSTITUTE(D104,"|",REPT(";",LEN(D104)),6))+1,LEN(D104))</f>
        <v/>
      </c>
      <c r="O104" s="11">
        <f>MID(D104,FIND(";",SUBSTITUTE(D104,"|",REPT(";",LEN(D104)),5))+1,FIND(";",SUBSTITUTE(D104,"|",REPT(";",LEN(D104)),6))-FIND(";",SUBSTITUTE(D104,"|",REPT(";",LEN(D104)),5))-1)</f>
        <v/>
      </c>
    </row>
    <row r="105" ht="140" customHeight="1" s="21">
      <c r="A105" s="13" t="inlineStr">
        <is>
          <t>100201</t>
        </is>
      </c>
      <c r="B105" s="13" t="inlineStr">
        <is>
          <t>圆钢</t>
        </is>
      </c>
      <c r="C105" s="13" t="inlineStr">
        <is>
          <t>602184400</t>
        </is>
      </c>
      <c r="D105" s="13" t="inlineStr">
        <is>
          <t>热轧合金结构圆钢|圆钢|35CrMnSiA|Φ20|GB/T 3077-2015|热轧|GB/T 702-2017</t>
        </is>
      </c>
      <c r="E105" s="13" t="inlineStr">
        <is>
          <t>物资名称 热轧合金结构圆钢;物资简称 圆钢;牌号 35CrMnSiA;直径 Φ20;技术标准号 GB/T 3077-2015;加工工艺 热轧;热处理工艺 ;特殊要求 ;规格标准号 GB/T 702-2017</t>
        </is>
      </c>
      <c r="F105" s="12" t="inlineStr">
        <is>
          <t>千克</t>
        </is>
      </c>
      <c r="G105" s="11">
        <f>LEFT(D105,FIND("|",D105,1)-1)</f>
        <v/>
      </c>
      <c r="H105" s="11">
        <f>MID(D105,FIND("|",D105,FIND("|",D105,1))+1,FIND("|",D105,FIND("|",D105,1)+1)-FIND("|",D105,FIND("|",D105,1))-1)</f>
        <v/>
      </c>
      <c r="J105" s="11">
        <f>MID(D105,FIND(";",SUBSTITUTE(D105,"|",REPT(";",LEN(D105)),2))+1,FIND(";",SUBSTITUTE(D105,"|",REPT(";",LEN(D105)),3))-FIND(";",SUBSTITUTE(D105,"|",REPT(";",LEN(D105)),2))-1)</f>
        <v/>
      </c>
      <c r="K105" s="11">
        <f>MID(D105,FIND(";",SUBSTITUTE(D105,"|",REPT(";",LEN(D105)),3))+1,FIND(";",SUBSTITUTE(D105,"|",REPT(";",LEN(D105)),4))-FIND(";",SUBSTITUTE(D105,"|",REPT(";",LEN(D105)),3))-1)</f>
        <v/>
      </c>
      <c r="M105" s="11">
        <f>MID(D105,FIND(";",SUBSTITUTE(D105,"|",REPT(";",LEN(D105)),4))+1,FIND(";",SUBSTITUTE(D105,"|",REPT(";",LEN(D105)),5))-FIND(";",SUBSTITUTE(D105,"|",REPT(";",LEN(D105)),4))-1)</f>
        <v/>
      </c>
      <c r="N105" s="11">
        <f>MID(D105,FIND(";",SUBSTITUTE(D105,"|",REPT(";",LEN(D105)),6))+1,LEN(D105))</f>
        <v/>
      </c>
      <c r="O105" s="11">
        <f>MID(D105,FIND(";",SUBSTITUTE(D105,"|",REPT(";",LEN(D105)),5))+1,FIND(";",SUBSTITUTE(D105,"|",REPT(";",LEN(D105)),6))-FIND(";",SUBSTITUTE(D105,"|",REPT(";",LEN(D105)),5))-1)</f>
        <v/>
      </c>
    </row>
    <row r="106" ht="140" customHeight="1" s="21">
      <c r="A106" s="13" t="inlineStr">
        <is>
          <t>100201</t>
        </is>
      </c>
      <c r="B106" s="13" t="inlineStr">
        <is>
          <t>圆钢</t>
        </is>
      </c>
      <c r="C106" s="13" t="inlineStr">
        <is>
          <t>602184300</t>
        </is>
      </c>
      <c r="D106" s="13" t="inlineStr">
        <is>
          <t>热轧合金结构圆钢|圆钢|35CrMnSiA|Φ10|GB/T 3077-2015|热轧|GB/T 702-2017</t>
        </is>
      </c>
      <c r="E106" s="13" t="inlineStr">
        <is>
          <t>物资名称 热轧合金结构圆钢;物资简称 圆钢;牌号 35CrMnSiA;直径 Φ10;技术标准号 GB/T 3077-2015;加工工艺 热轧;热处理工艺 ;特殊要求 ;规格标准号 GB/T 702-2017</t>
        </is>
      </c>
      <c r="F106" s="12" t="inlineStr">
        <is>
          <t>千克</t>
        </is>
      </c>
      <c r="G106" s="11">
        <f>LEFT(D106,FIND("|",D106,1)-1)</f>
        <v/>
      </c>
      <c r="H106" s="11">
        <f>MID(D106,FIND("|",D106,FIND("|",D106,1))+1,FIND("|",D106,FIND("|",D106,1)+1)-FIND("|",D106,FIND("|",D106,1))-1)</f>
        <v/>
      </c>
      <c r="J106" s="11">
        <f>MID(D106,FIND(";",SUBSTITUTE(D106,"|",REPT(";",LEN(D106)),2))+1,FIND(";",SUBSTITUTE(D106,"|",REPT(";",LEN(D106)),3))-FIND(";",SUBSTITUTE(D106,"|",REPT(";",LEN(D106)),2))-1)</f>
        <v/>
      </c>
      <c r="K106" s="11">
        <f>MID(D106,FIND(";",SUBSTITUTE(D106,"|",REPT(";",LEN(D106)),3))+1,FIND(";",SUBSTITUTE(D106,"|",REPT(";",LEN(D106)),4))-FIND(";",SUBSTITUTE(D106,"|",REPT(";",LEN(D106)),3))-1)</f>
        <v/>
      </c>
      <c r="M106" s="11">
        <f>MID(D106,FIND(";",SUBSTITUTE(D106,"|",REPT(";",LEN(D106)),4))+1,FIND(";",SUBSTITUTE(D106,"|",REPT(";",LEN(D106)),5))-FIND(";",SUBSTITUTE(D106,"|",REPT(";",LEN(D106)),4))-1)</f>
        <v/>
      </c>
      <c r="N106" s="11">
        <f>MID(D106,FIND(";",SUBSTITUTE(D106,"|",REPT(";",LEN(D106)),6))+1,LEN(D106))</f>
        <v/>
      </c>
      <c r="O106" s="11">
        <f>MID(D106,FIND(";",SUBSTITUTE(D106,"|",REPT(";",LEN(D106)),5))+1,FIND(";",SUBSTITUTE(D106,"|",REPT(";",LEN(D106)),6))-FIND(";",SUBSTITUTE(D106,"|",REPT(";",LEN(D106)),5))-1)</f>
        <v/>
      </c>
    </row>
    <row r="107" ht="140" customHeight="1" s="21">
      <c r="A107" s="13" t="inlineStr">
        <is>
          <t>100201</t>
        </is>
      </c>
      <c r="B107" s="13" t="inlineStr">
        <is>
          <t>圆钢</t>
        </is>
      </c>
      <c r="C107" s="13" t="inlineStr">
        <is>
          <t>602161400</t>
        </is>
      </c>
      <c r="D107" s="13" t="inlineStr">
        <is>
          <t>热轧合金结构圆钢|圆钢|35CrMnSiA|Φ60|GB/T 3077-2015|热轧|GB/T 702-2017</t>
        </is>
      </c>
      <c r="E107" s="13" t="inlineStr">
        <is>
          <t>物资名称 热轧合金结构圆钢;物资简称 圆钢;牌号 35CrMnSiA;直径 Φ60;技术标准号 GB/T 3077-2015;加工工艺 热轧;热处理工艺 ;特殊要求 ;规格标准号 GB/T 702-2017</t>
        </is>
      </c>
      <c r="F107" s="12" t="inlineStr">
        <is>
          <t>千克</t>
        </is>
      </c>
      <c r="G107" s="11">
        <f>LEFT(D107,FIND("|",D107,1)-1)</f>
        <v/>
      </c>
      <c r="H107" s="11">
        <f>MID(D107,FIND("|",D107,FIND("|",D107,1))+1,FIND("|",D107,FIND("|",D107,1)+1)-FIND("|",D107,FIND("|",D107,1))-1)</f>
        <v/>
      </c>
      <c r="J107" s="11">
        <f>MID(D107,FIND(";",SUBSTITUTE(D107,"|",REPT(";",LEN(D107)),2))+1,FIND(";",SUBSTITUTE(D107,"|",REPT(";",LEN(D107)),3))-FIND(";",SUBSTITUTE(D107,"|",REPT(";",LEN(D107)),2))-1)</f>
        <v/>
      </c>
      <c r="K107" s="11">
        <f>MID(D107,FIND(";",SUBSTITUTE(D107,"|",REPT(";",LEN(D107)),3))+1,FIND(";",SUBSTITUTE(D107,"|",REPT(";",LEN(D107)),4))-FIND(";",SUBSTITUTE(D107,"|",REPT(";",LEN(D107)),3))-1)</f>
        <v/>
      </c>
      <c r="M107" s="11">
        <f>MID(D107,FIND(";",SUBSTITUTE(D107,"|",REPT(";",LEN(D107)),4))+1,FIND(";",SUBSTITUTE(D107,"|",REPT(";",LEN(D107)),5))-FIND(";",SUBSTITUTE(D107,"|",REPT(";",LEN(D107)),4))-1)</f>
        <v/>
      </c>
      <c r="N107" s="11">
        <f>MID(D107,FIND(";",SUBSTITUTE(D107,"|",REPT(";",LEN(D107)),6))+1,LEN(D107))</f>
        <v/>
      </c>
      <c r="O107" s="11">
        <f>MID(D107,FIND(";",SUBSTITUTE(D107,"|",REPT(";",LEN(D107)),5))+1,FIND(";",SUBSTITUTE(D107,"|",REPT(";",LEN(D107)),6))-FIND(";",SUBSTITUTE(D107,"|",REPT(";",LEN(D107)),5))-1)</f>
        <v/>
      </c>
    </row>
    <row r="108" ht="140" customHeight="1" s="21">
      <c r="A108" s="13" t="inlineStr">
        <is>
          <t>100201</t>
        </is>
      </c>
      <c r="B108" s="13" t="inlineStr">
        <is>
          <t>圆钢</t>
        </is>
      </c>
      <c r="C108" s="13" t="inlineStr">
        <is>
          <t>602161300</t>
        </is>
      </c>
      <c r="D108" s="13" t="inlineStr">
        <is>
          <t>热轧合金结构圆钢|圆钢|35CrMnSiA|Φ25|GB/T 3077-2015|热轧|GB/T 702-2017</t>
        </is>
      </c>
      <c r="E108" s="13" t="inlineStr">
        <is>
          <t>物资名称 热轧合金结构圆钢;物资简称 圆钢;牌号 35CrMnSiA;直径 Φ25;技术标准号 GB/T 3077-2015;加工工艺 热轧;热处理工艺 ;特殊要求 ;规格标准号 GB/T 702-2017</t>
        </is>
      </c>
      <c r="F108" s="12" t="inlineStr">
        <is>
          <t>千克</t>
        </is>
      </c>
      <c r="G108" s="11">
        <f>LEFT(D108,FIND("|",D108,1)-1)</f>
        <v/>
      </c>
      <c r="H108" s="11">
        <f>MID(D108,FIND("|",D108,FIND("|",D108,1))+1,FIND("|",D108,FIND("|",D108,1)+1)-FIND("|",D108,FIND("|",D108,1))-1)</f>
        <v/>
      </c>
      <c r="J108" s="11">
        <f>MID(D108,FIND(";",SUBSTITUTE(D108,"|",REPT(";",LEN(D108)),2))+1,FIND(";",SUBSTITUTE(D108,"|",REPT(";",LEN(D108)),3))-FIND(";",SUBSTITUTE(D108,"|",REPT(";",LEN(D108)),2))-1)</f>
        <v/>
      </c>
      <c r="K108" s="11">
        <f>MID(D108,FIND(";",SUBSTITUTE(D108,"|",REPT(";",LEN(D108)),3))+1,FIND(";",SUBSTITUTE(D108,"|",REPT(";",LEN(D108)),4))-FIND(";",SUBSTITUTE(D108,"|",REPT(";",LEN(D108)),3))-1)</f>
        <v/>
      </c>
      <c r="M108" s="11">
        <f>MID(D108,FIND(";",SUBSTITUTE(D108,"|",REPT(";",LEN(D108)),4))+1,FIND(";",SUBSTITUTE(D108,"|",REPT(";",LEN(D108)),5))-FIND(";",SUBSTITUTE(D108,"|",REPT(";",LEN(D108)),4))-1)</f>
        <v/>
      </c>
      <c r="N108" s="11">
        <f>MID(D108,FIND(";",SUBSTITUTE(D108,"|",REPT(";",LEN(D108)),6))+1,LEN(D108))</f>
        <v/>
      </c>
      <c r="O108" s="11">
        <f>MID(D108,FIND(";",SUBSTITUTE(D108,"|",REPT(";",LEN(D108)),5))+1,FIND(";",SUBSTITUTE(D108,"|",REPT(";",LEN(D108)),6))-FIND(";",SUBSTITUTE(D108,"|",REPT(";",LEN(D108)),5))-1)</f>
        <v/>
      </c>
    </row>
    <row r="109" ht="140" customHeight="1" s="21">
      <c r="A109" s="13" t="inlineStr">
        <is>
          <t>100201</t>
        </is>
      </c>
      <c r="B109" s="13" t="inlineStr">
        <is>
          <t>圆钢</t>
        </is>
      </c>
      <c r="C109" s="13" t="inlineStr">
        <is>
          <t>602161200</t>
        </is>
      </c>
      <c r="D109" s="13" t="inlineStr">
        <is>
          <t>热轧合金结构圆钢|圆钢|35CrMnSiA|Φ10|GB/T 3077-2015|热轧|GB/T 702-2017</t>
        </is>
      </c>
      <c r="E109" s="13" t="inlineStr">
        <is>
          <t>物资名称 热轧合金结构圆钢;物资简称 圆钢;牌号 35CrMnSiA;直径 Φ10;技术标准号 GB/T 3077-2015;加工工艺 热轧;热处理工艺 ;特殊要求 ;规格标准号 GB/T 702-2017</t>
        </is>
      </c>
      <c r="F109" s="12" t="inlineStr">
        <is>
          <t>千克</t>
        </is>
      </c>
      <c r="G109" s="11">
        <f>LEFT(D109,FIND("|",D109,1)-1)</f>
        <v/>
      </c>
      <c r="H109" s="11">
        <f>MID(D109,FIND("|",D109,FIND("|",D109,1))+1,FIND("|",D109,FIND("|",D109,1)+1)-FIND("|",D109,FIND("|",D109,1))-1)</f>
        <v/>
      </c>
      <c r="J109" s="11">
        <f>MID(D109,FIND(";",SUBSTITUTE(D109,"|",REPT(";",LEN(D109)),2))+1,FIND(";",SUBSTITUTE(D109,"|",REPT(";",LEN(D109)),3))-FIND(";",SUBSTITUTE(D109,"|",REPT(";",LEN(D109)),2))-1)</f>
        <v/>
      </c>
      <c r="K109" s="11">
        <f>MID(D109,FIND(";",SUBSTITUTE(D109,"|",REPT(";",LEN(D109)),3))+1,FIND(";",SUBSTITUTE(D109,"|",REPT(";",LEN(D109)),4))-FIND(";",SUBSTITUTE(D109,"|",REPT(";",LEN(D109)),3))-1)</f>
        <v/>
      </c>
      <c r="M109" s="11">
        <f>MID(D109,FIND(";",SUBSTITUTE(D109,"|",REPT(";",LEN(D109)),4))+1,FIND(";",SUBSTITUTE(D109,"|",REPT(";",LEN(D109)),5))-FIND(";",SUBSTITUTE(D109,"|",REPT(";",LEN(D109)),4))-1)</f>
        <v/>
      </c>
      <c r="N109" s="11">
        <f>MID(D109,FIND(";",SUBSTITUTE(D109,"|",REPT(";",LEN(D109)),6))+1,LEN(D109))</f>
        <v/>
      </c>
      <c r="O109" s="11">
        <f>MID(D109,FIND(";",SUBSTITUTE(D109,"|",REPT(";",LEN(D109)),5))+1,FIND(";",SUBSTITUTE(D109,"|",REPT(";",LEN(D109)),6))-FIND(";",SUBSTITUTE(D109,"|",REPT(";",LEN(D109)),5))-1)</f>
        <v/>
      </c>
    </row>
    <row r="110" ht="140" customHeight="1" s="21">
      <c r="A110" s="13" t="inlineStr">
        <is>
          <t>100201</t>
        </is>
      </c>
      <c r="B110" s="13" t="inlineStr">
        <is>
          <t>圆钢</t>
        </is>
      </c>
      <c r="C110" s="13" t="inlineStr">
        <is>
          <t>602161100</t>
        </is>
      </c>
      <c r="D110" s="13" t="inlineStr">
        <is>
          <t>热轧合金结构圆钢|圆钢|35CrMnSiA|Φ15|GB/T 3077-2015|热轧|GB/T 702-2017</t>
        </is>
      </c>
      <c r="E110" s="13" t="inlineStr">
        <is>
          <t>物资名称 热轧合金结构圆钢;物资简称 圆钢;牌号 35CrMnSiA;直径 Φ15;技术标准号 GB/T 3077-2015;加工工艺 热轧;热处理工艺 ;特殊要求 ;规格标准号 GB/T 702-2017</t>
        </is>
      </c>
      <c r="F110" s="12" t="inlineStr">
        <is>
          <t>千克</t>
        </is>
      </c>
      <c r="G110" s="11">
        <f>LEFT(D110,FIND("|",D110,1)-1)</f>
        <v/>
      </c>
      <c r="H110" s="11">
        <f>MID(D110,FIND("|",D110,FIND("|",D110,1))+1,FIND("|",D110,FIND("|",D110,1)+1)-FIND("|",D110,FIND("|",D110,1))-1)</f>
        <v/>
      </c>
      <c r="J110" s="11">
        <f>MID(D110,FIND(";",SUBSTITUTE(D110,"|",REPT(";",LEN(D110)),2))+1,FIND(";",SUBSTITUTE(D110,"|",REPT(";",LEN(D110)),3))-FIND(";",SUBSTITUTE(D110,"|",REPT(";",LEN(D110)),2))-1)</f>
        <v/>
      </c>
      <c r="K110" s="11">
        <f>MID(D110,FIND(";",SUBSTITUTE(D110,"|",REPT(";",LEN(D110)),3))+1,FIND(";",SUBSTITUTE(D110,"|",REPT(";",LEN(D110)),4))-FIND(";",SUBSTITUTE(D110,"|",REPT(";",LEN(D110)),3))-1)</f>
        <v/>
      </c>
      <c r="M110" s="11">
        <f>MID(D110,FIND(";",SUBSTITUTE(D110,"|",REPT(";",LEN(D110)),4))+1,FIND(";",SUBSTITUTE(D110,"|",REPT(";",LEN(D110)),5))-FIND(";",SUBSTITUTE(D110,"|",REPT(";",LEN(D110)),4))-1)</f>
        <v/>
      </c>
      <c r="N110" s="11">
        <f>MID(D110,FIND(";",SUBSTITUTE(D110,"|",REPT(";",LEN(D110)),6))+1,LEN(D110))</f>
        <v/>
      </c>
      <c r="O110" s="11">
        <f>MID(D110,FIND(";",SUBSTITUTE(D110,"|",REPT(";",LEN(D110)),5))+1,FIND(";",SUBSTITUTE(D110,"|",REPT(";",LEN(D110)),6))-FIND(";",SUBSTITUTE(D110,"|",REPT(";",LEN(D110)),5))-1)</f>
        <v/>
      </c>
    </row>
    <row r="111" ht="140" customHeight="1" s="21">
      <c r="A111" s="13" t="inlineStr">
        <is>
          <t>100201</t>
        </is>
      </c>
      <c r="B111" s="13" t="inlineStr">
        <is>
          <t>圆钢</t>
        </is>
      </c>
      <c r="C111" s="13" t="inlineStr">
        <is>
          <t>602161000</t>
        </is>
      </c>
      <c r="D111" s="13" t="inlineStr">
        <is>
          <t>热轧合金结构圆钢|圆钢|35CrMnSiA|Φ20|GB/T 3077-2015|热轧|GB/T 702-2017</t>
        </is>
      </c>
      <c r="E111" s="13" t="inlineStr">
        <is>
          <t>物资名称 热轧合金结构圆钢;物资简称 圆钢;牌号 35CrMnSiA;直径 Φ20;技术标准号 GB/T 3077-2015;加工工艺 热轧;热处理工艺 ;特殊要求 ;规格标准号 GB/T 702-2017</t>
        </is>
      </c>
      <c r="F111" s="12" t="inlineStr">
        <is>
          <t>千克</t>
        </is>
      </c>
      <c r="G111" s="11">
        <f>LEFT(D111,FIND("|",D111,1)-1)</f>
        <v/>
      </c>
      <c r="H111" s="11">
        <f>MID(D111,FIND("|",D111,FIND("|",D111,1))+1,FIND("|",D111,FIND("|",D111,1)+1)-FIND("|",D111,FIND("|",D111,1))-1)</f>
        <v/>
      </c>
      <c r="J111" s="11">
        <f>MID(D111,FIND(";",SUBSTITUTE(D111,"|",REPT(";",LEN(D111)),2))+1,FIND(";",SUBSTITUTE(D111,"|",REPT(";",LEN(D111)),3))-FIND(";",SUBSTITUTE(D111,"|",REPT(";",LEN(D111)),2))-1)</f>
        <v/>
      </c>
      <c r="K111" s="11">
        <f>MID(D111,FIND(";",SUBSTITUTE(D111,"|",REPT(";",LEN(D111)),3))+1,FIND(";",SUBSTITUTE(D111,"|",REPT(";",LEN(D111)),4))-FIND(";",SUBSTITUTE(D111,"|",REPT(";",LEN(D111)),3))-1)</f>
        <v/>
      </c>
      <c r="M111" s="11">
        <f>MID(D111,FIND(";",SUBSTITUTE(D111,"|",REPT(";",LEN(D111)),4))+1,FIND(";",SUBSTITUTE(D111,"|",REPT(";",LEN(D111)),5))-FIND(";",SUBSTITUTE(D111,"|",REPT(";",LEN(D111)),4))-1)</f>
        <v/>
      </c>
      <c r="N111" s="11">
        <f>MID(D111,FIND(";",SUBSTITUTE(D111,"|",REPT(";",LEN(D111)),6))+1,LEN(D111))</f>
        <v/>
      </c>
      <c r="O111" s="11">
        <f>MID(D111,FIND(";",SUBSTITUTE(D111,"|",REPT(";",LEN(D111)),5))+1,FIND(";",SUBSTITUTE(D111,"|",REPT(";",LEN(D111)),6))-FIND(";",SUBSTITUTE(D111,"|",REPT(";",LEN(D111)),5))-1)</f>
        <v/>
      </c>
    </row>
    <row r="112" ht="126" customHeight="1" s="21">
      <c r="A112" s="13" t="inlineStr">
        <is>
          <t>100201</t>
        </is>
      </c>
      <c r="B112" s="13" t="inlineStr">
        <is>
          <t>圆钢</t>
        </is>
      </c>
      <c r="C112" s="13" t="inlineStr">
        <is>
          <t>602147300</t>
        </is>
      </c>
      <c r="D112" s="13" t="inlineStr">
        <is>
          <t>热轧不锈圆钢|圆钢|20Cr13|Φ90|GB/T 1220-2007|热轧|GB/T 702-2008</t>
        </is>
      </c>
      <c r="E112" s="13" t="inlineStr">
        <is>
          <t>物资名称 热轧不锈圆钢;物资简称 圆钢;牌号 20Cr13;直径 Φ90;技术标准号 GB/T 1220-2007;加工工艺 热轧;热处理工艺 ;特殊要求 ;规格标准号 GB/T 702-2008</t>
        </is>
      </c>
      <c r="F112" s="12" t="inlineStr">
        <is>
          <t>千克</t>
        </is>
      </c>
      <c r="G112" s="11">
        <f>LEFT(D112,FIND("|",D112,1)-1)</f>
        <v/>
      </c>
      <c r="H112" s="11">
        <f>MID(D112,FIND("|",D112,FIND("|",D112,1))+1,FIND("|",D112,FIND("|",D112,1)+1)-FIND("|",D112,FIND("|",D112,1))-1)</f>
        <v/>
      </c>
      <c r="J112" s="11">
        <f>MID(D112,FIND(";",SUBSTITUTE(D112,"|",REPT(";",LEN(D112)),2))+1,FIND(";",SUBSTITUTE(D112,"|",REPT(";",LEN(D112)),3))-FIND(";",SUBSTITUTE(D112,"|",REPT(";",LEN(D112)),2))-1)</f>
        <v/>
      </c>
      <c r="K112" s="11">
        <f>MID(D112,FIND(";",SUBSTITUTE(D112,"|",REPT(";",LEN(D112)),3))+1,FIND(";",SUBSTITUTE(D112,"|",REPT(";",LEN(D112)),4))-FIND(";",SUBSTITUTE(D112,"|",REPT(";",LEN(D112)),3))-1)</f>
        <v/>
      </c>
      <c r="M112" s="11">
        <f>MID(D112,FIND(";",SUBSTITUTE(D112,"|",REPT(";",LEN(D112)),4))+1,FIND(";",SUBSTITUTE(D112,"|",REPT(";",LEN(D112)),5))-FIND(";",SUBSTITUTE(D112,"|",REPT(";",LEN(D112)),4))-1)</f>
        <v/>
      </c>
      <c r="N112" s="11">
        <f>MID(D112,FIND(";",SUBSTITUTE(D112,"|",REPT(";",LEN(D112)),6))+1,LEN(D112))</f>
        <v/>
      </c>
      <c r="O112" s="11">
        <f>MID(D112,FIND(";",SUBSTITUTE(D112,"|",REPT(";",LEN(D112)),5))+1,FIND(";",SUBSTITUTE(D112,"|",REPT(";",LEN(D112)),6))-FIND(";",SUBSTITUTE(D112,"|",REPT(";",LEN(D112)),5))-1)</f>
        <v/>
      </c>
    </row>
    <row r="113" ht="140" customHeight="1" s="21">
      <c r="A113" s="13" t="inlineStr">
        <is>
          <t>100201</t>
        </is>
      </c>
      <c r="B113" s="13" t="inlineStr">
        <is>
          <t>圆钢</t>
        </is>
      </c>
      <c r="C113" s="13" t="inlineStr">
        <is>
          <t>602147200</t>
        </is>
      </c>
      <c r="D113" s="13" t="inlineStr">
        <is>
          <t>热轧航空用不锈圆钢|圆钢|1Cr18Ni9Ti|Φ120|GJB 2294A-2014|热轧|GB/T 702-2008</t>
        </is>
      </c>
      <c r="E113" s="13" t="inlineStr">
        <is>
          <t>物资名称 热轧航空用不锈圆钢;物资简称 圆钢;牌号 1Cr18Ni9Ti;直径 Φ120;技术标准号 GJB 2294A-2014;加工工艺 热轧;热处理工艺 ;特殊要求 ;规格标准号 GB/T 702-2008</t>
        </is>
      </c>
      <c r="F113" s="12" t="inlineStr">
        <is>
          <t>千克</t>
        </is>
      </c>
      <c r="G113" s="11">
        <f>LEFT(D113,FIND("|",D113,1)-1)</f>
        <v/>
      </c>
      <c r="H113" s="11">
        <f>MID(D113,FIND("|",D113,FIND("|",D113,1))+1,FIND("|",D113,FIND("|",D113,1)+1)-FIND("|",D113,FIND("|",D113,1))-1)</f>
        <v/>
      </c>
      <c r="J113" s="11">
        <f>MID(D113,FIND(";",SUBSTITUTE(D113,"|",REPT(";",LEN(D113)),2))+1,FIND(";",SUBSTITUTE(D113,"|",REPT(";",LEN(D113)),3))-FIND(";",SUBSTITUTE(D113,"|",REPT(";",LEN(D113)),2))-1)</f>
        <v/>
      </c>
      <c r="K113" s="11">
        <f>MID(D113,FIND(";",SUBSTITUTE(D113,"|",REPT(";",LEN(D113)),3))+1,FIND(";",SUBSTITUTE(D113,"|",REPT(";",LEN(D113)),4))-FIND(";",SUBSTITUTE(D113,"|",REPT(";",LEN(D113)),3))-1)</f>
        <v/>
      </c>
      <c r="M113" s="11">
        <f>MID(D113,FIND(";",SUBSTITUTE(D113,"|",REPT(";",LEN(D113)),4))+1,FIND(";",SUBSTITUTE(D113,"|",REPT(";",LEN(D113)),5))-FIND(";",SUBSTITUTE(D113,"|",REPT(";",LEN(D113)),4))-1)</f>
        <v/>
      </c>
      <c r="N113" s="11">
        <f>MID(D113,FIND(";",SUBSTITUTE(D113,"|",REPT(";",LEN(D113)),6))+1,LEN(D113))</f>
        <v/>
      </c>
      <c r="O113" s="11">
        <f>MID(D113,FIND(";",SUBSTITUTE(D113,"|",REPT(";",LEN(D113)),5))+1,FIND(";",SUBSTITUTE(D113,"|",REPT(";",LEN(D113)),6))-FIND(";",SUBSTITUTE(D113,"|",REPT(";",LEN(D113)),5))-1)</f>
        <v/>
      </c>
    </row>
    <row r="114" ht="140" customHeight="1" s="21">
      <c r="A114" s="13" t="inlineStr">
        <is>
          <t>100201</t>
        </is>
      </c>
      <c r="B114" s="13" t="inlineStr">
        <is>
          <t>圆钢</t>
        </is>
      </c>
      <c r="C114" s="13" t="inlineStr">
        <is>
          <t>602147100</t>
        </is>
      </c>
      <c r="D114" s="13" t="inlineStr">
        <is>
          <t>热轧航空用不锈圆钢|圆钢|1Cr18Ni9Ti|Φ55|GJB 2294A-2014|热轧|GB/T 702-2008</t>
        </is>
      </c>
      <c r="E114" s="13" t="inlineStr">
        <is>
          <t>物资名称 热轧航空用不锈圆钢;物资简称 圆钢;牌号 1Cr18Ni9Ti;直径 Φ55;技术标准号 GJB 2294A-2014;加工工艺 热轧;热处理工艺 ;特殊要求 ;规格标准号 GB/T 702-2008</t>
        </is>
      </c>
      <c r="F114" s="12" t="inlineStr">
        <is>
          <t>千克</t>
        </is>
      </c>
      <c r="G114" s="11">
        <f>LEFT(D114,FIND("|",D114,1)-1)</f>
        <v/>
      </c>
      <c r="H114" s="11">
        <f>MID(D114,FIND("|",D114,FIND("|",D114,1))+1,FIND("|",D114,FIND("|",D114,1)+1)-FIND("|",D114,FIND("|",D114,1))-1)</f>
        <v/>
      </c>
      <c r="J114" s="11">
        <f>MID(D114,FIND(";",SUBSTITUTE(D114,"|",REPT(";",LEN(D114)),2))+1,FIND(";",SUBSTITUTE(D114,"|",REPT(";",LEN(D114)),3))-FIND(";",SUBSTITUTE(D114,"|",REPT(";",LEN(D114)),2))-1)</f>
        <v/>
      </c>
      <c r="K114" s="11">
        <f>MID(D114,FIND(";",SUBSTITUTE(D114,"|",REPT(";",LEN(D114)),3))+1,FIND(";",SUBSTITUTE(D114,"|",REPT(";",LEN(D114)),4))-FIND(";",SUBSTITUTE(D114,"|",REPT(";",LEN(D114)),3))-1)</f>
        <v/>
      </c>
      <c r="M114" s="11">
        <f>MID(D114,FIND(";",SUBSTITUTE(D114,"|",REPT(";",LEN(D114)),4))+1,FIND(";",SUBSTITUTE(D114,"|",REPT(";",LEN(D114)),5))-FIND(";",SUBSTITUTE(D114,"|",REPT(";",LEN(D114)),4))-1)</f>
        <v/>
      </c>
      <c r="N114" s="11">
        <f>MID(D114,FIND(";",SUBSTITUTE(D114,"|",REPT(";",LEN(D114)),6))+1,LEN(D114))</f>
        <v/>
      </c>
      <c r="O114" s="11">
        <f>MID(D114,FIND(";",SUBSTITUTE(D114,"|",REPT(";",LEN(D114)),5))+1,FIND(";",SUBSTITUTE(D114,"|",REPT(";",LEN(D114)),6))-FIND(";",SUBSTITUTE(D114,"|",REPT(";",LEN(D114)),5))-1)</f>
        <v/>
      </c>
    </row>
    <row r="115" ht="140" customHeight="1" s="21">
      <c r="A115" s="13" t="inlineStr">
        <is>
          <t>100201</t>
        </is>
      </c>
      <c r="B115" s="13" t="inlineStr">
        <is>
          <t>圆钢</t>
        </is>
      </c>
      <c r="C115" s="13" t="inlineStr">
        <is>
          <t>602147000</t>
        </is>
      </c>
      <c r="D115" s="13" t="inlineStr">
        <is>
          <t>热轧航空用不锈圆钢|圆钢|1Cr18Ni9Ti|Φ12|GJB 2294A-2014|热轧|GB/T 702-2008</t>
        </is>
      </c>
      <c r="E115" s="13" t="inlineStr">
        <is>
          <t>物资名称 热轧航空用不锈圆钢;物资简称 圆钢;牌号 1Cr18Ni9Ti;直径 Φ12;技术标准号 GJB 2294A-2014;加工工艺 热轧;热处理工艺 ;特殊要求 ;规格标准号 GB/T 702-2008</t>
        </is>
      </c>
      <c r="F115" s="12" t="inlineStr">
        <is>
          <t>千克</t>
        </is>
      </c>
      <c r="G115" s="11">
        <f>LEFT(D115,FIND("|",D115,1)-1)</f>
        <v/>
      </c>
      <c r="H115" s="11">
        <f>MID(D115,FIND("|",D115,FIND("|",D115,1))+1,FIND("|",D115,FIND("|",D115,1)+1)-FIND("|",D115,FIND("|",D115,1))-1)</f>
        <v/>
      </c>
      <c r="J115" s="11">
        <f>MID(D115,FIND(";",SUBSTITUTE(D115,"|",REPT(";",LEN(D115)),2))+1,FIND(";",SUBSTITUTE(D115,"|",REPT(";",LEN(D115)),3))-FIND(";",SUBSTITUTE(D115,"|",REPT(";",LEN(D115)),2))-1)</f>
        <v/>
      </c>
      <c r="K115" s="11">
        <f>MID(D115,FIND(";",SUBSTITUTE(D115,"|",REPT(";",LEN(D115)),3))+1,FIND(";",SUBSTITUTE(D115,"|",REPT(";",LEN(D115)),4))-FIND(";",SUBSTITUTE(D115,"|",REPT(";",LEN(D115)),3))-1)</f>
        <v/>
      </c>
      <c r="M115" s="11">
        <f>MID(D115,FIND(";",SUBSTITUTE(D115,"|",REPT(";",LEN(D115)),4))+1,FIND(";",SUBSTITUTE(D115,"|",REPT(";",LEN(D115)),5))-FIND(";",SUBSTITUTE(D115,"|",REPT(";",LEN(D115)),4))-1)</f>
        <v/>
      </c>
      <c r="N115" s="11">
        <f>MID(D115,FIND(";",SUBSTITUTE(D115,"|",REPT(";",LEN(D115)),6))+1,LEN(D115))</f>
        <v/>
      </c>
      <c r="O115" s="11">
        <f>MID(D115,FIND(";",SUBSTITUTE(D115,"|",REPT(";",LEN(D115)),5))+1,FIND(";",SUBSTITUTE(D115,"|",REPT(";",LEN(D115)),6))-FIND(";",SUBSTITUTE(D115,"|",REPT(";",LEN(D115)),5))-1)</f>
        <v/>
      </c>
    </row>
    <row r="116" ht="140" customHeight="1" s="21">
      <c r="A116" s="13" t="inlineStr">
        <is>
          <t>100201</t>
        </is>
      </c>
      <c r="B116" s="13" t="inlineStr">
        <is>
          <t>圆钢</t>
        </is>
      </c>
      <c r="C116" s="13" t="inlineStr">
        <is>
          <t>602146900</t>
        </is>
      </c>
      <c r="D116" s="13" t="inlineStr">
        <is>
          <t>热轧航空用不锈圆钢|圆钢|1Cr18Ni9Ti|Φ11|GJB 2294A-2014|热轧|GB/T 702-2008</t>
        </is>
      </c>
      <c r="E116" s="13" t="inlineStr">
        <is>
          <t>物资名称 热轧航空用不锈圆钢;物资简称 圆钢;牌号 1Cr18Ni9Ti;直径 Φ11;技术标准号 GJB 2294A-2014;加工工艺 热轧;热处理工艺 ;特殊要求 ;规格标准号 GB/T 702-2008</t>
        </is>
      </c>
      <c r="F116" s="12" t="inlineStr">
        <is>
          <t>千克</t>
        </is>
      </c>
      <c r="G116" s="11">
        <f>LEFT(D116,FIND("|",D116,1)-1)</f>
        <v/>
      </c>
      <c r="H116" s="11">
        <f>MID(D116,FIND("|",D116,FIND("|",D116,1))+1,FIND("|",D116,FIND("|",D116,1)+1)-FIND("|",D116,FIND("|",D116,1))-1)</f>
        <v/>
      </c>
      <c r="J116" s="11">
        <f>MID(D116,FIND(";",SUBSTITUTE(D116,"|",REPT(";",LEN(D116)),2))+1,FIND(";",SUBSTITUTE(D116,"|",REPT(";",LEN(D116)),3))-FIND(";",SUBSTITUTE(D116,"|",REPT(";",LEN(D116)),2))-1)</f>
        <v/>
      </c>
      <c r="K116" s="11">
        <f>MID(D116,FIND(";",SUBSTITUTE(D116,"|",REPT(";",LEN(D116)),3))+1,FIND(";",SUBSTITUTE(D116,"|",REPT(";",LEN(D116)),4))-FIND(";",SUBSTITUTE(D116,"|",REPT(";",LEN(D116)),3))-1)</f>
        <v/>
      </c>
      <c r="M116" s="11">
        <f>MID(D116,FIND(";",SUBSTITUTE(D116,"|",REPT(";",LEN(D116)),4))+1,FIND(";",SUBSTITUTE(D116,"|",REPT(";",LEN(D116)),5))-FIND(";",SUBSTITUTE(D116,"|",REPT(";",LEN(D116)),4))-1)</f>
        <v/>
      </c>
      <c r="N116" s="11">
        <f>MID(D116,FIND(";",SUBSTITUTE(D116,"|",REPT(";",LEN(D116)),6))+1,LEN(D116))</f>
        <v/>
      </c>
      <c r="O116" s="11">
        <f>MID(D116,FIND(";",SUBSTITUTE(D116,"|",REPT(";",LEN(D116)),5))+1,FIND(";",SUBSTITUTE(D116,"|",REPT(";",LEN(D116)),6))-FIND(";",SUBSTITUTE(D116,"|",REPT(";",LEN(D116)),5))-1)</f>
        <v/>
      </c>
    </row>
    <row r="117" ht="126" customHeight="1" s="21">
      <c r="A117" s="13" t="inlineStr">
        <is>
          <t>100201</t>
        </is>
      </c>
      <c r="B117" s="13" t="inlineStr">
        <is>
          <t>圆钢</t>
        </is>
      </c>
      <c r="C117" s="13" t="inlineStr">
        <is>
          <t>601815400</t>
        </is>
      </c>
      <c r="D117" s="13" t="inlineStr">
        <is>
          <t>热轧优质碳素结构圆钢|圆钢|45|Φ22|GB/T 699-2015|热轧|GB/T 702-2017</t>
        </is>
      </c>
      <c r="E117" s="13" t="inlineStr">
        <is>
          <t>物资名称 热轧优质碳素结构圆钢;物资简称 圆钢;牌号 45;直径 Φ22;技术标准号 GB/T 699-2015;加工工艺 热轧;热处理工艺 ;特殊要求 ;规格标准号 GB/T 702-2017</t>
        </is>
      </c>
      <c r="F117" s="12" t="inlineStr">
        <is>
          <t>千克</t>
        </is>
      </c>
      <c r="G117" s="11">
        <f>LEFT(D117,FIND("|",D117,1)-1)</f>
        <v/>
      </c>
      <c r="H117" s="11">
        <f>MID(D117,FIND("|",D117,FIND("|",D117,1))+1,FIND("|",D117,FIND("|",D117,1)+1)-FIND("|",D117,FIND("|",D117,1))-1)</f>
        <v/>
      </c>
      <c r="J117" s="11">
        <f>MID(D117,FIND(";",SUBSTITUTE(D117,"|",REPT(";",LEN(D117)),2))+1,FIND(";",SUBSTITUTE(D117,"|",REPT(";",LEN(D117)),3))-FIND(";",SUBSTITUTE(D117,"|",REPT(";",LEN(D117)),2))-1)</f>
        <v/>
      </c>
      <c r="K117" s="11">
        <f>MID(D117,FIND(";",SUBSTITUTE(D117,"|",REPT(";",LEN(D117)),3))+1,FIND(";",SUBSTITUTE(D117,"|",REPT(";",LEN(D117)),4))-FIND(";",SUBSTITUTE(D117,"|",REPT(";",LEN(D117)),3))-1)</f>
        <v/>
      </c>
      <c r="M117" s="11">
        <f>MID(D117,FIND(";",SUBSTITUTE(D117,"|",REPT(";",LEN(D117)),4))+1,FIND(";",SUBSTITUTE(D117,"|",REPT(";",LEN(D117)),5))-FIND(";",SUBSTITUTE(D117,"|",REPT(";",LEN(D117)),4))-1)</f>
        <v/>
      </c>
      <c r="N117" s="11">
        <f>MID(D117,FIND(";",SUBSTITUTE(D117,"|",REPT(";",LEN(D117)),6))+1,LEN(D117))</f>
        <v/>
      </c>
      <c r="O117" s="11">
        <f>MID(D117,FIND(";",SUBSTITUTE(D117,"|",REPT(";",LEN(D117)),5))+1,FIND(";",SUBSTITUTE(D117,"|",REPT(";",LEN(D117)),6))-FIND(";",SUBSTITUTE(D117,"|",REPT(";",LEN(D117)),5))-1)</f>
        <v/>
      </c>
    </row>
    <row r="118" ht="140" customHeight="1" s="21">
      <c r="A118" s="13" t="inlineStr">
        <is>
          <t>100201</t>
        </is>
      </c>
      <c r="B118" s="13" t="inlineStr">
        <is>
          <t>圆钢</t>
        </is>
      </c>
      <c r="C118" s="13" t="inlineStr">
        <is>
          <t>601815300</t>
        </is>
      </c>
      <c r="D118" s="13" t="inlineStr">
        <is>
          <t>热轧优质碳素结构圆钢|圆钢|45|Φ120|GB/T 699-2015|热轧|GB/T 702-2017</t>
        </is>
      </c>
      <c r="E118" s="13" t="inlineStr">
        <is>
          <t>物资名称 热轧优质碳素结构圆钢;物资简称 圆钢;牌号 45;直径 Φ120;技术标准号 GB/T 699-2015;加工工艺 热轧;热处理工艺 ;特殊要求 ;规格标准号 GB/T 702-2017</t>
        </is>
      </c>
      <c r="F118" s="12" t="inlineStr">
        <is>
          <t>千克</t>
        </is>
      </c>
      <c r="G118" s="11">
        <f>LEFT(D118,FIND("|",D118,1)-1)</f>
        <v/>
      </c>
      <c r="H118" s="11">
        <f>MID(D118,FIND("|",D118,FIND("|",D118,1))+1,FIND("|",D118,FIND("|",D118,1)+1)-FIND("|",D118,FIND("|",D118,1))-1)</f>
        <v/>
      </c>
      <c r="J118" s="11">
        <f>MID(D118,FIND(";",SUBSTITUTE(D118,"|",REPT(";",LEN(D118)),2))+1,FIND(";",SUBSTITUTE(D118,"|",REPT(";",LEN(D118)),3))-FIND(";",SUBSTITUTE(D118,"|",REPT(";",LEN(D118)),2))-1)</f>
        <v/>
      </c>
      <c r="K118" s="11">
        <f>MID(D118,FIND(";",SUBSTITUTE(D118,"|",REPT(";",LEN(D118)),3))+1,FIND(";",SUBSTITUTE(D118,"|",REPT(";",LEN(D118)),4))-FIND(";",SUBSTITUTE(D118,"|",REPT(";",LEN(D118)),3))-1)</f>
        <v/>
      </c>
      <c r="M118" s="11">
        <f>MID(D118,FIND(";",SUBSTITUTE(D118,"|",REPT(";",LEN(D118)),4))+1,FIND(";",SUBSTITUTE(D118,"|",REPT(";",LEN(D118)),5))-FIND(";",SUBSTITUTE(D118,"|",REPT(";",LEN(D118)),4))-1)</f>
        <v/>
      </c>
      <c r="N118" s="11">
        <f>MID(D118,FIND(";",SUBSTITUTE(D118,"|",REPT(";",LEN(D118)),6))+1,LEN(D118))</f>
        <v/>
      </c>
      <c r="O118" s="11">
        <f>MID(D118,FIND(";",SUBSTITUTE(D118,"|",REPT(";",LEN(D118)),5))+1,FIND(";",SUBSTITUTE(D118,"|",REPT(";",LEN(D118)),6))-FIND(";",SUBSTITUTE(D118,"|",REPT(";",LEN(D118)),5))-1)</f>
        <v/>
      </c>
    </row>
    <row r="119" ht="126" customHeight="1" s="21">
      <c r="A119" s="13" t="inlineStr">
        <is>
          <t>100201</t>
        </is>
      </c>
      <c r="B119" s="13" t="inlineStr">
        <is>
          <t>圆钢</t>
        </is>
      </c>
      <c r="C119" s="13" t="inlineStr">
        <is>
          <t>601749000</t>
        </is>
      </c>
      <c r="D119" s="13" t="inlineStr">
        <is>
          <t>热轧优质碳素结构圆钢|圆钢|45|GB/T 699-2015|热轧</t>
        </is>
      </c>
      <c r="E119" s="13" t="inlineStr">
        <is>
          <t xml:space="preserve">物资名称 热轧优质碳素结构圆钢;物资简称 圆钢;牌号 45;直径 Φ;技术标准号 GB/T 699-2015;加工工艺 热轧;热处理工艺 ;特殊要求 ;规格标准号 </t>
        </is>
      </c>
      <c r="F119" s="12" t="inlineStr">
        <is>
          <t>千克</t>
        </is>
      </c>
      <c r="G119" s="11">
        <f>LEFT(D119,FIND("|",D119,1)-1)</f>
        <v/>
      </c>
      <c r="H119" s="11">
        <f>MID(D119,FIND("|",D119,FIND("|",D119,1))+1,FIND("|",D119,FIND("|",D119,1)+1)-FIND("|",D119,FIND("|",D119,1))-1)</f>
        <v/>
      </c>
      <c r="J119" s="11">
        <f>MID(D119,FIND(";",SUBSTITUTE(D119,"|",REPT(";",LEN(D119)),2))+1,FIND(";",SUBSTITUTE(D119,"|",REPT(";",LEN(D119)),3))-FIND(";",SUBSTITUTE(D119,"|",REPT(";",LEN(D119)),2))-1)</f>
        <v/>
      </c>
      <c r="M119" s="11">
        <f>MID(D119,FIND(";",SUBSTITUTE(D119,"|",REPT(";",LEN(D119)),3))+1,FIND(";",SUBSTITUTE(D119,"|",REPT(";",LEN(D119)),4))-FIND(";",SUBSTITUTE(D119,"|",REPT(";",LEN(D119)),3))-1)</f>
        <v/>
      </c>
      <c r="O119" s="11">
        <f>MID(D119,FIND(";",SUBSTITUTE(D119,"|",REPT(";",LEN(D119)),4))+1,LEN(D119))</f>
        <v/>
      </c>
    </row>
    <row r="120" ht="112" customHeight="1" s="21">
      <c r="A120" s="13" t="inlineStr">
        <is>
          <t>100201</t>
        </is>
      </c>
      <c r="B120" s="13" t="inlineStr">
        <is>
          <t>圆钢</t>
        </is>
      </c>
      <c r="C120" s="13" t="inlineStr">
        <is>
          <t>601692200</t>
        </is>
      </c>
      <c r="D120" s="13" t="inlineStr">
        <is>
          <t>钢棒|圆钢|35CrMnSiA|Φ13|GB/T 3077-1999</t>
        </is>
      </c>
      <c r="E120" s="13" t="inlineStr">
        <is>
          <t xml:space="preserve">物资名称 钢棒;物资简称 圆钢;牌号 35CrMnSiA;直径 Φ13;技术标准号 GB/T 3077-1999;加工工艺 ;热处理工艺 ;特殊要求 ;规格标准号 </t>
        </is>
      </c>
      <c r="F120" s="12" t="inlineStr">
        <is>
          <t>千克</t>
        </is>
      </c>
      <c r="G120" s="11">
        <f>LEFT(D120,FIND("|",D120,1)-1)</f>
        <v/>
      </c>
      <c r="H120" s="11">
        <f>MID(D120,FIND("|",D120,FIND("|",D120,1))+1,FIND("|",D120,FIND("|",D120,1)+1)-FIND("|",D120,FIND("|",D120,1))-1)</f>
        <v/>
      </c>
      <c r="J120" s="11">
        <f>MID(D120,FIND(";",SUBSTITUTE(D120,"|",REPT(";",LEN(D120)),2))+1,FIND(";",SUBSTITUTE(D120,"|",REPT(";",LEN(D120)),3))-FIND(";",SUBSTITUTE(D120,"|",REPT(";",LEN(D120)),2))-1)</f>
        <v/>
      </c>
      <c r="K120" s="11">
        <f>MID(D120,FIND(";",SUBSTITUTE(D120,"|",REPT(";",LEN(D120)),3))+1,FIND(";",SUBSTITUTE(D120,"|",REPT(";",LEN(D120)),4))-FIND(";",SUBSTITUTE(D120,"|",REPT(";",LEN(D120)),3))-1)</f>
        <v/>
      </c>
      <c r="M120" s="11">
        <f>MID(D120,FIND(";",SUBSTITUTE(D120,"|",REPT(";",LEN(D120)),4))+1,LEN(D120))</f>
        <v/>
      </c>
    </row>
    <row r="121" ht="112" customHeight="1" s="21">
      <c r="A121" s="13" t="inlineStr">
        <is>
          <t>100201</t>
        </is>
      </c>
      <c r="B121" s="13" t="inlineStr">
        <is>
          <t>圆钢</t>
        </is>
      </c>
      <c r="C121" s="13" t="inlineStr">
        <is>
          <t>601692100</t>
        </is>
      </c>
      <c r="D121" s="13" t="inlineStr">
        <is>
          <t>钢棒|圆钢|35CrMnSiA|Φ30|GB/T 3077-1999</t>
        </is>
      </c>
      <c r="E121" s="13" t="inlineStr">
        <is>
          <t xml:space="preserve">物资名称 钢棒;物资简称 圆钢;牌号 35CrMnSiA;直径 Φ30;技术标准号 GB/T 3077-1999;加工工艺 ;热处理工艺 ;特殊要求 ;规格标准号 </t>
        </is>
      </c>
      <c r="F121" s="12" t="inlineStr">
        <is>
          <t>千克</t>
        </is>
      </c>
      <c r="G121" s="11">
        <f>LEFT(D121,FIND("|",D121,1)-1)</f>
        <v/>
      </c>
      <c r="H121" s="11">
        <f>MID(D121,FIND("|",D121,FIND("|",D121,1))+1,FIND("|",D121,FIND("|",D121,1)+1)-FIND("|",D121,FIND("|",D121,1))-1)</f>
        <v/>
      </c>
      <c r="J121" s="11">
        <f>MID(D121,FIND(";",SUBSTITUTE(D121,"|",REPT(";",LEN(D121)),2))+1,FIND(";",SUBSTITUTE(D121,"|",REPT(";",LEN(D121)),3))-FIND(";",SUBSTITUTE(D121,"|",REPT(";",LEN(D121)),2))-1)</f>
        <v/>
      </c>
      <c r="K121" s="11">
        <f>MID(D121,FIND(";",SUBSTITUTE(D121,"|",REPT(";",LEN(D121)),3))+1,FIND(";",SUBSTITUTE(D121,"|",REPT(";",LEN(D121)),4))-FIND(";",SUBSTITUTE(D121,"|",REPT(";",LEN(D121)),3))-1)</f>
        <v/>
      </c>
      <c r="M121" s="11">
        <f>MID(D121,FIND(";",SUBSTITUTE(D121,"|",REPT(";",LEN(D121)),4))+1,LEN(D121))</f>
        <v/>
      </c>
    </row>
    <row r="122" ht="126" customHeight="1" s="21">
      <c r="A122" s="13" t="inlineStr">
        <is>
          <t>100201</t>
        </is>
      </c>
      <c r="B122" s="13" t="inlineStr">
        <is>
          <t>圆钢</t>
        </is>
      </c>
      <c r="C122" s="13" t="inlineStr">
        <is>
          <t>601652600</t>
        </is>
      </c>
      <c r="D122" s="13" t="inlineStr">
        <is>
          <t>冷拉高碳铬轴承圆钢|圆钢|GCr15|Φ5|GB/T 18254-2002|冷拉</t>
        </is>
      </c>
      <c r="E122" s="13" t="inlineStr">
        <is>
          <t xml:space="preserve">物资名称 冷拉高碳铬轴承圆钢;物资简称 圆钢;牌号 GCr15;直径 Φ5;技术标准号 GB/T 18254-2002;加工工艺 冷拉;热处理工艺 ;特殊要求 ;规格标准号 </t>
        </is>
      </c>
      <c r="F122" s="12" t="inlineStr">
        <is>
          <t>千克</t>
        </is>
      </c>
      <c r="G122" s="11">
        <f>LEFT(D122,FIND("|",D122,1)-1)</f>
        <v/>
      </c>
      <c r="H122" s="11">
        <f>MID(D122,FIND("|",D122,FIND("|",D122,1))+1,FIND("|",D122,FIND("|",D122,1)+1)-FIND("|",D122,FIND("|",D122,1))-1)</f>
        <v/>
      </c>
      <c r="J122" s="11">
        <f>MID(D122,FIND(";",SUBSTITUTE(D122,"|",REPT(";",LEN(D122)),2))+1,FIND(";",SUBSTITUTE(D122,"|",REPT(";",LEN(D122)),3))-FIND(";",SUBSTITUTE(D122,"|",REPT(";",LEN(D122)),2))-1)</f>
        <v/>
      </c>
      <c r="K122" s="11">
        <f>MID(D122,FIND(";",SUBSTITUTE(D122,"|",REPT(";",LEN(D122)),3))+1,FIND(";",SUBSTITUTE(D122,"|",REPT(";",LEN(D122)),4))-FIND(";",SUBSTITUTE(D122,"|",REPT(";",LEN(D122)),3))-1)</f>
        <v/>
      </c>
      <c r="M122" s="11">
        <f>MID(D122,FIND(";",SUBSTITUTE(D122,"|",REPT(";",LEN(D122)),4))+1,FIND(";",SUBSTITUTE(D122,"|",REPT(";",LEN(D122)),5))-FIND(";",SUBSTITUTE(D122,"|",REPT(";",LEN(D122)),4))-1)</f>
        <v/>
      </c>
      <c r="O122" s="11">
        <f>MID(D122,FIND(";",SUBSTITUTE(D122,"|",REPT(";",LEN(D122)),5))+1,LEN(D122))</f>
        <v/>
      </c>
    </row>
    <row r="123" ht="112" customHeight="1" s="21">
      <c r="A123" s="13" t="inlineStr">
        <is>
          <t>100201</t>
        </is>
      </c>
      <c r="B123" s="13" t="inlineStr">
        <is>
          <t>圆钢</t>
        </is>
      </c>
      <c r="C123" s="13" t="inlineStr">
        <is>
          <t>601605800</t>
        </is>
      </c>
      <c r="D123" s="13" t="inlineStr">
        <is>
          <t>圆钢|圆钢|40Cr|Φ14|GB/T3191-1998</t>
        </is>
      </c>
      <c r="E123" s="13" t="inlineStr">
        <is>
          <t xml:space="preserve">物资名称 圆钢;物资简称 圆钢;牌号 40Cr Φ14;直径 Φ;技术标准号 GB/T3191-1998;加工工艺 ;热处理工艺 ;特殊要求 ;规格标准号 </t>
        </is>
      </c>
      <c r="F123" s="12" t="inlineStr">
        <is>
          <t>千克</t>
        </is>
      </c>
      <c r="G123" s="11">
        <f>LEFT(D123,FIND("|",D123,1)-1)</f>
        <v/>
      </c>
      <c r="H123" s="11">
        <f>MID(D123,FIND("|",D123,FIND("|",D123,1))+1,FIND("|",D123,FIND("|",D123,1)+1)-FIND("|",D123,FIND("|",D123,1))-1)</f>
        <v/>
      </c>
      <c r="J123" s="11">
        <f>MID(D123,FIND(";",SUBSTITUTE(D123,"|",REPT(";",LEN(D123)),2))+1,FIND(";",SUBSTITUTE(D123,"|",REPT(";",LEN(D123)),3))-FIND(";",SUBSTITUTE(D123,"|",REPT(";",LEN(D123)),2))-1)</f>
        <v/>
      </c>
      <c r="K123" s="11">
        <f>MID(D123,FIND(";",SUBSTITUTE(D123,"|",REPT(";",LEN(D123)),3))+1,FIND(";",SUBSTITUTE(D123,"|",REPT(";",LEN(D123)),4))-FIND(";",SUBSTITUTE(D123,"|",REPT(";",LEN(D123)),3))-1)</f>
        <v/>
      </c>
      <c r="M123" s="11">
        <f>MID(D123,FIND(";",SUBSTITUTE(D123,"|",REPT(";",LEN(D123)),4))+1,LEN(D123))</f>
        <v/>
      </c>
    </row>
    <row r="124" ht="112" customHeight="1" s="21">
      <c r="A124" s="13" t="inlineStr">
        <is>
          <t>100201</t>
        </is>
      </c>
      <c r="B124" s="13" t="inlineStr">
        <is>
          <t>圆钢</t>
        </is>
      </c>
      <c r="C124" s="13" t="inlineStr">
        <is>
          <t>601605700</t>
        </is>
      </c>
      <c r="D124" s="13" t="inlineStr">
        <is>
          <t>圆钢|圆钢|40Cr|Φ20|GB/T3077-1999</t>
        </is>
      </c>
      <c r="E124" s="13" t="inlineStr">
        <is>
          <t xml:space="preserve">物资名称 圆钢;物资简称 圆钢;牌号 40Cr Φ20;直径 Φ;技术标准号 GB/T3077-1999;加工工艺 ;热处理工艺 ;特殊要求 ;规格标准号 </t>
        </is>
      </c>
      <c r="F124" s="12" t="inlineStr">
        <is>
          <t>千克</t>
        </is>
      </c>
      <c r="G124" s="11">
        <f>LEFT(D124,FIND("|",D124,1)-1)</f>
        <v/>
      </c>
      <c r="H124" s="11">
        <f>MID(D124,FIND("|",D124,FIND("|",D124,1))+1,FIND("|",D124,FIND("|",D124,1)+1)-FIND("|",D124,FIND("|",D124,1))-1)</f>
        <v/>
      </c>
      <c r="J124" s="11">
        <f>MID(D124,FIND(";",SUBSTITUTE(D124,"|",REPT(";",LEN(D124)),2))+1,FIND(";",SUBSTITUTE(D124,"|",REPT(";",LEN(D124)),3))-FIND(";",SUBSTITUTE(D124,"|",REPT(";",LEN(D124)),2))-1)</f>
        <v/>
      </c>
      <c r="K124" s="11">
        <f>MID(D124,FIND(";",SUBSTITUTE(D124,"|",REPT(";",LEN(D124)),3))+1,FIND(";",SUBSTITUTE(D124,"|",REPT(";",LEN(D124)),4))-FIND(";",SUBSTITUTE(D124,"|",REPT(";",LEN(D124)),3))-1)</f>
        <v/>
      </c>
      <c r="M124" s="11">
        <f>MID(D124,FIND(";",SUBSTITUTE(D124,"|",REPT(";",LEN(D124)),4))+1,LEN(D124))</f>
        <v/>
      </c>
    </row>
    <row r="125" ht="112" customHeight="1" s="21">
      <c r="A125" s="13" t="inlineStr">
        <is>
          <t>100201</t>
        </is>
      </c>
      <c r="B125" s="13" t="inlineStr">
        <is>
          <t>圆钢</t>
        </is>
      </c>
      <c r="C125" s="13" t="inlineStr">
        <is>
          <t>601605600</t>
        </is>
      </c>
      <c r="D125" s="13" t="inlineStr">
        <is>
          <t>圆钢|圆钢|40Cr|Φ25|GB/T3077-1999</t>
        </is>
      </c>
      <c r="E125" s="13" t="inlineStr">
        <is>
          <t xml:space="preserve">物资名称 圆钢;物资简称 圆钢;牌号 40Cr Φ25;直径 Φ;技术标准号 GB/T3077-1999;加工工艺 ;热处理工艺 ;特殊要求 ;规格标准号 </t>
        </is>
      </c>
      <c r="F125" s="12" t="inlineStr">
        <is>
          <t>千克</t>
        </is>
      </c>
      <c r="G125" s="11">
        <f>LEFT(D125,FIND("|",D125,1)-1)</f>
        <v/>
      </c>
      <c r="H125" s="11">
        <f>MID(D125,FIND("|",D125,FIND("|",D125,1))+1,FIND("|",D125,FIND("|",D125,1)+1)-FIND("|",D125,FIND("|",D125,1))-1)</f>
        <v/>
      </c>
      <c r="J125" s="11">
        <f>MID(D125,FIND(";",SUBSTITUTE(D125,"|",REPT(";",LEN(D125)),2))+1,FIND(";",SUBSTITUTE(D125,"|",REPT(";",LEN(D125)),3))-FIND(";",SUBSTITUTE(D125,"|",REPT(";",LEN(D125)),2))-1)</f>
        <v/>
      </c>
      <c r="K125" s="11">
        <f>MID(D125,FIND(";",SUBSTITUTE(D125,"|",REPT(";",LEN(D125)),3))+1,FIND(";",SUBSTITUTE(D125,"|",REPT(";",LEN(D125)),4))-FIND(";",SUBSTITUTE(D125,"|",REPT(";",LEN(D125)),3))-1)</f>
        <v/>
      </c>
      <c r="M125" s="11">
        <f>MID(D125,FIND(";",SUBSTITUTE(D125,"|",REPT(";",LEN(D125)),4))+1,LEN(D125))</f>
        <v/>
      </c>
    </row>
    <row r="126" ht="112" customHeight="1" s="21">
      <c r="A126" s="13" t="inlineStr">
        <is>
          <t>100201</t>
        </is>
      </c>
      <c r="B126" s="13" t="inlineStr">
        <is>
          <t>圆钢</t>
        </is>
      </c>
      <c r="C126" s="13" t="inlineStr">
        <is>
          <t>601605500</t>
        </is>
      </c>
      <c r="D126" s="13" t="inlineStr">
        <is>
          <t>圆钢|圆钢|40Cr|Φ35|GB/T3077-1999</t>
        </is>
      </c>
      <c r="E126" s="13" t="inlineStr">
        <is>
          <t xml:space="preserve">物资名称 圆钢;物资简称 圆钢;牌号 40Cr Φ35;直径 Φ;技术标准号 GB/T3077-1999;加工工艺 ;热处理工艺 ;特殊要求 ;规格标准号 </t>
        </is>
      </c>
      <c r="F126" s="12" t="inlineStr">
        <is>
          <t>千克</t>
        </is>
      </c>
      <c r="G126" s="11">
        <f>LEFT(D126,FIND("|",D126,1)-1)</f>
        <v/>
      </c>
      <c r="H126" s="11">
        <f>MID(D126,FIND("|",D126,FIND("|",D126,1))+1,FIND("|",D126,FIND("|",D126,1)+1)-FIND("|",D126,FIND("|",D126,1))-1)</f>
        <v/>
      </c>
      <c r="J126" s="11">
        <f>MID(D126,FIND(";",SUBSTITUTE(D126,"|",REPT(";",LEN(D126)),2))+1,FIND(";",SUBSTITUTE(D126,"|",REPT(";",LEN(D126)),3))-FIND(";",SUBSTITUTE(D126,"|",REPT(";",LEN(D126)),2))-1)</f>
        <v/>
      </c>
      <c r="K126" s="11">
        <f>MID(D126,FIND(";",SUBSTITUTE(D126,"|",REPT(";",LEN(D126)),3))+1,FIND(";",SUBSTITUTE(D126,"|",REPT(";",LEN(D126)),4))-FIND(";",SUBSTITUTE(D126,"|",REPT(";",LEN(D126)),3))-1)</f>
        <v/>
      </c>
      <c r="M126" s="11">
        <f>MID(D126,FIND(";",SUBSTITUTE(D126,"|",REPT(";",LEN(D126)),4))+1,LEN(D126))</f>
        <v/>
      </c>
    </row>
    <row r="127" ht="112" customHeight="1" s="21">
      <c r="A127" s="13" t="inlineStr">
        <is>
          <t>100201</t>
        </is>
      </c>
      <c r="B127" s="13" t="inlineStr">
        <is>
          <t>圆钢</t>
        </is>
      </c>
      <c r="C127" s="13" t="inlineStr">
        <is>
          <t>601568400</t>
        </is>
      </c>
      <c r="D127" s="13" t="inlineStr">
        <is>
          <t>不锈钢|不锈钢|2Cr13|130*45*85</t>
        </is>
      </c>
      <c r="E127" s="13" t="inlineStr">
        <is>
          <t xml:space="preserve">物资名称 不锈钢;物资简称 不锈钢;牌号 2Cr13;直径 Φ;技术标准号 130*45*85;加工工艺 ;热处理工艺 ;特殊要求 ;规格标准号 </t>
        </is>
      </c>
      <c r="F127" s="12" t="inlineStr">
        <is>
          <t>千克</t>
        </is>
      </c>
      <c r="G127" s="11">
        <f>LEFT(D127,FIND("|",D127,1)-1)</f>
        <v/>
      </c>
      <c r="H127" s="11">
        <f>MID(D127,FIND("|",D127,FIND("|",D127,1))+1,FIND("|",D127,FIND("|",D127,1)+1)-FIND("|",D127,FIND("|",D127,1))-1)</f>
        <v/>
      </c>
      <c r="J127" s="11">
        <f>MID(D127,FIND(";",SUBSTITUTE(D127,"|",REPT(";",LEN(D127)),2))+1,FIND(";",SUBSTITUTE(D127,"|",REPT(";",LEN(D127)),3))-FIND(";",SUBSTITUTE(D127,"|",REPT(";",LEN(D127)),2))-1)</f>
        <v/>
      </c>
      <c r="M127" s="11">
        <f>MID(D127,FIND(";",SUBSTITUTE(D127,"|",REPT(";",LEN(D127)),3))+1,LEN(D127))</f>
        <v/>
      </c>
    </row>
    <row r="128" ht="112" customHeight="1" s="21">
      <c r="A128" s="13" t="inlineStr">
        <is>
          <t>100201</t>
        </is>
      </c>
      <c r="B128" s="13" t="inlineStr">
        <is>
          <t>圆钢</t>
        </is>
      </c>
      <c r="C128" s="13" t="inlineStr">
        <is>
          <t>601511500</t>
        </is>
      </c>
      <c r="D128" s="13" t="inlineStr">
        <is>
          <t>不锈钢|不锈钢|1Cr18Ni9Ti|Φ130|GJB 2294-1995</t>
        </is>
      </c>
      <c r="E128" s="13" t="inlineStr">
        <is>
          <t xml:space="preserve">物资名称 不锈钢;物资简称 不锈钢;牌号 1Cr18Ni9Ti;直径 Φ130;技术标准号 GJB 2294-1995;加工工艺 ;热处理工艺 ;特殊要求 ;规格标准号 </t>
        </is>
      </c>
      <c r="F128" s="12" t="inlineStr">
        <is>
          <t>千克</t>
        </is>
      </c>
      <c r="G128" s="11">
        <f>LEFT(D128,FIND("|",D128,1)-1)</f>
        <v/>
      </c>
      <c r="H128" s="11">
        <f>MID(D128,FIND("|",D128,FIND("|",D128,1))+1,FIND("|",D128,FIND("|",D128,1)+1)-FIND("|",D128,FIND("|",D128,1))-1)</f>
        <v/>
      </c>
      <c r="J128" s="11">
        <f>MID(D128,FIND(";",SUBSTITUTE(D128,"|",REPT(";",LEN(D128)),2))+1,FIND(";",SUBSTITUTE(D128,"|",REPT(";",LEN(D128)),3))-FIND(";",SUBSTITUTE(D128,"|",REPT(";",LEN(D128)),2))-1)</f>
        <v/>
      </c>
      <c r="K128" s="11">
        <f>MID(D128,FIND(";",SUBSTITUTE(D128,"|",REPT(";",LEN(D128)),3))+1,FIND(";",SUBSTITUTE(D128,"|",REPT(";",LEN(D128)),4))-FIND(";",SUBSTITUTE(D128,"|",REPT(";",LEN(D128)),3))-1)</f>
        <v/>
      </c>
      <c r="M128" s="11">
        <f>MID(D128,FIND(";",SUBSTITUTE(D128,"|",REPT(";",LEN(D128)),4))+1,LEN(D128))</f>
        <v/>
      </c>
    </row>
    <row r="129" ht="126" customHeight="1" s="21">
      <c r="A129" s="13" t="inlineStr">
        <is>
          <t>100201</t>
        </is>
      </c>
      <c r="B129" s="13" t="inlineStr">
        <is>
          <t>圆钢</t>
        </is>
      </c>
      <c r="C129" s="13" t="inlineStr">
        <is>
          <t>601504300</t>
        </is>
      </c>
      <c r="D129" s="13" t="inlineStr">
        <is>
          <t>冷拉高碳铬轴承圆钢|圆钢|GCr15|Φ5.3|GB/T 18254-2002|冷拉</t>
        </is>
      </c>
      <c r="E129" s="13" t="inlineStr">
        <is>
          <t xml:space="preserve">物资名称 冷拉高碳铬轴承圆钢;物资简称 圆钢;牌号 GCr15;直径 Φ5.3;技术标准号 GB/T 18254-2002;加工工艺 冷拉;热处理工艺 ;特殊要求 ;规格标准号 </t>
        </is>
      </c>
      <c r="F129" s="12" t="inlineStr">
        <is>
          <t>千克</t>
        </is>
      </c>
      <c r="G129" s="11">
        <f>LEFT(D129,FIND("|",D129,1)-1)</f>
        <v/>
      </c>
      <c r="H129" s="11">
        <f>MID(D129,FIND("|",D129,FIND("|",D129,1))+1,FIND("|",D129,FIND("|",D129,1)+1)-FIND("|",D129,FIND("|",D129,1))-1)</f>
        <v/>
      </c>
      <c r="J129" s="11">
        <f>MID(D129,FIND(";",SUBSTITUTE(D129,"|",REPT(";",LEN(D129)),2))+1,FIND(";",SUBSTITUTE(D129,"|",REPT(";",LEN(D129)),3))-FIND(";",SUBSTITUTE(D129,"|",REPT(";",LEN(D129)),2))-1)</f>
        <v/>
      </c>
      <c r="K129" s="11">
        <f>MID(D129,FIND(";",SUBSTITUTE(D129,"|",REPT(";",LEN(D129)),3))+1,FIND(";",SUBSTITUTE(D129,"|",REPT(";",LEN(D129)),4))-FIND(";",SUBSTITUTE(D129,"|",REPT(";",LEN(D129)),3))-1)</f>
        <v/>
      </c>
      <c r="M129" s="11">
        <f>MID(D129,FIND(";",SUBSTITUTE(D129,"|",REPT(";",LEN(D129)),4))+1,FIND(";",SUBSTITUTE(D129,"|",REPT(";",LEN(D129)),5))-FIND(";",SUBSTITUTE(D129,"|",REPT(";",LEN(D129)),4))-1)</f>
        <v/>
      </c>
      <c r="O129" s="11">
        <f>MID(D129,FIND(";",SUBSTITUTE(D129,"|",REPT(";",LEN(D129)),5))+1,LEN(D129))</f>
        <v/>
      </c>
    </row>
    <row r="130" ht="126" customHeight="1" s="21">
      <c r="A130" s="13" t="inlineStr">
        <is>
          <t>100201</t>
        </is>
      </c>
      <c r="B130" s="13" t="inlineStr">
        <is>
          <t>圆钢</t>
        </is>
      </c>
      <c r="C130" s="13" t="inlineStr">
        <is>
          <t>601504200</t>
        </is>
      </c>
      <c r="D130" s="13" t="inlineStr">
        <is>
          <t>冷拉高碳铬轴承圆钢|圆钢|GCr15|Φ6.3|GB/T 18254-2002|冷拉</t>
        </is>
      </c>
      <c r="E130" s="13" t="inlineStr">
        <is>
          <t xml:space="preserve">物资名称 冷拉高碳铬轴承圆钢;物资简称 圆钢;牌号 GCr15;直径 Φ6.3;技术标准号 GB/T 18254-2002;加工工艺 冷拉;热处理工艺 ;特殊要求 ;规格标准号 </t>
        </is>
      </c>
      <c r="F130" s="12" t="inlineStr">
        <is>
          <t>千克</t>
        </is>
      </c>
      <c r="G130" s="11">
        <f>LEFT(D130,FIND("|",D130,1)-1)</f>
        <v/>
      </c>
      <c r="H130" s="11">
        <f>MID(D130,FIND("|",D130,FIND("|",D130,1))+1,FIND("|",D130,FIND("|",D130,1)+1)-FIND("|",D130,FIND("|",D130,1))-1)</f>
        <v/>
      </c>
      <c r="J130" s="11">
        <f>MID(D130,FIND(";",SUBSTITUTE(D130,"|",REPT(";",LEN(D130)),2))+1,FIND(";",SUBSTITUTE(D130,"|",REPT(";",LEN(D130)),3))-FIND(";",SUBSTITUTE(D130,"|",REPT(";",LEN(D130)),2))-1)</f>
        <v/>
      </c>
      <c r="K130" s="11">
        <f>MID(D130,FIND(";",SUBSTITUTE(D130,"|",REPT(";",LEN(D130)),3))+1,FIND(";",SUBSTITUTE(D130,"|",REPT(";",LEN(D130)),4))-FIND(";",SUBSTITUTE(D130,"|",REPT(";",LEN(D130)),3))-1)</f>
        <v/>
      </c>
      <c r="M130" s="11">
        <f>MID(D130,FIND(";",SUBSTITUTE(D130,"|",REPT(";",LEN(D130)),4))+1,FIND(";",SUBSTITUTE(D130,"|",REPT(";",LEN(D130)),5))-FIND(";",SUBSTITUTE(D130,"|",REPT(";",LEN(D130)),4))-1)</f>
        <v/>
      </c>
      <c r="O130" s="11">
        <f>MID(D130,FIND(";",SUBSTITUTE(D130,"|",REPT(";",LEN(D130)),5))+1,LEN(D130))</f>
        <v/>
      </c>
    </row>
    <row r="131" ht="126" customHeight="1" s="21">
      <c r="A131" s="13" t="inlineStr">
        <is>
          <t>100201</t>
        </is>
      </c>
      <c r="B131" s="13" t="inlineStr">
        <is>
          <t>圆钢</t>
        </is>
      </c>
      <c r="C131" s="13" t="inlineStr">
        <is>
          <t>601473000</t>
        </is>
      </c>
      <c r="D131" s="13" t="inlineStr">
        <is>
          <t>航空用不锈圆钢|圆钢|1Cr18Ni9Ti|Φ32|GJB 2294-1995</t>
        </is>
      </c>
      <c r="E131" s="13" t="inlineStr">
        <is>
          <t xml:space="preserve">物资名称 航空用不锈圆钢;物资简称 圆钢;牌号 1Cr18Ni9Ti;直径 Φ32;技术标准号 GJB 2294-1995;加工工艺 ;热处理工艺 ;特殊要求 ;规格标准号 </t>
        </is>
      </c>
      <c r="F131" s="12" t="inlineStr">
        <is>
          <t>千克</t>
        </is>
      </c>
      <c r="G131" s="11">
        <f>LEFT(D131,FIND("|",D131,1)-1)</f>
        <v/>
      </c>
      <c r="H131" s="11">
        <f>MID(D131,FIND("|",D131,FIND("|",D131,1))+1,FIND("|",D131,FIND("|",D131,1)+1)-FIND("|",D131,FIND("|",D131,1))-1)</f>
        <v/>
      </c>
      <c r="J131" s="11">
        <f>MID(D131,FIND(";",SUBSTITUTE(D131,"|",REPT(";",LEN(D131)),2))+1,FIND(";",SUBSTITUTE(D131,"|",REPT(";",LEN(D131)),3))-FIND(";",SUBSTITUTE(D131,"|",REPT(";",LEN(D131)),2))-1)</f>
        <v/>
      </c>
      <c r="K131" s="11">
        <f>MID(D131,FIND(";",SUBSTITUTE(D131,"|",REPT(";",LEN(D131)),3))+1,FIND(";",SUBSTITUTE(D131,"|",REPT(";",LEN(D131)),4))-FIND(";",SUBSTITUTE(D131,"|",REPT(";",LEN(D131)),3))-1)</f>
        <v/>
      </c>
      <c r="M131" s="11">
        <f>MID(D131,FIND(";",SUBSTITUTE(D131,"|",REPT(";",LEN(D131)),4))+1,LEN(D131))</f>
        <v/>
      </c>
    </row>
    <row r="132" ht="126" customHeight="1" s="21">
      <c r="A132" s="13" t="inlineStr">
        <is>
          <t>100201</t>
        </is>
      </c>
      <c r="B132" s="13" t="inlineStr">
        <is>
          <t>圆钢</t>
        </is>
      </c>
      <c r="C132" s="13" t="inlineStr">
        <is>
          <t>601472900</t>
        </is>
      </c>
      <c r="D132" s="13" t="inlineStr">
        <is>
          <t>航空用不锈圆钢|圆钢|1Cr18Ni9Ti|Φ95|GJB 2294-1995</t>
        </is>
      </c>
      <c r="E132" s="13" t="inlineStr">
        <is>
          <t xml:space="preserve">物资名称 航空用不锈圆钢;物资简称 圆钢;牌号 1Cr18Ni9Ti;直径 Φ95;技术标准号 GJB 2294-1995;加工工艺 ;热处理工艺 ;特殊要求 ;规格标准号 </t>
        </is>
      </c>
      <c r="F132" s="12" t="inlineStr">
        <is>
          <t>千克</t>
        </is>
      </c>
      <c r="G132" s="11">
        <f>LEFT(D132,FIND("|",D132,1)-1)</f>
        <v/>
      </c>
      <c r="H132" s="11">
        <f>MID(D132,FIND("|",D132,FIND("|",D132,1))+1,FIND("|",D132,FIND("|",D132,1)+1)-FIND("|",D132,FIND("|",D132,1))-1)</f>
        <v/>
      </c>
      <c r="J132" s="11">
        <f>MID(D132,FIND(";",SUBSTITUTE(D132,"|",REPT(";",LEN(D132)),2))+1,FIND(";",SUBSTITUTE(D132,"|",REPT(";",LEN(D132)),3))-FIND(";",SUBSTITUTE(D132,"|",REPT(";",LEN(D132)),2))-1)</f>
        <v/>
      </c>
      <c r="K132" s="11">
        <f>MID(D132,FIND(";",SUBSTITUTE(D132,"|",REPT(";",LEN(D132)),3))+1,FIND(";",SUBSTITUTE(D132,"|",REPT(";",LEN(D132)),4))-FIND(";",SUBSTITUTE(D132,"|",REPT(";",LEN(D132)),3))-1)</f>
        <v/>
      </c>
      <c r="M132" s="11">
        <f>MID(D132,FIND(";",SUBSTITUTE(D132,"|",REPT(";",LEN(D132)),4))+1,LEN(D132))</f>
        <v/>
      </c>
    </row>
    <row r="133" ht="126" customHeight="1" s="21">
      <c r="A133" s="13" t="inlineStr">
        <is>
          <t>100201</t>
        </is>
      </c>
      <c r="B133" s="13" t="inlineStr">
        <is>
          <t>圆钢</t>
        </is>
      </c>
      <c r="C133" s="13" t="inlineStr">
        <is>
          <t>601472800</t>
        </is>
      </c>
      <c r="D133" s="13" t="inlineStr">
        <is>
          <t>航空用不锈圆钢|圆钢|1Cr18Ni9Ti|Φ120|GJB 2294-1995</t>
        </is>
      </c>
      <c r="E133" s="13" t="inlineStr">
        <is>
          <t xml:space="preserve">物资名称 航空用不锈圆钢;物资简称 圆钢;牌号 1Cr18Ni9Ti;直径 Φ120;技术标准号 GJB 2294-1995;加工工艺 ;热处理工艺 ;特殊要求 ;规格标准号 </t>
        </is>
      </c>
      <c r="F133" s="12" t="inlineStr">
        <is>
          <t>千克</t>
        </is>
      </c>
      <c r="G133" s="11">
        <f>LEFT(D133,FIND("|",D133,1)-1)</f>
        <v/>
      </c>
      <c r="H133" s="11">
        <f>MID(D133,FIND("|",D133,FIND("|",D133,1))+1,FIND("|",D133,FIND("|",D133,1)+1)-FIND("|",D133,FIND("|",D133,1))-1)</f>
        <v/>
      </c>
      <c r="J133" s="11">
        <f>MID(D133,FIND(";",SUBSTITUTE(D133,"|",REPT(";",LEN(D133)),2))+1,FIND(";",SUBSTITUTE(D133,"|",REPT(";",LEN(D133)),3))-FIND(";",SUBSTITUTE(D133,"|",REPT(";",LEN(D133)),2))-1)</f>
        <v/>
      </c>
      <c r="K133" s="11">
        <f>MID(D133,FIND(";",SUBSTITUTE(D133,"|",REPT(";",LEN(D133)),3))+1,FIND(";",SUBSTITUTE(D133,"|",REPT(";",LEN(D133)),4))-FIND(";",SUBSTITUTE(D133,"|",REPT(";",LEN(D133)),3))-1)</f>
        <v/>
      </c>
      <c r="M133" s="11">
        <f>MID(D133,FIND(";",SUBSTITUTE(D133,"|",REPT(";",LEN(D133)),4))+1,LEN(D133))</f>
        <v/>
      </c>
    </row>
    <row r="134" ht="112" customHeight="1" s="21">
      <c r="A134" s="13" t="inlineStr">
        <is>
          <t>100201</t>
        </is>
      </c>
      <c r="B134" s="13" t="inlineStr">
        <is>
          <t>圆钢</t>
        </is>
      </c>
      <c r="C134" s="13" t="inlineStr">
        <is>
          <t>601472700</t>
        </is>
      </c>
      <c r="D134" s="13" t="inlineStr">
        <is>
          <t>不锈钢棒|钢棒|1Cr18Ni9|GB/T 1220-1992</t>
        </is>
      </c>
      <c r="E134" s="13" t="inlineStr">
        <is>
          <t xml:space="preserve">物资名称 不锈钢棒;物资简称 钢棒;牌号 1Cr18Ni9;直径 Φ;技术标准号 GB/T 1220-1992;加工工艺 ;热处理工艺 ;特殊要求 ;规格标准号 </t>
        </is>
      </c>
      <c r="F134" s="12" t="inlineStr">
        <is>
          <t>千克</t>
        </is>
      </c>
      <c r="G134" s="11">
        <f>LEFT(D134,FIND("|",D134,1)-1)</f>
        <v/>
      </c>
      <c r="H134" s="11">
        <f>MID(D134,FIND("|",D134,FIND("|",D134,1))+1,FIND("|",D134,FIND("|",D134,1)+1)-FIND("|",D134,FIND("|",D134,1))-1)</f>
        <v/>
      </c>
      <c r="J134" s="11">
        <f>MID(D134,FIND(";",SUBSTITUTE(D134,"|",REPT(";",LEN(D134)),2))+1,FIND(";",SUBSTITUTE(D134,"|",REPT(";",LEN(D134)),3))-FIND(";",SUBSTITUTE(D134,"|",REPT(";",LEN(D134)),2))-1)</f>
        <v/>
      </c>
      <c r="M134" s="11">
        <f>MID(D134,FIND(";",SUBSTITUTE(D134,"|",REPT(";",LEN(D134)),3))+1,LEN(D134))</f>
        <v/>
      </c>
    </row>
    <row r="135" ht="140" customHeight="1" s="21">
      <c r="A135" s="13" t="inlineStr">
        <is>
          <t>100201</t>
        </is>
      </c>
      <c r="B135" s="13" t="inlineStr">
        <is>
          <t>圆钢</t>
        </is>
      </c>
      <c r="C135" s="13" t="inlineStr">
        <is>
          <t>601472600</t>
        </is>
      </c>
      <c r="D135" s="13" t="inlineStr">
        <is>
          <t>锻制优质碳素结构圆钢|圆钢|45|Φ265|GB/T 699-1999|锻制|GB/T 908-2019</t>
        </is>
      </c>
      <c r="E135" s="13" t="inlineStr">
        <is>
          <t>物资名称 锻制优质碳素结构圆钢;物资简称 圆钢;牌号 45;直径 Φ265;技术标准号 GB/T 699-1999;加工工艺 锻制;热处理工艺 ;特殊要求 ;规格标准号 GB/T 908-2019</t>
        </is>
      </c>
      <c r="F135" s="12" t="inlineStr">
        <is>
          <t>千克</t>
        </is>
      </c>
      <c r="G135" s="11">
        <f>LEFT(D135,FIND("|",D135,1)-1)</f>
        <v/>
      </c>
      <c r="H135" s="11">
        <f>MID(D135,FIND("|",D135,FIND("|",D135,1))+1,FIND("|",D135,FIND("|",D135,1)+1)-FIND("|",D135,FIND("|",D135,1))-1)</f>
        <v/>
      </c>
      <c r="J135" s="11">
        <f>MID(D135,FIND(";",SUBSTITUTE(D135,"|",REPT(";",LEN(D135)),2))+1,FIND(";",SUBSTITUTE(D135,"|",REPT(";",LEN(D135)),3))-FIND(";",SUBSTITUTE(D135,"|",REPT(";",LEN(D135)),2))-1)</f>
        <v/>
      </c>
      <c r="K135" s="11">
        <f>MID(D135,FIND(";",SUBSTITUTE(D135,"|",REPT(";",LEN(D135)),3))+1,FIND(";",SUBSTITUTE(D135,"|",REPT(";",LEN(D135)),4))-FIND(";",SUBSTITUTE(D135,"|",REPT(";",LEN(D135)),3))-1)</f>
        <v/>
      </c>
      <c r="M135" s="11">
        <f>MID(D135,FIND(";",SUBSTITUTE(D135,"|",REPT(";",LEN(D135)),4))+1,FIND(";",SUBSTITUTE(D135,"|",REPT(";",LEN(D135)),5))-FIND(";",SUBSTITUTE(D135,"|",REPT(";",LEN(D135)),4))-1)</f>
        <v/>
      </c>
      <c r="N135" s="11">
        <f>MID(D135,FIND(";",SUBSTITUTE(D135,"|",REPT(";",LEN(D135)),6))+1,LEN(D135))</f>
        <v/>
      </c>
      <c r="O135" s="11">
        <f>MID(D135,FIND(";",SUBSTITUTE(D135,"|",REPT(";",LEN(D135)),5))+1,FIND(";",SUBSTITUTE(D135,"|",REPT(";",LEN(D135)),6))-FIND(";",SUBSTITUTE(D135,"|",REPT(";",LEN(D135)),5))-1)</f>
        <v/>
      </c>
    </row>
    <row r="136" ht="126" customHeight="1" s="21">
      <c r="A136" s="13" t="inlineStr">
        <is>
          <t>100201</t>
        </is>
      </c>
      <c r="B136" s="13" t="inlineStr">
        <is>
          <t>圆钢</t>
        </is>
      </c>
      <c r="C136" s="13" t="inlineStr">
        <is>
          <t>601464700</t>
        </is>
      </c>
      <c r="D136" s="13" t="inlineStr">
        <is>
          <t>热轧不锈圆钢|圆钢|1Cr18Ni9|Φ5|GB/T 1220-1992|热轧|GB/T 702-2008</t>
        </is>
      </c>
      <c r="E136" s="13" t="inlineStr">
        <is>
          <t>物资名称 热轧不锈圆钢;物资简称 圆钢;牌号 1Cr18Ni9;直径 Φ5;技术标准号 GB/T 1220-1992;加工工艺 热轧;热处理工艺 ;特殊要求 ;规格标准号 GB/T 702-2008</t>
        </is>
      </c>
      <c r="F136" s="12" t="inlineStr">
        <is>
          <t>千克</t>
        </is>
      </c>
      <c r="G136" s="11">
        <f>LEFT(D136,FIND("|",D136,1)-1)</f>
        <v/>
      </c>
      <c r="H136" s="11">
        <f>MID(D136,FIND("|",D136,FIND("|",D136,1))+1,FIND("|",D136,FIND("|",D136,1)+1)-FIND("|",D136,FIND("|",D136,1))-1)</f>
        <v/>
      </c>
      <c r="J136" s="11">
        <f>MID(D136,FIND(";",SUBSTITUTE(D136,"|",REPT(";",LEN(D136)),2))+1,FIND(";",SUBSTITUTE(D136,"|",REPT(";",LEN(D136)),3))-FIND(";",SUBSTITUTE(D136,"|",REPT(";",LEN(D136)),2))-1)</f>
        <v/>
      </c>
      <c r="K136" s="11">
        <f>MID(D136,FIND(";",SUBSTITUTE(D136,"|",REPT(";",LEN(D136)),3))+1,FIND(";",SUBSTITUTE(D136,"|",REPT(";",LEN(D136)),4))-FIND(";",SUBSTITUTE(D136,"|",REPT(";",LEN(D136)),3))-1)</f>
        <v/>
      </c>
      <c r="M136" s="11">
        <f>MID(D136,FIND(";",SUBSTITUTE(D136,"|",REPT(";",LEN(D136)),4))+1,FIND(";",SUBSTITUTE(D136,"|",REPT(";",LEN(D136)),5))-FIND(";",SUBSTITUTE(D136,"|",REPT(";",LEN(D136)),4))-1)</f>
        <v/>
      </c>
      <c r="N136" s="11">
        <f>MID(D136,FIND(";",SUBSTITUTE(D136,"|",REPT(";",LEN(D136)),6))+1,LEN(D136))</f>
        <v/>
      </c>
      <c r="O136" s="11">
        <f>MID(D136,FIND(";",SUBSTITUTE(D136,"|",REPT(";",LEN(D136)),5))+1,FIND(";",SUBSTITUTE(D136,"|",REPT(";",LEN(D136)),6))-FIND(";",SUBSTITUTE(D136,"|",REPT(";",LEN(D136)),5))-1)</f>
        <v/>
      </c>
    </row>
    <row r="137" ht="98" customHeight="1" s="21">
      <c r="A137" s="13" t="inlineStr">
        <is>
          <t>100201</t>
        </is>
      </c>
      <c r="B137" s="13" t="inlineStr">
        <is>
          <t>圆钢</t>
        </is>
      </c>
      <c r="C137" s="13" t="inlineStr">
        <is>
          <t>601438400</t>
        </is>
      </c>
      <c r="D137" s="13" t="inlineStr">
        <is>
          <t>不锈圆钢|圆钢|304|φ180|空</t>
        </is>
      </c>
      <c r="E137" s="13" t="inlineStr">
        <is>
          <t xml:space="preserve">物资名称 不锈圆钢;物资简称 圆钢;牌号 304;直径 φ180;技术标准号 空;加工工艺 ;热处理工艺 ;特殊要求 ;规格标准号 </t>
        </is>
      </c>
      <c r="F137" s="12" t="inlineStr">
        <is>
          <t>千克</t>
        </is>
      </c>
      <c r="G137" s="11">
        <f>LEFT(D137,FIND("|",D137,1)-1)</f>
        <v/>
      </c>
      <c r="H137" s="11">
        <f>MID(D137,FIND("|",D137,FIND("|",D137,1))+1,FIND("|",D137,FIND("|",D137,1)+1)-FIND("|",D137,FIND("|",D137,1))-1)</f>
        <v/>
      </c>
      <c r="J137" s="11">
        <f>MID(D137,FIND(";",SUBSTITUTE(D137,"|",REPT(";",LEN(D137)),2))+1,FIND(";",SUBSTITUTE(D137,"|",REPT(";",LEN(D137)),3))-FIND(";",SUBSTITUTE(D137,"|",REPT(";",LEN(D137)),2))-1)</f>
        <v/>
      </c>
      <c r="K137" s="11">
        <f>MID(D137,FIND(";",SUBSTITUTE(D137,"|",REPT(";",LEN(D137)),3))+1,FIND(";",SUBSTITUTE(D137,"|",REPT(";",LEN(D137)),4))-FIND(";",SUBSTITUTE(D137,"|",REPT(";",LEN(D137)),3))-1)</f>
        <v/>
      </c>
      <c r="M137" s="11">
        <f>MID(D137,FIND(";",SUBSTITUTE(D137,"|",REPT(";",LEN(D137)),4))+1,LEN(D137))</f>
        <v/>
      </c>
    </row>
    <row r="138" ht="98" customHeight="1" s="21">
      <c r="A138" s="13" t="inlineStr">
        <is>
          <t>100201</t>
        </is>
      </c>
      <c r="B138" s="13" t="inlineStr">
        <is>
          <t>圆钢</t>
        </is>
      </c>
      <c r="C138" s="13" t="inlineStr">
        <is>
          <t>601438300</t>
        </is>
      </c>
      <c r="D138" s="13" t="inlineStr">
        <is>
          <t>不锈圆钢|圆钢|304|φ260|空</t>
        </is>
      </c>
      <c r="E138" s="13" t="inlineStr">
        <is>
          <t xml:space="preserve">物资名称 不锈圆钢;物资简称 圆钢;牌号 304;直径 φ260;技术标准号 空;加工工艺 ;热处理工艺 ;特殊要求 ;规格标准号 </t>
        </is>
      </c>
      <c r="F138" s="12" t="inlineStr">
        <is>
          <t>千克</t>
        </is>
      </c>
      <c r="G138" s="11">
        <f>LEFT(D138,FIND("|",D138,1)-1)</f>
        <v/>
      </c>
      <c r="H138" s="11">
        <f>MID(D138,FIND("|",D138,FIND("|",D138,1))+1,FIND("|",D138,FIND("|",D138,1)+1)-FIND("|",D138,FIND("|",D138,1))-1)</f>
        <v/>
      </c>
      <c r="J138" s="11">
        <f>MID(D138,FIND(";",SUBSTITUTE(D138,"|",REPT(";",LEN(D138)),2))+1,FIND(";",SUBSTITUTE(D138,"|",REPT(";",LEN(D138)),3))-FIND(";",SUBSTITUTE(D138,"|",REPT(";",LEN(D138)),2))-1)</f>
        <v/>
      </c>
      <c r="K138" s="11">
        <f>MID(D138,FIND(";",SUBSTITUTE(D138,"|",REPT(";",LEN(D138)),3))+1,FIND(";",SUBSTITUTE(D138,"|",REPT(";",LEN(D138)),4))-FIND(";",SUBSTITUTE(D138,"|",REPT(";",LEN(D138)),3))-1)</f>
        <v/>
      </c>
      <c r="M138" s="11">
        <f>MID(D138,FIND(";",SUBSTITUTE(D138,"|",REPT(";",LEN(D138)),4))+1,LEN(D138))</f>
        <v/>
      </c>
    </row>
    <row r="139" ht="98" customHeight="1" s="21">
      <c r="A139" s="13" t="inlineStr">
        <is>
          <t>100201</t>
        </is>
      </c>
      <c r="B139" s="13" t="inlineStr">
        <is>
          <t>圆钢</t>
        </is>
      </c>
      <c r="C139" s="13" t="inlineStr">
        <is>
          <t>601438200</t>
        </is>
      </c>
      <c r="D139" s="13" t="inlineStr">
        <is>
          <t>不锈圆钢|圆钢|304|φ270|空</t>
        </is>
      </c>
      <c r="E139" s="13" t="inlineStr">
        <is>
          <t xml:space="preserve">物资名称 不锈圆钢;物资简称 圆钢;牌号 304;直径 φ270;技术标准号 空;加工工艺 ;热处理工艺 ;特殊要求 ;规格标准号 </t>
        </is>
      </c>
      <c r="F139" s="12" t="inlineStr">
        <is>
          <t>千克</t>
        </is>
      </c>
      <c r="G139" s="11">
        <f>LEFT(D139,FIND("|",D139,1)-1)</f>
        <v/>
      </c>
      <c r="H139" s="11">
        <f>MID(D139,FIND("|",D139,FIND("|",D139,1))+1,FIND("|",D139,FIND("|",D139,1)+1)-FIND("|",D139,FIND("|",D139,1))-1)</f>
        <v/>
      </c>
      <c r="J139" s="11">
        <f>MID(D139,FIND(";",SUBSTITUTE(D139,"|",REPT(";",LEN(D139)),2))+1,FIND(";",SUBSTITUTE(D139,"|",REPT(";",LEN(D139)),3))-FIND(";",SUBSTITUTE(D139,"|",REPT(";",LEN(D139)),2))-1)</f>
        <v/>
      </c>
      <c r="K139" s="11">
        <f>MID(D139,FIND(";",SUBSTITUTE(D139,"|",REPT(";",LEN(D139)),3))+1,FIND(";",SUBSTITUTE(D139,"|",REPT(";",LEN(D139)),4))-FIND(";",SUBSTITUTE(D139,"|",REPT(";",LEN(D139)),3))-1)</f>
        <v/>
      </c>
      <c r="M139" s="11">
        <f>MID(D139,FIND(";",SUBSTITUTE(D139,"|",REPT(";",LEN(D139)),4))+1,LEN(D139))</f>
        <v/>
      </c>
    </row>
    <row r="140" ht="98" customHeight="1" s="21">
      <c r="A140" s="13" t="inlineStr">
        <is>
          <t>100201</t>
        </is>
      </c>
      <c r="B140" s="13" t="inlineStr">
        <is>
          <t>圆钢</t>
        </is>
      </c>
      <c r="C140" s="13" t="inlineStr">
        <is>
          <t>601438100</t>
        </is>
      </c>
      <c r="D140" s="13" t="inlineStr">
        <is>
          <t>不锈圆钢|圆钢|304|φ300|空</t>
        </is>
      </c>
      <c r="E140" s="13" t="inlineStr">
        <is>
          <t xml:space="preserve">物资名称 不锈圆钢;物资简称 圆钢;牌号 304;直径 φ300;技术标准号 空;加工工艺 ;热处理工艺 ;特殊要求 ;规格标准号 </t>
        </is>
      </c>
      <c r="F140" s="12" t="inlineStr">
        <is>
          <t>千克</t>
        </is>
      </c>
      <c r="G140" s="11">
        <f>LEFT(D140,FIND("|",D140,1)-1)</f>
        <v/>
      </c>
      <c r="H140" s="11">
        <f>MID(D140,FIND("|",D140,FIND("|",D140,1))+1,FIND("|",D140,FIND("|",D140,1)+1)-FIND("|",D140,FIND("|",D140,1))-1)</f>
        <v/>
      </c>
      <c r="J140" s="11">
        <f>MID(D140,FIND(";",SUBSTITUTE(D140,"|",REPT(";",LEN(D140)),2))+1,FIND(";",SUBSTITUTE(D140,"|",REPT(";",LEN(D140)),3))-FIND(";",SUBSTITUTE(D140,"|",REPT(";",LEN(D140)),2))-1)</f>
        <v/>
      </c>
      <c r="K140" s="11">
        <f>MID(D140,FIND(";",SUBSTITUTE(D140,"|",REPT(";",LEN(D140)),3))+1,FIND(";",SUBSTITUTE(D140,"|",REPT(";",LEN(D140)),4))-FIND(";",SUBSTITUTE(D140,"|",REPT(";",LEN(D140)),3))-1)</f>
        <v/>
      </c>
      <c r="M140" s="11">
        <f>MID(D140,FIND(";",SUBSTITUTE(D140,"|",REPT(";",LEN(D140)),4))+1,LEN(D140))</f>
        <v/>
      </c>
    </row>
    <row r="141" ht="126" customHeight="1" s="21">
      <c r="A141" s="13" t="inlineStr">
        <is>
          <t>100201</t>
        </is>
      </c>
      <c r="B141" s="13" t="inlineStr">
        <is>
          <t>圆钢</t>
        </is>
      </c>
      <c r="C141" s="13" t="inlineStr">
        <is>
          <t>601438000</t>
        </is>
      </c>
      <c r="D141" s="13" t="inlineStr">
        <is>
          <t>航空用优质结构钢棒|圆钢|38CrMoAlA|φ35|GJB 1951-1994</t>
        </is>
      </c>
      <c r="E141" s="13" t="inlineStr">
        <is>
          <t xml:space="preserve">物资名称 航空用优质结构钢棒;物资简称 圆钢;牌号 38CrMoAlA;直径 φ35;技术标准号 GJB 1951-1994;加工工艺 ;热处理工艺 ;特殊要求 ;规格标准号 </t>
        </is>
      </c>
      <c r="F141" s="12" t="inlineStr">
        <is>
          <t>千克</t>
        </is>
      </c>
      <c r="G141" s="11">
        <f>LEFT(D141,FIND("|",D141,1)-1)</f>
        <v/>
      </c>
      <c r="H141" s="11">
        <f>MID(D141,FIND("|",D141,FIND("|",D141,1))+1,FIND("|",D141,FIND("|",D141,1)+1)-FIND("|",D141,FIND("|",D141,1))-1)</f>
        <v/>
      </c>
      <c r="J141" s="11">
        <f>MID(D141,FIND(";",SUBSTITUTE(D141,"|",REPT(";",LEN(D141)),2))+1,FIND(";",SUBSTITUTE(D141,"|",REPT(";",LEN(D141)),3))-FIND(";",SUBSTITUTE(D141,"|",REPT(";",LEN(D141)),2))-1)</f>
        <v/>
      </c>
      <c r="K141" s="11">
        <f>MID(D141,FIND(";",SUBSTITUTE(D141,"|",REPT(";",LEN(D141)),3))+1,FIND(";",SUBSTITUTE(D141,"|",REPT(";",LEN(D141)),4))-FIND(";",SUBSTITUTE(D141,"|",REPT(";",LEN(D141)),3))-1)</f>
        <v/>
      </c>
      <c r="M141" s="11">
        <f>MID(D141,FIND(";",SUBSTITUTE(D141,"|",REPT(";",LEN(D141)),4))+1,LEN(D141))</f>
        <v/>
      </c>
    </row>
    <row r="142" ht="126" customHeight="1" s="21">
      <c r="A142" s="13" t="inlineStr">
        <is>
          <t>100201</t>
        </is>
      </c>
      <c r="B142" s="13" t="inlineStr">
        <is>
          <t>圆钢</t>
        </is>
      </c>
      <c r="C142" s="13" t="inlineStr">
        <is>
          <t>601437900</t>
        </is>
      </c>
      <c r="D142" s="13" t="inlineStr">
        <is>
          <t>航空用不锈圆钢|圆钢|1Cr18Ni9Ti|φ12|GJB 2294-1995</t>
        </is>
      </c>
      <c r="E142" s="13" t="inlineStr">
        <is>
          <t xml:space="preserve">物资名称 航空用不锈圆钢;物资简称 圆钢;牌号 1Cr18Ni9Ti;直径 φ12;技术标准号 GJB 2294-1995;加工工艺 ;热处理工艺 ;特殊要求 ;规格标准号 </t>
        </is>
      </c>
      <c r="F142" s="12" t="inlineStr">
        <is>
          <t>千克</t>
        </is>
      </c>
      <c r="G142" s="11">
        <f>LEFT(D142,FIND("|",D142,1)-1)</f>
        <v/>
      </c>
      <c r="H142" s="11">
        <f>MID(D142,FIND("|",D142,FIND("|",D142,1))+1,FIND("|",D142,FIND("|",D142,1)+1)-FIND("|",D142,FIND("|",D142,1))-1)</f>
        <v/>
      </c>
      <c r="J142" s="11">
        <f>MID(D142,FIND(";",SUBSTITUTE(D142,"|",REPT(";",LEN(D142)),2))+1,FIND(";",SUBSTITUTE(D142,"|",REPT(";",LEN(D142)),3))-FIND(";",SUBSTITUTE(D142,"|",REPT(";",LEN(D142)),2))-1)</f>
        <v/>
      </c>
      <c r="K142" s="11">
        <f>MID(D142,FIND(";",SUBSTITUTE(D142,"|",REPT(";",LEN(D142)),3))+1,FIND(";",SUBSTITUTE(D142,"|",REPT(";",LEN(D142)),4))-FIND(";",SUBSTITUTE(D142,"|",REPT(";",LEN(D142)),3))-1)</f>
        <v/>
      </c>
      <c r="M142" s="11">
        <f>MID(D142,FIND(";",SUBSTITUTE(D142,"|",REPT(";",LEN(D142)),4))+1,LEN(D142))</f>
        <v/>
      </c>
    </row>
    <row r="143" ht="112" customHeight="1" s="21">
      <c r="A143" s="13" t="inlineStr">
        <is>
          <t>100201</t>
        </is>
      </c>
      <c r="B143" s="13" t="inlineStr">
        <is>
          <t>圆钢</t>
        </is>
      </c>
      <c r="C143" s="13" t="inlineStr">
        <is>
          <t>601437800</t>
        </is>
      </c>
      <c r="D143" s="13" t="inlineStr">
        <is>
          <t>合金结构圆钢|圆钢|30CrMnSiA|φ320|空</t>
        </is>
      </c>
      <c r="E143" s="13" t="inlineStr">
        <is>
          <t xml:space="preserve">物资名称 合金结构圆钢;物资简称 圆钢;牌号 30CrMnSiA;直径 φ320;技术标准号 空;加工工艺 ;热处理工艺 ;特殊要求 ;规格标准号 </t>
        </is>
      </c>
      <c r="F143" s="12" t="inlineStr">
        <is>
          <t>千克</t>
        </is>
      </c>
      <c r="G143" s="11">
        <f>LEFT(D143,FIND("|",D143,1)-1)</f>
        <v/>
      </c>
      <c r="H143" s="11">
        <f>MID(D143,FIND("|",D143,FIND("|",D143,1))+1,FIND("|",D143,FIND("|",D143,1)+1)-FIND("|",D143,FIND("|",D143,1))-1)</f>
        <v/>
      </c>
      <c r="J143" s="11">
        <f>MID(D143,FIND(";",SUBSTITUTE(D143,"|",REPT(";",LEN(D143)),2))+1,FIND(";",SUBSTITUTE(D143,"|",REPT(";",LEN(D143)),3))-FIND(";",SUBSTITUTE(D143,"|",REPT(";",LEN(D143)),2))-1)</f>
        <v/>
      </c>
      <c r="K143" s="11">
        <f>MID(D143,FIND(";",SUBSTITUTE(D143,"|",REPT(";",LEN(D143)),3))+1,FIND(";",SUBSTITUTE(D143,"|",REPT(";",LEN(D143)),4))-FIND(";",SUBSTITUTE(D143,"|",REPT(";",LEN(D143)),3))-1)</f>
        <v/>
      </c>
      <c r="M143" s="11">
        <f>MID(D143,FIND(";",SUBSTITUTE(D143,"|",REPT(";",LEN(D143)),4))+1,LEN(D143))</f>
        <v/>
      </c>
    </row>
    <row r="144" ht="126" customHeight="1" s="21">
      <c r="A144" s="13" t="inlineStr">
        <is>
          <t>100201</t>
        </is>
      </c>
      <c r="B144" s="13" t="inlineStr">
        <is>
          <t>圆钢</t>
        </is>
      </c>
      <c r="C144" s="13" t="inlineStr">
        <is>
          <t>601432200</t>
        </is>
      </c>
      <c r="D144" s="13" t="inlineStr">
        <is>
          <t>航空航天用超高强度钢钢棒|圆钢|45CrNiMo1VA|GJB 5063-2001</t>
        </is>
      </c>
      <c r="E144" s="13" t="inlineStr">
        <is>
          <t xml:space="preserve">物资名称 航空航天用超高强度钢钢棒;物资简称 圆钢;牌号 45CrNiMo1VA;直径 Φ;技术标准号 GJB 5063-2001;加工工艺 ;热处理工艺 ;特殊要求 ;规格标准号 </t>
        </is>
      </c>
      <c r="F144" s="12" t="inlineStr">
        <is>
          <t>千克</t>
        </is>
      </c>
      <c r="G144" s="11">
        <f>LEFT(D144,FIND("|",D144,1)-1)</f>
        <v/>
      </c>
      <c r="H144" s="11">
        <f>MID(D144,FIND("|",D144,FIND("|",D144,1))+1,FIND("|",D144,FIND("|",D144,1)+1)-FIND("|",D144,FIND("|",D144,1))-1)</f>
        <v/>
      </c>
      <c r="J144" s="11">
        <f>MID(D144,FIND(";",SUBSTITUTE(D144,"|",REPT(";",LEN(D144)),2))+1,FIND(";",SUBSTITUTE(D144,"|",REPT(";",LEN(D144)),3))-FIND(";",SUBSTITUTE(D144,"|",REPT(";",LEN(D144)),2))-1)</f>
        <v/>
      </c>
      <c r="M144" s="11">
        <f>MID(D144,FIND(";",SUBSTITUTE(D144,"|",REPT(";",LEN(D144)),3))+1,LEN(D144))</f>
        <v/>
      </c>
    </row>
    <row r="145" ht="126" customHeight="1" s="21">
      <c r="A145" s="13" t="inlineStr">
        <is>
          <t>100201</t>
        </is>
      </c>
      <c r="B145" s="13" t="inlineStr">
        <is>
          <t>圆钢</t>
        </is>
      </c>
      <c r="C145" s="13" t="inlineStr">
        <is>
          <t>601346800</t>
        </is>
      </c>
      <c r="D145" s="13" t="inlineStr">
        <is>
          <t>航空用不锈圆钢|圆钢|1Cr18Ni9Ti|Φ60|GJB 2294-1995</t>
        </is>
      </c>
      <c r="E145" s="13" t="inlineStr">
        <is>
          <t xml:space="preserve">物资名称 航空用不锈圆钢;物资简称 圆钢;牌号 1Cr18Ni9Ti;直径 Φ60;技术标准号 GJB 2294-1995;加工工艺 ;热处理工艺 ;特殊要求 ;规格标准号 </t>
        </is>
      </c>
      <c r="F145" s="12" t="inlineStr">
        <is>
          <t>千克</t>
        </is>
      </c>
      <c r="G145" s="11">
        <f>LEFT(D145,FIND("|",D145,1)-1)</f>
        <v/>
      </c>
      <c r="H145" s="11">
        <f>MID(D145,FIND("|",D145,FIND("|",D145,1))+1,FIND("|",D145,FIND("|",D145,1)+1)-FIND("|",D145,FIND("|",D145,1))-1)</f>
        <v/>
      </c>
      <c r="J145" s="11">
        <f>MID(D145,FIND(";",SUBSTITUTE(D145,"|",REPT(";",LEN(D145)),2))+1,FIND(";",SUBSTITUTE(D145,"|",REPT(";",LEN(D145)),3))-FIND(";",SUBSTITUTE(D145,"|",REPT(";",LEN(D145)),2))-1)</f>
        <v/>
      </c>
      <c r="K145" s="11">
        <f>MID(D145,FIND(";",SUBSTITUTE(D145,"|",REPT(";",LEN(D145)),3))+1,FIND(";",SUBSTITUTE(D145,"|",REPT(";",LEN(D145)),4))-FIND(";",SUBSTITUTE(D145,"|",REPT(";",LEN(D145)),3))-1)</f>
        <v/>
      </c>
      <c r="M145" s="11">
        <f>MID(D145,FIND(";",SUBSTITUTE(D145,"|",REPT(";",LEN(D145)),4))+1,LEN(D145))</f>
        <v/>
      </c>
    </row>
    <row r="146" ht="112" customHeight="1" s="21">
      <c r="A146" s="13" t="inlineStr">
        <is>
          <t>100201</t>
        </is>
      </c>
      <c r="B146" s="13" t="inlineStr">
        <is>
          <t>圆钢</t>
        </is>
      </c>
      <c r="C146" s="13" t="inlineStr">
        <is>
          <t>601346700</t>
        </is>
      </c>
      <c r="D146" s="13" t="inlineStr">
        <is>
          <t>合金结构圆钢|圆钢|30CrMnSiA|Φ100|空</t>
        </is>
      </c>
      <c r="E146" s="13" t="inlineStr">
        <is>
          <t xml:space="preserve">物资名称 合金结构圆钢;物资简称 圆钢;牌号 30CrMnSiA;直径 Φ100;技术标准号 空;加工工艺 ;热处理工艺 ;特殊要求 ;规格标准号 </t>
        </is>
      </c>
      <c r="F146" s="12" t="inlineStr">
        <is>
          <t>千克</t>
        </is>
      </c>
      <c r="G146" s="11">
        <f>LEFT(D146,FIND("|",D146,1)-1)</f>
        <v/>
      </c>
      <c r="H146" s="11">
        <f>MID(D146,FIND("|",D146,FIND("|",D146,1))+1,FIND("|",D146,FIND("|",D146,1)+1)-FIND("|",D146,FIND("|",D146,1))-1)</f>
        <v/>
      </c>
      <c r="J146" s="11">
        <f>MID(D146,FIND(";",SUBSTITUTE(D146,"|",REPT(";",LEN(D146)),2))+1,FIND(";",SUBSTITUTE(D146,"|",REPT(";",LEN(D146)),3))-FIND(";",SUBSTITUTE(D146,"|",REPT(";",LEN(D146)),2))-1)</f>
        <v/>
      </c>
      <c r="K146" s="11">
        <f>MID(D146,FIND(";",SUBSTITUTE(D146,"|",REPT(";",LEN(D146)),3))+1,FIND(";",SUBSTITUTE(D146,"|",REPT(";",LEN(D146)),4))-FIND(";",SUBSTITUTE(D146,"|",REPT(";",LEN(D146)),3))-1)</f>
        <v/>
      </c>
      <c r="M146" s="11">
        <f>MID(D146,FIND(";",SUBSTITUTE(D146,"|",REPT(";",LEN(D146)),4))+1,LEN(D146))</f>
        <v/>
      </c>
    </row>
    <row r="147" ht="98" customHeight="1" s="21">
      <c r="A147" s="13" t="inlineStr">
        <is>
          <t>100201</t>
        </is>
      </c>
      <c r="B147" s="13" t="inlineStr">
        <is>
          <t>圆钢</t>
        </is>
      </c>
      <c r="C147" s="13" t="inlineStr">
        <is>
          <t>601328900</t>
        </is>
      </c>
      <c r="D147" s="13" t="inlineStr">
        <is>
          <t>合金结构圆钢|圆钢|40Cr|Φ35|空</t>
        </is>
      </c>
      <c r="E147" s="13" t="inlineStr">
        <is>
          <t xml:space="preserve">物资名称 合金结构圆钢;物资简称 圆钢;牌号 40Cr;直径 Φ35;技术标准号 空;加工工艺 ;热处理工艺 ;特殊要求 ;规格标准号 </t>
        </is>
      </c>
      <c r="F147" s="12" t="inlineStr">
        <is>
          <t>千克</t>
        </is>
      </c>
      <c r="G147" s="11">
        <f>LEFT(D147,FIND("|",D147,1)-1)</f>
        <v/>
      </c>
      <c r="H147" s="11">
        <f>MID(D147,FIND("|",D147,FIND("|",D147,1))+1,FIND("|",D147,FIND("|",D147,1)+1)-FIND("|",D147,FIND("|",D147,1))-1)</f>
        <v/>
      </c>
      <c r="J147" s="11">
        <f>MID(D147,FIND(";",SUBSTITUTE(D147,"|",REPT(";",LEN(D147)),2))+1,FIND(";",SUBSTITUTE(D147,"|",REPT(";",LEN(D147)),3))-FIND(";",SUBSTITUTE(D147,"|",REPT(";",LEN(D147)),2))-1)</f>
        <v/>
      </c>
      <c r="K147" s="11">
        <f>MID(D147,FIND(";",SUBSTITUTE(D147,"|",REPT(";",LEN(D147)),3))+1,FIND(";",SUBSTITUTE(D147,"|",REPT(";",LEN(D147)),4))-FIND(";",SUBSTITUTE(D147,"|",REPT(";",LEN(D147)),3))-1)</f>
        <v/>
      </c>
      <c r="M147" s="11">
        <f>MID(D147,FIND(";",SUBSTITUTE(D147,"|",REPT(";",LEN(D147)),4))+1,LEN(D147))</f>
        <v/>
      </c>
    </row>
    <row r="148" ht="98" customHeight="1" s="21">
      <c r="A148" s="13" t="inlineStr">
        <is>
          <t>100201</t>
        </is>
      </c>
      <c r="B148" s="13" t="inlineStr">
        <is>
          <t>圆钢</t>
        </is>
      </c>
      <c r="C148" s="13" t="inlineStr">
        <is>
          <t>601328800</t>
        </is>
      </c>
      <c r="D148" s="13" t="inlineStr">
        <is>
          <t>不锈圆钢|圆钢|9Cr18|Φ35|空</t>
        </is>
      </c>
      <c r="E148" s="13" t="inlineStr">
        <is>
          <t xml:space="preserve">物资名称 不锈圆钢;物资简称 圆钢;牌号 9Cr18;直径 Φ35;技术标准号 空;加工工艺 ;热处理工艺 ;特殊要求 ;规格标准号 </t>
        </is>
      </c>
      <c r="F148" s="12" t="inlineStr">
        <is>
          <t>千克</t>
        </is>
      </c>
      <c r="G148" s="11">
        <f>LEFT(D148,FIND("|",D148,1)-1)</f>
        <v/>
      </c>
      <c r="H148" s="11">
        <f>MID(D148,FIND("|",D148,FIND("|",D148,1))+1,FIND("|",D148,FIND("|",D148,1)+1)-FIND("|",D148,FIND("|",D148,1))-1)</f>
        <v/>
      </c>
      <c r="J148" s="11">
        <f>MID(D148,FIND(";",SUBSTITUTE(D148,"|",REPT(";",LEN(D148)),2))+1,FIND(";",SUBSTITUTE(D148,"|",REPT(";",LEN(D148)),3))-FIND(";",SUBSTITUTE(D148,"|",REPT(";",LEN(D148)),2))-1)</f>
        <v/>
      </c>
      <c r="K148" s="11">
        <f>MID(D148,FIND(";",SUBSTITUTE(D148,"|",REPT(";",LEN(D148)),3))+1,FIND(";",SUBSTITUTE(D148,"|",REPT(";",LEN(D148)),4))-FIND(";",SUBSTITUTE(D148,"|",REPT(";",LEN(D148)),3))-1)</f>
        <v/>
      </c>
      <c r="M148" s="11">
        <f>MID(D148,FIND(";",SUBSTITUTE(D148,"|",REPT(";",LEN(D148)),4))+1,LEN(D148))</f>
        <v/>
      </c>
    </row>
    <row r="149" ht="98" customHeight="1" s="21">
      <c r="A149" s="13" t="inlineStr">
        <is>
          <t>100201</t>
        </is>
      </c>
      <c r="B149" s="13" t="inlineStr">
        <is>
          <t>圆钢</t>
        </is>
      </c>
      <c r="C149" s="13" t="inlineStr">
        <is>
          <t>601328700</t>
        </is>
      </c>
      <c r="D149" s="13" t="inlineStr">
        <is>
          <t>不锈圆钢|圆钢|2Cr13Ni2|Φ10|空</t>
        </is>
      </c>
      <c r="E149" s="13" t="inlineStr">
        <is>
          <t xml:space="preserve">物资名称 不锈圆钢;物资简称 圆钢;牌号 2Cr13Ni2;直径 Φ10;技术标准号 空;加工工艺 ;热处理工艺 ;特殊要求 ;规格标准号 </t>
        </is>
      </c>
      <c r="F149" s="12" t="inlineStr">
        <is>
          <t>千克</t>
        </is>
      </c>
      <c r="G149" s="11">
        <f>LEFT(D149,FIND("|",D149,1)-1)</f>
        <v/>
      </c>
      <c r="H149" s="11">
        <f>MID(D149,FIND("|",D149,FIND("|",D149,1))+1,FIND("|",D149,FIND("|",D149,1)+1)-FIND("|",D149,FIND("|",D149,1))-1)</f>
        <v/>
      </c>
      <c r="J149" s="11">
        <f>MID(D149,FIND(";",SUBSTITUTE(D149,"|",REPT(";",LEN(D149)),2))+1,FIND(";",SUBSTITUTE(D149,"|",REPT(";",LEN(D149)),3))-FIND(";",SUBSTITUTE(D149,"|",REPT(";",LEN(D149)),2))-1)</f>
        <v/>
      </c>
      <c r="K149" s="11">
        <f>MID(D149,FIND(";",SUBSTITUTE(D149,"|",REPT(";",LEN(D149)),3))+1,FIND(";",SUBSTITUTE(D149,"|",REPT(";",LEN(D149)),4))-FIND(";",SUBSTITUTE(D149,"|",REPT(";",LEN(D149)),3))-1)</f>
        <v/>
      </c>
      <c r="M149" s="11">
        <f>MID(D149,FIND(";",SUBSTITUTE(D149,"|",REPT(";",LEN(D149)),4))+1,LEN(D149))</f>
        <v/>
      </c>
    </row>
    <row r="150" ht="98" customHeight="1" s="21">
      <c r="A150" s="13" t="inlineStr">
        <is>
          <t>100201</t>
        </is>
      </c>
      <c r="B150" s="13" t="inlineStr">
        <is>
          <t>圆钢</t>
        </is>
      </c>
      <c r="C150" s="13" t="inlineStr">
        <is>
          <t>601328600</t>
        </is>
      </c>
      <c r="D150" s="13" t="inlineStr">
        <is>
          <t>不锈圆钢|圆钢|Y2Cr13Ni2|Φ14|空</t>
        </is>
      </c>
      <c r="E150" s="13" t="inlineStr">
        <is>
          <t xml:space="preserve">物资名称 不锈圆钢;物资简称 圆钢;牌号 Y2Cr13Ni2;直径 Φ14;技术标准号 空;加工工艺 ;热处理工艺 ;特殊要求 ;规格标准号 </t>
        </is>
      </c>
      <c r="F150" s="12" t="inlineStr">
        <is>
          <t>千克</t>
        </is>
      </c>
      <c r="G150" s="11">
        <f>LEFT(D150,FIND("|",D150,1)-1)</f>
        <v/>
      </c>
      <c r="H150" s="11">
        <f>MID(D150,FIND("|",D150,FIND("|",D150,1))+1,FIND("|",D150,FIND("|",D150,1)+1)-FIND("|",D150,FIND("|",D150,1))-1)</f>
        <v/>
      </c>
      <c r="J150" s="11">
        <f>MID(D150,FIND(";",SUBSTITUTE(D150,"|",REPT(";",LEN(D150)),2))+1,FIND(";",SUBSTITUTE(D150,"|",REPT(";",LEN(D150)),3))-FIND(";",SUBSTITUTE(D150,"|",REPT(";",LEN(D150)),2))-1)</f>
        <v/>
      </c>
      <c r="K150" s="11">
        <f>MID(D150,FIND(";",SUBSTITUTE(D150,"|",REPT(";",LEN(D150)),3))+1,FIND(";",SUBSTITUTE(D150,"|",REPT(";",LEN(D150)),4))-FIND(";",SUBSTITUTE(D150,"|",REPT(";",LEN(D150)),3))-1)</f>
        <v/>
      </c>
      <c r="M150" s="11">
        <f>MID(D150,FIND(";",SUBSTITUTE(D150,"|",REPT(";",LEN(D150)),4))+1,LEN(D150))</f>
        <v/>
      </c>
    </row>
    <row r="151" ht="98" customHeight="1" s="21">
      <c r="A151" s="13" t="inlineStr">
        <is>
          <t>100201</t>
        </is>
      </c>
      <c r="B151" s="13" t="inlineStr">
        <is>
          <t>圆钢</t>
        </is>
      </c>
      <c r="C151" s="13" t="inlineStr">
        <is>
          <t>601328500</t>
        </is>
      </c>
      <c r="D151" s="13" t="inlineStr">
        <is>
          <t>不锈圆钢|圆钢|Y2Cr13Ni2|Φ22|空</t>
        </is>
      </c>
      <c r="E151" s="13" t="inlineStr">
        <is>
          <t xml:space="preserve">物资名称 不锈圆钢;物资简称 圆钢;牌号 Y2Cr13Ni2;直径 Φ22;技术标准号 空;加工工艺 ;热处理工艺 ;特殊要求 ;规格标准号 </t>
        </is>
      </c>
      <c r="F151" s="12" t="inlineStr">
        <is>
          <t>千克</t>
        </is>
      </c>
      <c r="G151" s="11">
        <f>LEFT(D151,FIND("|",D151,1)-1)</f>
        <v/>
      </c>
      <c r="H151" s="11">
        <f>MID(D151,FIND("|",D151,FIND("|",D151,1))+1,FIND("|",D151,FIND("|",D151,1)+1)-FIND("|",D151,FIND("|",D151,1))-1)</f>
        <v/>
      </c>
      <c r="J151" s="11">
        <f>MID(D151,FIND(";",SUBSTITUTE(D151,"|",REPT(";",LEN(D151)),2))+1,FIND(";",SUBSTITUTE(D151,"|",REPT(";",LEN(D151)),3))-FIND(";",SUBSTITUTE(D151,"|",REPT(";",LEN(D151)),2))-1)</f>
        <v/>
      </c>
      <c r="K151" s="11">
        <f>MID(D151,FIND(";",SUBSTITUTE(D151,"|",REPT(";",LEN(D151)),3))+1,FIND(";",SUBSTITUTE(D151,"|",REPT(";",LEN(D151)),4))-FIND(";",SUBSTITUTE(D151,"|",REPT(";",LEN(D151)),3))-1)</f>
        <v/>
      </c>
      <c r="M151" s="11">
        <f>MID(D151,FIND(";",SUBSTITUTE(D151,"|",REPT(";",LEN(D151)),4))+1,LEN(D151))</f>
        <v/>
      </c>
    </row>
    <row r="152" ht="112" customHeight="1" s="21">
      <c r="A152" s="13" t="inlineStr">
        <is>
          <t>100201</t>
        </is>
      </c>
      <c r="B152" s="13" t="inlineStr">
        <is>
          <t>圆钢</t>
        </is>
      </c>
      <c r="C152" s="13" t="inlineStr">
        <is>
          <t>601328400</t>
        </is>
      </c>
      <c r="D152" s="13" t="inlineStr">
        <is>
          <t>冷拉合金结构圆钢|圆钢|30CrMnSiA|Φ12|空|冷拉</t>
        </is>
      </c>
      <c r="E152" s="13" t="inlineStr">
        <is>
          <t xml:space="preserve">物资名称 冷拉合金结构圆钢;物资简称 圆钢;牌号 30CrMnSiA;直径 Φ12;技术标准号 空;加工工艺 冷拉;热处理工艺 ;特殊要求 ;规格标准号 </t>
        </is>
      </c>
      <c r="F152" s="12" t="inlineStr">
        <is>
          <t>千克</t>
        </is>
      </c>
      <c r="G152" s="11">
        <f>LEFT(D152,FIND("|",D152,1)-1)</f>
        <v/>
      </c>
      <c r="H152" s="11">
        <f>MID(D152,FIND("|",D152,FIND("|",D152,1))+1,FIND("|",D152,FIND("|",D152,1)+1)-FIND("|",D152,FIND("|",D152,1))-1)</f>
        <v/>
      </c>
      <c r="J152" s="11">
        <f>MID(D152,FIND(";",SUBSTITUTE(D152,"|",REPT(";",LEN(D152)),2))+1,FIND(";",SUBSTITUTE(D152,"|",REPT(";",LEN(D152)),3))-FIND(";",SUBSTITUTE(D152,"|",REPT(";",LEN(D152)),2))-1)</f>
        <v/>
      </c>
      <c r="K152" s="11">
        <f>MID(D152,FIND(";",SUBSTITUTE(D152,"|",REPT(";",LEN(D152)),3))+1,FIND(";",SUBSTITUTE(D152,"|",REPT(";",LEN(D152)),4))-FIND(";",SUBSTITUTE(D152,"|",REPT(";",LEN(D152)),3))-1)</f>
        <v/>
      </c>
      <c r="M152" s="11">
        <f>MID(D152,FIND(";",SUBSTITUTE(D152,"|",REPT(";",LEN(D152)),4))+1,FIND(";",SUBSTITUTE(D152,"|",REPT(";",LEN(D152)),5))-FIND(";",SUBSTITUTE(D152,"|",REPT(";",LEN(D152)),4))-1)</f>
        <v/>
      </c>
      <c r="O152" s="11">
        <f>MID(D152,FIND(";",SUBSTITUTE(D152,"|",REPT(";",LEN(D152)),5))+1,LEN(D152))</f>
        <v/>
      </c>
    </row>
    <row r="153" ht="98" customHeight="1" s="21">
      <c r="A153" s="13" t="inlineStr">
        <is>
          <t>100201</t>
        </is>
      </c>
      <c r="B153" s="13" t="inlineStr">
        <is>
          <t>圆钢</t>
        </is>
      </c>
      <c r="C153" s="13" t="inlineStr">
        <is>
          <t>601328300</t>
        </is>
      </c>
      <c r="D153" s="13" t="inlineStr">
        <is>
          <t>不锈圆钢|圆钢|0Cr18Ni9|Φ10|空</t>
        </is>
      </c>
      <c r="E153" s="13" t="inlineStr">
        <is>
          <t xml:space="preserve">物资名称 不锈圆钢;物资简称 圆钢;牌号 0Cr18Ni9;直径 Φ10;技术标准号 空;加工工艺 ;热处理工艺 ;特殊要求 ;规格标准号 </t>
        </is>
      </c>
      <c r="F153" s="12" t="inlineStr">
        <is>
          <t>千克</t>
        </is>
      </c>
      <c r="G153" s="11">
        <f>LEFT(D153,FIND("|",D153,1)-1)</f>
        <v/>
      </c>
      <c r="H153" s="11">
        <f>MID(D153,FIND("|",D153,FIND("|",D153,1))+1,FIND("|",D153,FIND("|",D153,1)+1)-FIND("|",D153,FIND("|",D153,1))-1)</f>
        <v/>
      </c>
      <c r="J153" s="11">
        <f>MID(D153,FIND(";",SUBSTITUTE(D153,"|",REPT(";",LEN(D153)),2))+1,FIND(";",SUBSTITUTE(D153,"|",REPT(";",LEN(D153)),3))-FIND(";",SUBSTITUTE(D153,"|",REPT(";",LEN(D153)),2))-1)</f>
        <v/>
      </c>
      <c r="K153" s="11">
        <f>MID(D153,FIND(";",SUBSTITUTE(D153,"|",REPT(";",LEN(D153)),3))+1,FIND(";",SUBSTITUTE(D153,"|",REPT(";",LEN(D153)),4))-FIND(";",SUBSTITUTE(D153,"|",REPT(";",LEN(D153)),3))-1)</f>
        <v/>
      </c>
      <c r="M153" s="11">
        <f>MID(D153,FIND(";",SUBSTITUTE(D153,"|",REPT(";",LEN(D153)),4))+1,LEN(D153))</f>
        <v/>
      </c>
    </row>
    <row r="154" ht="98" customHeight="1" s="21">
      <c r="A154" s="13" t="inlineStr">
        <is>
          <t>100201</t>
        </is>
      </c>
      <c r="B154" s="13" t="inlineStr">
        <is>
          <t>圆钢</t>
        </is>
      </c>
      <c r="C154" s="13" t="inlineStr">
        <is>
          <t>601328200</t>
        </is>
      </c>
      <c r="D154" s="13" t="inlineStr">
        <is>
          <t>不锈圆钢|圆钢|0Cr18Ni9|Φ140|空</t>
        </is>
      </c>
      <c r="E154" s="13" t="inlineStr">
        <is>
          <t xml:space="preserve">物资名称 不锈圆钢;物资简称 圆钢;牌号 0Cr18Ni9;直径 Φ140;技术标准号 空;加工工艺 ;热处理工艺 ;特殊要求 ;规格标准号 </t>
        </is>
      </c>
      <c r="F154" s="12" t="inlineStr">
        <is>
          <t>千克</t>
        </is>
      </c>
      <c r="G154" s="11">
        <f>LEFT(D154,FIND("|",D154,1)-1)</f>
        <v/>
      </c>
      <c r="H154" s="11">
        <f>MID(D154,FIND("|",D154,FIND("|",D154,1))+1,FIND("|",D154,FIND("|",D154,1)+1)-FIND("|",D154,FIND("|",D154,1))-1)</f>
        <v/>
      </c>
      <c r="J154" s="11">
        <f>MID(D154,FIND(";",SUBSTITUTE(D154,"|",REPT(";",LEN(D154)),2))+1,FIND(";",SUBSTITUTE(D154,"|",REPT(";",LEN(D154)),3))-FIND(";",SUBSTITUTE(D154,"|",REPT(";",LEN(D154)),2))-1)</f>
        <v/>
      </c>
      <c r="K154" s="11">
        <f>MID(D154,FIND(";",SUBSTITUTE(D154,"|",REPT(";",LEN(D154)),3))+1,FIND(";",SUBSTITUTE(D154,"|",REPT(";",LEN(D154)),4))-FIND(";",SUBSTITUTE(D154,"|",REPT(";",LEN(D154)),3))-1)</f>
        <v/>
      </c>
      <c r="M154" s="11">
        <f>MID(D154,FIND(";",SUBSTITUTE(D154,"|",REPT(";",LEN(D154)),4))+1,LEN(D154))</f>
        <v/>
      </c>
    </row>
    <row r="155" ht="98" customHeight="1" s="21">
      <c r="A155" s="13" t="inlineStr">
        <is>
          <t>100201</t>
        </is>
      </c>
      <c r="B155" s="13" t="inlineStr">
        <is>
          <t>圆钢</t>
        </is>
      </c>
      <c r="C155" s="13" t="inlineStr">
        <is>
          <t>601328100</t>
        </is>
      </c>
      <c r="D155" s="13" t="inlineStr">
        <is>
          <t>不锈圆钢|圆钢|0Cr18Ni9|Φ20|空</t>
        </is>
      </c>
      <c r="E155" s="13" t="inlineStr">
        <is>
          <t xml:space="preserve">物资名称 不锈圆钢;物资简称 圆钢;牌号 0Cr18Ni9;直径 Φ20;技术标准号 空;加工工艺 ;热处理工艺 ;特殊要求 ;规格标准号 </t>
        </is>
      </c>
      <c r="F155" s="12" t="inlineStr">
        <is>
          <t>千克</t>
        </is>
      </c>
      <c r="G155" s="11">
        <f>LEFT(D155,FIND("|",D155,1)-1)</f>
        <v/>
      </c>
      <c r="H155" s="11">
        <f>MID(D155,FIND("|",D155,FIND("|",D155,1))+1,FIND("|",D155,FIND("|",D155,1)+1)-FIND("|",D155,FIND("|",D155,1))-1)</f>
        <v/>
      </c>
      <c r="J155" s="11">
        <f>MID(D155,FIND(";",SUBSTITUTE(D155,"|",REPT(";",LEN(D155)),2))+1,FIND(";",SUBSTITUTE(D155,"|",REPT(";",LEN(D155)),3))-FIND(";",SUBSTITUTE(D155,"|",REPT(";",LEN(D155)),2))-1)</f>
        <v/>
      </c>
      <c r="K155" s="11">
        <f>MID(D155,FIND(";",SUBSTITUTE(D155,"|",REPT(";",LEN(D155)),3))+1,FIND(";",SUBSTITUTE(D155,"|",REPT(";",LEN(D155)),4))-FIND(";",SUBSTITUTE(D155,"|",REPT(";",LEN(D155)),3))-1)</f>
        <v/>
      </c>
      <c r="M155" s="11">
        <f>MID(D155,FIND(";",SUBSTITUTE(D155,"|",REPT(";",LEN(D155)),4))+1,LEN(D155))</f>
        <v/>
      </c>
    </row>
    <row r="156" ht="98" customHeight="1" s="21">
      <c r="A156" s="13" t="inlineStr">
        <is>
          <t>100201</t>
        </is>
      </c>
      <c r="B156" s="13" t="inlineStr">
        <is>
          <t>圆钢</t>
        </is>
      </c>
      <c r="C156" s="13" t="inlineStr">
        <is>
          <t>601328000</t>
        </is>
      </c>
      <c r="D156" s="13" t="inlineStr">
        <is>
          <t>不锈圆钢|圆钢|0Cr18Ni9|Φ25|空</t>
        </is>
      </c>
      <c r="E156" s="13" t="inlineStr">
        <is>
          <t xml:space="preserve">物资名称 不锈圆钢;物资简称 圆钢;牌号 0Cr18Ni9;直径 Φ25;技术标准号 空;加工工艺 ;热处理工艺 ;特殊要求 ;规格标准号 </t>
        </is>
      </c>
      <c r="F156" s="12" t="inlineStr">
        <is>
          <t>千克</t>
        </is>
      </c>
      <c r="G156" s="11">
        <f>LEFT(D156,FIND("|",D156,1)-1)</f>
        <v/>
      </c>
      <c r="H156" s="11">
        <f>MID(D156,FIND("|",D156,FIND("|",D156,1))+1,FIND("|",D156,FIND("|",D156,1)+1)-FIND("|",D156,FIND("|",D156,1))-1)</f>
        <v/>
      </c>
      <c r="J156" s="11">
        <f>MID(D156,FIND(";",SUBSTITUTE(D156,"|",REPT(";",LEN(D156)),2))+1,FIND(";",SUBSTITUTE(D156,"|",REPT(";",LEN(D156)),3))-FIND(";",SUBSTITUTE(D156,"|",REPT(";",LEN(D156)),2))-1)</f>
        <v/>
      </c>
      <c r="K156" s="11">
        <f>MID(D156,FIND(";",SUBSTITUTE(D156,"|",REPT(";",LEN(D156)),3))+1,FIND(";",SUBSTITUTE(D156,"|",REPT(";",LEN(D156)),4))-FIND(";",SUBSTITUTE(D156,"|",REPT(";",LEN(D156)),3))-1)</f>
        <v/>
      </c>
      <c r="M156" s="11">
        <f>MID(D156,FIND(";",SUBSTITUTE(D156,"|",REPT(";",LEN(D156)),4))+1,LEN(D156))</f>
        <v/>
      </c>
    </row>
    <row r="157" ht="98" customHeight="1" s="21">
      <c r="A157" s="13" t="inlineStr">
        <is>
          <t>100201</t>
        </is>
      </c>
      <c r="B157" s="13" t="inlineStr">
        <is>
          <t>圆钢</t>
        </is>
      </c>
      <c r="C157" s="13" t="inlineStr">
        <is>
          <t>601327900</t>
        </is>
      </c>
      <c r="D157" s="13" t="inlineStr">
        <is>
          <t>不锈圆钢|圆钢|0Cr18Ni9|Φ30|空</t>
        </is>
      </c>
      <c r="E157" s="13" t="inlineStr">
        <is>
          <t xml:space="preserve">物资名称 不锈圆钢;物资简称 圆钢;牌号 0Cr18Ni9;直径 Φ30;技术标准号 空;加工工艺 ;热处理工艺 ;特殊要求 ;规格标准号 </t>
        </is>
      </c>
      <c r="F157" s="12" t="inlineStr">
        <is>
          <t>千克</t>
        </is>
      </c>
      <c r="G157" s="11">
        <f>LEFT(D157,FIND("|",D157,1)-1)</f>
        <v/>
      </c>
      <c r="H157" s="11">
        <f>MID(D157,FIND("|",D157,FIND("|",D157,1))+1,FIND("|",D157,FIND("|",D157,1)+1)-FIND("|",D157,FIND("|",D157,1))-1)</f>
        <v/>
      </c>
      <c r="J157" s="11">
        <f>MID(D157,FIND(";",SUBSTITUTE(D157,"|",REPT(";",LEN(D157)),2))+1,FIND(";",SUBSTITUTE(D157,"|",REPT(";",LEN(D157)),3))-FIND(";",SUBSTITUTE(D157,"|",REPT(";",LEN(D157)),2))-1)</f>
        <v/>
      </c>
      <c r="K157" s="11">
        <f>MID(D157,FIND(";",SUBSTITUTE(D157,"|",REPT(";",LEN(D157)),3))+1,FIND(";",SUBSTITUTE(D157,"|",REPT(";",LEN(D157)),4))-FIND(";",SUBSTITUTE(D157,"|",REPT(";",LEN(D157)),3))-1)</f>
        <v/>
      </c>
      <c r="M157" s="11">
        <f>MID(D157,FIND(";",SUBSTITUTE(D157,"|",REPT(";",LEN(D157)),4))+1,LEN(D157))</f>
        <v/>
      </c>
    </row>
    <row r="158" ht="98" customHeight="1" s="21">
      <c r="A158" s="13" t="inlineStr">
        <is>
          <t>100201</t>
        </is>
      </c>
      <c r="B158" s="13" t="inlineStr">
        <is>
          <t>圆钢</t>
        </is>
      </c>
      <c r="C158" s="13" t="inlineStr">
        <is>
          <t>601327800</t>
        </is>
      </c>
      <c r="D158" s="13" t="inlineStr">
        <is>
          <t>不锈圆钢|圆钢|0Cr18Ni9|Φ35|空</t>
        </is>
      </c>
      <c r="E158" s="13" t="inlineStr">
        <is>
          <t xml:space="preserve">物资名称 不锈圆钢;物资简称 圆钢;牌号 0Cr18Ni9;直径 Φ35;技术标准号 空;加工工艺 ;热处理工艺 ;特殊要求 ;规格标准号 </t>
        </is>
      </c>
      <c r="F158" s="12" t="inlineStr">
        <is>
          <t>千克</t>
        </is>
      </c>
      <c r="G158" s="11">
        <f>LEFT(D158,FIND("|",D158,1)-1)</f>
        <v/>
      </c>
      <c r="H158" s="11">
        <f>MID(D158,FIND("|",D158,FIND("|",D158,1))+1,FIND("|",D158,FIND("|",D158,1)+1)-FIND("|",D158,FIND("|",D158,1))-1)</f>
        <v/>
      </c>
      <c r="J158" s="11">
        <f>MID(D158,FIND(";",SUBSTITUTE(D158,"|",REPT(";",LEN(D158)),2))+1,FIND(";",SUBSTITUTE(D158,"|",REPT(";",LEN(D158)),3))-FIND(";",SUBSTITUTE(D158,"|",REPT(";",LEN(D158)),2))-1)</f>
        <v/>
      </c>
      <c r="K158" s="11">
        <f>MID(D158,FIND(";",SUBSTITUTE(D158,"|",REPT(";",LEN(D158)),3))+1,FIND(";",SUBSTITUTE(D158,"|",REPT(";",LEN(D158)),4))-FIND(";",SUBSTITUTE(D158,"|",REPT(";",LEN(D158)),3))-1)</f>
        <v/>
      </c>
      <c r="M158" s="11">
        <f>MID(D158,FIND(";",SUBSTITUTE(D158,"|",REPT(";",LEN(D158)),4))+1,LEN(D158))</f>
        <v/>
      </c>
    </row>
    <row r="159" ht="98" customHeight="1" s="21">
      <c r="A159" s="13" t="inlineStr">
        <is>
          <t>100201</t>
        </is>
      </c>
      <c r="B159" s="13" t="inlineStr">
        <is>
          <t>圆钢</t>
        </is>
      </c>
      <c r="C159" s="13" t="inlineStr">
        <is>
          <t>601327700</t>
        </is>
      </c>
      <c r="D159" s="13" t="inlineStr">
        <is>
          <t>不锈圆钢|圆钢|0Cr18Ni9|Φ45|空</t>
        </is>
      </c>
      <c r="E159" s="13" t="inlineStr">
        <is>
          <t xml:space="preserve">物资名称 不锈圆钢;物资简称 圆钢;牌号 0Cr18Ni9;直径 Φ45;技术标准号 空;加工工艺 ;热处理工艺 ;特殊要求 ;规格标准号 </t>
        </is>
      </c>
      <c r="F159" s="12" t="inlineStr">
        <is>
          <t>千克</t>
        </is>
      </c>
      <c r="G159" s="11">
        <f>LEFT(D159,FIND("|",D159,1)-1)</f>
        <v/>
      </c>
      <c r="H159" s="11">
        <f>MID(D159,FIND("|",D159,FIND("|",D159,1))+1,FIND("|",D159,FIND("|",D159,1)+1)-FIND("|",D159,FIND("|",D159,1))-1)</f>
        <v/>
      </c>
      <c r="J159" s="11">
        <f>MID(D159,FIND(";",SUBSTITUTE(D159,"|",REPT(";",LEN(D159)),2))+1,FIND(";",SUBSTITUTE(D159,"|",REPT(";",LEN(D159)),3))-FIND(";",SUBSTITUTE(D159,"|",REPT(";",LEN(D159)),2))-1)</f>
        <v/>
      </c>
      <c r="K159" s="11">
        <f>MID(D159,FIND(";",SUBSTITUTE(D159,"|",REPT(";",LEN(D159)),3))+1,FIND(";",SUBSTITUTE(D159,"|",REPT(";",LEN(D159)),4))-FIND(";",SUBSTITUTE(D159,"|",REPT(";",LEN(D159)),3))-1)</f>
        <v/>
      </c>
      <c r="M159" s="11">
        <f>MID(D159,FIND(";",SUBSTITUTE(D159,"|",REPT(";",LEN(D159)),4))+1,LEN(D159))</f>
        <v/>
      </c>
    </row>
    <row r="160" ht="98" customHeight="1" s="21">
      <c r="A160" s="13" t="inlineStr">
        <is>
          <t>100201</t>
        </is>
      </c>
      <c r="B160" s="13" t="inlineStr">
        <is>
          <t>圆钢</t>
        </is>
      </c>
      <c r="C160" s="13" t="inlineStr">
        <is>
          <t>601327600</t>
        </is>
      </c>
      <c r="D160" s="13" t="inlineStr">
        <is>
          <t>不锈圆钢|圆钢|0Cr18Ni9|Φ80|空</t>
        </is>
      </c>
      <c r="E160" s="13" t="inlineStr">
        <is>
          <t xml:space="preserve">物资名称 不锈圆钢;物资简称 圆钢;牌号 0Cr18Ni9;直径 Φ80;技术标准号 空;加工工艺 ;热处理工艺 ;特殊要求 ;规格标准号 </t>
        </is>
      </c>
      <c r="F160" s="12" t="inlineStr">
        <is>
          <t>千克</t>
        </is>
      </c>
      <c r="G160" s="11">
        <f>LEFT(D160,FIND("|",D160,1)-1)</f>
        <v/>
      </c>
      <c r="H160" s="11">
        <f>MID(D160,FIND("|",D160,FIND("|",D160,1))+1,FIND("|",D160,FIND("|",D160,1)+1)-FIND("|",D160,FIND("|",D160,1))-1)</f>
        <v/>
      </c>
      <c r="J160" s="11">
        <f>MID(D160,FIND(";",SUBSTITUTE(D160,"|",REPT(";",LEN(D160)),2))+1,FIND(";",SUBSTITUTE(D160,"|",REPT(";",LEN(D160)),3))-FIND(";",SUBSTITUTE(D160,"|",REPT(";",LEN(D160)),2))-1)</f>
        <v/>
      </c>
      <c r="K160" s="11">
        <f>MID(D160,FIND(";",SUBSTITUTE(D160,"|",REPT(";",LEN(D160)),3))+1,FIND(";",SUBSTITUTE(D160,"|",REPT(";",LEN(D160)),4))-FIND(";",SUBSTITUTE(D160,"|",REPT(";",LEN(D160)),3))-1)</f>
        <v/>
      </c>
      <c r="M160" s="11">
        <f>MID(D160,FIND(";",SUBSTITUTE(D160,"|",REPT(";",LEN(D160)),4))+1,LEN(D160))</f>
        <v/>
      </c>
    </row>
    <row r="161" ht="98" customHeight="1" s="21">
      <c r="A161" s="13" t="inlineStr">
        <is>
          <t>100201</t>
        </is>
      </c>
      <c r="B161" s="13" t="inlineStr">
        <is>
          <t>圆钢</t>
        </is>
      </c>
      <c r="C161" s="13" t="inlineStr">
        <is>
          <t>601327500</t>
        </is>
      </c>
      <c r="D161" s="13" t="inlineStr">
        <is>
          <t>不锈圆钢|圆钢|0Cr18Ni9|Φ85|空</t>
        </is>
      </c>
      <c r="E161" s="13" t="inlineStr">
        <is>
          <t xml:space="preserve">物资名称 不锈圆钢;物资简称 圆钢;牌号 0Cr18Ni9;直径 Φ85;技术标准号 空;加工工艺 ;热处理工艺 ;特殊要求 ;规格标准号 </t>
        </is>
      </c>
      <c r="F161" s="12" t="inlineStr">
        <is>
          <t>千克</t>
        </is>
      </c>
      <c r="G161" s="11">
        <f>LEFT(D161,FIND("|",D161,1)-1)</f>
        <v/>
      </c>
      <c r="H161" s="11">
        <f>MID(D161,FIND("|",D161,FIND("|",D161,1))+1,FIND("|",D161,FIND("|",D161,1)+1)-FIND("|",D161,FIND("|",D161,1))-1)</f>
        <v/>
      </c>
      <c r="J161" s="11">
        <f>MID(D161,FIND(";",SUBSTITUTE(D161,"|",REPT(";",LEN(D161)),2))+1,FIND(";",SUBSTITUTE(D161,"|",REPT(";",LEN(D161)),3))-FIND(";",SUBSTITUTE(D161,"|",REPT(";",LEN(D161)),2))-1)</f>
        <v/>
      </c>
      <c r="K161" s="11">
        <f>MID(D161,FIND(";",SUBSTITUTE(D161,"|",REPT(";",LEN(D161)),3))+1,FIND(";",SUBSTITUTE(D161,"|",REPT(";",LEN(D161)),4))-FIND(";",SUBSTITUTE(D161,"|",REPT(";",LEN(D161)),3))-1)</f>
        <v/>
      </c>
      <c r="M161" s="11">
        <f>MID(D161,FIND(";",SUBSTITUTE(D161,"|",REPT(";",LEN(D161)),4))+1,LEN(D161))</f>
        <v/>
      </c>
    </row>
    <row r="162" ht="98" customHeight="1" s="21">
      <c r="A162" s="13" t="inlineStr">
        <is>
          <t>100201</t>
        </is>
      </c>
      <c r="B162" s="13" t="inlineStr">
        <is>
          <t>圆钢</t>
        </is>
      </c>
      <c r="C162" s="13" t="inlineStr">
        <is>
          <t>601327400</t>
        </is>
      </c>
      <c r="D162" s="13" t="inlineStr">
        <is>
          <t>不锈圆钢|圆钢|14Cr17Ni2|Φ10|空</t>
        </is>
      </c>
      <c r="E162" s="13" t="inlineStr">
        <is>
          <t xml:space="preserve">物资名称 不锈圆钢;物资简称 圆钢;牌号 14Cr17Ni2;直径 Φ10;技术标准号 空;加工工艺 ;热处理工艺 ;特殊要求 ;规格标准号 </t>
        </is>
      </c>
      <c r="F162" s="12" t="inlineStr">
        <is>
          <t>千克</t>
        </is>
      </c>
      <c r="G162" s="11">
        <f>LEFT(D162,FIND("|",D162,1)-1)</f>
        <v/>
      </c>
      <c r="H162" s="11">
        <f>MID(D162,FIND("|",D162,FIND("|",D162,1))+1,FIND("|",D162,FIND("|",D162,1)+1)-FIND("|",D162,FIND("|",D162,1))-1)</f>
        <v/>
      </c>
      <c r="J162" s="11">
        <f>MID(D162,FIND(";",SUBSTITUTE(D162,"|",REPT(";",LEN(D162)),2))+1,FIND(";",SUBSTITUTE(D162,"|",REPT(";",LEN(D162)),3))-FIND(";",SUBSTITUTE(D162,"|",REPT(";",LEN(D162)),2))-1)</f>
        <v/>
      </c>
      <c r="K162" s="11">
        <f>MID(D162,FIND(";",SUBSTITUTE(D162,"|",REPT(";",LEN(D162)),3))+1,FIND(";",SUBSTITUTE(D162,"|",REPT(";",LEN(D162)),4))-FIND(";",SUBSTITUTE(D162,"|",REPT(";",LEN(D162)),3))-1)</f>
        <v/>
      </c>
      <c r="M162" s="11">
        <f>MID(D162,FIND(";",SUBSTITUTE(D162,"|",REPT(";",LEN(D162)),4))+1,LEN(D162))</f>
        <v/>
      </c>
    </row>
    <row r="163" ht="98" customHeight="1" s="21">
      <c r="A163" s="13" t="inlineStr">
        <is>
          <t>100201</t>
        </is>
      </c>
      <c r="B163" s="13" t="inlineStr">
        <is>
          <t>圆钢</t>
        </is>
      </c>
      <c r="C163" s="13" t="inlineStr">
        <is>
          <t>601327300</t>
        </is>
      </c>
      <c r="D163" s="13" t="inlineStr">
        <is>
          <t>不锈圆钢|圆钢|1Cr13|Φ22|空</t>
        </is>
      </c>
      <c r="E163" s="13" t="inlineStr">
        <is>
          <t xml:space="preserve">物资名称 不锈圆钢;物资简称 圆钢;牌号 1Cr13;直径 Φ22;技术标准号 空;加工工艺 ;热处理工艺 ;特殊要求 ;规格标准号 </t>
        </is>
      </c>
      <c r="F163" s="12" t="inlineStr">
        <is>
          <t>千克</t>
        </is>
      </c>
      <c r="G163" s="11">
        <f>LEFT(D163,FIND("|",D163,1)-1)</f>
        <v/>
      </c>
      <c r="H163" s="11">
        <f>MID(D163,FIND("|",D163,FIND("|",D163,1))+1,FIND("|",D163,FIND("|",D163,1)+1)-FIND("|",D163,FIND("|",D163,1))-1)</f>
        <v/>
      </c>
      <c r="J163" s="11">
        <f>MID(D163,FIND(";",SUBSTITUTE(D163,"|",REPT(";",LEN(D163)),2))+1,FIND(";",SUBSTITUTE(D163,"|",REPT(";",LEN(D163)),3))-FIND(";",SUBSTITUTE(D163,"|",REPT(";",LEN(D163)),2))-1)</f>
        <v/>
      </c>
      <c r="K163" s="11">
        <f>MID(D163,FIND(";",SUBSTITUTE(D163,"|",REPT(";",LEN(D163)),3))+1,FIND(";",SUBSTITUTE(D163,"|",REPT(";",LEN(D163)),4))-FIND(";",SUBSTITUTE(D163,"|",REPT(";",LEN(D163)),3))-1)</f>
        <v/>
      </c>
      <c r="M163" s="11">
        <f>MID(D163,FIND(";",SUBSTITUTE(D163,"|",REPT(";",LEN(D163)),4))+1,LEN(D163))</f>
        <v/>
      </c>
    </row>
    <row r="164" ht="98" customHeight="1" s="21">
      <c r="A164" s="13" t="inlineStr">
        <is>
          <t>100201</t>
        </is>
      </c>
      <c r="B164" s="13" t="inlineStr">
        <is>
          <t>圆钢</t>
        </is>
      </c>
      <c r="C164" s="13" t="inlineStr">
        <is>
          <t>601327200</t>
        </is>
      </c>
      <c r="D164" s="13" t="inlineStr">
        <is>
          <t>不锈圆钢|圆钢|1Cr13|Φ35|空</t>
        </is>
      </c>
      <c r="E164" s="13" t="inlineStr">
        <is>
          <t xml:space="preserve">物资名称 不锈圆钢;物资简称 圆钢;牌号 1Cr13;直径 Φ35;技术标准号 空;加工工艺 ;热处理工艺 ;特殊要求 ;规格标准号 </t>
        </is>
      </c>
      <c r="F164" s="12" t="inlineStr">
        <is>
          <t>千克</t>
        </is>
      </c>
      <c r="G164" s="11">
        <f>LEFT(D164,FIND("|",D164,1)-1)</f>
        <v/>
      </c>
      <c r="H164" s="11">
        <f>MID(D164,FIND("|",D164,FIND("|",D164,1))+1,FIND("|",D164,FIND("|",D164,1)+1)-FIND("|",D164,FIND("|",D164,1))-1)</f>
        <v/>
      </c>
      <c r="J164" s="11">
        <f>MID(D164,FIND(";",SUBSTITUTE(D164,"|",REPT(";",LEN(D164)),2))+1,FIND(";",SUBSTITUTE(D164,"|",REPT(";",LEN(D164)),3))-FIND(";",SUBSTITUTE(D164,"|",REPT(";",LEN(D164)),2))-1)</f>
        <v/>
      </c>
      <c r="K164" s="11">
        <f>MID(D164,FIND(";",SUBSTITUTE(D164,"|",REPT(";",LEN(D164)),3))+1,FIND(";",SUBSTITUTE(D164,"|",REPT(";",LEN(D164)),4))-FIND(";",SUBSTITUTE(D164,"|",REPT(";",LEN(D164)),3))-1)</f>
        <v/>
      </c>
      <c r="M164" s="11">
        <f>MID(D164,FIND(";",SUBSTITUTE(D164,"|",REPT(";",LEN(D164)),4))+1,LEN(D164))</f>
        <v/>
      </c>
    </row>
    <row r="165" ht="98" customHeight="1" s="21">
      <c r="A165" s="13" t="inlineStr">
        <is>
          <t>100201</t>
        </is>
      </c>
      <c r="B165" s="13" t="inlineStr">
        <is>
          <t>圆钢</t>
        </is>
      </c>
      <c r="C165" s="13" t="inlineStr">
        <is>
          <t>601327100</t>
        </is>
      </c>
      <c r="D165" s="13" t="inlineStr">
        <is>
          <t>不锈圆钢|圆钢|1Cr13|Φ45|空</t>
        </is>
      </c>
      <c r="E165" s="13" t="inlineStr">
        <is>
          <t xml:space="preserve">物资名称 不锈圆钢;物资简称 圆钢;牌号 1Cr13;直径 Φ45;技术标准号 空;加工工艺 ;热处理工艺 ;特殊要求 ;规格标准号 </t>
        </is>
      </c>
      <c r="F165" s="12" t="inlineStr">
        <is>
          <t>千克</t>
        </is>
      </c>
      <c r="G165" s="11">
        <f>LEFT(D165,FIND("|",D165,1)-1)</f>
        <v/>
      </c>
      <c r="H165" s="11">
        <f>MID(D165,FIND("|",D165,FIND("|",D165,1))+1,FIND("|",D165,FIND("|",D165,1)+1)-FIND("|",D165,FIND("|",D165,1))-1)</f>
        <v/>
      </c>
      <c r="J165" s="11">
        <f>MID(D165,FIND(";",SUBSTITUTE(D165,"|",REPT(";",LEN(D165)),2))+1,FIND(";",SUBSTITUTE(D165,"|",REPT(";",LEN(D165)),3))-FIND(";",SUBSTITUTE(D165,"|",REPT(";",LEN(D165)),2))-1)</f>
        <v/>
      </c>
      <c r="K165" s="11">
        <f>MID(D165,FIND(";",SUBSTITUTE(D165,"|",REPT(";",LEN(D165)),3))+1,FIND(";",SUBSTITUTE(D165,"|",REPT(";",LEN(D165)),4))-FIND(";",SUBSTITUTE(D165,"|",REPT(";",LEN(D165)),3))-1)</f>
        <v/>
      </c>
      <c r="M165" s="11">
        <f>MID(D165,FIND(";",SUBSTITUTE(D165,"|",REPT(";",LEN(D165)),4))+1,LEN(D165))</f>
        <v/>
      </c>
    </row>
    <row r="166" ht="98" customHeight="1" s="21">
      <c r="A166" s="13" t="inlineStr">
        <is>
          <t>100201</t>
        </is>
      </c>
      <c r="B166" s="13" t="inlineStr">
        <is>
          <t>圆钢</t>
        </is>
      </c>
      <c r="C166" s="13" t="inlineStr">
        <is>
          <t>601327000</t>
        </is>
      </c>
      <c r="D166" s="13" t="inlineStr">
        <is>
          <t>不锈圆钢|圆钢|1Cr13|Φ60|空</t>
        </is>
      </c>
      <c r="E166" s="13" t="inlineStr">
        <is>
          <t xml:space="preserve">物资名称 不锈圆钢;物资简称 圆钢;牌号 1Cr13;直径 Φ60;技术标准号 空;加工工艺 ;热处理工艺 ;特殊要求 ;规格标准号 </t>
        </is>
      </c>
      <c r="F166" s="12" t="inlineStr">
        <is>
          <t>千克</t>
        </is>
      </c>
      <c r="G166" s="11">
        <f>LEFT(D166,FIND("|",D166,1)-1)</f>
        <v/>
      </c>
      <c r="H166" s="11">
        <f>MID(D166,FIND("|",D166,FIND("|",D166,1))+1,FIND("|",D166,FIND("|",D166,1)+1)-FIND("|",D166,FIND("|",D166,1))-1)</f>
        <v/>
      </c>
      <c r="J166" s="11">
        <f>MID(D166,FIND(";",SUBSTITUTE(D166,"|",REPT(";",LEN(D166)),2))+1,FIND(";",SUBSTITUTE(D166,"|",REPT(";",LEN(D166)),3))-FIND(";",SUBSTITUTE(D166,"|",REPT(";",LEN(D166)),2))-1)</f>
        <v/>
      </c>
      <c r="K166" s="11">
        <f>MID(D166,FIND(";",SUBSTITUTE(D166,"|",REPT(";",LEN(D166)),3))+1,FIND(";",SUBSTITUTE(D166,"|",REPT(";",LEN(D166)),4))-FIND(";",SUBSTITUTE(D166,"|",REPT(";",LEN(D166)),3))-1)</f>
        <v/>
      </c>
      <c r="M166" s="11">
        <f>MID(D166,FIND(";",SUBSTITUTE(D166,"|",REPT(";",LEN(D166)),4))+1,LEN(D166))</f>
        <v/>
      </c>
    </row>
    <row r="167" ht="98" customHeight="1" s="21">
      <c r="A167" s="13" t="inlineStr">
        <is>
          <t>100201</t>
        </is>
      </c>
      <c r="B167" s="13" t="inlineStr">
        <is>
          <t>圆钢</t>
        </is>
      </c>
      <c r="C167" s="13" t="inlineStr">
        <is>
          <t>601326900</t>
        </is>
      </c>
      <c r="D167" s="13" t="inlineStr">
        <is>
          <t>不锈圆钢|圆钢|1Cr13|Φ85|空</t>
        </is>
      </c>
      <c r="E167" s="13" t="inlineStr">
        <is>
          <t xml:space="preserve">物资名称 不锈圆钢;物资简称 圆钢;牌号 1Cr13;直径 Φ85;技术标准号 空;加工工艺 ;热处理工艺 ;特殊要求 ;规格标准号 </t>
        </is>
      </c>
      <c r="F167" s="12" t="inlineStr">
        <is>
          <t>千克</t>
        </is>
      </c>
      <c r="G167" s="11">
        <f>LEFT(D167,FIND("|",D167,1)-1)</f>
        <v/>
      </c>
      <c r="H167" s="11">
        <f>MID(D167,FIND("|",D167,FIND("|",D167,1))+1,FIND("|",D167,FIND("|",D167,1)+1)-FIND("|",D167,FIND("|",D167,1))-1)</f>
        <v/>
      </c>
      <c r="J167" s="11">
        <f>MID(D167,FIND(";",SUBSTITUTE(D167,"|",REPT(";",LEN(D167)),2))+1,FIND(";",SUBSTITUTE(D167,"|",REPT(";",LEN(D167)),3))-FIND(";",SUBSTITUTE(D167,"|",REPT(";",LEN(D167)),2))-1)</f>
        <v/>
      </c>
      <c r="K167" s="11">
        <f>MID(D167,FIND(";",SUBSTITUTE(D167,"|",REPT(";",LEN(D167)),3))+1,FIND(";",SUBSTITUTE(D167,"|",REPT(";",LEN(D167)),4))-FIND(";",SUBSTITUTE(D167,"|",REPT(";",LEN(D167)),3))-1)</f>
        <v/>
      </c>
      <c r="M167" s="11">
        <f>MID(D167,FIND(";",SUBSTITUTE(D167,"|",REPT(";",LEN(D167)),4))+1,LEN(D167))</f>
        <v/>
      </c>
    </row>
    <row r="168" ht="98" customHeight="1" s="21">
      <c r="A168" s="13" t="inlineStr">
        <is>
          <t>100201</t>
        </is>
      </c>
      <c r="B168" s="13" t="inlineStr">
        <is>
          <t>圆钢</t>
        </is>
      </c>
      <c r="C168" s="13" t="inlineStr">
        <is>
          <t>601326800</t>
        </is>
      </c>
      <c r="D168" s="13" t="inlineStr">
        <is>
          <t>不锈圆钢|圆钢|1Cr17Ni2|Φ25|空</t>
        </is>
      </c>
      <c r="E168" s="13" t="inlineStr">
        <is>
          <t xml:space="preserve">物资名称 不锈圆钢;物资简称 圆钢;牌号 1Cr17Ni2;直径 Φ25;技术标准号 空;加工工艺 ;热处理工艺 ;特殊要求 ;规格标准号 </t>
        </is>
      </c>
      <c r="F168" s="12" t="inlineStr">
        <is>
          <t>千克</t>
        </is>
      </c>
      <c r="G168" s="11">
        <f>LEFT(D168,FIND("|",D168,1)-1)</f>
        <v/>
      </c>
      <c r="H168" s="11">
        <f>MID(D168,FIND("|",D168,FIND("|",D168,1))+1,FIND("|",D168,FIND("|",D168,1)+1)-FIND("|",D168,FIND("|",D168,1))-1)</f>
        <v/>
      </c>
      <c r="J168" s="11">
        <f>MID(D168,FIND(";",SUBSTITUTE(D168,"|",REPT(";",LEN(D168)),2))+1,FIND(";",SUBSTITUTE(D168,"|",REPT(";",LEN(D168)),3))-FIND(";",SUBSTITUTE(D168,"|",REPT(";",LEN(D168)),2))-1)</f>
        <v/>
      </c>
      <c r="K168" s="11">
        <f>MID(D168,FIND(";",SUBSTITUTE(D168,"|",REPT(";",LEN(D168)),3))+1,FIND(";",SUBSTITUTE(D168,"|",REPT(";",LEN(D168)),4))-FIND(";",SUBSTITUTE(D168,"|",REPT(";",LEN(D168)),3))-1)</f>
        <v/>
      </c>
      <c r="M168" s="11">
        <f>MID(D168,FIND(";",SUBSTITUTE(D168,"|",REPT(";",LEN(D168)),4))+1,LEN(D168))</f>
        <v/>
      </c>
    </row>
    <row r="169" ht="98" customHeight="1" s="21">
      <c r="A169" s="13" t="inlineStr">
        <is>
          <t>100201</t>
        </is>
      </c>
      <c r="B169" s="13" t="inlineStr">
        <is>
          <t>圆钢</t>
        </is>
      </c>
      <c r="C169" s="13" t="inlineStr">
        <is>
          <t>601326700</t>
        </is>
      </c>
      <c r="D169" s="13" t="inlineStr">
        <is>
          <t>不锈圆钢|圆钢|1Cr17Ni2|Φ8|空</t>
        </is>
      </c>
      <c r="E169" s="13" t="inlineStr">
        <is>
          <t xml:space="preserve">物资名称 不锈圆钢;物资简称 圆钢;牌号 1Cr17Ni2;直径 Φ8;技术标准号 空;加工工艺 ;热处理工艺 ;特殊要求 ;规格标准号 </t>
        </is>
      </c>
      <c r="F169" s="12" t="inlineStr">
        <is>
          <t>千克</t>
        </is>
      </c>
      <c r="G169" s="11">
        <f>LEFT(D169,FIND("|",D169,1)-1)</f>
        <v/>
      </c>
      <c r="H169" s="11">
        <f>MID(D169,FIND("|",D169,FIND("|",D169,1))+1,FIND("|",D169,FIND("|",D169,1)+1)-FIND("|",D169,FIND("|",D169,1))-1)</f>
        <v/>
      </c>
      <c r="J169" s="11">
        <f>MID(D169,FIND(";",SUBSTITUTE(D169,"|",REPT(";",LEN(D169)),2))+1,FIND(";",SUBSTITUTE(D169,"|",REPT(";",LEN(D169)),3))-FIND(";",SUBSTITUTE(D169,"|",REPT(";",LEN(D169)),2))-1)</f>
        <v/>
      </c>
      <c r="K169" s="11">
        <f>MID(D169,FIND(";",SUBSTITUTE(D169,"|",REPT(";",LEN(D169)),3))+1,FIND(";",SUBSTITUTE(D169,"|",REPT(";",LEN(D169)),4))-FIND(";",SUBSTITUTE(D169,"|",REPT(";",LEN(D169)),3))-1)</f>
        <v/>
      </c>
      <c r="M169" s="11">
        <f>MID(D169,FIND(";",SUBSTITUTE(D169,"|",REPT(";",LEN(D169)),4))+1,LEN(D169))</f>
        <v/>
      </c>
    </row>
    <row r="170" ht="98" customHeight="1" s="21">
      <c r="A170" s="13" t="inlineStr">
        <is>
          <t>100201</t>
        </is>
      </c>
      <c r="B170" s="13" t="inlineStr">
        <is>
          <t>圆钢</t>
        </is>
      </c>
      <c r="C170" s="13" t="inlineStr">
        <is>
          <t>601326600</t>
        </is>
      </c>
      <c r="D170" s="13" t="inlineStr">
        <is>
          <t>不锈圆钢|圆钢|1Cr17Ni2|Φ90|空</t>
        </is>
      </c>
      <c r="E170" s="13" t="inlineStr">
        <is>
          <t xml:space="preserve">物资名称 不锈圆钢;物资简称 圆钢;牌号 1Cr17Ni2;直径 Φ90;技术标准号 空;加工工艺 ;热处理工艺 ;特殊要求 ;规格标准号 </t>
        </is>
      </c>
      <c r="F170" s="12" t="inlineStr">
        <is>
          <t>千克</t>
        </is>
      </c>
      <c r="G170" s="11">
        <f>LEFT(D170,FIND("|",D170,1)-1)</f>
        <v/>
      </c>
      <c r="H170" s="11">
        <f>MID(D170,FIND("|",D170,FIND("|",D170,1))+1,FIND("|",D170,FIND("|",D170,1)+1)-FIND("|",D170,FIND("|",D170,1))-1)</f>
        <v/>
      </c>
      <c r="J170" s="11">
        <f>MID(D170,FIND(";",SUBSTITUTE(D170,"|",REPT(";",LEN(D170)),2))+1,FIND(";",SUBSTITUTE(D170,"|",REPT(";",LEN(D170)),3))-FIND(";",SUBSTITUTE(D170,"|",REPT(";",LEN(D170)),2))-1)</f>
        <v/>
      </c>
      <c r="K170" s="11">
        <f>MID(D170,FIND(";",SUBSTITUTE(D170,"|",REPT(";",LEN(D170)),3))+1,FIND(";",SUBSTITUTE(D170,"|",REPT(";",LEN(D170)),4))-FIND(";",SUBSTITUTE(D170,"|",REPT(";",LEN(D170)),3))-1)</f>
        <v/>
      </c>
      <c r="M170" s="11">
        <f>MID(D170,FIND(";",SUBSTITUTE(D170,"|",REPT(";",LEN(D170)),4))+1,LEN(D170))</f>
        <v/>
      </c>
    </row>
    <row r="171" ht="126" customHeight="1" s="21">
      <c r="A171" s="13" t="inlineStr">
        <is>
          <t>100201</t>
        </is>
      </c>
      <c r="B171" s="13" t="inlineStr">
        <is>
          <t>圆钢</t>
        </is>
      </c>
      <c r="C171" s="13" t="inlineStr">
        <is>
          <t>601326500</t>
        </is>
      </c>
      <c r="D171" s="13" t="inlineStr">
        <is>
          <t>航空用不锈圆钢|圆钢|1Cr18Ni9Ti|Φ10|GJB 2294-1995</t>
        </is>
      </c>
      <c r="E171" s="13" t="inlineStr">
        <is>
          <t xml:space="preserve">物资名称 航空用不锈圆钢;物资简称 圆钢;牌号 1Cr18Ni9Ti;直径 Φ10;技术标准号 GJB 2294-1995;加工工艺 ;热处理工艺 ;特殊要求 ;规格标准号 </t>
        </is>
      </c>
      <c r="F171" s="12" t="inlineStr">
        <is>
          <t>千克</t>
        </is>
      </c>
      <c r="G171" s="11">
        <f>LEFT(D171,FIND("|",D171,1)-1)</f>
        <v/>
      </c>
      <c r="H171" s="11">
        <f>MID(D171,FIND("|",D171,FIND("|",D171,1))+1,FIND("|",D171,FIND("|",D171,1)+1)-FIND("|",D171,FIND("|",D171,1))-1)</f>
        <v/>
      </c>
      <c r="J171" s="11">
        <f>MID(D171,FIND(";",SUBSTITUTE(D171,"|",REPT(";",LEN(D171)),2))+1,FIND(";",SUBSTITUTE(D171,"|",REPT(";",LEN(D171)),3))-FIND(";",SUBSTITUTE(D171,"|",REPT(";",LEN(D171)),2))-1)</f>
        <v/>
      </c>
      <c r="K171" s="11">
        <f>MID(D171,FIND(";",SUBSTITUTE(D171,"|",REPT(";",LEN(D171)),3))+1,FIND(";",SUBSTITUTE(D171,"|",REPT(";",LEN(D171)),4))-FIND(";",SUBSTITUTE(D171,"|",REPT(";",LEN(D171)),3))-1)</f>
        <v/>
      </c>
      <c r="M171" s="11">
        <f>MID(D171,FIND(";",SUBSTITUTE(D171,"|",REPT(";",LEN(D171)),4))+1,LEN(D171))</f>
        <v/>
      </c>
    </row>
    <row r="172" ht="126" customHeight="1" s="21">
      <c r="A172" s="13" t="inlineStr">
        <is>
          <t>100201</t>
        </is>
      </c>
      <c r="B172" s="13" t="inlineStr">
        <is>
          <t>圆钢</t>
        </is>
      </c>
      <c r="C172" s="13" t="inlineStr">
        <is>
          <t>601326400</t>
        </is>
      </c>
      <c r="D172" s="13" t="inlineStr">
        <is>
          <t>航空用不锈圆钢|圆钢|1Cr18Ni9Ti|Φ110|GJB 2294-1995</t>
        </is>
      </c>
      <c r="E172" s="13" t="inlineStr">
        <is>
          <t xml:space="preserve">物资名称 航空用不锈圆钢;物资简称 圆钢;牌号 1Cr18Ni9Ti;直径 Φ110;技术标准号 GJB 2294-1995;加工工艺 ;热处理工艺 ;特殊要求 ;规格标准号 </t>
        </is>
      </c>
      <c r="F172" s="12" t="inlineStr">
        <is>
          <t>千克</t>
        </is>
      </c>
      <c r="G172" s="11">
        <f>LEFT(D172,FIND("|",D172,1)-1)</f>
        <v/>
      </c>
      <c r="H172" s="11">
        <f>MID(D172,FIND("|",D172,FIND("|",D172,1))+1,FIND("|",D172,FIND("|",D172,1)+1)-FIND("|",D172,FIND("|",D172,1))-1)</f>
        <v/>
      </c>
      <c r="J172" s="11">
        <f>MID(D172,FIND(";",SUBSTITUTE(D172,"|",REPT(";",LEN(D172)),2))+1,FIND(";",SUBSTITUTE(D172,"|",REPT(";",LEN(D172)),3))-FIND(";",SUBSTITUTE(D172,"|",REPT(";",LEN(D172)),2))-1)</f>
        <v/>
      </c>
      <c r="K172" s="11">
        <f>MID(D172,FIND(";",SUBSTITUTE(D172,"|",REPT(";",LEN(D172)),3))+1,FIND(";",SUBSTITUTE(D172,"|",REPT(";",LEN(D172)),4))-FIND(";",SUBSTITUTE(D172,"|",REPT(";",LEN(D172)),3))-1)</f>
        <v/>
      </c>
      <c r="M172" s="11">
        <f>MID(D172,FIND(";",SUBSTITUTE(D172,"|",REPT(";",LEN(D172)),4))+1,LEN(D172))</f>
        <v/>
      </c>
    </row>
    <row r="173" ht="126" customHeight="1" s="21">
      <c r="A173" s="13" t="inlineStr">
        <is>
          <t>100201</t>
        </is>
      </c>
      <c r="B173" s="13" t="inlineStr">
        <is>
          <t>圆钢</t>
        </is>
      </c>
      <c r="C173" s="13" t="inlineStr">
        <is>
          <t>601326300</t>
        </is>
      </c>
      <c r="D173" s="13" t="inlineStr">
        <is>
          <t>航空用不锈圆钢|圆钢|1Cr18Ni9Ti|Φ15|GJB 2294-1995</t>
        </is>
      </c>
      <c r="E173" s="13" t="inlineStr">
        <is>
          <t xml:space="preserve">物资名称 航空用不锈圆钢;物资简称 圆钢;牌号 1Cr18Ni9Ti;直径 Φ15;技术标准号 GJB 2294-1995;加工工艺 ;热处理工艺 ;特殊要求 ;规格标准号 </t>
        </is>
      </c>
      <c r="F173" s="12" t="inlineStr">
        <is>
          <t>千克</t>
        </is>
      </c>
      <c r="G173" s="11">
        <f>LEFT(D173,FIND("|",D173,1)-1)</f>
        <v/>
      </c>
      <c r="H173" s="11">
        <f>MID(D173,FIND("|",D173,FIND("|",D173,1))+1,FIND("|",D173,FIND("|",D173,1)+1)-FIND("|",D173,FIND("|",D173,1))-1)</f>
        <v/>
      </c>
      <c r="J173" s="11">
        <f>MID(D173,FIND(";",SUBSTITUTE(D173,"|",REPT(";",LEN(D173)),2))+1,FIND(";",SUBSTITUTE(D173,"|",REPT(";",LEN(D173)),3))-FIND(";",SUBSTITUTE(D173,"|",REPT(";",LEN(D173)),2))-1)</f>
        <v/>
      </c>
      <c r="K173" s="11">
        <f>MID(D173,FIND(";",SUBSTITUTE(D173,"|",REPT(";",LEN(D173)),3))+1,FIND(";",SUBSTITUTE(D173,"|",REPT(";",LEN(D173)),4))-FIND(";",SUBSTITUTE(D173,"|",REPT(";",LEN(D173)),3))-1)</f>
        <v/>
      </c>
      <c r="M173" s="11">
        <f>MID(D173,FIND(";",SUBSTITUTE(D173,"|",REPT(";",LEN(D173)),4))+1,LEN(D173))</f>
        <v/>
      </c>
    </row>
    <row r="174" ht="126" customHeight="1" s="21">
      <c r="A174" s="13" t="inlineStr">
        <is>
          <t>100201</t>
        </is>
      </c>
      <c r="B174" s="13" t="inlineStr">
        <is>
          <t>圆钢</t>
        </is>
      </c>
      <c r="C174" s="13" t="inlineStr">
        <is>
          <t>601326200</t>
        </is>
      </c>
      <c r="D174" s="13" t="inlineStr">
        <is>
          <t>航空用不锈圆钢|圆钢|1Cr18Ni9Ti|Φ20|GJB 2294-1995</t>
        </is>
      </c>
      <c r="E174" s="13" t="inlineStr">
        <is>
          <t xml:space="preserve">物资名称 航空用不锈圆钢;物资简称 圆钢;牌号 1Cr18Ni9Ti;直径 Φ20;技术标准号 GJB 2294-1995;加工工艺 ;热处理工艺 ;特殊要求 ;规格标准号 </t>
        </is>
      </c>
      <c r="F174" s="12" t="inlineStr">
        <is>
          <t>千克</t>
        </is>
      </c>
      <c r="G174" s="11">
        <f>LEFT(D174,FIND("|",D174,1)-1)</f>
        <v/>
      </c>
      <c r="H174" s="11">
        <f>MID(D174,FIND("|",D174,FIND("|",D174,1))+1,FIND("|",D174,FIND("|",D174,1)+1)-FIND("|",D174,FIND("|",D174,1))-1)</f>
        <v/>
      </c>
      <c r="J174" s="11">
        <f>MID(D174,FIND(";",SUBSTITUTE(D174,"|",REPT(";",LEN(D174)),2))+1,FIND(";",SUBSTITUTE(D174,"|",REPT(";",LEN(D174)),3))-FIND(";",SUBSTITUTE(D174,"|",REPT(";",LEN(D174)),2))-1)</f>
        <v/>
      </c>
      <c r="K174" s="11">
        <f>MID(D174,FIND(";",SUBSTITUTE(D174,"|",REPT(";",LEN(D174)),3))+1,FIND(";",SUBSTITUTE(D174,"|",REPT(";",LEN(D174)),4))-FIND(";",SUBSTITUTE(D174,"|",REPT(";",LEN(D174)),3))-1)</f>
        <v/>
      </c>
      <c r="M174" s="11">
        <f>MID(D174,FIND(";",SUBSTITUTE(D174,"|",REPT(";",LEN(D174)),4))+1,LEN(D174))</f>
        <v/>
      </c>
    </row>
    <row r="175" ht="126" customHeight="1" s="21">
      <c r="A175" s="13" t="inlineStr">
        <is>
          <t>100201</t>
        </is>
      </c>
      <c r="B175" s="13" t="inlineStr">
        <is>
          <t>圆钢</t>
        </is>
      </c>
      <c r="C175" s="13" t="inlineStr">
        <is>
          <t>601326100</t>
        </is>
      </c>
      <c r="D175" s="13" t="inlineStr">
        <is>
          <t>航空用不锈圆钢|圆钢|1Cr18Ni9Ti|Φ35|GJB 2294-1995</t>
        </is>
      </c>
      <c r="E175" s="13" t="inlineStr">
        <is>
          <t xml:space="preserve">物资名称 航空用不锈圆钢;物资简称 圆钢;牌号 1Cr18Ni9Ti;直径 Φ35;技术标准号 GJB 2294-1995;加工工艺 ;热处理工艺 ;特殊要求 ;规格标准号 </t>
        </is>
      </c>
      <c r="F175" s="12" t="inlineStr">
        <is>
          <t>千克</t>
        </is>
      </c>
      <c r="G175" s="11">
        <f>LEFT(D175,FIND("|",D175,1)-1)</f>
        <v/>
      </c>
      <c r="H175" s="11">
        <f>MID(D175,FIND("|",D175,FIND("|",D175,1))+1,FIND("|",D175,FIND("|",D175,1)+1)-FIND("|",D175,FIND("|",D175,1))-1)</f>
        <v/>
      </c>
      <c r="J175" s="11">
        <f>MID(D175,FIND(";",SUBSTITUTE(D175,"|",REPT(";",LEN(D175)),2))+1,FIND(";",SUBSTITUTE(D175,"|",REPT(";",LEN(D175)),3))-FIND(";",SUBSTITUTE(D175,"|",REPT(";",LEN(D175)),2))-1)</f>
        <v/>
      </c>
      <c r="K175" s="11">
        <f>MID(D175,FIND(";",SUBSTITUTE(D175,"|",REPT(";",LEN(D175)),3))+1,FIND(";",SUBSTITUTE(D175,"|",REPT(";",LEN(D175)),4))-FIND(";",SUBSTITUTE(D175,"|",REPT(";",LEN(D175)),3))-1)</f>
        <v/>
      </c>
      <c r="M175" s="11">
        <f>MID(D175,FIND(";",SUBSTITUTE(D175,"|",REPT(";",LEN(D175)),4))+1,LEN(D175))</f>
        <v/>
      </c>
    </row>
    <row r="176" ht="98" customHeight="1" s="21">
      <c r="A176" s="13" t="inlineStr">
        <is>
          <t>100201</t>
        </is>
      </c>
      <c r="B176" s="13" t="inlineStr">
        <is>
          <t>圆钢</t>
        </is>
      </c>
      <c r="C176" s="13" t="inlineStr">
        <is>
          <t>601326000</t>
        </is>
      </c>
      <c r="D176" s="13" t="inlineStr">
        <is>
          <t>不锈圆钢|圆钢|1Cr18Ni9Ti|Φ55|空</t>
        </is>
      </c>
      <c r="E176" s="13" t="inlineStr">
        <is>
          <t xml:space="preserve">物资名称 不锈圆钢;物资简称 圆钢;牌号 1Cr18Ni9Ti;直径 Φ55;技术标准号 空;加工工艺 ;热处理工艺 ;特殊要求 ;规格标准号 </t>
        </is>
      </c>
      <c r="F176" s="12" t="inlineStr">
        <is>
          <t>千克</t>
        </is>
      </c>
      <c r="G176" s="11">
        <f>LEFT(D176,FIND("|",D176,1)-1)</f>
        <v/>
      </c>
      <c r="H176" s="11">
        <f>MID(D176,FIND("|",D176,FIND("|",D176,1))+1,FIND("|",D176,FIND("|",D176,1)+1)-FIND("|",D176,FIND("|",D176,1))-1)</f>
        <v/>
      </c>
      <c r="J176" s="11">
        <f>MID(D176,FIND(";",SUBSTITUTE(D176,"|",REPT(";",LEN(D176)),2))+1,FIND(";",SUBSTITUTE(D176,"|",REPT(";",LEN(D176)),3))-FIND(";",SUBSTITUTE(D176,"|",REPT(";",LEN(D176)),2))-1)</f>
        <v/>
      </c>
      <c r="K176" s="11">
        <f>MID(D176,FIND(";",SUBSTITUTE(D176,"|",REPT(";",LEN(D176)),3))+1,FIND(";",SUBSTITUTE(D176,"|",REPT(";",LEN(D176)),4))-FIND(";",SUBSTITUTE(D176,"|",REPT(";",LEN(D176)),3))-1)</f>
        <v/>
      </c>
      <c r="M176" s="11">
        <f>MID(D176,FIND(";",SUBSTITUTE(D176,"|",REPT(";",LEN(D176)),4))+1,LEN(D176))</f>
        <v/>
      </c>
    </row>
    <row r="177" ht="126" customHeight="1" s="21">
      <c r="A177" s="13" t="inlineStr">
        <is>
          <t>100201</t>
        </is>
      </c>
      <c r="B177" s="13" t="inlineStr">
        <is>
          <t>圆钢</t>
        </is>
      </c>
      <c r="C177" s="13" t="inlineStr">
        <is>
          <t>601325900</t>
        </is>
      </c>
      <c r="D177" s="13" t="inlineStr">
        <is>
          <t>航空用不锈圆钢|圆钢|1Cr18Ni9Ti|Φ55|GJB 2294-1995</t>
        </is>
      </c>
      <c r="E177" s="13" t="inlineStr">
        <is>
          <t xml:space="preserve">物资名称 航空用不锈圆钢;物资简称 圆钢;牌号 1Cr18Ni9Ti;直径 Φ55;技术标准号 GJB 2294-1995;加工工艺 ;热处理工艺 ;特殊要求 ;规格标准号 </t>
        </is>
      </c>
      <c r="F177" s="12" t="inlineStr">
        <is>
          <t>千克</t>
        </is>
      </c>
      <c r="G177" s="11">
        <f>LEFT(D177,FIND("|",D177,1)-1)</f>
        <v/>
      </c>
      <c r="H177" s="11">
        <f>MID(D177,FIND("|",D177,FIND("|",D177,1))+1,FIND("|",D177,FIND("|",D177,1)+1)-FIND("|",D177,FIND("|",D177,1))-1)</f>
        <v/>
      </c>
      <c r="J177" s="11">
        <f>MID(D177,FIND(";",SUBSTITUTE(D177,"|",REPT(";",LEN(D177)),2))+1,FIND(";",SUBSTITUTE(D177,"|",REPT(";",LEN(D177)),3))-FIND(";",SUBSTITUTE(D177,"|",REPT(";",LEN(D177)),2))-1)</f>
        <v/>
      </c>
      <c r="K177" s="11">
        <f>MID(D177,FIND(";",SUBSTITUTE(D177,"|",REPT(";",LEN(D177)),3))+1,FIND(";",SUBSTITUTE(D177,"|",REPT(";",LEN(D177)),4))-FIND(";",SUBSTITUTE(D177,"|",REPT(";",LEN(D177)),3))-1)</f>
        <v/>
      </c>
      <c r="M177" s="11">
        <f>MID(D177,FIND(";",SUBSTITUTE(D177,"|",REPT(";",LEN(D177)),4))+1,LEN(D177))</f>
        <v/>
      </c>
    </row>
    <row r="178" ht="126" customHeight="1" s="21">
      <c r="A178" s="13" t="inlineStr">
        <is>
          <t>100201</t>
        </is>
      </c>
      <c r="B178" s="13" t="inlineStr">
        <is>
          <t>圆钢</t>
        </is>
      </c>
      <c r="C178" s="13" t="inlineStr">
        <is>
          <t>601325800</t>
        </is>
      </c>
      <c r="D178" s="13" t="inlineStr">
        <is>
          <t>航空用不锈圆钢|圆钢|1Cr18Ni9Ti|Φ85|GJB 2294-1995</t>
        </is>
      </c>
      <c r="E178" s="13" t="inlineStr">
        <is>
          <t xml:space="preserve">物资名称 航空用不锈圆钢;物资简称 圆钢;牌号 1Cr18Ni9Ti;直径 Φ85;技术标准号 GJB 2294-1995;加工工艺 ;热处理工艺 ;特殊要求 ;规格标准号 </t>
        </is>
      </c>
      <c r="F178" s="12" t="inlineStr">
        <is>
          <t>千克</t>
        </is>
      </c>
      <c r="G178" s="11">
        <f>LEFT(D178,FIND("|",D178,1)-1)</f>
        <v/>
      </c>
      <c r="H178" s="11">
        <f>MID(D178,FIND("|",D178,FIND("|",D178,1))+1,FIND("|",D178,FIND("|",D178,1)+1)-FIND("|",D178,FIND("|",D178,1))-1)</f>
        <v/>
      </c>
      <c r="J178" s="11">
        <f>MID(D178,FIND(";",SUBSTITUTE(D178,"|",REPT(";",LEN(D178)),2))+1,FIND(";",SUBSTITUTE(D178,"|",REPT(";",LEN(D178)),3))-FIND(";",SUBSTITUTE(D178,"|",REPT(";",LEN(D178)),2))-1)</f>
        <v/>
      </c>
      <c r="K178" s="11">
        <f>MID(D178,FIND(";",SUBSTITUTE(D178,"|",REPT(";",LEN(D178)),3))+1,FIND(";",SUBSTITUTE(D178,"|",REPT(";",LEN(D178)),4))-FIND(";",SUBSTITUTE(D178,"|",REPT(";",LEN(D178)),3))-1)</f>
        <v/>
      </c>
      <c r="M178" s="11">
        <f>MID(D178,FIND(";",SUBSTITUTE(D178,"|",REPT(";",LEN(D178)),4))+1,LEN(D178))</f>
        <v/>
      </c>
    </row>
    <row r="179" ht="126" customHeight="1" s="21">
      <c r="A179" s="13" t="inlineStr">
        <is>
          <t>100201</t>
        </is>
      </c>
      <c r="B179" s="13" t="inlineStr">
        <is>
          <t>圆钢</t>
        </is>
      </c>
      <c r="C179" s="13" t="inlineStr">
        <is>
          <t>601325700</t>
        </is>
      </c>
      <c r="D179" s="13" t="inlineStr">
        <is>
          <t>航空用不锈圆钢|圆钢|1Cr18Ni9Ti|Φ90|GJB 2294-1995</t>
        </is>
      </c>
      <c r="E179" s="13" t="inlineStr">
        <is>
          <t xml:space="preserve">物资名称 航空用不锈圆钢;物资简称 圆钢;牌号 1Cr18Ni9Ti;直径 Φ90;技术标准号 GJB 2294-1995;加工工艺 ;热处理工艺 ;特殊要求 ;规格标准号 </t>
        </is>
      </c>
      <c r="F179" s="12" t="inlineStr">
        <is>
          <t>千克</t>
        </is>
      </c>
      <c r="G179" s="11">
        <f>LEFT(D179,FIND("|",D179,1)-1)</f>
        <v/>
      </c>
      <c r="H179" s="11">
        <f>MID(D179,FIND("|",D179,FIND("|",D179,1))+1,FIND("|",D179,FIND("|",D179,1)+1)-FIND("|",D179,FIND("|",D179,1))-1)</f>
        <v/>
      </c>
      <c r="J179" s="11">
        <f>MID(D179,FIND(";",SUBSTITUTE(D179,"|",REPT(";",LEN(D179)),2))+1,FIND(";",SUBSTITUTE(D179,"|",REPT(";",LEN(D179)),3))-FIND(";",SUBSTITUTE(D179,"|",REPT(";",LEN(D179)),2))-1)</f>
        <v/>
      </c>
      <c r="K179" s="11">
        <f>MID(D179,FIND(";",SUBSTITUTE(D179,"|",REPT(";",LEN(D179)),3))+1,FIND(";",SUBSTITUTE(D179,"|",REPT(";",LEN(D179)),4))-FIND(";",SUBSTITUTE(D179,"|",REPT(";",LEN(D179)),3))-1)</f>
        <v/>
      </c>
      <c r="M179" s="11">
        <f>MID(D179,FIND(";",SUBSTITUTE(D179,"|",REPT(";",LEN(D179)),4))+1,LEN(D179))</f>
        <v/>
      </c>
    </row>
    <row r="180" ht="98" customHeight="1" s="21">
      <c r="A180" s="13" t="inlineStr">
        <is>
          <t>100201</t>
        </is>
      </c>
      <c r="B180" s="13" t="inlineStr">
        <is>
          <t>圆钢</t>
        </is>
      </c>
      <c r="C180" s="13" t="inlineStr">
        <is>
          <t>601325600</t>
        </is>
      </c>
      <c r="D180" s="13" t="inlineStr">
        <is>
          <t>不锈圆钢|圆钢|2Cr13|Φ32|空</t>
        </is>
      </c>
      <c r="E180" s="13" t="inlineStr">
        <is>
          <t xml:space="preserve">物资名称 不锈圆钢;物资简称 圆钢;牌号 2Cr13;直径 Φ32;技术标准号 空;加工工艺 ;热处理工艺 ;特殊要求 ;规格标准号 </t>
        </is>
      </c>
      <c r="F180" s="12" t="inlineStr">
        <is>
          <t>千克</t>
        </is>
      </c>
      <c r="G180" s="11">
        <f>LEFT(D180,FIND("|",D180,1)-1)</f>
        <v/>
      </c>
      <c r="H180" s="11">
        <f>MID(D180,FIND("|",D180,FIND("|",D180,1))+1,FIND("|",D180,FIND("|",D180,1)+1)-FIND("|",D180,FIND("|",D180,1))-1)</f>
        <v/>
      </c>
      <c r="J180" s="11">
        <f>MID(D180,FIND(";",SUBSTITUTE(D180,"|",REPT(";",LEN(D180)),2))+1,FIND(";",SUBSTITUTE(D180,"|",REPT(";",LEN(D180)),3))-FIND(";",SUBSTITUTE(D180,"|",REPT(";",LEN(D180)),2))-1)</f>
        <v/>
      </c>
      <c r="K180" s="11">
        <f>MID(D180,FIND(";",SUBSTITUTE(D180,"|",REPT(";",LEN(D180)),3))+1,FIND(";",SUBSTITUTE(D180,"|",REPT(";",LEN(D180)),4))-FIND(";",SUBSTITUTE(D180,"|",REPT(";",LEN(D180)),3))-1)</f>
        <v/>
      </c>
      <c r="M180" s="11">
        <f>MID(D180,FIND(";",SUBSTITUTE(D180,"|",REPT(";",LEN(D180)),4))+1,LEN(D180))</f>
        <v/>
      </c>
    </row>
    <row r="181" ht="98" customHeight="1" s="21">
      <c r="A181" s="13" t="inlineStr">
        <is>
          <t>100201</t>
        </is>
      </c>
      <c r="B181" s="13" t="inlineStr">
        <is>
          <t>圆钢</t>
        </is>
      </c>
      <c r="C181" s="13" t="inlineStr">
        <is>
          <t>601325500</t>
        </is>
      </c>
      <c r="D181" s="13" t="inlineStr">
        <is>
          <t>不锈圆钢|圆钢|2Cr13Ni2|Φ36|空</t>
        </is>
      </c>
      <c r="E181" s="13" t="inlineStr">
        <is>
          <t xml:space="preserve">物资名称 不锈圆钢;物资简称 圆钢;牌号 2Cr13Ni2;直径 Φ36;技术标准号 空;加工工艺 ;热处理工艺 ;特殊要求 ;规格标准号 </t>
        </is>
      </c>
      <c r="F181" s="12" t="inlineStr">
        <is>
          <t>千克</t>
        </is>
      </c>
      <c r="G181" s="11">
        <f>LEFT(D181,FIND("|",D181,1)-1)</f>
        <v/>
      </c>
      <c r="H181" s="11">
        <f>MID(D181,FIND("|",D181,FIND("|",D181,1))+1,FIND("|",D181,FIND("|",D181,1)+1)-FIND("|",D181,FIND("|",D181,1))-1)</f>
        <v/>
      </c>
      <c r="J181" s="11">
        <f>MID(D181,FIND(";",SUBSTITUTE(D181,"|",REPT(";",LEN(D181)),2))+1,FIND(";",SUBSTITUTE(D181,"|",REPT(";",LEN(D181)),3))-FIND(";",SUBSTITUTE(D181,"|",REPT(";",LEN(D181)),2))-1)</f>
        <v/>
      </c>
      <c r="K181" s="11">
        <f>MID(D181,FIND(";",SUBSTITUTE(D181,"|",REPT(";",LEN(D181)),3))+1,FIND(";",SUBSTITUTE(D181,"|",REPT(";",LEN(D181)),4))-FIND(";",SUBSTITUTE(D181,"|",REPT(";",LEN(D181)),3))-1)</f>
        <v/>
      </c>
      <c r="M181" s="11">
        <f>MID(D181,FIND(";",SUBSTITUTE(D181,"|",REPT(";",LEN(D181)),4))+1,LEN(D181))</f>
        <v/>
      </c>
    </row>
    <row r="182" ht="98" customHeight="1" s="21">
      <c r="A182" s="13" t="inlineStr">
        <is>
          <t>100201</t>
        </is>
      </c>
      <c r="B182" s="13" t="inlineStr">
        <is>
          <t>圆钢</t>
        </is>
      </c>
      <c r="C182" s="13" t="inlineStr">
        <is>
          <t>601325400</t>
        </is>
      </c>
      <c r="D182" s="13" t="inlineStr">
        <is>
          <t>不锈圆钢|圆钢|2Cr13Ni2|Φ65|空</t>
        </is>
      </c>
      <c r="E182" s="13" t="inlineStr">
        <is>
          <t xml:space="preserve">物资名称 不锈圆钢;物资简称 圆钢;牌号 2Cr13Ni2;直径 Φ65;技术标准号 空;加工工艺 ;热处理工艺 ;特殊要求 ;规格标准号 </t>
        </is>
      </c>
      <c r="F182" s="12" t="inlineStr">
        <is>
          <t>千克</t>
        </is>
      </c>
      <c r="G182" s="11">
        <f>LEFT(D182,FIND("|",D182,1)-1)</f>
        <v/>
      </c>
      <c r="H182" s="11">
        <f>MID(D182,FIND("|",D182,FIND("|",D182,1))+1,FIND("|",D182,FIND("|",D182,1)+1)-FIND("|",D182,FIND("|",D182,1))-1)</f>
        <v/>
      </c>
      <c r="J182" s="11">
        <f>MID(D182,FIND(";",SUBSTITUTE(D182,"|",REPT(";",LEN(D182)),2))+1,FIND(";",SUBSTITUTE(D182,"|",REPT(";",LEN(D182)),3))-FIND(";",SUBSTITUTE(D182,"|",REPT(";",LEN(D182)),2))-1)</f>
        <v/>
      </c>
      <c r="K182" s="11">
        <f>MID(D182,FIND(";",SUBSTITUTE(D182,"|",REPT(";",LEN(D182)),3))+1,FIND(";",SUBSTITUTE(D182,"|",REPT(";",LEN(D182)),4))-FIND(";",SUBSTITUTE(D182,"|",REPT(";",LEN(D182)),3))-1)</f>
        <v/>
      </c>
      <c r="M182" s="11">
        <f>MID(D182,FIND(";",SUBSTITUTE(D182,"|",REPT(";",LEN(D182)),4))+1,LEN(D182))</f>
        <v/>
      </c>
    </row>
    <row r="183" ht="98" customHeight="1" s="21">
      <c r="A183" s="13" t="inlineStr">
        <is>
          <t>100201</t>
        </is>
      </c>
      <c r="B183" s="13" t="inlineStr">
        <is>
          <t>圆钢</t>
        </is>
      </c>
      <c r="C183" s="13" t="inlineStr">
        <is>
          <t>601325300</t>
        </is>
      </c>
      <c r="D183" s="13" t="inlineStr">
        <is>
          <t>不锈圆钢|圆钢|2Cr13Ni2|Φ70|空</t>
        </is>
      </c>
      <c r="E183" s="13" t="inlineStr">
        <is>
          <t xml:space="preserve">物资名称 不锈圆钢;物资简称 圆钢;牌号 2Cr13Ni2;直径 Φ70;技术标准号 空;加工工艺 ;热处理工艺 ;特殊要求 ;规格标准号 </t>
        </is>
      </c>
      <c r="F183" s="12" t="inlineStr">
        <is>
          <t>千克</t>
        </is>
      </c>
      <c r="G183" s="11">
        <f>LEFT(D183,FIND("|",D183,1)-1)</f>
        <v/>
      </c>
      <c r="H183" s="11">
        <f>MID(D183,FIND("|",D183,FIND("|",D183,1))+1,FIND("|",D183,FIND("|",D183,1)+1)-FIND("|",D183,FIND("|",D183,1))-1)</f>
        <v/>
      </c>
      <c r="J183" s="11">
        <f>MID(D183,FIND(";",SUBSTITUTE(D183,"|",REPT(";",LEN(D183)),2))+1,FIND(";",SUBSTITUTE(D183,"|",REPT(";",LEN(D183)),3))-FIND(";",SUBSTITUTE(D183,"|",REPT(";",LEN(D183)),2))-1)</f>
        <v/>
      </c>
      <c r="K183" s="11">
        <f>MID(D183,FIND(";",SUBSTITUTE(D183,"|",REPT(";",LEN(D183)),3))+1,FIND(";",SUBSTITUTE(D183,"|",REPT(";",LEN(D183)),4))-FIND(";",SUBSTITUTE(D183,"|",REPT(";",LEN(D183)),3))-1)</f>
        <v/>
      </c>
      <c r="M183" s="11">
        <f>MID(D183,FIND(";",SUBSTITUTE(D183,"|",REPT(";",LEN(D183)),4))+1,LEN(D183))</f>
        <v/>
      </c>
    </row>
    <row r="184" ht="98" customHeight="1" s="21">
      <c r="A184" s="13" t="inlineStr">
        <is>
          <t>100201</t>
        </is>
      </c>
      <c r="B184" s="13" t="inlineStr">
        <is>
          <t>圆钢</t>
        </is>
      </c>
      <c r="C184" s="13" t="inlineStr">
        <is>
          <t>601325200</t>
        </is>
      </c>
      <c r="D184" s="13" t="inlineStr">
        <is>
          <t>不锈圆钢|圆钢|2Cr13Ni2|Φ75|空</t>
        </is>
      </c>
      <c r="E184" s="13" t="inlineStr">
        <is>
          <t xml:space="preserve">物资名称 不锈圆钢;物资简称 圆钢;牌号 2Cr13Ni2;直径 Φ75;技术标准号 空;加工工艺 ;热处理工艺 ;特殊要求 ;规格标准号 </t>
        </is>
      </c>
      <c r="F184" s="12" t="inlineStr">
        <is>
          <t>千克</t>
        </is>
      </c>
      <c r="G184" s="11">
        <f>LEFT(D184,FIND("|",D184,1)-1)</f>
        <v/>
      </c>
      <c r="H184" s="11">
        <f>MID(D184,FIND("|",D184,FIND("|",D184,1))+1,FIND("|",D184,FIND("|",D184,1)+1)-FIND("|",D184,FIND("|",D184,1))-1)</f>
        <v/>
      </c>
      <c r="J184" s="11">
        <f>MID(D184,FIND(";",SUBSTITUTE(D184,"|",REPT(";",LEN(D184)),2))+1,FIND(";",SUBSTITUTE(D184,"|",REPT(";",LEN(D184)),3))-FIND(";",SUBSTITUTE(D184,"|",REPT(";",LEN(D184)),2))-1)</f>
        <v/>
      </c>
      <c r="K184" s="11">
        <f>MID(D184,FIND(";",SUBSTITUTE(D184,"|",REPT(";",LEN(D184)),3))+1,FIND(";",SUBSTITUTE(D184,"|",REPT(";",LEN(D184)),4))-FIND(";",SUBSTITUTE(D184,"|",REPT(";",LEN(D184)),3))-1)</f>
        <v/>
      </c>
      <c r="M184" s="11">
        <f>MID(D184,FIND(";",SUBSTITUTE(D184,"|",REPT(";",LEN(D184)),4))+1,LEN(D184))</f>
        <v/>
      </c>
    </row>
    <row r="185" ht="98" customHeight="1" s="21">
      <c r="A185" s="13" t="inlineStr">
        <is>
          <t>100201</t>
        </is>
      </c>
      <c r="B185" s="13" t="inlineStr">
        <is>
          <t>圆钢</t>
        </is>
      </c>
      <c r="C185" s="13" t="inlineStr">
        <is>
          <t>601325100</t>
        </is>
      </c>
      <c r="D185" s="13" t="inlineStr">
        <is>
          <t>不锈圆钢|圆钢|40Cr13|Φ25|空</t>
        </is>
      </c>
      <c r="E185" s="13" t="inlineStr">
        <is>
          <t xml:space="preserve">物资名称 不锈圆钢;物资简称 圆钢;牌号 40Cr13;直径 Φ25;技术标准号 空;加工工艺 ;热处理工艺 ;特殊要求 ;规格标准号 </t>
        </is>
      </c>
      <c r="F185" s="12" t="inlineStr">
        <is>
          <t>千克</t>
        </is>
      </c>
      <c r="G185" s="11">
        <f>LEFT(D185,FIND("|",D185,1)-1)</f>
        <v/>
      </c>
      <c r="H185" s="11">
        <f>MID(D185,FIND("|",D185,FIND("|",D185,1))+1,FIND("|",D185,FIND("|",D185,1)+1)-FIND("|",D185,FIND("|",D185,1))-1)</f>
        <v/>
      </c>
      <c r="J185" s="11">
        <f>MID(D185,FIND(";",SUBSTITUTE(D185,"|",REPT(";",LEN(D185)),2))+1,FIND(";",SUBSTITUTE(D185,"|",REPT(";",LEN(D185)),3))-FIND(";",SUBSTITUTE(D185,"|",REPT(";",LEN(D185)),2))-1)</f>
        <v/>
      </c>
      <c r="K185" s="11">
        <f>MID(D185,FIND(";",SUBSTITUTE(D185,"|",REPT(";",LEN(D185)),3))+1,FIND(";",SUBSTITUTE(D185,"|",REPT(";",LEN(D185)),4))-FIND(";",SUBSTITUTE(D185,"|",REPT(";",LEN(D185)),3))-1)</f>
        <v/>
      </c>
      <c r="M185" s="11">
        <f>MID(D185,FIND(";",SUBSTITUTE(D185,"|",REPT(";",LEN(D185)),4))+1,LEN(D185))</f>
        <v/>
      </c>
    </row>
    <row r="186" ht="98" customHeight="1" s="21">
      <c r="A186" s="13" t="inlineStr">
        <is>
          <t>100201</t>
        </is>
      </c>
      <c r="B186" s="13" t="inlineStr">
        <is>
          <t>圆钢</t>
        </is>
      </c>
      <c r="C186" s="13" t="inlineStr">
        <is>
          <t>601325000</t>
        </is>
      </c>
      <c r="D186" s="13" t="inlineStr">
        <is>
          <t>不锈圆钢|圆钢|4Cr13|Φ100|空</t>
        </is>
      </c>
      <c r="E186" s="13" t="inlineStr">
        <is>
          <t xml:space="preserve">物资名称 不锈圆钢;物资简称 圆钢;牌号 4Cr13;直径 Φ100;技术标准号 空;加工工艺 ;热处理工艺 ;特殊要求 ;规格标准号 </t>
        </is>
      </c>
      <c r="F186" s="12" t="inlineStr">
        <is>
          <t>千克</t>
        </is>
      </c>
      <c r="G186" s="11">
        <f>LEFT(D186,FIND("|",D186,1)-1)</f>
        <v/>
      </c>
      <c r="H186" s="11">
        <f>MID(D186,FIND("|",D186,FIND("|",D186,1))+1,FIND("|",D186,FIND("|",D186,1)+1)-FIND("|",D186,FIND("|",D186,1))-1)</f>
        <v/>
      </c>
      <c r="J186" s="11">
        <f>MID(D186,FIND(";",SUBSTITUTE(D186,"|",REPT(";",LEN(D186)),2))+1,FIND(";",SUBSTITUTE(D186,"|",REPT(";",LEN(D186)),3))-FIND(";",SUBSTITUTE(D186,"|",REPT(";",LEN(D186)),2))-1)</f>
        <v/>
      </c>
      <c r="K186" s="11">
        <f>MID(D186,FIND(";",SUBSTITUTE(D186,"|",REPT(";",LEN(D186)),3))+1,FIND(";",SUBSTITUTE(D186,"|",REPT(";",LEN(D186)),4))-FIND(";",SUBSTITUTE(D186,"|",REPT(";",LEN(D186)),3))-1)</f>
        <v/>
      </c>
      <c r="M186" s="11">
        <f>MID(D186,FIND(";",SUBSTITUTE(D186,"|",REPT(";",LEN(D186)),4))+1,LEN(D186))</f>
        <v/>
      </c>
    </row>
    <row r="187" ht="98" customHeight="1" s="21">
      <c r="A187" s="13" t="inlineStr">
        <is>
          <t>100201</t>
        </is>
      </c>
      <c r="B187" s="13" t="inlineStr">
        <is>
          <t>圆钢</t>
        </is>
      </c>
      <c r="C187" s="13" t="inlineStr">
        <is>
          <t>601324900</t>
        </is>
      </c>
      <c r="D187" s="13" t="inlineStr">
        <is>
          <t>不锈圆钢|圆钢|4Cr13|Φ18|空</t>
        </is>
      </c>
      <c r="E187" s="13" t="inlineStr">
        <is>
          <t xml:space="preserve">物资名称 不锈圆钢;物资简称 圆钢;牌号 4Cr13;直径 Φ18;技术标准号 空;加工工艺 ;热处理工艺 ;特殊要求 ;规格标准号 </t>
        </is>
      </c>
      <c r="F187" s="12" t="inlineStr">
        <is>
          <t>千克</t>
        </is>
      </c>
      <c r="G187" s="11">
        <f>LEFT(D187,FIND("|",D187,1)-1)</f>
        <v/>
      </c>
      <c r="H187" s="11">
        <f>MID(D187,FIND("|",D187,FIND("|",D187,1))+1,FIND("|",D187,FIND("|",D187,1)+1)-FIND("|",D187,FIND("|",D187,1))-1)</f>
        <v/>
      </c>
      <c r="J187" s="11">
        <f>MID(D187,FIND(";",SUBSTITUTE(D187,"|",REPT(";",LEN(D187)),2))+1,FIND(";",SUBSTITUTE(D187,"|",REPT(";",LEN(D187)),3))-FIND(";",SUBSTITUTE(D187,"|",REPT(";",LEN(D187)),2))-1)</f>
        <v/>
      </c>
      <c r="K187" s="11">
        <f>MID(D187,FIND(";",SUBSTITUTE(D187,"|",REPT(";",LEN(D187)),3))+1,FIND(";",SUBSTITUTE(D187,"|",REPT(";",LEN(D187)),4))-FIND(";",SUBSTITUTE(D187,"|",REPT(";",LEN(D187)),3))-1)</f>
        <v/>
      </c>
      <c r="M187" s="11">
        <f>MID(D187,FIND(";",SUBSTITUTE(D187,"|",REPT(";",LEN(D187)),4))+1,LEN(D187))</f>
        <v/>
      </c>
    </row>
    <row r="188" ht="98" customHeight="1" s="21">
      <c r="A188" s="13" t="inlineStr">
        <is>
          <t>100201</t>
        </is>
      </c>
      <c r="B188" s="13" t="inlineStr">
        <is>
          <t>圆钢</t>
        </is>
      </c>
      <c r="C188" s="13" t="inlineStr">
        <is>
          <t>601324800</t>
        </is>
      </c>
      <c r="D188" s="13" t="inlineStr">
        <is>
          <t>不锈圆钢|圆钢|Y1Cr18Ni9|Φ40|空</t>
        </is>
      </c>
      <c r="E188" s="13" t="inlineStr">
        <is>
          <t xml:space="preserve">物资名称 不锈圆钢;物资简称 圆钢;牌号 Y1Cr18Ni9;直径 Φ40;技术标准号 空;加工工艺 ;热处理工艺 ;特殊要求 ;规格标准号 </t>
        </is>
      </c>
      <c r="F188" s="12" t="inlineStr">
        <is>
          <t>千克</t>
        </is>
      </c>
      <c r="G188" s="11">
        <f>LEFT(D188,FIND("|",D188,1)-1)</f>
        <v/>
      </c>
      <c r="H188" s="11">
        <f>MID(D188,FIND("|",D188,FIND("|",D188,1))+1,FIND("|",D188,FIND("|",D188,1)+1)-FIND("|",D188,FIND("|",D188,1))-1)</f>
        <v/>
      </c>
      <c r="J188" s="11">
        <f>MID(D188,FIND(";",SUBSTITUTE(D188,"|",REPT(";",LEN(D188)),2))+1,FIND(";",SUBSTITUTE(D188,"|",REPT(";",LEN(D188)),3))-FIND(";",SUBSTITUTE(D188,"|",REPT(";",LEN(D188)),2))-1)</f>
        <v/>
      </c>
      <c r="K188" s="11">
        <f>MID(D188,FIND(";",SUBSTITUTE(D188,"|",REPT(";",LEN(D188)),3))+1,FIND(";",SUBSTITUTE(D188,"|",REPT(";",LEN(D188)),4))-FIND(";",SUBSTITUTE(D188,"|",REPT(";",LEN(D188)),3))-1)</f>
        <v/>
      </c>
      <c r="M188" s="11">
        <f>MID(D188,FIND(";",SUBSTITUTE(D188,"|",REPT(";",LEN(D188)),4))+1,LEN(D188))</f>
        <v/>
      </c>
    </row>
    <row r="189" ht="98" customHeight="1" s="21">
      <c r="A189" s="13" t="inlineStr">
        <is>
          <t>100201</t>
        </is>
      </c>
      <c r="B189" s="13" t="inlineStr">
        <is>
          <t>圆钢</t>
        </is>
      </c>
      <c r="C189" s="13" t="inlineStr">
        <is>
          <t>601324700</t>
        </is>
      </c>
      <c r="D189" s="13" t="inlineStr">
        <is>
          <t>不锈圆钢|圆钢|Y2Cr13Ni2|Φ60|空</t>
        </is>
      </c>
      <c r="E189" s="13" t="inlineStr">
        <is>
          <t xml:space="preserve">物资名称 不锈圆钢;物资简称 圆钢;牌号 Y2Cr13Ni2;直径 Φ60;技术标准号 空;加工工艺 ;热处理工艺 ;特殊要求 ;规格标准号 </t>
        </is>
      </c>
      <c r="F189" s="12" t="inlineStr">
        <is>
          <t>千克</t>
        </is>
      </c>
      <c r="G189" s="11">
        <f>LEFT(D189,FIND("|",D189,1)-1)</f>
        <v/>
      </c>
      <c r="H189" s="11">
        <f>MID(D189,FIND("|",D189,FIND("|",D189,1))+1,FIND("|",D189,FIND("|",D189,1)+1)-FIND("|",D189,FIND("|",D189,1))-1)</f>
        <v/>
      </c>
      <c r="J189" s="11">
        <f>MID(D189,FIND(";",SUBSTITUTE(D189,"|",REPT(";",LEN(D189)),2))+1,FIND(";",SUBSTITUTE(D189,"|",REPT(";",LEN(D189)),3))-FIND(";",SUBSTITUTE(D189,"|",REPT(";",LEN(D189)),2))-1)</f>
        <v/>
      </c>
      <c r="K189" s="11">
        <f>MID(D189,FIND(";",SUBSTITUTE(D189,"|",REPT(";",LEN(D189)),3))+1,FIND(";",SUBSTITUTE(D189,"|",REPT(";",LEN(D189)),4))-FIND(";",SUBSTITUTE(D189,"|",REPT(";",LEN(D189)),3))-1)</f>
        <v/>
      </c>
      <c r="M189" s="11">
        <f>MID(D189,FIND(";",SUBSTITUTE(D189,"|",REPT(";",LEN(D189)),4))+1,LEN(D189))</f>
        <v/>
      </c>
    </row>
    <row r="190" ht="112" customHeight="1" s="21">
      <c r="A190" s="13" t="inlineStr">
        <is>
          <t>100201</t>
        </is>
      </c>
      <c r="B190" s="13" t="inlineStr">
        <is>
          <t>圆钢</t>
        </is>
      </c>
      <c r="C190" s="13" t="inlineStr">
        <is>
          <t>601324600</t>
        </is>
      </c>
      <c r="D190" s="13" t="inlineStr">
        <is>
          <t>不锈圆钢|圆钢|0Cr25Ni20|Φ200|空|耐热</t>
        </is>
      </c>
      <c r="E190" s="13" t="inlineStr">
        <is>
          <t xml:space="preserve">物资名称 不锈圆钢;物资简称 圆钢;牌号 0Cr25Ni20;直径 Φ200;技术标准号 空;加工工艺 ;热处理工艺 ;特殊要求 耐热;规格标准号 </t>
        </is>
      </c>
      <c r="F190" s="12" t="inlineStr">
        <is>
          <t>千克</t>
        </is>
      </c>
      <c r="G190" s="11">
        <f>LEFT(D190,FIND("|",D190,1)-1)</f>
        <v/>
      </c>
      <c r="H190" s="11">
        <f>MID(D190,FIND("|",D190,FIND("|",D190,1))+1,FIND("|",D190,FIND("|",D190,1)+1)-FIND("|",D190,FIND("|",D190,1))-1)</f>
        <v/>
      </c>
      <c r="J190" s="11">
        <f>MID(D190,FIND(";",SUBSTITUTE(D190,"|",REPT(";",LEN(D190)),2))+1,FIND(";",SUBSTITUTE(D190,"|",REPT(";",LEN(D190)),3))-FIND(";",SUBSTITUTE(D190,"|",REPT(";",LEN(D190)),2))-1)</f>
        <v/>
      </c>
      <c r="K190" s="11">
        <f>MID(D190,FIND(";",SUBSTITUTE(D190,"|",REPT(";",LEN(D190)),3))+1,FIND(";",SUBSTITUTE(D190,"|",REPT(";",LEN(D190)),4))-FIND(";",SUBSTITUTE(D190,"|",REPT(";",LEN(D190)),3))-1)</f>
        <v/>
      </c>
      <c r="M190" s="11">
        <f>MID(D190,FIND(";",SUBSTITUTE(D190,"|",REPT(";",LEN(D190)),4))+1,FIND(";",SUBSTITUTE(D190,"|",REPT(";",LEN(D190)),5))-FIND(";",SUBSTITUTE(D190,"|",REPT(";",LEN(D190)),4))-1)</f>
        <v/>
      </c>
      <c r="Q190" s="11">
        <f>MID(D190,FIND(";",SUBSTITUTE(D190,"|",REPT(";",LEN(D190)),5))+1,LEN(D190))</f>
        <v/>
      </c>
    </row>
    <row r="191" ht="126" customHeight="1" s="21">
      <c r="A191" s="13" t="inlineStr">
        <is>
          <t>100201</t>
        </is>
      </c>
      <c r="B191" s="13" t="inlineStr">
        <is>
          <t>圆钢</t>
        </is>
      </c>
      <c r="C191" s="13" t="inlineStr">
        <is>
          <t>601324500</t>
        </is>
      </c>
      <c r="D191" s="13" t="inlineStr">
        <is>
          <t>不锈圆钢|圆钢|2Cr15Mn15Ni2N|Φ20|空|抗磁</t>
        </is>
      </c>
      <c r="E191" s="13" t="inlineStr">
        <is>
          <t xml:space="preserve">物资名称 不锈圆钢;物资简称 圆钢;牌号 2Cr15Mn15Ni2N;直径 Φ20;技术标准号 空;加工工艺 ;热处理工艺 ;特殊要求 抗磁;规格标准号 </t>
        </is>
      </c>
      <c r="F191" s="12" t="inlineStr">
        <is>
          <t>千克</t>
        </is>
      </c>
      <c r="G191" s="11">
        <f>LEFT(D191,FIND("|",D191,1)-1)</f>
        <v/>
      </c>
      <c r="H191" s="11">
        <f>MID(D191,FIND("|",D191,FIND("|",D191,1))+1,FIND("|",D191,FIND("|",D191,1)+1)-FIND("|",D191,FIND("|",D191,1))-1)</f>
        <v/>
      </c>
      <c r="J191" s="11">
        <f>MID(D191,FIND(";",SUBSTITUTE(D191,"|",REPT(";",LEN(D191)),2))+1,FIND(";",SUBSTITUTE(D191,"|",REPT(";",LEN(D191)),3))-FIND(";",SUBSTITUTE(D191,"|",REPT(";",LEN(D191)),2))-1)</f>
        <v/>
      </c>
      <c r="K191" s="11">
        <f>MID(D191,FIND(";",SUBSTITUTE(D191,"|",REPT(";",LEN(D191)),3))+1,FIND(";",SUBSTITUTE(D191,"|",REPT(";",LEN(D191)),4))-FIND(";",SUBSTITUTE(D191,"|",REPT(";",LEN(D191)),3))-1)</f>
        <v/>
      </c>
      <c r="M191" s="11">
        <f>MID(D191,FIND(";",SUBSTITUTE(D191,"|",REPT(";",LEN(D191)),4))+1,FIND(";",SUBSTITUTE(D191,"|",REPT(";",LEN(D191)),5))-FIND(";",SUBSTITUTE(D191,"|",REPT(";",LEN(D191)),4))-1)</f>
        <v/>
      </c>
      <c r="Q191" s="11">
        <f>MID(D191,FIND(";",SUBSTITUTE(D191,"|",REPT(";",LEN(D191)),5))+1,LEN(D191))</f>
        <v/>
      </c>
    </row>
    <row r="192" ht="126" customHeight="1" s="21">
      <c r="A192" s="13" t="inlineStr">
        <is>
          <t>100201</t>
        </is>
      </c>
      <c r="B192" s="13" t="inlineStr">
        <is>
          <t>圆钢</t>
        </is>
      </c>
      <c r="C192" s="13" t="inlineStr">
        <is>
          <t>601324400</t>
        </is>
      </c>
      <c r="D192" s="13" t="inlineStr">
        <is>
          <t>不锈圆钢|圆钢|2Cr15Mn15Ni2N|Φ30|空|抗磁</t>
        </is>
      </c>
      <c r="E192" s="13" t="inlineStr">
        <is>
          <t xml:space="preserve">物资名称 不锈圆钢;物资简称 圆钢;牌号 2Cr15Mn15Ni2N;直径 Φ30;技术标准号 空;加工工艺 ;热处理工艺 ;特殊要求 抗磁;规格标准号 </t>
        </is>
      </c>
      <c r="F192" s="12" t="inlineStr">
        <is>
          <t>千克</t>
        </is>
      </c>
      <c r="G192" s="11">
        <f>LEFT(D192,FIND("|",D192,1)-1)</f>
        <v/>
      </c>
      <c r="H192" s="11">
        <f>MID(D192,FIND("|",D192,FIND("|",D192,1))+1,FIND("|",D192,FIND("|",D192,1)+1)-FIND("|",D192,FIND("|",D192,1))-1)</f>
        <v/>
      </c>
      <c r="J192" s="11">
        <f>MID(D192,FIND(";",SUBSTITUTE(D192,"|",REPT(";",LEN(D192)),2))+1,FIND(";",SUBSTITUTE(D192,"|",REPT(";",LEN(D192)),3))-FIND(";",SUBSTITUTE(D192,"|",REPT(";",LEN(D192)),2))-1)</f>
        <v/>
      </c>
      <c r="K192" s="11">
        <f>MID(D192,FIND(";",SUBSTITUTE(D192,"|",REPT(";",LEN(D192)),3))+1,FIND(";",SUBSTITUTE(D192,"|",REPT(";",LEN(D192)),4))-FIND(";",SUBSTITUTE(D192,"|",REPT(";",LEN(D192)),3))-1)</f>
        <v/>
      </c>
      <c r="M192" s="11">
        <f>MID(D192,FIND(";",SUBSTITUTE(D192,"|",REPT(";",LEN(D192)),4))+1,FIND(";",SUBSTITUTE(D192,"|",REPT(";",LEN(D192)),5))-FIND(";",SUBSTITUTE(D192,"|",REPT(";",LEN(D192)),4))-1)</f>
        <v/>
      </c>
      <c r="Q192" s="11">
        <f>MID(D192,FIND(";",SUBSTITUTE(D192,"|",REPT(";",LEN(D192)),5))+1,LEN(D192))</f>
        <v/>
      </c>
    </row>
    <row r="193" ht="126" customHeight="1" s="21">
      <c r="A193" s="13" t="inlineStr">
        <is>
          <t>100201</t>
        </is>
      </c>
      <c r="B193" s="13" t="inlineStr">
        <is>
          <t>圆钢</t>
        </is>
      </c>
      <c r="C193" s="13" t="inlineStr">
        <is>
          <t>601324300</t>
        </is>
      </c>
      <c r="D193" s="13" t="inlineStr">
        <is>
          <t>不锈圆钢|圆钢|2Cr15Mn15Ni2N|Φ40|空|抗磁</t>
        </is>
      </c>
      <c r="E193" s="13" t="inlineStr">
        <is>
          <t xml:space="preserve">物资名称 不锈圆钢;物资简称 圆钢;牌号 2Cr15Mn15Ni2N;直径 Φ40;技术标准号 空;加工工艺 ;热处理工艺 ;特殊要求 抗磁;规格标准号 </t>
        </is>
      </c>
      <c r="F193" s="12" t="inlineStr">
        <is>
          <t>千克</t>
        </is>
      </c>
      <c r="G193" s="11">
        <f>LEFT(D193,FIND("|",D193,1)-1)</f>
        <v/>
      </c>
      <c r="H193" s="11">
        <f>MID(D193,FIND("|",D193,FIND("|",D193,1))+1,FIND("|",D193,FIND("|",D193,1)+1)-FIND("|",D193,FIND("|",D193,1))-1)</f>
        <v/>
      </c>
      <c r="J193" s="11">
        <f>MID(D193,FIND(";",SUBSTITUTE(D193,"|",REPT(";",LEN(D193)),2))+1,FIND(";",SUBSTITUTE(D193,"|",REPT(";",LEN(D193)),3))-FIND(";",SUBSTITUTE(D193,"|",REPT(";",LEN(D193)),2))-1)</f>
        <v/>
      </c>
      <c r="K193" s="11">
        <f>MID(D193,FIND(";",SUBSTITUTE(D193,"|",REPT(";",LEN(D193)),3))+1,FIND(";",SUBSTITUTE(D193,"|",REPT(";",LEN(D193)),4))-FIND(";",SUBSTITUTE(D193,"|",REPT(";",LEN(D193)),3))-1)</f>
        <v/>
      </c>
      <c r="M193" s="11">
        <f>MID(D193,FIND(";",SUBSTITUTE(D193,"|",REPT(";",LEN(D193)),4))+1,FIND(";",SUBSTITUTE(D193,"|",REPT(";",LEN(D193)),5))-FIND(";",SUBSTITUTE(D193,"|",REPT(";",LEN(D193)),4))-1)</f>
        <v/>
      </c>
      <c r="Q193" s="11">
        <f>MID(D193,FIND(";",SUBSTITUTE(D193,"|",REPT(";",LEN(D193)),5))+1,LEN(D193))</f>
        <v/>
      </c>
    </row>
    <row r="194" ht="112" customHeight="1" s="21">
      <c r="A194" s="13" t="inlineStr">
        <is>
          <t>100201</t>
        </is>
      </c>
      <c r="B194" s="13" t="inlineStr">
        <is>
          <t>圆钢</t>
        </is>
      </c>
      <c r="C194" s="13" t="inlineStr">
        <is>
          <t>601324200</t>
        </is>
      </c>
      <c r="D194" s="13" t="inlineStr">
        <is>
          <t>不锈圆钢|圆钢|2Cr15Mn15Ni2N|Φ5|空|抗磁</t>
        </is>
      </c>
      <c r="E194" s="13" t="inlineStr">
        <is>
          <t xml:space="preserve">物资名称 不锈圆钢;物资简称 圆钢;牌号 2Cr15Mn15Ni2N;直径 Φ5;技术标准号 空;加工工艺 ;热处理工艺 ;特殊要求 抗磁;规格标准号 </t>
        </is>
      </c>
      <c r="F194" s="12" t="inlineStr">
        <is>
          <t>千克</t>
        </is>
      </c>
      <c r="G194" s="11">
        <f>LEFT(D194,FIND("|",D194,1)-1)</f>
        <v/>
      </c>
      <c r="H194" s="11">
        <f>MID(D194,FIND("|",D194,FIND("|",D194,1))+1,FIND("|",D194,FIND("|",D194,1)+1)-FIND("|",D194,FIND("|",D194,1))-1)</f>
        <v/>
      </c>
      <c r="J194" s="11">
        <f>MID(D194,FIND(";",SUBSTITUTE(D194,"|",REPT(";",LEN(D194)),2))+1,FIND(";",SUBSTITUTE(D194,"|",REPT(";",LEN(D194)),3))-FIND(";",SUBSTITUTE(D194,"|",REPT(";",LEN(D194)),2))-1)</f>
        <v/>
      </c>
      <c r="K194" s="11">
        <f>MID(D194,FIND(";",SUBSTITUTE(D194,"|",REPT(";",LEN(D194)),3))+1,FIND(";",SUBSTITUTE(D194,"|",REPT(";",LEN(D194)),4))-FIND(";",SUBSTITUTE(D194,"|",REPT(";",LEN(D194)),3))-1)</f>
        <v/>
      </c>
      <c r="M194" s="11">
        <f>MID(D194,FIND(";",SUBSTITUTE(D194,"|",REPT(";",LEN(D194)),4))+1,FIND(";",SUBSTITUTE(D194,"|",REPT(";",LEN(D194)),5))-FIND(";",SUBSTITUTE(D194,"|",REPT(";",LEN(D194)),4))-1)</f>
        <v/>
      </c>
      <c r="Q194" s="11">
        <f>MID(D194,FIND(";",SUBSTITUTE(D194,"|",REPT(";",LEN(D194)),5))+1,LEN(D194))</f>
        <v/>
      </c>
    </row>
    <row r="195" ht="126" customHeight="1" s="21">
      <c r="A195" s="13" t="inlineStr">
        <is>
          <t>100201</t>
        </is>
      </c>
      <c r="B195" s="13" t="inlineStr">
        <is>
          <t>圆钢</t>
        </is>
      </c>
      <c r="C195" s="13" t="inlineStr">
        <is>
          <t>601324100</t>
        </is>
      </c>
      <c r="D195" s="13" t="inlineStr">
        <is>
          <t>不锈圆钢|圆钢|2Cr15Mn15Ni2N|Φ90|空|抗磁</t>
        </is>
      </c>
      <c r="E195" s="13" t="inlineStr">
        <is>
          <t xml:space="preserve">物资名称 不锈圆钢;物资简称 圆钢;牌号 2Cr15Mn15Ni2N;直径 Φ90;技术标准号 空;加工工艺 ;热处理工艺 ;特殊要求 抗磁;规格标准号 </t>
        </is>
      </c>
      <c r="F195" s="12" t="inlineStr">
        <is>
          <t>千克</t>
        </is>
      </c>
      <c r="G195" s="11">
        <f>LEFT(D195,FIND("|",D195,1)-1)</f>
        <v/>
      </c>
      <c r="H195" s="11">
        <f>MID(D195,FIND("|",D195,FIND("|",D195,1))+1,FIND("|",D195,FIND("|",D195,1)+1)-FIND("|",D195,FIND("|",D195,1))-1)</f>
        <v/>
      </c>
      <c r="J195" s="11">
        <f>MID(D195,FIND(";",SUBSTITUTE(D195,"|",REPT(";",LEN(D195)),2))+1,FIND(";",SUBSTITUTE(D195,"|",REPT(";",LEN(D195)),3))-FIND(";",SUBSTITUTE(D195,"|",REPT(";",LEN(D195)),2))-1)</f>
        <v/>
      </c>
      <c r="K195" s="11">
        <f>MID(D195,FIND(";",SUBSTITUTE(D195,"|",REPT(";",LEN(D195)),3))+1,FIND(";",SUBSTITUTE(D195,"|",REPT(";",LEN(D195)),4))-FIND(";",SUBSTITUTE(D195,"|",REPT(";",LEN(D195)),3))-1)</f>
        <v/>
      </c>
      <c r="M195" s="11">
        <f>MID(D195,FIND(";",SUBSTITUTE(D195,"|",REPT(";",LEN(D195)),4))+1,FIND(";",SUBSTITUTE(D195,"|",REPT(";",LEN(D195)),5))-FIND(";",SUBSTITUTE(D195,"|",REPT(";",LEN(D195)),4))-1)</f>
        <v/>
      </c>
      <c r="Q195" s="11">
        <f>MID(D195,FIND(";",SUBSTITUTE(D195,"|",REPT(";",LEN(D195)),5))+1,LEN(D195))</f>
        <v/>
      </c>
    </row>
    <row r="196" ht="98" customHeight="1" s="21">
      <c r="A196" s="13" t="inlineStr">
        <is>
          <t>100201</t>
        </is>
      </c>
      <c r="B196" s="13" t="inlineStr">
        <is>
          <t>圆钢</t>
        </is>
      </c>
      <c r="C196" s="13" t="inlineStr">
        <is>
          <t>601324000</t>
        </is>
      </c>
      <c r="D196" s="13" t="inlineStr">
        <is>
          <t>合金弹簧圆钢|圆钢|60Si2Mn|Φ16|空</t>
        </is>
      </c>
      <c r="E196" s="13" t="inlineStr">
        <is>
          <t xml:space="preserve">物资名称 合金弹簧圆钢;物资简称 圆钢;牌号 60Si2Mn;直径 Φ16;技术标准号 空;加工工艺 ;热处理工艺 ;特殊要求 ;规格标准号 </t>
        </is>
      </c>
      <c r="F196" s="12" t="inlineStr">
        <is>
          <t>千克</t>
        </is>
      </c>
      <c r="G196" s="11">
        <f>LEFT(D196,FIND("|",D196,1)-1)</f>
        <v/>
      </c>
      <c r="H196" s="11">
        <f>MID(D196,FIND("|",D196,FIND("|",D196,1))+1,FIND("|",D196,FIND("|",D196,1)+1)-FIND("|",D196,FIND("|",D196,1))-1)</f>
        <v/>
      </c>
      <c r="J196" s="11">
        <f>MID(D196,FIND(";",SUBSTITUTE(D196,"|",REPT(";",LEN(D196)),2))+1,FIND(";",SUBSTITUTE(D196,"|",REPT(";",LEN(D196)),3))-FIND(";",SUBSTITUTE(D196,"|",REPT(";",LEN(D196)),2))-1)</f>
        <v/>
      </c>
      <c r="K196" s="11">
        <f>MID(D196,FIND(";",SUBSTITUTE(D196,"|",REPT(";",LEN(D196)),3))+1,FIND(";",SUBSTITUTE(D196,"|",REPT(";",LEN(D196)),4))-FIND(";",SUBSTITUTE(D196,"|",REPT(";",LEN(D196)),3))-1)</f>
        <v/>
      </c>
      <c r="M196" s="11">
        <f>MID(D196,FIND(";",SUBSTITUTE(D196,"|",REPT(";",LEN(D196)),4))+1,LEN(D196))</f>
        <v/>
      </c>
    </row>
    <row r="197" ht="98" customHeight="1" s="21">
      <c r="A197" s="13" t="inlineStr">
        <is>
          <t>100201</t>
        </is>
      </c>
      <c r="B197" s="13" t="inlineStr">
        <is>
          <t>圆钢</t>
        </is>
      </c>
      <c r="C197" s="13" t="inlineStr">
        <is>
          <t>601323900</t>
        </is>
      </c>
      <c r="D197" s="13" t="inlineStr">
        <is>
          <t>低膨胀合金圆钢|圆钢|4J32|Φ100|空</t>
        </is>
      </c>
      <c r="E197" s="13" t="inlineStr">
        <is>
          <t xml:space="preserve">物资名称 低膨胀合金圆钢;物资简称 圆钢;牌号 4J32;直径 Φ100;技术标准号 空;加工工艺 ;热处理工艺 ;特殊要求 ;规格标准号 </t>
        </is>
      </c>
      <c r="F197" s="12" t="inlineStr">
        <is>
          <t>千克</t>
        </is>
      </c>
      <c r="G197" s="11">
        <f>LEFT(D197,FIND("|",D197,1)-1)</f>
        <v/>
      </c>
      <c r="H197" s="11">
        <f>MID(D197,FIND("|",D197,FIND("|",D197,1))+1,FIND("|",D197,FIND("|",D197,1)+1)-FIND("|",D197,FIND("|",D197,1))-1)</f>
        <v/>
      </c>
      <c r="J197" s="11">
        <f>MID(D197,FIND(";",SUBSTITUTE(D197,"|",REPT(";",LEN(D197)),2))+1,FIND(";",SUBSTITUTE(D197,"|",REPT(";",LEN(D197)),3))-FIND(";",SUBSTITUTE(D197,"|",REPT(";",LEN(D197)),2))-1)</f>
        <v/>
      </c>
      <c r="K197" s="11">
        <f>MID(D197,FIND(";",SUBSTITUTE(D197,"|",REPT(";",LEN(D197)),3))+1,FIND(";",SUBSTITUTE(D197,"|",REPT(";",LEN(D197)),4))-FIND(";",SUBSTITUTE(D197,"|",REPT(";",LEN(D197)),3))-1)</f>
        <v/>
      </c>
      <c r="M197" s="11">
        <f>MID(D197,FIND(";",SUBSTITUTE(D197,"|",REPT(";",LEN(D197)),4))+1,LEN(D197))</f>
        <v/>
      </c>
    </row>
    <row r="198" ht="98" customHeight="1" s="21">
      <c r="A198" s="13" t="inlineStr">
        <is>
          <t>100201</t>
        </is>
      </c>
      <c r="B198" s="13" t="inlineStr">
        <is>
          <t>圆钢</t>
        </is>
      </c>
      <c r="C198" s="13" t="inlineStr">
        <is>
          <t>601323800</t>
        </is>
      </c>
      <c r="D198" s="13" t="inlineStr">
        <is>
          <t>低膨胀合金圆钢|圆钢|4J32|Φ50|空</t>
        </is>
      </c>
      <c r="E198" s="13" t="inlineStr">
        <is>
          <t xml:space="preserve">物资名称 低膨胀合金圆钢;物资简称 圆钢;牌号 4J32;直径 Φ50;技术标准号 空;加工工艺 ;热处理工艺 ;特殊要求 ;规格标准号 </t>
        </is>
      </c>
      <c r="F198" s="12" t="inlineStr">
        <is>
          <t>千克</t>
        </is>
      </c>
      <c r="G198" s="11">
        <f>LEFT(D198,FIND("|",D198,1)-1)</f>
        <v/>
      </c>
      <c r="H198" s="11">
        <f>MID(D198,FIND("|",D198,FIND("|",D198,1))+1,FIND("|",D198,FIND("|",D198,1)+1)-FIND("|",D198,FIND("|",D198,1))-1)</f>
        <v/>
      </c>
      <c r="J198" s="11">
        <f>MID(D198,FIND(";",SUBSTITUTE(D198,"|",REPT(";",LEN(D198)),2))+1,FIND(";",SUBSTITUTE(D198,"|",REPT(";",LEN(D198)),3))-FIND(";",SUBSTITUTE(D198,"|",REPT(";",LEN(D198)),2))-1)</f>
        <v/>
      </c>
      <c r="K198" s="11">
        <f>MID(D198,FIND(";",SUBSTITUTE(D198,"|",REPT(";",LEN(D198)),3))+1,FIND(";",SUBSTITUTE(D198,"|",REPT(";",LEN(D198)),4))-FIND(";",SUBSTITUTE(D198,"|",REPT(";",LEN(D198)),3))-1)</f>
        <v/>
      </c>
      <c r="M198" s="11">
        <f>MID(D198,FIND(";",SUBSTITUTE(D198,"|",REPT(";",LEN(D198)),4))+1,LEN(D198))</f>
        <v/>
      </c>
    </row>
    <row r="199" ht="98" customHeight="1" s="21">
      <c r="A199" s="13" t="inlineStr">
        <is>
          <t>100201</t>
        </is>
      </c>
      <c r="B199" s="13" t="inlineStr">
        <is>
          <t>圆钢</t>
        </is>
      </c>
      <c r="C199" s="13" t="inlineStr">
        <is>
          <t>601323400</t>
        </is>
      </c>
      <c r="D199" s="13" t="inlineStr">
        <is>
          <t>高速工具圆钢|圆钢|6542|Φ25|空</t>
        </is>
      </c>
      <c r="E199" s="13" t="inlineStr">
        <is>
          <t xml:space="preserve">物资名称 高速工具圆钢;物资简称 圆钢;牌号 6542;直径 Φ25;技术标准号 空;加工工艺 ;热处理工艺 ;特殊要求 ;规格标准号 </t>
        </is>
      </c>
      <c r="F199" s="12" t="inlineStr">
        <is>
          <t>千克</t>
        </is>
      </c>
      <c r="G199" s="11">
        <f>LEFT(D199,FIND("|",D199,1)-1)</f>
        <v/>
      </c>
      <c r="H199" s="11">
        <f>MID(D199,FIND("|",D199,FIND("|",D199,1))+1,FIND("|",D199,FIND("|",D199,1)+1)-FIND("|",D199,FIND("|",D199,1))-1)</f>
        <v/>
      </c>
      <c r="J199" s="11">
        <f>MID(D199,FIND(";",SUBSTITUTE(D199,"|",REPT(";",LEN(D199)),2))+1,FIND(";",SUBSTITUTE(D199,"|",REPT(";",LEN(D199)),3))-FIND(";",SUBSTITUTE(D199,"|",REPT(";",LEN(D199)),2))-1)</f>
        <v/>
      </c>
      <c r="K199" s="11">
        <f>MID(D199,FIND(";",SUBSTITUTE(D199,"|",REPT(";",LEN(D199)),3))+1,FIND(";",SUBSTITUTE(D199,"|",REPT(";",LEN(D199)),4))-FIND(";",SUBSTITUTE(D199,"|",REPT(";",LEN(D199)),3))-1)</f>
        <v/>
      </c>
      <c r="M199" s="11">
        <f>MID(D199,FIND(";",SUBSTITUTE(D199,"|",REPT(";",LEN(D199)),4))+1,LEN(D199))</f>
        <v/>
      </c>
    </row>
    <row r="200" ht="98" customHeight="1" s="21">
      <c r="A200" s="13" t="inlineStr">
        <is>
          <t>100201</t>
        </is>
      </c>
      <c r="B200" s="13" t="inlineStr">
        <is>
          <t>圆钢</t>
        </is>
      </c>
      <c r="C200" s="13" t="inlineStr">
        <is>
          <t>601323300</t>
        </is>
      </c>
      <c r="D200" s="13" t="inlineStr">
        <is>
          <t>高速工具圆钢|圆钢|6542|Φ40|空</t>
        </is>
      </c>
      <c r="E200" s="13" t="inlineStr">
        <is>
          <t xml:space="preserve">物资名称 高速工具圆钢;物资简称 圆钢;牌号 6542;直径 Φ40;技术标准号 空;加工工艺 ;热处理工艺 ;特殊要求 ;规格标准号 </t>
        </is>
      </c>
      <c r="F200" s="12" t="inlineStr">
        <is>
          <t>千克</t>
        </is>
      </c>
      <c r="G200" s="11">
        <f>LEFT(D200,FIND("|",D200,1)-1)</f>
        <v/>
      </c>
      <c r="H200" s="11">
        <f>MID(D200,FIND("|",D200,FIND("|",D200,1))+1,FIND("|",D200,FIND("|",D200,1)+1)-FIND("|",D200,FIND("|",D200,1))-1)</f>
        <v/>
      </c>
      <c r="J200" s="11">
        <f>MID(D200,FIND(";",SUBSTITUTE(D200,"|",REPT(";",LEN(D200)),2))+1,FIND(";",SUBSTITUTE(D200,"|",REPT(";",LEN(D200)),3))-FIND(";",SUBSTITUTE(D200,"|",REPT(";",LEN(D200)),2))-1)</f>
        <v/>
      </c>
      <c r="K200" s="11">
        <f>MID(D200,FIND(";",SUBSTITUTE(D200,"|",REPT(";",LEN(D200)),3))+1,FIND(";",SUBSTITUTE(D200,"|",REPT(";",LEN(D200)),4))-FIND(";",SUBSTITUTE(D200,"|",REPT(";",LEN(D200)),3))-1)</f>
        <v/>
      </c>
      <c r="M200" s="11">
        <f>MID(D200,FIND(";",SUBSTITUTE(D200,"|",REPT(";",LEN(D200)),4))+1,LEN(D200))</f>
        <v/>
      </c>
    </row>
    <row r="201" ht="98" customHeight="1" s="21">
      <c r="A201" s="13" t="inlineStr">
        <is>
          <t>100201</t>
        </is>
      </c>
      <c r="B201" s="13" t="inlineStr">
        <is>
          <t>圆钢</t>
        </is>
      </c>
      <c r="C201" s="13" t="inlineStr">
        <is>
          <t>601323200</t>
        </is>
      </c>
      <c r="D201" s="13" t="inlineStr">
        <is>
          <t>高速工具圆钢|圆钢|W18Cr4V|Φ100|空</t>
        </is>
      </c>
      <c r="E201" s="13" t="inlineStr">
        <is>
          <t xml:space="preserve">物资名称 高速工具圆钢;物资简称 圆钢;牌号 W18Cr4V;直径 Φ100;技术标准号 空;加工工艺 ;热处理工艺 ;特殊要求 ;规格标准号 </t>
        </is>
      </c>
      <c r="F201" s="12" t="inlineStr">
        <is>
          <t>千克</t>
        </is>
      </c>
      <c r="G201" s="11">
        <f>LEFT(D201,FIND("|",D201,1)-1)</f>
        <v/>
      </c>
      <c r="H201" s="11">
        <f>MID(D201,FIND("|",D201,FIND("|",D201,1))+1,FIND("|",D201,FIND("|",D201,1)+1)-FIND("|",D201,FIND("|",D201,1))-1)</f>
        <v/>
      </c>
      <c r="J201" s="11">
        <f>MID(D201,FIND(";",SUBSTITUTE(D201,"|",REPT(";",LEN(D201)),2))+1,FIND(";",SUBSTITUTE(D201,"|",REPT(";",LEN(D201)),3))-FIND(";",SUBSTITUTE(D201,"|",REPT(";",LEN(D201)),2))-1)</f>
        <v/>
      </c>
      <c r="K201" s="11">
        <f>MID(D201,FIND(";",SUBSTITUTE(D201,"|",REPT(";",LEN(D201)),3))+1,FIND(";",SUBSTITUTE(D201,"|",REPT(";",LEN(D201)),4))-FIND(";",SUBSTITUTE(D201,"|",REPT(";",LEN(D201)),3))-1)</f>
        <v/>
      </c>
      <c r="M201" s="11">
        <f>MID(D201,FIND(";",SUBSTITUTE(D201,"|",REPT(";",LEN(D201)),4))+1,LEN(D201))</f>
        <v/>
      </c>
    </row>
    <row r="202" ht="98" customHeight="1" s="21">
      <c r="A202" s="13" t="inlineStr">
        <is>
          <t>100201</t>
        </is>
      </c>
      <c r="B202" s="13" t="inlineStr">
        <is>
          <t>圆钢</t>
        </is>
      </c>
      <c r="C202" s="13" t="inlineStr">
        <is>
          <t>601323100</t>
        </is>
      </c>
      <c r="D202" s="13" t="inlineStr">
        <is>
          <t>合金工具圆钢|圆钢|3Cr2W8V|Φ60|空</t>
        </is>
      </c>
      <c r="E202" s="13" t="inlineStr">
        <is>
          <t xml:space="preserve">物资名称 合金工具圆钢;物资简称 圆钢;牌号 3Cr2W8V;直径 Φ60;技术标准号 空;加工工艺 ;热处理工艺 ;特殊要求 ;规格标准号 </t>
        </is>
      </c>
      <c r="F202" s="12" t="inlineStr">
        <is>
          <t>千克</t>
        </is>
      </c>
      <c r="G202" s="11">
        <f>LEFT(D202,FIND("|",D202,1)-1)</f>
        <v/>
      </c>
      <c r="H202" s="11">
        <f>MID(D202,FIND("|",D202,FIND("|",D202,1))+1,FIND("|",D202,FIND("|",D202,1)+1)-FIND("|",D202,FIND("|",D202,1))-1)</f>
        <v/>
      </c>
      <c r="J202" s="11">
        <f>MID(D202,FIND(";",SUBSTITUTE(D202,"|",REPT(";",LEN(D202)),2))+1,FIND(";",SUBSTITUTE(D202,"|",REPT(";",LEN(D202)),3))-FIND(";",SUBSTITUTE(D202,"|",REPT(";",LEN(D202)),2))-1)</f>
        <v/>
      </c>
      <c r="K202" s="11">
        <f>MID(D202,FIND(";",SUBSTITUTE(D202,"|",REPT(";",LEN(D202)),3))+1,FIND(";",SUBSTITUTE(D202,"|",REPT(";",LEN(D202)),4))-FIND(";",SUBSTITUTE(D202,"|",REPT(";",LEN(D202)),3))-1)</f>
        <v/>
      </c>
      <c r="M202" s="11">
        <f>MID(D202,FIND(";",SUBSTITUTE(D202,"|",REPT(";",LEN(D202)),4))+1,LEN(D202))</f>
        <v/>
      </c>
    </row>
    <row r="203" ht="98" customHeight="1" s="21">
      <c r="A203" s="13" t="inlineStr">
        <is>
          <t>100201</t>
        </is>
      </c>
      <c r="B203" s="13" t="inlineStr">
        <is>
          <t>圆钢</t>
        </is>
      </c>
      <c r="C203" s="13" t="inlineStr">
        <is>
          <t>601323000</t>
        </is>
      </c>
      <c r="D203" s="13" t="inlineStr">
        <is>
          <t>合金工具圆钢|圆钢|3Cr2W8V|Φ70|空</t>
        </is>
      </c>
      <c r="E203" s="13" t="inlineStr">
        <is>
          <t xml:space="preserve">物资名称 合金工具圆钢;物资简称 圆钢;牌号 3Cr2W8V;直径 Φ70;技术标准号 空;加工工艺 ;热处理工艺 ;特殊要求 ;规格标准号 </t>
        </is>
      </c>
      <c r="F203" s="12" t="inlineStr">
        <is>
          <t>千克</t>
        </is>
      </c>
      <c r="G203" s="11">
        <f>LEFT(D203,FIND("|",D203,1)-1)</f>
        <v/>
      </c>
      <c r="H203" s="11">
        <f>MID(D203,FIND("|",D203,FIND("|",D203,1))+1,FIND("|",D203,FIND("|",D203,1)+1)-FIND("|",D203,FIND("|",D203,1))-1)</f>
        <v/>
      </c>
      <c r="J203" s="11">
        <f>MID(D203,FIND(";",SUBSTITUTE(D203,"|",REPT(";",LEN(D203)),2))+1,FIND(";",SUBSTITUTE(D203,"|",REPT(";",LEN(D203)),3))-FIND(";",SUBSTITUTE(D203,"|",REPT(";",LEN(D203)),2))-1)</f>
        <v/>
      </c>
      <c r="K203" s="11">
        <f>MID(D203,FIND(";",SUBSTITUTE(D203,"|",REPT(";",LEN(D203)),3))+1,FIND(";",SUBSTITUTE(D203,"|",REPT(";",LEN(D203)),4))-FIND(";",SUBSTITUTE(D203,"|",REPT(";",LEN(D203)),3))-1)</f>
        <v/>
      </c>
      <c r="M203" s="11">
        <f>MID(D203,FIND(";",SUBSTITUTE(D203,"|",REPT(";",LEN(D203)),4))+1,LEN(D203))</f>
        <v/>
      </c>
    </row>
    <row r="204" ht="98" customHeight="1" s="21">
      <c r="A204" s="13" t="inlineStr">
        <is>
          <t>100201</t>
        </is>
      </c>
      <c r="B204" s="13" t="inlineStr">
        <is>
          <t>圆钢</t>
        </is>
      </c>
      <c r="C204" s="13" t="inlineStr">
        <is>
          <t>601322900</t>
        </is>
      </c>
      <c r="D204" s="13" t="inlineStr">
        <is>
          <t>合金工具圆钢|圆钢|3Cr2W8V|Φ80|空</t>
        </is>
      </c>
      <c r="E204" s="13" t="inlineStr">
        <is>
          <t xml:space="preserve">物资名称 合金工具圆钢;物资简称 圆钢;牌号 3Cr2W8V;直径 Φ80;技术标准号 空;加工工艺 ;热处理工艺 ;特殊要求 ;规格标准号 </t>
        </is>
      </c>
      <c r="F204" s="12" t="inlineStr">
        <is>
          <t>千克</t>
        </is>
      </c>
      <c r="G204" s="11">
        <f>LEFT(D204,FIND("|",D204,1)-1)</f>
        <v/>
      </c>
      <c r="H204" s="11">
        <f>MID(D204,FIND("|",D204,FIND("|",D204,1))+1,FIND("|",D204,FIND("|",D204,1)+1)-FIND("|",D204,FIND("|",D204,1))-1)</f>
        <v/>
      </c>
      <c r="J204" s="11">
        <f>MID(D204,FIND(";",SUBSTITUTE(D204,"|",REPT(";",LEN(D204)),2))+1,FIND(";",SUBSTITUTE(D204,"|",REPT(";",LEN(D204)),3))-FIND(";",SUBSTITUTE(D204,"|",REPT(";",LEN(D204)),2))-1)</f>
        <v/>
      </c>
      <c r="K204" s="11">
        <f>MID(D204,FIND(";",SUBSTITUTE(D204,"|",REPT(";",LEN(D204)),3))+1,FIND(";",SUBSTITUTE(D204,"|",REPT(";",LEN(D204)),4))-FIND(";",SUBSTITUTE(D204,"|",REPT(";",LEN(D204)),3))-1)</f>
        <v/>
      </c>
      <c r="M204" s="11">
        <f>MID(D204,FIND(";",SUBSTITUTE(D204,"|",REPT(";",LEN(D204)),4))+1,LEN(D204))</f>
        <v/>
      </c>
    </row>
    <row r="205" ht="98" customHeight="1" s="21">
      <c r="A205" s="13" t="inlineStr">
        <is>
          <t>100201</t>
        </is>
      </c>
      <c r="B205" s="13" t="inlineStr">
        <is>
          <t>圆钢</t>
        </is>
      </c>
      <c r="C205" s="13" t="inlineStr">
        <is>
          <t>601322800</t>
        </is>
      </c>
      <c r="D205" s="13" t="inlineStr">
        <is>
          <t>合金工具圆钢|圆钢|Cr12MoV|Φ30|空</t>
        </is>
      </c>
      <c r="E205" s="13" t="inlineStr">
        <is>
          <t xml:space="preserve">物资名称 合金工具圆钢;物资简称 圆钢;牌号 Cr12MoV;直径 Φ30;技术标准号 空;加工工艺 ;热处理工艺 ;特殊要求 ;规格标准号 </t>
        </is>
      </c>
      <c r="F205" s="12" t="inlineStr">
        <is>
          <t>千克</t>
        </is>
      </c>
      <c r="G205" s="11">
        <f>LEFT(D205,FIND("|",D205,1)-1)</f>
        <v/>
      </c>
      <c r="H205" s="11">
        <f>MID(D205,FIND("|",D205,FIND("|",D205,1))+1,FIND("|",D205,FIND("|",D205,1)+1)-FIND("|",D205,FIND("|",D205,1))-1)</f>
        <v/>
      </c>
      <c r="J205" s="11">
        <f>MID(D205,FIND(";",SUBSTITUTE(D205,"|",REPT(";",LEN(D205)),2))+1,FIND(";",SUBSTITUTE(D205,"|",REPT(";",LEN(D205)),3))-FIND(";",SUBSTITUTE(D205,"|",REPT(";",LEN(D205)),2))-1)</f>
        <v/>
      </c>
      <c r="K205" s="11">
        <f>MID(D205,FIND(";",SUBSTITUTE(D205,"|",REPT(";",LEN(D205)),3))+1,FIND(";",SUBSTITUTE(D205,"|",REPT(";",LEN(D205)),4))-FIND(";",SUBSTITUTE(D205,"|",REPT(";",LEN(D205)),3))-1)</f>
        <v/>
      </c>
      <c r="M205" s="11">
        <f>MID(D205,FIND(";",SUBSTITUTE(D205,"|",REPT(";",LEN(D205)),4))+1,LEN(D205))</f>
        <v/>
      </c>
    </row>
    <row r="206" ht="98" customHeight="1" s="21">
      <c r="A206" s="13" t="inlineStr">
        <is>
          <t>100201</t>
        </is>
      </c>
      <c r="B206" s="13" t="inlineStr">
        <is>
          <t>圆钢</t>
        </is>
      </c>
      <c r="C206" s="13" t="inlineStr">
        <is>
          <t>601322700</t>
        </is>
      </c>
      <c r="D206" s="13" t="inlineStr">
        <is>
          <t>合金工具圆钢|圆钢|Cr12MoV|Φ80|空</t>
        </is>
      </c>
      <c r="E206" s="13" t="inlineStr">
        <is>
          <t xml:space="preserve">物资名称 合金工具圆钢;物资简称 圆钢;牌号 Cr12MoV;直径 Φ80;技术标准号 空;加工工艺 ;热处理工艺 ;特殊要求 ;规格标准号 </t>
        </is>
      </c>
      <c r="F206" s="12" t="inlineStr">
        <is>
          <t>千克</t>
        </is>
      </c>
      <c r="G206" s="11">
        <f>LEFT(D206,FIND("|",D206,1)-1)</f>
        <v/>
      </c>
      <c r="H206" s="11">
        <f>MID(D206,FIND("|",D206,FIND("|",D206,1))+1,FIND("|",D206,FIND("|",D206,1)+1)-FIND("|",D206,FIND("|",D206,1))-1)</f>
        <v/>
      </c>
      <c r="J206" s="11">
        <f>MID(D206,FIND(";",SUBSTITUTE(D206,"|",REPT(";",LEN(D206)),2))+1,FIND(";",SUBSTITUTE(D206,"|",REPT(";",LEN(D206)),3))-FIND(";",SUBSTITUTE(D206,"|",REPT(";",LEN(D206)),2))-1)</f>
        <v/>
      </c>
      <c r="K206" s="11">
        <f>MID(D206,FIND(";",SUBSTITUTE(D206,"|",REPT(";",LEN(D206)),3))+1,FIND(";",SUBSTITUTE(D206,"|",REPT(";",LEN(D206)),4))-FIND(";",SUBSTITUTE(D206,"|",REPT(";",LEN(D206)),3))-1)</f>
        <v/>
      </c>
      <c r="M206" s="11">
        <f>MID(D206,FIND(";",SUBSTITUTE(D206,"|",REPT(";",LEN(D206)),4))+1,LEN(D206))</f>
        <v/>
      </c>
    </row>
    <row r="207" ht="98" customHeight="1" s="21">
      <c r="A207" s="13" t="inlineStr">
        <is>
          <t>100201</t>
        </is>
      </c>
      <c r="B207" s="13" t="inlineStr">
        <is>
          <t>圆钢</t>
        </is>
      </c>
      <c r="C207" s="13" t="inlineStr">
        <is>
          <t>601322600</t>
        </is>
      </c>
      <c r="D207" s="13" t="inlineStr">
        <is>
          <t>合金工具圆钢|圆钢|CrMn|Φ20|空</t>
        </is>
      </c>
      <c r="E207" s="13" t="inlineStr">
        <is>
          <t xml:space="preserve">物资名称 合金工具圆钢;物资简称 圆钢;牌号 CrMn;直径 Φ20;技术标准号 空;加工工艺 ;热处理工艺 ;特殊要求 ;规格标准号 </t>
        </is>
      </c>
      <c r="F207" s="12" t="inlineStr">
        <is>
          <t>千克</t>
        </is>
      </c>
      <c r="G207" s="11">
        <f>LEFT(D207,FIND("|",D207,1)-1)</f>
        <v/>
      </c>
      <c r="H207" s="11">
        <f>MID(D207,FIND("|",D207,FIND("|",D207,1))+1,FIND("|",D207,FIND("|",D207,1)+1)-FIND("|",D207,FIND("|",D207,1))-1)</f>
        <v/>
      </c>
      <c r="J207" s="11">
        <f>MID(D207,FIND(";",SUBSTITUTE(D207,"|",REPT(";",LEN(D207)),2))+1,FIND(";",SUBSTITUTE(D207,"|",REPT(";",LEN(D207)),3))-FIND(";",SUBSTITUTE(D207,"|",REPT(";",LEN(D207)),2))-1)</f>
        <v/>
      </c>
      <c r="K207" s="11">
        <f>MID(D207,FIND(";",SUBSTITUTE(D207,"|",REPT(";",LEN(D207)),3))+1,FIND(";",SUBSTITUTE(D207,"|",REPT(";",LEN(D207)),4))-FIND(";",SUBSTITUTE(D207,"|",REPT(";",LEN(D207)),3))-1)</f>
        <v/>
      </c>
      <c r="M207" s="11">
        <f>MID(D207,FIND(";",SUBSTITUTE(D207,"|",REPT(";",LEN(D207)),4))+1,LEN(D207))</f>
        <v/>
      </c>
    </row>
    <row r="208" ht="98" customHeight="1" s="21">
      <c r="A208" s="13" t="inlineStr">
        <is>
          <t>100201</t>
        </is>
      </c>
      <c r="B208" s="13" t="inlineStr">
        <is>
          <t>圆钢</t>
        </is>
      </c>
      <c r="C208" s="13" t="inlineStr">
        <is>
          <t>601322500</t>
        </is>
      </c>
      <c r="D208" s="13" t="inlineStr">
        <is>
          <t>合金工具圆钢|圆钢|CrWMn|Φ120|空</t>
        </is>
      </c>
      <c r="E208" s="13" t="inlineStr">
        <is>
          <t xml:space="preserve">物资名称 合金工具圆钢;物资简称 圆钢;牌号 CrWMn;直径 Φ120;技术标准号 空;加工工艺 ;热处理工艺 ;特殊要求 ;规格标准号 </t>
        </is>
      </c>
      <c r="F208" s="12" t="inlineStr">
        <is>
          <t>千克</t>
        </is>
      </c>
      <c r="G208" s="11">
        <f>LEFT(D208,FIND("|",D208,1)-1)</f>
        <v/>
      </c>
      <c r="H208" s="11">
        <f>MID(D208,FIND("|",D208,FIND("|",D208,1))+1,FIND("|",D208,FIND("|",D208,1)+1)-FIND("|",D208,FIND("|",D208,1))-1)</f>
        <v/>
      </c>
      <c r="J208" s="11">
        <f>MID(D208,FIND(";",SUBSTITUTE(D208,"|",REPT(";",LEN(D208)),2))+1,FIND(";",SUBSTITUTE(D208,"|",REPT(";",LEN(D208)),3))-FIND(";",SUBSTITUTE(D208,"|",REPT(";",LEN(D208)),2))-1)</f>
        <v/>
      </c>
      <c r="K208" s="11">
        <f>MID(D208,FIND(";",SUBSTITUTE(D208,"|",REPT(";",LEN(D208)),3))+1,FIND(";",SUBSTITUTE(D208,"|",REPT(";",LEN(D208)),4))-FIND(";",SUBSTITUTE(D208,"|",REPT(";",LEN(D208)),3))-1)</f>
        <v/>
      </c>
      <c r="M208" s="11">
        <f>MID(D208,FIND(";",SUBSTITUTE(D208,"|",REPT(";",LEN(D208)),4))+1,LEN(D208))</f>
        <v/>
      </c>
    </row>
    <row r="209" ht="112" customHeight="1" s="21">
      <c r="A209" s="13" t="inlineStr">
        <is>
          <t>100201</t>
        </is>
      </c>
      <c r="B209" s="13" t="inlineStr">
        <is>
          <t>圆钢</t>
        </is>
      </c>
      <c r="C209" s="13" t="inlineStr">
        <is>
          <t>601322400</t>
        </is>
      </c>
      <c r="D209" s="13" t="inlineStr">
        <is>
          <t>合金结构圆钢|圆钢|12CrNi3A|Φ25|GB/T 3077</t>
        </is>
      </c>
      <c r="E209" s="13" t="inlineStr">
        <is>
          <t xml:space="preserve">物资名称 合金结构圆钢;物资简称 圆钢;牌号 12CrNi3A;直径 Φ25;技术标准号 GB/T 3077;加工工艺 ;热处理工艺 ;特殊要求 ;规格标准号 </t>
        </is>
      </c>
      <c r="F209" s="12" t="inlineStr">
        <is>
          <t>千克</t>
        </is>
      </c>
      <c r="G209" s="11">
        <f>LEFT(D209,FIND("|",D209,1)-1)</f>
        <v/>
      </c>
      <c r="H209" s="11">
        <f>MID(D209,FIND("|",D209,FIND("|",D209,1))+1,FIND("|",D209,FIND("|",D209,1)+1)-FIND("|",D209,FIND("|",D209,1))-1)</f>
        <v/>
      </c>
      <c r="J209" s="11">
        <f>MID(D209,FIND(";",SUBSTITUTE(D209,"|",REPT(";",LEN(D209)),2))+1,FIND(";",SUBSTITUTE(D209,"|",REPT(";",LEN(D209)),3))-FIND(";",SUBSTITUTE(D209,"|",REPT(";",LEN(D209)),2))-1)</f>
        <v/>
      </c>
      <c r="K209" s="11">
        <f>MID(D209,FIND(";",SUBSTITUTE(D209,"|",REPT(";",LEN(D209)),3))+1,FIND(";",SUBSTITUTE(D209,"|",REPT(";",LEN(D209)),4))-FIND(";",SUBSTITUTE(D209,"|",REPT(";",LEN(D209)),3))-1)</f>
        <v/>
      </c>
      <c r="M209" s="11">
        <f>MID(D209,FIND(";",SUBSTITUTE(D209,"|",REPT(";",LEN(D209)),4))+1,LEN(D209))</f>
        <v/>
      </c>
    </row>
    <row r="210" ht="112" customHeight="1" s="21">
      <c r="A210" s="13" t="inlineStr">
        <is>
          <t>100201</t>
        </is>
      </c>
      <c r="B210" s="13" t="inlineStr">
        <is>
          <t>圆钢</t>
        </is>
      </c>
      <c r="C210" s="13" t="inlineStr">
        <is>
          <t>601322300</t>
        </is>
      </c>
      <c r="D210" s="13" t="inlineStr">
        <is>
          <t>合金结构圆钢|圆钢|12CrNi3A|Φ28|GB/T 3077</t>
        </is>
      </c>
      <c r="E210" s="13" t="inlineStr">
        <is>
          <t xml:space="preserve">物资名称 合金结构圆钢;物资简称 圆钢;牌号 12CrNi3A;直径 Φ28;技术标准号 GB/T 3077;加工工艺 ;热处理工艺 ;特殊要求 ;规格标准号 </t>
        </is>
      </c>
      <c r="F210" s="12" t="inlineStr">
        <is>
          <t>千克</t>
        </is>
      </c>
      <c r="G210" s="11">
        <f>LEFT(D210,FIND("|",D210,1)-1)</f>
        <v/>
      </c>
      <c r="H210" s="11">
        <f>MID(D210,FIND("|",D210,FIND("|",D210,1))+1,FIND("|",D210,FIND("|",D210,1)+1)-FIND("|",D210,FIND("|",D210,1))-1)</f>
        <v/>
      </c>
      <c r="J210" s="11">
        <f>MID(D210,FIND(";",SUBSTITUTE(D210,"|",REPT(";",LEN(D210)),2))+1,FIND(";",SUBSTITUTE(D210,"|",REPT(";",LEN(D210)),3))-FIND(";",SUBSTITUTE(D210,"|",REPT(";",LEN(D210)),2))-1)</f>
        <v/>
      </c>
      <c r="K210" s="11">
        <f>MID(D210,FIND(";",SUBSTITUTE(D210,"|",REPT(";",LEN(D210)),3))+1,FIND(";",SUBSTITUTE(D210,"|",REPT(";",LEN(D210)),4))-FIND(";",SUBSTITUTE(D210,"|",REPT(";",LEN(D210)),3))-1)</f>
        <v/>
      </c>
      <c r="M210" s="11">
        <f>MID(D210,FIND(";",SUBSTITUTE(D210,"|",REPT(";",LEN(D210)),4))+1,LEN(D210))</f>
        <v/>
      </c>
    </row>
    <row r="211" ht="112" customHeight="1" s="21">
      <c r="A211" s="13" t="inlineStr">
        <is>
          <t>100201</t>
        </is>
      </c>
      <c r="B211" s="13" t="inlineStr">
        <is>
          <t>圆钢</t>
        </is>
      </c>
      <c r="C211" s="13" t="inlineStr">
        <is>
          <t>601322200</t>
        </is>
      </c>
      <c r="D211" s="13" t="inlineStr">
        <is>
          <t>合金结构圆钢|圆钢|12CrNi3A|Φ45|GB/T 3077|东北特殊</t>
        </is>
      </c>
      <c r="E211" s="13" t="inlineStr">
        <is>
          <t xml:space="preserve">物资名称 合金结构圆钢;物资简称 圆钢;牌号 12CrNi3A;直径 Φ45;技术标准号 GB/T 3077;加工工艺 ;热处理工艺 ;特殊要求 东北特殊;规格标准号 </t>
        </is>
      </c>
      <c r="F211" s="12" t="inlineStr">
        <is>
          <t>千克</t>
        </is>
      </c>
      <c r="G211" s="11">
        <f>LEFT(D211,FIND("|",D211,1)-1)</f>
        <v/>
      </c>
      <c r="H211" s="11">
        <f>MID(D211,FIND("|",D211,FIND("|",D211,1))+1,FIND("|",D211,FIND("|",D211,1)+1)-FIND("|",D211,FIND("|",D211,1))-1)</f>
        <v/>
      </c>
      <c r="J211" s="11">
        <f>MID(D211,FIND(";",SUBSTITUTE(D211,"|",REPT(";",LEN(D211)),2))+1,FIND(";",SUBSTITUTE(D211,"|",REPT(";",LEN(D211)),3))-FIND(";",SUBSTITUTE(D211,"|",REPT(";",LEN(D211)),2))-1)</f>
        <v/>
      </c>
      <c r="K211" s="11">
        <f>MID(D211,FIND(";",SUBSTITUTE(D211,"|",REPT(";",LEN(D211)),3))+1,FIND(";",SUBSTITUTE(D211,"|",REPT(";",LEN(D211)),4))-FIND(";",SUBSTITUTE(D211,"|",REPT(";",LEN(D211)),3))-1)</f>
        <v/>
      </c>
      <c r="M211" s="11">
        <f>MID(D211,FIND(";",SUBSTITUTE(D211,"|",REPT(";",LEN(D211)),4))+1,FIND(";",SUBSTITUTE(D211,"|",REPT(";",LEN(D211)),5))-FIND(";",SUBSTITUTE(D211,"|",REPT(";",LEN(D211)),4))-1)</f>
        <v/>
      </c>
      <c r="Q211" s="11">
        <f>MID(D211,FIND(";",SUBSTITUTE(D211,"|",REPT(";",LEN(D211)),5))+1,LEN(D211))</f>
        <v/>
      </c>
    </row>
    <row r="212" ht="112" customHeight="1" s="21">
      <c r="A212" s="13" t="inlineStr">
        <is>
          <t>100201</t>
        </is>
      </c>
      <c r="B212" s="13" t="inlineStr">
        <is>
          <t>圆钢</t>
        </is>
      </c>
      <c r="C212" s="13" t="inlineStr">
        <is>
          <t>601322100</t>
        </is>
      </c>
      <c r="D212" s="13" t="inlineStr">
        <is>
          <t>合金结构圆钢|圆钢|12CrNi3A|Φ55|GB/T 3077|东北特殊</t>
        </is>
      </c>
      <c r="E212" s="13" t="inlineStr">
        <is>
          <t xml:space="preserve">物资名称 合金结构圆钢;物资简称 圆钢;牌号 12CrNi3A;直径 Φ55;技术标准号 GB/T 3077;加工工艺 ;热处理工艺 ;特殊要求 东北特殊;规格标准号 </t>
        </is>
      </c>
      <c r="F212" s="12" t="inlineStr">
        <is>
          <t>千克</t>
        </is>
      </c>
      <c r="G212" s="11">
        <f>LEFT(D212,FIND("|",D212,1)-1)</f>
        <v/>
      </c>
      <c r="H212" s="11">
        <f>MID(D212,FIND("|",D212,FIND("|",D212,1))+1,FIND("|",D212,FIND("|",D212,1)+1)-FIND("|",D212,FIND("|",D212,1))-1)</f>
        <v/>
      </c>
      <c r="J212" s="11">
        <f>MID(D212,FIND(";",SUBSTITUTE(D212,"|",REPT(";",LEN(D212)),2))+1,FIND(";",SUBSTITUTE(D212,"|",REPT(";",LEN(D212)),3))-FIND(";",SUBSTITUTE(D212,"|",REPT(";",LEN(D212)),2))-1)</f>
        <v/>
      </c>
      <c r="K212" s="11">
        <f>MID(D212,FIND(";",SUBSTITUTE(D212,"|",REPT(";",LEN(D212)),3))+1,FIND(";",SUBSTITUTE(D212,"|",REPT(";",LEN(D212)),4))-FIND(";",SUBSTITUTE(D212,"|",REPT(";",LEN(D212)),3))-1)</f>
        <v/>
      </c>
      <c r="M212" s="11">
        <f>MID(D212,FIND(";",SUBSTITUTE(D212,"|",REPT(";",LEN(D212)),4))+1,FIND(";",SUBSTITUTE(D212,"|",REPT(";",LEN(D212)),5))-FIND(";",SUBSTITUTE(D212,"|",REPT(";",LEN(D212)),4))-1)</f>
        <v/>
      </c>
      <c r="Q212" s="11">
        <f>MID(D212,FIND(";",SUBSTITUTE(D212,"|",REPT(";",LEN(D212)),5))+1,LEN(D212))</f>
        <v/>
      </c>
    </row>
    <row r="213" ht="112" customHeight="1" s="21">
      <c r="A213" s="13" t="inlineStr">
        <is>
          <t>100201</t>
        </is>
      </c>
      <c r="B213" s="13" t="inlineStr">
        <is>
          <t>圆钢</t>
        </is>
      </c>
      <c r="C213" s="13" t="inlineStr">
        <is>
          <t>601322000</t>
        </is>
      </c>
      <c r="D213" s="13" t="inlineStr">
        <is>
          <t>合金结构圆钢|圆钢|12CrNi3A|Φ85|GB/T 3077|东北特殊</t>
        </is>
      </c>
      <c r="E213" s="13" t="inlineStr">
        <is>
          <t xml:space="preserve">物资名称 合金结构圆钢;物资简称 圆钢;牌号 12CrNi3A;直径 Φ85;技术标准号 GB/T 3077;加工工艺 ;热处理工艺 ;特殊要求 东北特殊;规格标准号 </t>
        </is>
      </c>
      <c r="F213" s="12" t="inlineStr">
        <is>
          <t>千克</t>
        </is>
      </c>
      <c r="G213" s="11">
        <f>LEFT(D213,FIND("|",D213,1)-1)</f>
        <v/>
      </c>
      <c r="H213" s="11">
        <f>MID(D213,FIND("|",D213,FIND("|",D213,1))+1,FIND("|",D213,FIND("|",D213,1)+1)-FIND("|",D213,FIND("|",D213,1))-1)</f>
        <v/>
      </c>
      <c r="J213" s="11">
        <f>MID(D213,FIND(";",SUBSTITUTE(D213,"|",REPT(";",LEN(D213)),2))+1,FIND(";",SUBSTITUTE(D213,"|",REPT(";",LEN(D213)),3))-FIND(";",SUBSTITUTE(D213,"|",REPT(";",LEN(D213)),2))-1)</f>
        <v/>
      </c>
      <c r="K213" s="11">
        <f>MID(D213,FIND(";",SUBSTITUTE(D213,"|",REPT(";",LEN(D213)),3))+1,FIND(";",SUBSTITUTE(D213,"|",REPT(";",LEN(D213)),4))-FIND(";",SUBSTITUTE(D213,"|",REPT(";",LEN(D213)),3))-1)</f>
        <v/>
      </c>
      <c r="M213" s="11">
        <f>MID(D213,FIND(";",SUBSTITUTE(D213,"|",REPT(";",LEN(D213)),4))+1,FIND(";",SUBSTITUTE(D213,"|",REPT(";",LEN(D213)),5))-FIND(";",SUBSTITUTE(D213,"|",REPT(";",LEN(D213)),4))-1)</f>
        <v/>
      </c>
      <c r="Q213" s="11">
        <f>MID(D213,FIND(";",SUBSTITUTE(D213,"|",REPT(";",LEN(D213)),5))+1,LEN(D213))</f>
        <v/>
      </c>
    </row>
    <row r="214" ht="112" customHeight="1" s="21">
      <c r="A214" s="13" t="inlineStr">
        <is>
          <t>100201</t>
        </is>
      </c>
      <c r="B214" s="13" t="inlineStr">
        <is>
          <t>圆钢</t>
        </is>
      </c>
      <c r="C214" s="13" t="inlineStr">
        <is>
          <t>601321900</t>
        </is>
      </c>
      <c r="D214" s="13" t="inlineStr">
        <is>
          <t>合金结构圆钢|圆钢|30CrMnSi|Φ8|GB/T 3077</t>
        </is>
      </c>
      <c r="E214" s="13" t="inlineStr">
        <is>
          <t xml:space="preserve">物资名称 合金结构圆钢;物资简称 圆钢;牌号 30CrMnSi;直径 Φ8;技术标准号 GB/T 3077;加工工艺 ;热处理工艺 ;特殊要求 ;规格标准号 </t>
        </is>
      </c>
      <c r="F214" s="12" t="inlineStr">
        <is>
          <t>千克</t>
        </is>
      </c>
      <c r="G214" s="11">
        <f>LEFT(D214,FIND("|",D214,1)-1)</f>
        <v/>
      </c>
      <c r="H214" s="11">
        <f>MID(D214,FIND("|",D214,FIND("|",D214,1))+1,FIND("|",D214,FIND("|",D214,1)+1)-FIND("|",D214,FIND("|",D214,1))-1)</f>
        <v/>
      </c>
      <c r="J214" s="11">
        <f>MID(D214,FIND(";",SUBSTITUTE(D214,"|",REPT(";",LEN(D214)),2))+1,FIND(";",SUBSTITUTE(D214,"|",REPT(";",LEN(D214)),3))-FIND(";",SUBSTITUTE(D214,"|",REPT(";",LEN(D214)),2))-1)</f>
        <v/>
      </c>
      <c r="K214" s="11">
        <f>MID(D214,FIND(";",SUBSTITUTE(D214,"|",REPT(";",LEN(D214)),3))+1,FIND(";",SUBSTITUTE(D214,"|",REPT(";",LEN(D214)),4))-FIND(";",SUBSTITUTE(D214,"|",REPT(";",LEN(D214)),3))-1)</f>
        <v/>
      </c>
      <c r="M214" s="11">
        <f>MID(D214,FIND(";",SUBSTITUTE(D214,"|",REPT(";",LEN(D214)),4))+1,LEN(D214))</f>
        <v/>
      </c>
    </row>
    <row r="215" ht="126" customHeight="1" s="21">
      <c r="A215" s="13" t="inlineStr">
        <is>
          <t>100201</t>
        </is>
      </c>
      <c r="B215" s="13" t="inlineStr">
        <is>
          <t>圆钢</t>
        </is>
      </c>
      <c r="C215" s="13" t="inlineStr">
        <is>
          <t>601321800</t>
        </is>
      </c>
      <c r="D215" s="13" t="inlineStr">
        <is>
          <t>合金结构圆钢|圆钢|30CrMnSiA|Φ10|GB/T 3077</t>
        </is>
      </c>
      <c r="E215" s="13" t="inlineStr">
        <is>
          <t xml:space="preserve">物资名称 合金结构圆钢;物资简称 圆钢;牌号 30CrMnSiA;直径 Φ10;技术标准号 GB/T 3077;加工工艺 ;热处理工艺 ;特殊要求 ;规格标准号 </t>
        </is>
      </c>
      <c r="F215" s="12" t="inlineStr">
        <is>
          <t>千克</t>
        </is>
      </c>
      <c r="G215" s="11">
        <f>LEFT(D215,FIND("|",D215,1)-1)</f>
        <v/>
      </c>
      <c r="H215" s="11">
        <f>MID(D215,FIND("|",D215,FIND("|",D215,1))+1,FIND("|",D215,FIND("|",D215,1)+1)-FIND("|",D215,FIND("|",D215,1))-1)</f>
        <v/>
      </c>
      <c r="J215" s="11">
        <f>MID(D215,FIND(";",SUBSTITUTE(D215,"|",REPT(";",LEN(D215)),2))+1,FIND(";",SUBSTITUTE(D215,"|",REPT(";",LEN(D215)),3))-FIND(";",SUBSTITUTE(D215,"|",REPT(";",LEN(D215)),2))-1)</f>
        <v/>
      </c>
      <c r="K215" s="11">
        <f>MID(D215,FIND(";",SUBSTITUTE(D215,"|",REPT(";",LEN(D215)),3))+1,FIND(";",SUBSTITUTE(D215,"|",REPT(";",LEN(D215)),4))-FIND(";",SUBSTITUTE(D215,"|",REPT(";",LEN(D215)),3))-1)</f>
        <v/>
      </c>
      <c r="M215" s="11">
        <f>MID(D215,FIND(";",SUBSTITUTE(D215,"|",REPT(";",LEN(D215)),4))+1,LEN(D215))</f>
        <v/>
      </c>
    </row>
    <row r="216" ht="126" customHeight="1" s="21">
      <c r="A216" s="13" t="inlineStr">
        <is>
          <t>100201</t>
        </is>
      </c>
      <c r="B216" s="13" t="inlineStr">
        <is>
          <t>圆钢</t>
        </is>
      </c>
      <c r="C216" s="13" t="inlineStr">
        <is>
          <t>601321700</t>
        </is>
      </c>
      <c r="D216" s="13" t="inlineStr">
        <is>
          <t>合金结构圆钢|圆钢|30CrMnSiA|Φ12|GB/T 3077</t>
        </is>
      </c>
      <c r="E216" s="13" t="inlineStr">
        <is>
          <t xml:space="preserve">物资名称 合金结构圆钢;物资简称 圆钢;牌号 30CrMnSiA;直径 Φ12;技术标准号 GB/T 3077;加工工艺 ;热处理工艺 ;特殊要求 ;规格标准号 </t>
        </is>
      </c>
      <c r="F216" s="12" t="inlineStr">
        <is>
          <t>千克</t>
        </is>
      </c>
      <c r="G216" s="11">
        <f>LEFT(D216,FIND("|",D216,1)-1)</f>
        <v/>
      </c>
      <c r="H216" s="11">
        <f>MID(D216,FIND("|",D216,FIND("|",D216,1))+1,FIND("|",D216,FIND("|",D216,1)+1)-FIND("|",D216,FIND("|",D216,1))-1)</f>
        <v/>
      </c>
      <c r="J216" s="11">
        <f>MID(D216,FIND(";",SUBSTITUTE(D216,"|",REPT(";",LEN(D216)),2))+1,FIND(";",SUBSTITUTE(D216,"|",REPT(";",LEN(D216)),3))-FIND(";",SUBSTITUTE(D216,"|",REPT(";",LEN(D216)),2))-1)</f>
        <v/>
      </c>
      <c r="K216" s="11">
        <f>MID(D216,FIND(";",SUBSTITUTE(D216,"|",REPT(";",LEN(D216)),3))+1,FIND(";",SUBSTITUTE(D216,"|",REPT(";",LEN(D216)),4))-FIND(";",SUBSTITUTE(D216,"|",REPT(";",LEN(D216)),3))-1)</f>
        <v/>
      </c>
      <c r="M216" s="11">
        <f>MID(D216,FIND(";",SUBSTITUTE(D216,"|",REPT(";",LEN(D216)),4))+1,LEN(D216))</f>
        <v/>
      </c>
    </row>
    <row r="217" ht="126" customHeight="1" s="21">
      <c r="A217" s="13" t="inlineStr">
        <is>
          <t>100201</t>
        </is>
      </c>
      <c r="B217" s="13" t="inlineStr">
        <is>
          <t>圆钢</t>
        </is>
      </c>
      <c r="C217" s="13" t="inlineStr">
        <is>
          <t>601321600</t>
        </is>
      </c>
      <c r="D217" s="13" t="inlineStr">
        <is>
          <t>合金结构圆钢|圆钢|30CrMnSiA|Φ16|GB/T 3077</t>
        </is>
      </c>
      <c r="E217" s="13" t="inlineStr">
        <is>
          <t xml:space="preserve">物资名称 合金结构圆钢;物资简称 圆钢;牌号 30CrMnSiA;直径 Φ16;技术标准号 GB/T 3077;加工工艺 ;热处理工艺 ;特殊要求 ;规格标准号 </t>
        </is>
      </c>
      <c r="F217" s="12" t="inlineStr">
        <is>
          <t>千克</t>
        </is>
      </c>
      <c r="G217" s="11">
        <f>LEFT(D217,FIND("|",D217,1)-1)</f>
        <v/>
      </c>
      <c r="H217" s="11">
        <f>MID(D217,FIND("|",D217,FIND("|",D217,1))+1,FIND("|",D217,FIND("|",D217,1)+1)-FIND("|",D217,FIND("|",D217,1))-1)</f>
        <v/>
      </c>
      <c r="J217" s="11">
        <f>MID(D217,FIND(";",SUBSTITUTE(D217,"|",REPT(";",LEN(D217)),2))+1,FIND(";",SUBSTITUTE(D217,"|",REPT(";",LEN(D217)),3))-FIND(";",SUBSTITUTE(D217,"|",REPT(";",LEN(D217)),2))-1)</f>
        <v/>
      </c>
      <c r="K217" s="11">
        <f>MID(D217,FIND(";",SUBSTITUTE(D217,"|",REPT(";",LEN(D217)),3))+1,FIND(";",SUBSTITUTE(D217,"|",REPT(";",LEN(D217)),4))-FIND(";",SUBSTITUTE(D217,"|",REPT(";",LEN(D217)),3))-1)</f>
        <v/>
      </c>
      <c r="M217" s="11">
        <f>MID(D217,FIND(";",SUBSTITUTE(D217,"|",REPT(";",LEN(D217)),4))+1,LEN(D217))</f>
        <v/>
      </c>
    </row>
    <row r="218" ht="126" customHeight="1" s="21">
      <c r="A218" s="13" t="inlineStr">
        <is>
          <t>100201</t>
        </is>
      </c>
      <c r="B218" s="13" t="inlineStr">
        <is>
          <t>圆钢</t>
        </is>
      </c>
      <c r="C218" s="13" t="inlineStr">
        <is>
          <t>601321500</t>
        </is>
      </c>
      <c r="D218" s="13" t="inlineStr">
        <is>
          <t>合金结构圆钢|圆钢|30CrMnSiA|Φ210|GB/T 3077</t>
        </is>
      </c>
      <c r="E218" s="13" t="inlineStr">
        <is>
          <t xml:space="preserve">物资名称 合金结构圆钢;物资简称 圆钢;牌号 30CrMnSiA;直径 Φ210;技术标准号 GB/T 3077;加工工艺 ;热处理工艺 ;特殊要求 ;规格标准号 </t>
        </is>
      </c>
      <c r="F218" s="12" t="inlineStr">
        <is>
          <t>千克</t>
        </is>
      </c>
      <c r="G218" s="11">
        <f>LEFT(D218,FIND("|",D218,1)-1)</f>
        <v/>
      </c>
      <c r="H218" s="11">
        <f>MID(D218,FIND("|",D218,FIND("|",D218,1))+1,FIND("|",D218,FIND("|",D218,1)+1)-FIND("|",D218,FIND("|",D218,1))-1)</f>
        <v/>
      </c>
      <c r="J218" s="11">
        <f>MID(D218,FIND(";",SUBSTITUTE(D218,"|",REPT(";",LEN(D218)),2))+1,FIND(";",SUBSTITUTE(D218,"|",REPT(";",LEN(D218)),3))-FIND(";",SUBSTITUTE(D218,"|",REPT(";",LEN(D218)),2))-1)</f>
        <v/>
      </c>
      <c r="K218" s="11">
        <f>MID(D218,FIND(";",SUBSTITUTE(D218,"|",REPT(";",LEN(D218)),3))+1,FIND(";",SUBSTITUTE(D218,"|",REPT(";",LEN(D218)),4))-FIND(";",SUBSTITUTE(D218,"|",REPT(";",LEN(D218)),3))-1)</f>
        <v/>
      </c>
      <c r="M218" s="11">
        <f>MID(D218,FIND(";",SUBSTITUTE(D218,"|",REPT(";",LEN(D218)),4))+1,LEN(D218))</f>
        <v/>
      </c>
    </row>
    <row r="219" ht="112" customHeight="1" s="21">
      <c r="A219" s="13" t="inlineStr">
        <is>
          <t>100201</t>
        </is>
      </c>
      <c r="B219" s="13" t="inlineStr">
        <is>
          <t>圆钢</t>
        </is>
      </c>
      <c r="C219" s="13" t="inlineStr">
        <is>
          <t>601321400</t>
        </is>
      </c>
      <c r="D219" s="13" t="inlineStr">
        <is>
          <t>合金结构圆钢|圆钢|35CrMoA|Φ45|GB/T 3077</t>
        </is>
      </c>
      <c r="E219" s="13" t="inlineStr">
        <is>
          <t xml:space="preserve">物资名称 合金结构圆钢;物资简称 圆钢;牌号 35CrMoA;直径 Φ45;技术标准号 GB/T 3077;加工工艺 ;热处理工艺 ;特殊要求 ;规格标准号 </t>
        </is>
      </c>
      <c r="F219" s="12" t="inlineStr">
        <is>
          <t>千克</t>
        </is>
      </c>
      <c r="G219" s="11">
        <f>LEFT(D219,FIND("|",D219,1)-1)</f>
        <v/>
      </c>
      <c r="H219" s="11">
        <f>MID(D219,FIND("|",D219,FIND("|",D219,1))+1,FIND("|",D219,FIND("|",D219,1)+1)-FIND("|",D219,FIND("|",D219,1))-1)</f>
        <v/>
      </c>
      <c r="J219" s="11">
        <f>MID(D219,FIND(";",SUBSTITUTE(D219,"|",REPT(";",LEN(D219)),2))+1,FIND(";",SUBSTITUTE(D219,"|",REPT(";",LEN(D219)),3))-FIND(";",SUBSTITUTE(D219,"|",REPT(";",LEN(D219)),2))-1)</f>
        <v/>
      </c>
      <c r="K219" s="11">
        <f>MID(D219,FIND(";",SUBSTITUTE(D219,"|",REPT(";",LEN(D219)),3))+1,FIND(";",SUBSTITUTE(D219,"|",REPT(";",LEN(D219)),4))-FIND(";",SUBSTITUTE(D219,"|",REPT(";",LEN(D219)),3))-1)</f>
        <v/>
      </c>
      <c r="M219" s="11">
        <f>MID(D219,FIND(";",SUBSTITUTE(D219,"|",REPT(";",LEN(D219)),4))+1,LEN(D219))</f>
        <v/>
      </c>
    </row>
    <row r="220" ht="126" customHeight="1" s="21">
      <c r="A220" s="13" t="inlineStr">
        <is>
          <t>100201</t>
        </is>
      </c>
      <c r="B220" s="13" t="inlineStr">
        <is>
          <t>圆钢</t>
        </is>
      </c>
      <c r="C220" s="13" t="inlineStr">
        <is>
          <t>601321300</t>
        </is>
      </c>
      <c r="D220" s="13" t="inlineStr">
        <is>
          <t>航空用优质结构钢棒|圆钢|38CrMoAlA|Φ120|GJB 1951-1994</t>
        </is>
      </c>
      <c r="E220" s="13" t="inlineStr">
        <is>
          <t xml:space="preserve">物资名称 航空用优质结构钢棒;物资简称 圆钢;牌号 38CrMoAlA;直径 Φ120;技术标准号 GJB 1951-1994;加工工艺 ;热处理工艺 ;特殊要求 ;规格标准号 </t>
        </is>
      </c>
      <c r="F220" s="12" t="inlineStr">
        <is>
          <t>千克</t>
        </is>
      </c>
      <c r="G220" s="11">
        <f>LEFT(D220,FIND("|",D220,1)-1)</f>
        <v/>
      </c>
      <c r="H220" s="11">
        <f>MID(D220,FIND("|",D220,FIND("|",D220,1))+1,FIND("|",D220,FIND("|",D220,1)+1)-FIND("|",D220,FIND("|",D220,1))-1)</f>
        <v/>
      </c>
      <c r="J220" s="11">
        <f>MID(D220,FIND(";",SUBSTITUTE(D220,"|",REPT(";",LEN(D220)),2))+1,FIND(";",SUBSTITUTE(D220,"|",REPT(";",LEN(D220)),3))-FIND(";",SUBSTITUTE(D220,"|",REPT(";",LEN(D220)),2))-1)</f>
        <v/>
      </c>
      <c r="K220" s="11">
        <f>MID(D220,FIND(";",SUBSTITUTE(D220,"|",REPT(";",LEN(D220)),3))+1,FIND(";",SUBSTITUTE(D220,"|",REPT(";",LEN(D220)),4))-FIND(";",SUBSTITUTE(D220,"|",REPT(";",LEN(D220)),3))-1)</f>
        <v/>
      </c>
      <c r="M220" s="11">
        <f>MID(D220,FIND(";",SUBSTITUTE(D220,"|",REPT(";",LEN(D220)),4))+1,LEN(D220))</f>
        <v/>
      </c>
    </row>
    <row r="221" ht="112" customHeight="1" s="21">
      <c r="A221" s="13" t="inlineStr">
        <is>
          <t>100201</t>
        </is>
      </c>
      <c r="B221" s="13" t="inlineStr">
        <is>
          <t>圆钢</t>
        </is>
      </c>
      <c r="C221" s="13" t="inlineStr">
        <is>
          <t>601321200</t>
        </is>
      </c>
      <c r="D221" s="13" t="inlineStr">
        <is>
          <t>航空用优质结构钢棒|圆钢|38CrMoALA|Φ30|空</t>
        </is>
      </c>
      <c r="E221" s="13" t="inlineStr">
        <is>
          <t xml:space="preserve">物资名称 航空用优质结构钢棒;物资简称 圆钢;牌号 38CrMoALA;直径 Φ30;技术标准号 空;加工工艺 ;热处理工艺 ;特殊要求 ;规格标准号 </t>
        </is>
      </c>
      <c r="F221" s="12" t="inlineStr">
        <is>
          <t>千克</t>
        </is>
      </c>
      <c r="G221" s="11">
        <f>LEFT(D221,FIND("|",D221,1)-1)</f>
        <v/>
      </c>
      <c r="H221" s="11">
        <f>MID(D221,FIND("|",D221,FIND("|",D221,1))+1,FIND("|",D221,FIND("|",D221,1)+1)-FIND("|",D221,FIND("|",D221,1))-1)</f>
        <v/>
      </c>
      <c r="J221" s="11">
        <f>MID(D221,FIND(";",SUBSTITUTE(D221,"|",REPT(";",LEN(D221)),2))+1,FIND(";",SUBSTITUTE(D221,"|",REPT(";",LEN(D221)),3))-FIND(";",SUBSTITUTE(D221,"|",REPT(";",LEN(D221)),2))-1)</f>
        <v/>
      </c>
      <c r="K221" s="11">
        <f>MID(D221,FIND(";",SUBSTITUTE(D221,"|",REPT(";",LEN(D221)),3))+1,FIND(";",SUBSTITUTE(D221,"|",REPT(";",LEN(D221)),4))-FIND(";",SUBSTITUTE(D221,"|",REPT(";",LEN(D221)),3))-1)</f>
        <v/>
      </c>
      <c r="M221" s="11">
        <f>MID(D221,FIND(";",SUBSTITUTE(D221,"|",REPT(";",LEN(D221)),4))+1,LEN(D221))</f>
        <v/>
      </c>
    </row>
    <row r="222" ht="112" customHeight="1" s="21">
      <c r="A222" s="13" t="inlineStr">
        <is>
          <t>100201</t>
        </is>
      </c>
      <c r="B222" s="13" t="inlineStr">
        <is>
          <t>圆钢</t>
        </is>
      </c>
      <c r="C222" s="13" t="inlineStr">
        <is>
          <t>601321100</t>
        </is>
      </c>
      <c r="D222" s="13" t="inlineStr">
        <is>
          <t>合金结构圆钢|圆钢|40Cr|Φ16|GB/T 3077</t>
        </is>
      </c>
      <c r="E222" s="13" t="inlineStr">
        <is>
          <t xml:space="preserve">物资名称 合金结构圆钢;物资简称 圆钢;牌号 40Cr;直径 Φ16;技术标准号 GB/T 3077;加工工艺 ;热处理工艺 ;特殊要求 ;规格标准号 </t>
        </is>
      </c>
      <c r="F222" s="12" t="inlineStr">
        <is>
          <t>千克</t>
        </is>
      </c>
      <c r="G222" s="11">
        <f>LEFT(D222,FIND("|",D222,1)-1)</f>
        <v/>
      </c>
      <c r="H222" s="11">
        <f>MID(D222,FIND("|",D222,FIND("|",D222,1))+1,FIND("|",D222,FIND("|",D222,1)+1)-FIND("|",D222,FIND("|",D222,1))-1)</f>
        <v/>
      </c>
      <c r="J222" s="11">
        <f>MID(D222,FIND(";",SUBSTITUTE(D222,"|",REPT(";",LEN(D222)),2))+1,FIND(";",SUBSTITUTE(D222,"|",REPT(";",LEN(D222)),3))-FIND(";",SUBSTITUTE(D222,"|",REPT(";",LEN(D222)),2))-1)</f>
        <v/>
      </c>
      <c r="K222" s="11">
        <f>MID(D222,FIND(";",SUBSTITUTE(D222,"|",REPT(";",LEN(D222)),3))+1,FIND(";",SUBSTITUTE(D222,"|",REPT(";",LEN(D222)),4))-FIND(";",SUBSTITUTE(D222,"|",REPT(";",LEN(D222)),3))-1)</f>
        <v/>
      </c>
      <c r="M222" s="11">
        <f>MID(D222,FIND(";",SUBSTITUTE(D222,"|",REPT(";",LEN(D222)),4))+1,LEN(D222))</f>
        <v/>
      </c>
    </row>
    <row r="223" ht="112" customHeight="1" s="21">
      <c r="A223" s="13" t="inlineStr">
        <is>
          <t>100201</t>
        </is>
      </c>
      <c r="B223" s="13" t="inlineStr">
        <is>
          <t>圆钢</t>
        </is>
      </c>
      <c r="C223" s="13" t="inlineStr">
        <is>
          <t>601321000</t>
        </is>
      </c>
      <c r="D223" s="13" t="inlineStr">
        <is>
          <t>合金结构圆钢|圆钢|40Cr|Φ55|GB/T 3077</t>
        </is>
      </c>
      <c r="E223" s="13" t="inlineStr">
        <is>
          <t xml:space="preserve">物资名称 合金结构圆钢;物资简称 圆钢;牌号 40Cr;直径 Φ55;技术标准号 GB/T 3077;加工工艺 ;热处理工艺 ;特殊要求 ;规格标准号 </t>
        </is>
      </c>
      <c r="F223" s="12" t="inlineStr">
        <is>
          <t>千克</t>
        </is>
      </c>
      <c r="G223" s="11">
        <f>LEFT(D223,FIND("|",D223,1)-1)</f>
        <v/>
      </c>
      <c r="H223" s="11">
        <f>MID(D223,FIND("|",D223,FIND("|",D223,1))+1,FIND("|",D223,FIND("|",D223,1)+1)-FIND("|",D223,FIND("|",D223,1))-1)</f>
        <v/>
      </c>
      <c r="J223" s="11">
        <f>MID(D223,FIND(";",SUBSTITUTE(D223,"|",REPT(";",LEN(D223)),2))+1,FIND(";",SUBSTITUTE(D223,"|",REPT(";",LEN(D223)),3))-FIND(";",SUBSTITUTE(D223,"|",REPT(";",LEN(D223)),2))-1)</f>
        <v/>
      </c>
      <c r="K223" s="11">
        <f>MID(D223,FIND(";",SUBSTITUTE(D223,"|",REPT(";",LEN(D223)),3))+1,FIND(";",SUBSTITUTE(D223,"|",REPT(";",LEN(D223)),4))-FIND(";",SUBSTITUTE(D223,"|",REPT(";",LEN(D223)),3))-1)</f>
        <v/>
      </c>
      <c r="M223" s="11">
        <f>MID(D223,FIND(";",SUBSTITUTE(D223,"|",REPT(";",LEN(D223)),4))+1,LEN(D223))</f>
        <v/>
      </c>
    </row>
    <row r="224" ht="112" customHeight="1" s="21">
      <c r="A224" s="13" t="inlineStr">
        <is>
          <t>100201</t>
        </is>
      </c>
      <c r="B224" s="13" t="inlineStr">
        <is>
          <t>圆钢</t>
        </is>
      </c>
      <c r="C224" s="13" t="inlineStr">
        <is>
          <t>601320900</t>
        </is>
      </c>
      <c r="D224" s="13" t="inlineStr">
        <is>
          <t>合金结构圆钢|圆钢|40Cr|Φ6|GB/T 3077|大连钢丝</t>
        </is>
      </c>
      <c r="E224" s="13" t="inlineStr">
        <is>
          <t xml:space="preserve">物资名称 合金结构圆钢;物资简称 圆钢;牌号 40Cr;直径 Φ6;技术标准号 GB/T 3077;加工工艺 ;热处理工艺 ;特殊要求 大连钢丝;规格标准号 </t>
        </is>
      </c>
      <c r="F224" s="12" t="inlineStr">
        <is>
          <t>千克</t>
        </is>
      </c>
      <c r="G224" s="11">
        <f>LEFT(D224,FIND("|",D224,1)-1)</f>
        <v/>
      </c>
      <c r="H224" s="11">
        <f>MID(D224,FIND("|",D224,FIND("|",D224,1))+1,FIND("|",D224,FIND("|",D224,1)+1)-FIND("|",D224,FIND("|",D224,1))-1)</f>
        <v/>
      </c>
      <c r="J224" s="11">
        <f>MID(D224,FIND(";",SUBSTITUTE(D224,"|",REPT(";",LEN(D224)),2))+1,FIND(";",SUBSTITUTE(D224,"|",REPT(";",LEN(D224)),3))-FIND(";",SUBSTITUTE(D224,"|",REPT(";",LEN(D224)),2))-1)</f>
        <v/>
      </c>
      <c r="K224" s="11">
        <f>MID(D224,FIND(";",SUBSTITUTE(D224,"|",REPT(";",LEN(D224)),3))+1,FIND(";",SUBSTITUTE(D224,"|",REPT(";",LEN(D224)),4))-FIND(";",SUBSTITUTE(D224,"|",REPT(";",LEN(D224)),3))-1)</f>
        <v/>
      </c>
      <c r="M224" s="11">
        <f>MID(D224,FIND(";",SUBSTITUTE(D224,"|",REPT(";",LEN(D224)),4))+1,FIND(";",SUBSTITUTE(D224,"|",REPT(";",LEN(D224)),5))-FIND(";",SUBSTITUTE(D224,"|",REPT(";",LEN(D224)),4))-1)</f>
        <v/>
      </c>
      <c r="Q224" s="11">
        <f>MID(D224,FIND(";",SUBSTITUTE(D224,"|",REPT(";",LEN(D224)),5))+1,LEN(D224))</f>
        <v/>
      </c>
    </row>
    <row r="225" ht="112" customHeight="1" s="21">
      <c r="A225" s="13" t="inlineStr">
        <is>
          <t>100201</t>
        </is>
      </c>
      <c r="B225" s="13" t="inlineStr">
        <is>
          <t>圆钢</t>
        </is>
      </c>
      <c r="C225" s="13" t="inlineStr">
        <is>
          <t>601320800</t>
        </is>
      </c>
      <c r="D225" s="13" t="inlineStr">
        <is>
          <t>合金结构圆钢|圆钢|40Cr|Φ70|GB/T 3077</t>
        </is>
      </c>
      <c r="E225" s="13" t="inlineStr">
        <is>
          <t xml:space="preserve">物资名称 合金结构圆钢;物资简称 圆钢;牌号 40Cr;直径 Φ70;技术标准号 GB/T 3077;加工工艺 ;热处理工艺 ;特殊要求 ;规格标准号 </t>
        </is>
      </c>
      <c r="F225" s="12" t="inlineStr">
        <is>
          <t>千克</t>
        </is>
      </c>
      <c r="G225" s="11">
        <f>LEFT(D225,FIND("|",D225,1)-1)</f>
        <v/>
      </c>
      <c r="H225" s="11">
        <f>MID(D225,FIND("|",D225,FIND("|",D225,1))+1,FIND("|",D225,FIND("|",D225,1)+1)-FIND("|",D225,FIND("|",D225,1))-1)</f>
        <v/>
      </c>
      <c r="J225" s="11">
        <f>MID(D225,FIND(";",SUBSTITUTE(D225,"|",REPT(";",LEN(D225)),2))+1,FIND(";",SUBSTITUTE(D225,"|",REPT(";",LEN(D225)),3))-FIND(";",SUBSTITUTE(D225,"|",REPT(";",LEN(D225)),2))-1)</f>
        <v/>
      </c>
      <c r="K225" s="11">
        <f>MID(D225,FIND(";",SUBSTITUTE(D225,"|",REPT(";",LEN(D225)),3))+1,FIND(";",SUBSTITUTE(D225,"|",REPT(";",LEN(D225)),4))-FIND(";",SUBSTITUTE(D225,"|",REPT(";",LEN(D225)),3))-1)</f>
        <v/>
      </c>
      <c r="M225" s="11">
        <f>MID(D225,FIND(";",SUBSTITUTE(D225,"|",REPT(";",LEN(D225)),4))+1,LEN(D225))</f>
        <v/>
      </c>
    </row>
    <row r="226" ht="112" customHeight="1" s="21">
      <c r="A226" s="13" t="inlineStr">
        <is>
          <t>100201</t>
        </is>
      </c>
      <c r="B226" s="13" t="inlineStr">
        <is>
          <t>圆钢</t>
        </is>
      </c>
      <c r="C226" s="13" t="inlineStr">
        <is>
          <t>601320700</t>
        </is>
      </c>
      <c r="D226" s="13" t="inlineStr">
        <is>
          <t>合金结构圆钢|圆钢|40Cr|Φ8|GB/T 3077|大连钢丝</t>
        </is>
      </c>
      <c r="E226" s="13" t="inlineStr">
        <is>
          <t xml:space="preserve">物资名称 合金结构圆钢;物资简称 圆钢;牌号 40Cr;直径 Φ8;技术标准号 GB/T 3077;加工工艺 ;热处理工艺 ;特殊要求 大连钢丝;规格标准号 </t>
        </is>
      </c>
      <c r="F226" s="12" t="inlineStr">
        <is>
          <t>千克</t>
        </is>
      </c>
      <c r="G226" s="11">
        <f>LEFT(D226,FIND("|",D226,1)-1)</f>
        <v/>
      </c>
      <c r="H226" s="11">
        <f>MID(D226,FIND("|",D226,FIND("|",D226,1))+1,FIND("|",D226,FIND("|",D226,1)+1)-FIND("|",D226,FIND("|",D226,1))-1)</f>
        <v/>
      </c>
      <c r="J226" s="11">
        <f>MID(D226,FIND(";",SUBSTITUTE(D226,"|",REPT(";",LEN(D226)),2))+1,FIND(";",SUBSTITUTE(D226,"|",REPT(";",LEN(D226)),3))-FIND(";",SUBSTITUTE(D226,"|",REPT(";",LEN(D226)),2))-1)</f>
        <v/>
      </c>
      <c r="K226" s="11">
        <f>MID(D226,FIND(";",SUBSTITUTE(D226,"|",REPT(";",LEN(D226)),3))+1,FIND(";",SUBSTITUTE(D226,"|",REPT(";",LEN(D226)),4))-FIND(";",SUBSTITUTE(D226,"|",REPT(";",LEN(D226)),3))-1)</f>
        <v/>
      </c>
      <c r="M226" s="11">
        <f>MID(D226,FIND(";",SUBSTITUTE(D226,"|",REPT(";",LEN(D226)),4))+1,FIND(";",SUBSTITUTE(D226,"|",REPT(";",LEN(D226)),5))-FIND(";",SUBSTITUTE(D226,"|",REPT(";",LEN(D226)),4))-1)</f>
        <v/>
      </c>
      <c r="Q226" s="11">
        <f>MID(D226,FIND(";",SUBSTITUTE(D226,"|",REPT(";",LEN(D226)),5))+1,LEN(D226))</f>
        <v/>
      </c>
    </row>
    <row r="227" ht="126" customHeight="1" s="21">
      <c r="A227" s="13" t="inlineStr">
        <is>
          <t>100201</t>
        </is>
      </c>
      <c r="B227" s="13" t="inlineStr">
        <is>
          <t>圆钢</t>
        </is>
      </c>
      <c r="C227" s="13" t="inlineStr">
        <is>
          <t>601320600</t>
        </is>
      </c>
      <c r="D227" s="13" t="inlineStr">
        <is>
          <t>合金结构圆钢|圆钢|40CrNiMoA|Φ45|GB/T 3077</t>
        </is>
      </c>
      <c r="E227" s="13" t="inlineStr">
        <is>
          <t xml:space="preserve">物资名称 合金结构圆钢;物资简称 圆钢;牌号 40CrNiMoA;直径 Φ45;技术标准号 GB/T 3077;加工工艺 ;热处理工艺 ;特殊要求 ;规格标准号 </t>
        </is>
      </c>
      <c r="F227" s="12" t="inlineStr">
        <is>
          <t>千克</t>
        </is>
      </c>
      <c r="G227" s="11">
        <f>LEFT(D227,FIND("|",D227,1)-1)</f>
        <v/>
      </c>
      <c r="H227" s="11">
        <f>MID(D227,FIND("|",D227,FIND("|",D227,1))+1,FIND("|",D227,FIND("|",D227,1)+1)-FIND("|",D227,FIND("|",D227,1))-1)</f>
        <v/>
      </c>
      <c r="J227" s="11">
        <f>MID(D227,FIND(";",SUBSTITUTE(D227,"|",REPT(";",LEN(D227)),2))+1,FIND(";",SUBSTITUTE(D227,"|",REPT(";",LEN(D227)),3))-FIND(";",SUBSTITUTE(D227,"|",REPT(";",LEN(D227)),2))-1)</f>
        <v/>
      </c>
      <c r="K227" s="11">
        <f>MID(D227,FIND(";",SUBSTITUTE(D227,"|",REPT(";",LEN(D227)),3))+1,FIND(";",SUBSTITUTE(D227,"|",REPT(";",LEN(D227)),4))-FIND(";",SUBSTITUTE(D227,"|",REPT(";",LEN(D227)),3))-1)</f>
        <v/>
      </c>
      <c r="M227" s="11">
        <f>MID(D227,FIND(";",SUBSTITUTE(D227,"|",REPT(";",LEN(D227)),4))+1,LEN(D227))</f>
        <v/>
      </c>
    </row>
    <row r="228" ht="126" customHeight="1" s="21">
      <c r="A228" s="13" t="inlineStr">
        <is>
          <t>100201</t>
        </is>
      </c>
      <c r="B228" s="13" t="inlineStr">
        <is>
          <t>圆钢</t>
        </is>
      </c>
      <c r="C228" s="13" t="inlineStr">
        <is>
          <t>601320500</t>
        </is>
      </c>
      <c r="D228" s="13" t="inlineStr">
        <is>
          <t>合金结构圆钢|圆钢|45CrNiMoVA|Φ190|GB/T 3077</t>
        </is>
      </c>
      <c r="E228" s="13" t="inlineStr">
        <is>
          <t xml:space="preserve">物资名称 合金结构圆钢;物资简称 圆钢;牌号 45CrNiMoVA;直径 Φ190;技术标准号 GB/T 3077;加工工艺 ;热处理工艺 ;特殊要求 ;规格标准号 </t>
        </is>
      </c>
      <c r="F228" s="12" t="inlineStr">
        <is>
          <t>千克</t>
        </is>
      </c>
      <c r="G228" s="11">
        <f>LEFT(D228,FIND("|",D228,1)-1)</f>
        <v/>
      </c>
      <c r="H228" s="11">
        <f>MID(D228,FIND("|",D228,FIND("|",D228,1))+1,FIND("|",D228,FIND("|",D228,1)+1)-FIND("|",D228,FIND("|",D228,1))-1)</f>
        <v/>
      </c>
      <c r="J228" s="11">
        <f>MID(D228,FIND(";",SUBSTITUTE(D228,"|",REPT(";",LEN(D228)),2))+1,FIND(";",SUBSTITUTE(D228,"|",REPT(";",LEN(D228)),3))-FIND(";",SUBSTITUTE(D228,"|",REPT(";",LEN(D228)),2))-1)</f>
        <v/>
      </c>
      <c r="K228" s="11">
        <f>MID(D228,FIND(";",SUBSTITUTE(D228,"|",REPT(";",LEN(D228)),3))+1,FIND(";",SUBSTITUTE(D228,"|",REPT(";",LEN(D228)),4))-FIND(";",SUBSTITUTE(D228,"|",REPT(";",LEN(D228)),3))-1)</f>
        <v/>
      </c>
      <c r="M228" s="11">
        <f>MID(D228,FIND(";",SUBSTITUTE(D228,"|",REPT(";",LEN(D228)),4))+1,LEN(D228))</f>
        <v/>
      </c>
    </row>
    <row r="229" ht="126" customHeight="1" s="21">
      <c r="A229" s="13" t="inlineStr">
        <is>
          <t>100201</t>
        </is>
      </c>
      <c r="B229" s="13" t="inlineStr">
        <is>
          <t>圆钢</t>
        </is>
      </c>
      <c r="C229" s="13" t="inlineStr">
        <is>
          <t>601320400</t>
        </is>
      </c>
      <c r="D229" s="13" t="inlineStr">
        <is>
          <t>合金结构圆钢|圆钢|45CrNiMoVA|Φ200|GB/T 3077</t>
        </is>
      </c>
      <c r="E229" s="13" t="inlineStr">
        <is>
          <t xml:space="preserve">物资名称 合金结构圆钢;物资简称 圆钢;牌号 45CrNiMoVA;直径 Φ200;技术标准号 GB/T 3077;加工工艺 ;热处理工艺 ;特殊要求 ;规格标准号 </t>
        </is>
      </c>
      <c r="F229" s="12" t="inlineStr">
        <is>
          <t>千克</t>
        </is>
      </c>
      <c r="G229" s="11">
        <f>LEFT(D229,FIND("|",D229,1)-1)</f>
        <v/>
      </c>
      <c r="H229" s="11">
        <f>MID(D229,FIND("|",D229,FIND("|",D229,1))+1,FIND("|",D229,FIND("|",D229,1)+1)-FIND("|",D229,FIND("|",D229,1))-1)</f>
        <v/>
      </c>
      <c r="J229" s="11">
        <f>MID(D229,FIND(";",SUBSTITUTE(D229,"|",REPT(";",LEN(D229)),2))+1,FIND(";",SUBSTITUTE(D229,"|",REPT(";",LEN(D229)),3))-FIND(";",SUBSTITUTE(D229,"|",REPT(";",LEN(D229)),2))-1)</f>
        <v/>
      </c>
      <c r="K229" s="11">
        <f>MID(D229,FIND(";",SUBSTITUTE(D229,"|",REPT(";",LEN(D229)),3))+1,FIND(";",SUBSTITUTE(D229,"|",REPT(";",LEN(D229)),4))-FIND(";",SUBSTITUTE(D229,"|",REPT(";",LEN(D229)),3))-1)</f>
        <v/>
      </c>
      <c r="M229" s="11">
        <f>MID(D229,FIND(";",SUBSTITUTE(D229,"|",REPT(";",LEN(D229)),4))+1,LEN(D229))</f>
        <v/>
      </c>
    </row>
    <row r="230" ht="126" customHeight="1" s="21">
      <c r="A230" s="13" t="inlineStr">
        <is>
          <t>100201</t>
        </is>
      </c>
      <c r="B230" s="13" t="inlineStr">
        <is>
          <t>圆钢</t>
        </is>
      </c>
      <c r="C230" s="13" t="inlineStr">
        <is>
          <t>601320300</t>
        </is>
      </c>
      <c r="D230" s="13" t="inlineStr">
        <is>
          <t>合金结构圆钢|圆钢|45CrNiMoVA|Φ220|GB/T 3077</t>
        </is>
      </c>
      <c r="E230" s="13" t="inlineStr">
        <is>
          <t xml:space="preserve">物资名称 合金结构圆钢;物资简称 圆钢;牌号 45CrNiMoVA;直径 Φ220;技术标准号 GB/T 3077;加工工艺 ;热处理工艺 ;特殊要求 ;规格标准号 </t>
        </is>
      </c>
      <c r="F230" s="12" t="inlineStr">
        <is>
          <t>千克</t>
        </is>
      </c>
      <c r="G230" s="11">
        <f>LEFT(D230,FIND("|",D230,1)-1)</f>
        <v/>
      </c>
      <c r="H230" s="11">
        <f>MID(D230,FIND("|",D230,FIND("|",D230,1))+1,FIND("|",D230,FIND("|",D230,1)+1)-FIND("|",D230,FIND("|",D230,1))-1)</f>
        <v/>
      </c>
      <c r="J230" s="11">
        <f>MID(D230,FIND(";",SUBSTITUTE(D230,"|",REPT(";",LEN(D230)),2))+1,FIND(";",SUBSTITUTE(D230,"|",REPT(";",LEN(D230)),3))-FIND(";",SUBSTITUTE(D230,"|",REPT(";",LEN(D230)),2))-1)</f>
        <v/>
      </c>
      <c r="K230" s="11">
        <f>MID(D230,FIND(";",SUBSTITUTE(D230,"|",REPT(";",LEN(D230)),3))+1,FIND(";",SUBSTITUTE(D230,"|",REPT(";",LEN(D230)),4))-FIND(";",SUBSTITUTE(D230,"|",REPT(";",LEN(D230)),3))-1)</f>
        <v/>
      </c>
      <c r="M230" s="11">
        <f>MID(D230,FIND(";",SUBSTITUTE(D230,"|",REPT(";",LEN(D230)),4))+1,LEN(D230))</f>
        <v/>
      </c>
    </row>
    <row r="231" ht="126" customHeight="1" s="21">
      <c r="A231" s="13" t="inlineStr">
        <is>
          <t>100201</t>
        </is>
      </c>
      <c r="B231" s="13" t="inlineStr">
        <is>
          <t>圆钢</t>
        </is>
      </c>
      <c r="C231" s="13" t="inlineStr">
        <is>
          <t>601320200</t>
        </is>
      </c>
      <c r="D231" s="13" t="inlineStr">
        <is>
          <t>合金结构圆钢|圆钢|45CrNiMoVA|Φ70|GB/T 3077</t>
        </is>
      </c>
      <c r="E231" s="13" t="inlineStr">
        <is>
          <t xml:space="preserve">物资名称 合金结构圆钢;物资简称 圆钢;牌号 45CrNiMoVA;直径 Φ70;技术标准号 GB/T 3077;加工工艺 ;热处理工艺 ;特殊要求 ;规格标准号 </t>
        </is>
      </c>
      <c r="F231" s="12" t="inlineStr">
        <is>
          <t>千克</t>
        </is>
      </c>
      <c r="G231" s="11">
        <f>LEFT(D231,FIND("|",D231,1)-1)</f>
        <v/>
      </c>
      <c r="H231" s="11">
        <f>MID(D231,FIND("|",D231,FIND("|",D231,1))+1,FIND("|",D231,FIND("|",D231,1)+1)-FIND("|",D231,FIND("|",D231,1))-1)</f>
        <v/>
      </c>
      <c r="J231" s="11">
        <f>MID(D231,FIND(";",SUBSTITUTE(D231,"|",REPT(";",LEN(D231)),2))+1,FIND(";",SUBSTITUTE(D231,"|",REPT(";",LEN(D231)),3))-FIND(";",SUBSTITUTE(D231,"|",REPT(";",LEN(D231)),2))-1)</f>
        <v/>
      </c>
      <c r="K231" s="11">
        <f>MID(D231,FIND(";",SUBSTITUTE(D231,"|",REPT(";",LEN(D231)),3))+1,FIND(";",SUBSTITUTE(D231,"|",REPT(";",LEN(D231)),4))-FIND(";",SUBSTITUTE(D231,"|",REPT(";",LEN(D231)),3))-1)</f>
        <v/>
      </c>
      <c r="M231" s="11">
        <f>MID(D231,FIND(";",SUBSTITUTE(D231,"|",REPT(";",LEN(D231)),4))+1,LEN(D231))</f>
        <v/>
      </c>
    </row>
    <row r="232" ht="126" customHeight="1" s="21">
      <c r="A232" s="13" t="inlineStr">
        <is>
          <t>100201</t>
        </is>
      </c>
      <c r="B232" s="13" t="inlineStr">
        <is>
          <t>圆钢</t>
        </is>
      </c>
      <c r="C232" s="13" t="inlineStr">
        <is>
          <t>601320100</t>
        </is>
      </c>
      <c r="D232" s="13" t="inlineStr">
        <is>
          <t>合金结构圆钢|圆钢|45CrNiMoVA|Φ80|GB/T 3077</t>
        </is>
      </c>
      <c r="E232" s="13" t="inlineStr">
        <is>
          <t xml:space="preserve">物资名称 合金结构圆钢;物资简称 圆钢;牌号 45CrNiMoVA;直径 Φ80;技术标准号 GB/T 3077;加工工艺 ;热处理工艺 ;特殊要求 ;规格标准号 </t>
        </is>
      </c>
      <c r="F232" s="12" t="inlineStr">
        <is>
          <t>千克</t>
        </is>
      </c>
      <c r="G232" s="11">
        <f>LEFT(D232,FIND("|",D232,1)-1)</f>
        <v/>
      </c>
      <c r="H232" s="11">
        <f>MID(D232,FIND("|",D232,FIND("|",D232,1))+1,FIND("|",D232,FIND("|",D232,1)+1)-FIND("|",D232,FIND("|",D232,1))-1)</f>
        <v/>
      </c>
      <c r="J232" s="11">
        <f>MID(D232,FIND(";",SUBSTITUTE(D232,"|",REPT(";",LEN(D232)),2))+1,FIND(";",SUBSTITUTE(D232,"|",REPT(";",LEN(D232)),3))-FIND(";",SUBSTITUTE(D232,"|",REPT(";",LEN(D232)),2))-1)</f>
        <v/>
      </c>
      <c r="K232" s="11">
        <f>MID(D232,FIND(";",SUBSTITUTE(D232,"|",REPT(";",LEN(D232)),3))+1,FIND(";",SUBSTITUTE(D232,"|",REPT(";",LEN(D232)),4))-FIND(";",SUBSTITUTE(D232,"|",REPT(";",LEN(D232)),3))-1)</f>
        <v/>
      </c>
      <c r="M232" s="11">
        <f>MID(D232,FIND(";",SUBSTITUTE(D232,"|",REPT(";",LEN(D232)),4))+1,LEN(D232))</f>
        <v/>
      </c>
    </row>
    <row r="233" ht="126" customHeight="1" s="21">
      <c r="A233" s="13" t="inlineStr">
        <is>
          <t>100201</t>
        </is>
      </c>
      <c r="B233" s="13" t="inlineStr">
        <is>
          <t>圆钢</t>
        </is>
      </c>
      <c r="C233" s="13" t="inlineStr">
        <is>
          <t>601320000</t>
        </is>
      </c>
      <c r="D233" s="13" t="inlineStr">
        <is>
          <t>合金结构圆钢|圆钢|锻制45CrNiMoVA|ΦT=28、30、40、50、86|空</t>
        </is>
      </c>
      <c r="E233" s="13" t="inlineStr">
        <is>
          <t xml:space="preserve">物资名称 合金结构圆钢;物资简称 圆钢;牌号 锻制45CrNiMoVA;直径 ΦT=28、30、40、50、86;技术标准号 空;加工工艺 ;热处理工艺 ;特殊要求 ;规格标准号 </t>
        </is>
      </c>
      <c r="F233" s="12" t="inlineStr">
        <is>
          <t>千克</t>
        </is>
      </c>
      <c r="G233" s="11">
        <f>LEFT(D233,FIND("|",D233,1)-1)</f>
        <v/>
      </c>
      <c r="H233" s="11">
        <f>MID(D233,FIND("|",D233,FIND("|",D233,1))+1,FIND("|",D233,FIND("|",D233,1)+1)-FIND("|",D233,FIND("|",D233,1))-1)</f>
        <v/>
      </c>
      <c r="J233" s="11">
        <f>MID(D233,FIND(";",SUBSTITUTE(D233,"|",REPT(";",LEN(D233)),2))+1,FIND(";",SUBSTITUTE(D233,"|",REPT(";",LEN(D233)),3))-FIND(";",SUBSTITUTE(D233,"|",REPT(";",LEN(D233)),2))-1)</f>
        <v/>
      </c>
      <c r="K233" s="11">
        <f>MID(D233,FIND(";",SUBSTITUTE(D233,"|",REPT(";",LEN(D233)),3))+1,FIND(";",SUBSTITUTE(D233,"|",REPT(";",LEN(D233)),4))-FIND(";",SUBSTITUTE(D233,"|",REPT(";",LEN(D233)),3))-1)</f>
        <v/>
      </c>
      <c r="M233" s="11">
        <f>MID(D233,FIND(";",SUBSTITUTE(D233,"|",REPT(";",LEN(D233)),4))+1,LEN(D233))</f>
        <v/>
      </c>
    </row>
    <row r="234" ht="112" customHeight="1" s="21">
      <c r="A234" s="13" t="inlineStr">
        <is>
          <t>100201</t>
        </is>
      </c>
      <c r="B234" s="13" t="inlineStr">
        <is>
          <t>圆钢</t>
        </is>
      </c>
      <c r="C234" s="13" t="inlineStr">
        <is>
          <t>601319900</t>
        </is>
      </c>
      <c r="D234" s="13" t="inlineStr">
        <is>
          <t>冷拉优质碳素结构圆钢|圆钢|20|Φ8|空|冷拉</t>
        </is>
      </c>
      <c r="E234" s="13" t="inlineStr">
        <is>
          <t xml:space="preserve">物资名称 冷拉优质碳素结构圆钢;物资简称 圆钢;牌号 20;直径 Φ8;技术标准号 空;加工工艺 冷拉;热处理工艺 ;特殊要求 ;规格标准号 </t>
        </is>
      </c>
      <c r="F234" s="12" t="inlineStr">
        <is>
          <t>千克</t>
        </is>
      </c>
      <c r="G234" s="11">
        <f>LEFT(D234,FIND("|",D234,1)-1)</f>
        <v/>
      </c>
      <c r="H234" s="11">
        <f>MID(D234,FIND("|",D234,FIND("|",D234,1))+1,FIND("|",D234,FIND("|",D234,1)+1)-FIND("|",D234,FIND("|",D234,1))-1)</f>
        <v/>
      </c>
      <c r="J234" s="11">
        <f>MID(D234,FIND(";",SUBSTITUTE(D234,"|",REPT(";",LEN(D234)),2))+1,FIND(";",SUBSTITUTE(D234,"|",REPT(";",LEN(D234)),3))-FIND(";",SUBSTITUTE(D234,"|",REPT(";",LEN(D234)),2))-1)</f>
        <v/>
      </c>
      <c r="K234" s="11">
        <f>MID(D234,FIND(";",SUBSTITUTE(D234,"|",REPT(";",LEN(D234)),3))+1,FIND(";",SUBSTITUTE(D234,"|",REPT(";",LEN(D234)),4))-FIND(";",SUBSTITUTE(D234,"|",REPT(";",LEN(D234)),3))-1)</f>
        <v/>
      </c>
      <c r="M234" s="11">
        <f>MID(D234,FIND(";",SUBSTITUTE(D234,"|",REPT(";",LEN(D234)),4))+1,FIND(";",SUBSTITUTE(D234,"|",REPT(";",LEN(D234)),5))-FIND(";",SUBSTITUTE(D234,"|",REPT(";",LEN(D234)),4))-1)</f>
        <v/>
      </c>
      <c r="O234" s="11">
        <f>MID(D234,FIND(";",SUBSTITUTE(D234,"|",REPT(";",LEN(D234)),5))+1,LEN(D234))</f>
        <v/>
      </c>
    </row>
    <row r="235" ht="98" customHeight="1" s="21">
      <c r="A235" s="13" t="inlineStr">
        <is>
          <t>100201</t>
        </is>
      </c>
      <c r="B235" s="13" t="inlineStr">
        <is>
          <t>圆钢</t>
        </is>
      </c>
      <c r="C235" s="13" t="inlineStr">
        <is>
          <t>601319800</t>
        </is>
      </c>
      <c r="D235" s="13" t="inlineStr">
        <is>
          <t>碳素工具圆钢|圆钢|T10|Φ28|空</t>
        </is>
      </c>
      <c r="E235" s="13" t="inlineStr">
        <is>
          <t xml:space="preserve">物资名称 碳素工具圆钢;物资简称 圆钢;牌号 T10;直径 Φ28;技术标准号 空;加工工艺 ;热处理工艺 ;特殊要求 ;规格标准号 </t>
        </is>
      </c>
      <c r="F235" s="12" t="inlineStr">
        <is>
          <t>千克</t>
        </is>
      </c>
      <c r="G235" s="11">
        <f>LEFT(D235,FIND("|",D235,1)-1)</f>
        <v/>
      </c>
      <c r="H235" s="11">
        <f>MID(D235,FIND("|",D235,FIND("|",D235,1))+1,FIND("|",D235,FIND("|",D235,1)+1)-FIND("|",D235,FIND("|",D235,1))-1)</f>
        <v/>
      </c>
      <c r="J235" s="11">
        <f>MID(D235,FIND(";",SUBSTITUTE(D235,"|",REPT(";",LEN(D235)),2))+1,FIND(";",SUBSTITUTE(D235,"|",REPT(";",LEN(D235)),3))-FIND(";",SUBSTITUTE(D235,"|",REPT(";",LEN(D235)),2))-1)</f>
        <v/>
      </c>
      <c r="K235" s="11">
        <f>MID(D235,FIND(";",SUBSTITUTE(D235,"|",REPT(";",LEN(D235)),3))+1,FIND(";",SUBSTITUTE(D235,"|",REPT(";",LEN(D235)),4))-FIND(";",SUBSTITUTE(D235,"|",REPT(";",LEN(D235)),3))-1)</f>
        <v/>
      </c>
      <c r="M235" s="11">
        <f>MID(D235,FIND(";",SUBSTITUTE(D235,"|",REPT(";",LEN(D235)),4))+1,LEN(D235))</f>
        <v/>
      </c>
    </row>
    <row r="236" ht="98" customHeight="1" s="21">
      <c r="A236" s="13" t="inlineStr">
        <is>
          <t>100201</t>
        </is>
      </c>
      <c r="B236" s="13" t="inlineStr">
        <is>
          <t>圆钢</t>
        </is>
      </c>
      <c r="C236" s="13" t="inlineStr">
        <is>
          <t>601319700</t>
        </is>
      </c>
      <c r="D236" s="13" t="inlineStr">
        <is>
          <t>碳素工具圆钢|圆钢|T10|Φ45|空</t>
        </is>
      </c>
      <c r="E236" s="13" t="inlineStr">
        <is>
          <t xml:space="preserve">物资名称 碳素工具圆钢;物资简称 圆钢;牌号 T10;直径 Φ45;技术标准号 空;加工工艺 ;热处理工艺 ;特殊要求 ;规格标准号 </t>
        </is>
      </c>
      <c r="F236" s="12" t="inlineStr">
        <is>
          <t>千克</t>
        </is>
      </c>
      <c r="G236" s="11">
        <f>LEFT(D236,FIND("|",D236,1)-1)</f>
        <v/>
      </c>
      <c r="H236" s="11">
        <f>MID(D236,FIND("|",D236,FIND("|",D236,1))+1,FIND("|",D236,FIND("|",D236,1)+1)-FIND("|",D236,FIND("|",D236,1))-1)</f>
        <v/>
      </c>
      <c r="J236" s="11">
        <f>MID(D236,FIND(";",SUBSTITUTE(D236,"|",REPT(";",LEN(D236)),2))+1,FIND(";",SUBSTITUTE(D236,"|",REPT(";",LEN(D236)),3))-FIND(";",SUBSTITUTE(D236,"|",REPT(";",LEN(D236)),2))-1)</f>
        <v/>
      </c>
      <c r="K236" s="11">
        <f>MID(D236,FIND(";",SUBSTITUTE(D236,"|",REPT(";",LEN(D236)),3))+1,FIND(";",SUBSTITUTE(D236,"|",REPT(";",LEN(D236)),4))-FIND(";",SUBSTITUTE(D236,"|",REPT(";",LEN(D236)),3))-1)</f>
        <v/>
      </c>
      <c r="M236" s="11">
        <f>MID(D236,FIND(";",SUBSTITUTE(D236,"|",REPT(";",LEN(D236)),4))+1,LEN(D236))</f>
        <v/>
      </c>
    </row>
    <row r="237" ht="98" customHeight="1" s="21">
      <c r="A237" s="13" t="inlineStr">
        <is>
          <t>100201</t>
        </is>
      </c>
      <c r="B237" s="13" t="inlineStr">
        <is>
          <t>圆钢</t>
        </is>
      </c>
      <c r="C237" s="13" t="inlineStr">
        <is>
          <t>601319600</t>
        </is>
      </c>
      <c r="D237" s="13" t="inlineStr">
        <is>
          <t>碳素工具圆钢|圆钢|T10|Φ50|空</t>
        </is>
      </c>
      <c r="E237" s="13" t="inlineStr">
        <is>
          <t xml:space="preserve">物资名称 碳素工具圆钢;物资简称 圆钢;牌号 T10;直径 Φ50;技术标准号 空;加工工艺 ;热处理工艺 ;特殊要求 ;规格标准号 </t>
        </is>
      </c>
      <c r="F237" s="12" t="inlineStr">
        <is>
          <t>千克</t>
        </is>
      </c>
      <c r="G237" s="11">
        <f>LEFT(D237,FIND("|",D237,1)-1)</f>
        <v/>
      </c>
      <c r="H237" s="11">
        <f>MID(D237,FIND("|",D237,FIND("|",D237,1))+1,FIND("|",D237,FIND("|",D237,1)+1)-FIND("|",D237,FIND("|",D237,1))-1)</f>
        <v/>
      </c>
      <c r="J237" s="11">
        <f>MID(D237,FIND(";",SUBSTITUTE(D237,"|",REPT(";",LEN(D237)),2))+1,FIND(";",SUBSTITUTE(D237,"|",REPT(";",LEN(D237)),3))-FIND(";",SUBSTITUTE(D237,"|",REPT(";",LEN(D237)),2))-1)</f>
        <v/>
      </c>
      <c r="K237" s="11">
        <f>MID(D237,FIND(";",SUBSTITUTE(D237,"|",REPT(";",LEN(D237)),3))+1,FIND(";",SUBSTITUTE(D237,"|",REPT(";",LEN(D237)),4))-FIND(";",SUBSTITUTE(D237,"|",REPT(";",LEN(D237)),3))-1)</f>
        <v/>
      </c>
      <c r="M237" s="11">
        <f>MID(D237,FIND(";",SUBSTITUTE(D237,"|",REPT(";",LEN(D237)),4))+1,LEN(D237))</f>
        <v/>
      </c>
    </row>
    <row r="238" ht="112" customHeight="1" s="21">
      <c r="A238" s="13" t="inlineStr">
        <is>
          <t>100201</t>
        </is>
      </c>
      <c r="B238" s="13" t="inlineStr">
        <is>
          <t>圆钢</t>
        </is>
      </c>
      <c r="C238" s="13" t="inlineStr">
        <is>
          <t>601319500</t>
        </is>
      </c>
      <c r="D238" s="13" t="inlineStr">
        <is>
          <t>碳素工具圆钢|圆钢|T10A|Φ12|空|抚顺森亚</t>
        </is>
      </c>
      <c r="E238" s="13" t="inlineStr">
        <is>
          <t xml:space="preserve">物资名称 碳素工具圆钢;物资简称 圆钢;牌号 T10A;直径 Φ12;技术标准号 空;加工工艺 ;热处理工艺 ;特殊要求 抚顺森亚;规格标准号 </t>
        </is>
      </c>
      <c r="F238" s="12" t="inlineStr">
        <is>
          <t>千克</t>
        </is>
      </c>
      <c r="G238" s="11">
        <f>LEFT(D238,FIND("|",D238,1)-1)</f>
        <v/>
      </c>
      <c r="H238" s="11">
        <f>MID(D238,FIND("|",D238,FIND("|",D238,1))+1,FIND("|",D238,FIND("|",D238,1)+1)-FIND("|",D238,FIND("|",D238,1))-1)</f>
        <v/>
      </c>
      <c r="J238" s="11">
        <f>MID(D238,FIND(";",SUBSTITUTE(D238,"|",REPT(";",LEN(D238)),2))+1,FIND(";",SUBSTITUTE(D238,"|",REPT(";",LEN(D238)),3))-FIND(";",SUBSTITUTE(D238,"|",REPT(";",LEN(D238)),2))-1)</f>
        <v/>
      </c>
      <c r="K238" s="11">
        <f>MID(D238,FIND(";",SUBSTITUTE(D238,"|",REPT(";",LEN(D238)),3))+1,FIND(";",SUBSTITUTE(D238,"|",REPT(";",LEN(D238)),4))-FIND(";",SUBSTITUTE(D238,"|",REPT(";",LEN(D238)),3))-1)</f>
        <v/>
      </c>
      <c r="M238" s="11">
        <f>MID(D238,FIND(";",SUBSTITUTE(D238,"|",REPT(";",LEN(D238)),4))+1,FIND(";",SUBSTITUTE(D238,"|",REPT(";",LEN(D238)),5))-FIND(";",SUBSTITUTE(D238,"|",REPT(";",LEN(D238)),4))-1)</f>
        <v/>
      </c>
      <c r="Q238" s="11">
        <f>MID(D238,FIND(";",SUBSTITUTE(D238,"|",REPT(";",LEN(D238)),5))+1,LEN(D238))</f>
        <v/>
      </c>
    </row>
    <row r="239" ht="98" customHeight="1" s="21">
      <c r="A239" s="13" t="inlineStr">
        <is>
          <t>100201</t>
        </is>
      </c>
      <c r="B239" s="13" t="inlineStr">
        <is>
          <t>圆钢</t>
        </is>
      </c>
      <c r="C239" s="13" t="inlineStr">
        <is>
          <t>601319400</t>
        </is>
      </c>
      <c r="D239" s="13" t="inlineStr">
        <is>
          <t>碳素工具圆钢|圆钢|T10A|Φ130|空</t>
        </is>
      </c>
      <c r="E239" s="13" t="inlineStr">
        <is>
          <t xml:space="preserve">物资名称 碳素工具圆钢;物资简称 圆钢;牌号 T10A;直径 Φ130;技术标准号 空;加工工艺 ;热处理工艺 ;特殊要求 ;规格标准号 </t>
        </is>
      </c>
      <c r="F239" s="12" t="inlineStr">
        <is>
          <t>千克</t>
        </is>
      </c>
      <c r="G239" s="11">
        <f>LEFT(D239,FIND("|",D239,1)-1)</f>
        <v/>
      </c>
      <c r="H239" s="11">
        <f>MID(D239,FIND("|",D239,FIND("|",D239,1))+1,FIND("|",D239,FIND("|",D239,1)+1)-FIND("|",D239,FIND("|",D239,1))-1)</f>
        <v/>
      </c>
      <c r="J239" s="11">
        <f>MID(D239,FIND(";",SUBSTITUTE(D239,"|",REPT(";",LEN(D239)),2))+1,FIND(";",SUBSTITUTE(D239,"|",REPT(";",LEN(D239)),3))-FIND(";",SUBSTITUTE(D239,"|",REPT(";",LEN(D239)),2))-1)</f>
        <v/>
      </c>
      <c r="K239" s="11">
        <f>MID(D239,FIND(";",SUBSTITUTE(D239,"|",REPT(";",LEN(D239)),3))+1,FIND(";",SUBSTITUTE(D239,"|",REPT(";",LEN(D239)),4))-FIND(";",SUBSTITUTE(D239,"|",REPT(";",LEN(D239)),3))-1)</f>
        <v/>
      </c>
      <c r="M239" s="11">
        <f>MID(D239,FIND(";",SUBSTITUTE(D239,"|",REPT(";",LEN(D239)),4))+1,LEN(D239))</f>
        <v/>
      </c>
    </row>
    <row r="240" ht="112" customHeight="1" s="21">
      <c r="A240" s="13" t="inlineStr">
        <is>
          <t>100201</t>
        </is>
      </c>
      <c r="B240" s="13" t="inlineStr">
        <is>
          <t>圆钢</t>
        </is>
      </c>
      <c r="C240" s="13" t="inlineStr">
        <is>
          <t>601319300</t>
        </is>
      </c>
      <c r="D240" s="13" t="inlineStr">
        <is>
          <t>碳素工具圆钢|圆钢|T10A|Φ14|空|抚顺森亚</t>
        </is>
      </c>
      <c r="E240" s="13" t="inlineStr">
        <is>
          <t xml:space="preserve">物资名称 碳素工具圆钢;物资简称 圆钢;牌号 T10A;直径 Φ14;技术标准号 空;加工工艺 ;热处理工艺 ;特殊要求 抚顺森亚;规格标准号 </t>
        </is>
      </c>
      <c r="F240" s="12" t="inlineStr">
        <is>
          <t>千克</t>
        </is>
      </c>
      <c r="G240" s="11">
        <f>LEFT(D240,FIND("|",D240,1)-1)</f>
        <v/>
      </c>
      <c r="H240" s="11">
        <f>MID(D240,FIND("|",D240,FIND("|",D240,1))+1,FIND("|",D240,FIND("|",D240,1)+1)-FIND("|",D240,FIND("|",D240,1))-1)</f>
        <v/>
      </c>
      <c r="J240" s="11">
        <f>MID(D240,FIND(";",SUBSTITUTE(D240,"|",REPT(";",LEN(D240)),2))+1,FIND(";",SUBSTITUTE(D240,"|",REPT(";",LEN(D240)),3))-FIND(";",SUBSTITUTE(D240,"|",REPT(";",LEN(D240)),2))-1)</f>
        <v/>
      </c>
      <c r="K240" s="11">
        <f>MID(D240,FIND(";",SUBSTITUTE(D240,"|",REPT(";",LEN(D240)),3))+1,FIND(";",SUBSTITUTE(D240,"|",REPT(";",LEN(D240)),4))-FIND(";",SUBSTITUTE(D240,"|",REPT(";",LEN(D240)),3))-1)</f>
        <v/>
      </c>
      <c r="M240" s="11">
        <f>MID(D240,FIND(";",SUBSTITUTE(D240,"|",REPT(";",LEN(D240)),4))+1,FIND(";",SUBSTITUTE(D240,"|",REPT(";",LEN(D240)),5))-FIND(";",SUBSTITUTE(D240,"|",REPT(";",LEN(D240)),4))-1)</f>
        <v/>
      </c>
      <c r="Q240" s="11">
        <f>MID(D240,FIND(";",SUBSTITUTE(D240,"|",REPT(";",LEN(D240)),5))+1,LEN(D240))</f>
        <v/>
      </c>
    </row>
    <row r="241" ht="112" customHeight="1" s="21">
      <c r="A241" s="13" t="inlineStr">
        <is>
          <t>100201</t>
        </is>
      </c>
      <c r="B241" s="13" t="inlineStr">
        <is>
          <t>圆钢</t>
        </is>
      </c>
      <c r="C241" s="13" t="inlineStr">
        <is>
          <t>601319200</t>
        </is>
      </c>
      <c r="D241" s="13" t="inlineStr">
        <is>
          <t>碳素工具圆钢|圆钢|T10A|Φ18|空|抚顺森亚</t>
        </is>
      </c>
      <c r="E241" s="13" t="inlineStr">
        <is>
          <t xml:space="preserve">物资名称 碳素工具圆钢;物资简称 圆钢;牌号 T10A;直径 Φ18;技术标准号 空;加工工艺 ;热处理工艺 ;特殊要求 抚顺森亚;规格标准号 </t>
        </is>
      </c>
      <c r="F241" s="12" t="inlineStr">
        <is>
          <t>千克</t>
        </is>
      </c>
      <c r="G241" s="11">
        <f>LEFT(D241,FIND("|",D241,1)-1)</f>
        <v/>
      </c>
      <c r="H241" s="11">
        <f>MID(D241,FIND("|",D241,FIND("|",D241,1))+1,FIND("|",D241,FIND("|",D241,1)+1)-FIND("|",D241,FIND("|",D241,1))-1)</f>
        <v/>
      </c>
      <c r="J241" s="11">
        <f>MID(D241,FIND(";",SUBSTITUTE(D241,"|",REPT(";",LEN(D241)),2))+1,FIND(";",SUBSTITUTE(D241,"|",REPT(";",LEN(D241)),3))-FIND(";",SUBSTITUTE(D241,"|",REPT(";",LEN(D241)),2))-1)</f>
        <v/>
      </c>
      <c r="K241" s="11">
        <f>MID(D241,FIND(";",SUBSTITUTE(D241,"|",REPT(";",LEN(D241)),3))+1,FIND(";",SUBSTITUTE(D241,"|",REPT(";",LEN(D241)),4))-FIND(";",SUBSTITUTE(D241,"|",REPT(";",LEN(D241)),3))-1)</f>
        <v/>
      </c>
      <c r="M241" s="11">
        <f>MID(D241,FIND(";",SUBSTITUTE(D241,"|",REPT(";",LEN(D241)),4))+1,FIND(";",SUBSTITUTE(D241,"|",REPT(";",LEN(D241)),5))-FIND(";",SUBSTITUTE(D241,"|",REPT(";",LEN(D241)),4))-1)</f>
        <v/>
      </c>
      <c r="Q241" s="11">
        <f>MID(D241,FIND(";",SUBSTITUTE(D241,"|",REPT(";",LEN(D241)),5))+1,LEN(D241))</f>
        <v/>
      </c>
    </row>
    <row r="242" ht="112" customHeight="1" s="21">
      <c r="A242" s="13" t="inlineStr">
        <is>
          <t>100201</t>
        </is>
      </c>
      <c r="B242" s="13" t="inlineStr">
        <is>
          <t>圆钢</t>
        </is>
      </c>
      <c r="C242" s="13" t="inlineStr">
        <is>
          <t>601319100</t>
        </is>
      </c>
      <c r="D242" s="13" t="inlineStr">
        <is>
          <t>碳素工具圆钢|圆钢|T10A|Φ20|空|抚顺森亚</t>
        </is>
      </c>
      <c r="E242" s="13" t="inlineStr">
        <is>
          <t xml:space="preserve">物资名称 碳素工具圆钢;物资简称 圆钢;牌号 T10A;直径 Φ20;技术标准号 空;加工工艺 ;热处理工艺 ;特殊要求 抚顺森亚;规格标准号 </t>
        </is>
      </c>
      <c r="F242" s="12" t="inlineStr">
        <is>
          <t>千克</t>
        </is>
      </c>
      <c r="G242" s="11">
        <f>LEFT(D242,FIND("|",D242,1)-1)</f>
        <v/>
      </c>
      <c r="H242" s="11">
        <f>MID(D242,FIND("|",D242,FIND("|",D242,1))+1,FIND("|",D242,FIND("|",D242,1)+1)-FIND("|",D242,FIND("|",D242,1))-1)</f>
        <v/>
      </c>
      <c r="J242" s="11">
        <f>MID(D242,FIND(";",SUBSTITUTE(D242,"|",REPT(";",LEN(D242)),2))+1,FIND(";",SUBSTITUTE(D242,"|",REPT(";",LEN(D242)),3))-FIND(";",SUBSTITUTE(D242,"|",REPT(";",LEN(D242)),2))-1)</f>
        <v/>
      </c>
      <c r="K242" s="11">
        <f>MID(D242,FIND(";",SUBSTITUTE(D242,"|",REPT(";",LEN(D242)),3))+1,FIND(";",SUBSTITUTE(D242,"|",REPT(";",LEN(D242)),4))-FIND(";",SUBSTITUTE(D242,"|",REPT(";",LEN(D242)),3))-1)</f>
        <v/>
      </c>
      <c r="M242" s="11">
        <f>MID(D242,FIND(";",SUBSTITUTE(D242,"|",REPT(";",LEN(D242)),4))+1,FIND(";",SUBSTITUTE(D242,"|",REPT(";",LEN(D242)),5))-FIND(";",SUBSTITUTE(D242,"|",REPT(";",LEN(D242)),4))-1)</f>
        <v/>
      </c>
      <c r="Q242" s="11">
        <f>MID(D242,FIND(";",SUBSTITUTE(D242,"|",REPT(";",LEN(D242)),5))+1,LEN(D242))</f>
        <v/>
      </c>
    </row>
    <row r="243" ht="112" customHeight="1" s="21">
      <c r="A243" s="13" t="inlineStr">
        <is>
          <t>100201</t>
        </is>
      </c>
      <c r="B243" s="13" t="inlineStr">
        <is>
          <t>圆钢</t>
        </is>
      </c>
      <c r="C243" s="13" t="inlineStr">
        <is>
          <t>601319000</t>
        </is>
      </c>
      <c r="D243" s="13" t="inlineStr">
        <is>
          <t>碳素工具圆钢|圆钢|T10A|Φ25|空|抚顺森亚</t>
        </is>
      </c>
      <c r="E243" s="13" t="inlineStr">
        <is>
          <t xml:space="preserve">物资名称 碳素工具圆钢;物资简称 圆钢;牌号 T10A;直径 Φ25;技术标准号 空;加工工艺 ;热处理工艺 ;特殊要求 抚顺森亚;规格标准号 </t>
        </is>
      </c>
      <c r="F243" s="12" t="inlineStr">
        <is>
          <t>千克</t>
        </is>
      </c>
      <c r="G243" s="11">
        <f>LEFT(D243,FIND("|",D243,1)-1)</f>
        <v/>
      </c>
      <c r="H243" s="11">
        <f>MID(D243,FIND("|",D243,FIND("|",D243,1))+1,FIND("|",D243,FIND("|",D243,1)+1)-FIND("|",D243,FIND("|",D243,1))-1)</f>
        <v/>
      </c>
      <c r="J243" s="11">
        <f>MID(D243,FIND(";",SUBSTITUTE(D243,"|",REPT(";",LEN(D243)),2))+1,FIND(";",SUBSTITUTE(D243,"|",REPT(";",LEN(D243)),3))-FIND(";",SUBSTITUTE(D243,"|",REPT(";",LEN(D243)),2))-1)</f>
        <v/>
      </c>
      <c r="K243" s="11">
        <f>MID(D243,FIND(";",SUBSTITUTE(D243,"|",REPT(";",LEN(D243)),3))+1,FIND(";",SUBSTITUTE(D243,"|",REPT(";",LEN(D243)),4))-FIND(";",SUBSTITUTE(D243,"|",REPT(";",LEN(D243)),3))-1)</f>
        <v/>
      </c>
      <c r="M243" s="11">
        <f>MID(D243,FIND(";",SUBSTITUTE(D243,"|",REPT(";",LEN(D243)),4))+1,FIND(";",SUBSTITUTE(D243,"|",REPT(";",LEN(D243)),5))-FIND(";",SUBSTITUTE(D243,"|",REPT(";",LEN(D243)),4))-1)</f>
        <v/>
      </c>
      <c r="Q243" s="11">
        <f>MID(D243,FIND(";",SUBSTITUTE(D243,"|",REPT(";",LEN(D243)),5))+1,LEN(D243))</f>
        <v/>
      </c>
    </row>
    <row r="244" ht="112" customHeight="1" s="21">
      <c r="A244" s="13" t="inlineStr">
        <is>
          <t>100201</t>
        </is>
      </c>
      <c r="B244" s="13" t="inlineStr">
        <is>
          <t>圆钢</t>
        </is>
      </c>
      <c r="C244" s="13" t="inlineStr">
        <is>
          <t>601318900</t>
        </is>
      </c>
      <c r="D244" s="13" t="inlineStr">
        <is>
          <t>碳素工具圆钢|圆钢|T10A|Φ32|空|抚顺森亚</t>
        </is>
      </c>
      <c r="E244" s="13" t="inlineStr">
        <is>
          <t xml:space="preserve">物资名称 碳素工具圆钢;物资简称 圆钢;牌号 T10A;直径 Φ32;技术标准号 空;加工工艺 ;热处理工艺 ;特殊要求 抚顺森亚;规格标准号 </t>
        </is>
      </c>
      <c r="F244" s="12" t="inlineStr">
        <is>
          <t>千克</t>
        </is>
      </c>
      <c r="G244" s="11">
        <f>LEFT(D244,FIND("|",D244,1)-1)</f>
        <v/>
      </c>
      <c r="H244" s="11">
        <f>MID(D244,FIND("|",D244,FIND("|",D244,1))+1,FIND("|",D244,FIND("|",D244,1)+1)-FIND("|",D244,FIND("|",D244,1))-1)</f>
        <v/>
      </c>
      <c r="J244" s="11">
        <f>MID(D244,FIND(";",SUBSTITUTE(D244,"|",REPT(";",LEN(D244)),2))+1,FIND(";",SUBSTITUTE(D244,"|",REPT(";",LEN(D244)),3))-FIND(";",SUBSTITUTE(D244,"|",REPT(";",LEN(D244)),2))-1)</f>
        <v/>
      </c>
      <c r="K244" s="11">
        <f>MID(D244,FIND(";",SUBSTITUTE(D244,"|",REPT(";",LEN(D244)),3))+1,FIND(";",SUBSTITUTE(D244,"|",REPT(";",LEN(D244)),4))-FIND(";",SUBSTITUTE(D244,"|",REPT(";",LEN(D244)),3))-1)</f>
        <v/>
      </c>
      <c r="M244" s="11">
        <f>MID(D244,FIND(";",SUBSTITUTE(D244,"|",REPT(";",LEN(D244)),4))+1,FIND(";",SUBSTITUTE(D244,"|",REPT(";",LEN(D244)),5))-FIND(";",SUBSTITUTE(D244,"|",REPT(";",LEN(D244)),4))-1)</f>
        <v/>
      </c>
      <c r="Q244" s="11">
        <f>MID(D244,FIND(";",SUBSTITUTE(D244,"|",REPT(";",LEN(D244)),5))+1,LEN(D244))</f>
        <v/>
      </c>
    </row>
    <row r="245" ht="98" customHeight="1" s="21">
      <c r="A245" s="13" t="inlineStr">
        <is>
          <t>100201</t>
        </is>
      </c>
      <c r="B245" s="13" t="inlineStr">
        <is>
          <t>圆钢</t>
        </is>
      </c>
      <c r="C245" s="13" t="inlineStr">
        <is>
          <t>601318800</t>
        </is>
      </c>
      <c r="D245" s="13" t="inlineStr">
        <is>
          <t>碳素工具圆钢|圆钢|T10A|Φ35|空</t>
        </is>
      </c>
      <c r="E245" s="13" t="inlineStr">
        <is>
          <t xml:space="preserve">物资名称 碳素工具圆钢;物资简称 圆钢;牌号 T10A;直径 Φ35;技术标准号 空;加工工艺 ;热处理工艺 ;特殊要求 ;规格标准号 </t>
        </is>
      </c>
      <c r="F245" s="12" t="inlineStr">
        <is>
          <t>千克</t>
        </is>
      </c>
      <c r="G245" s="11">
        <f>LEFT(D245,FIND("|",D245,1)-1)</f>
        <v/>
      </c>
      <c r="H245" s="11">
        <f>MID(D245,FIND("|",D245,FIND("|",D245,1))+1,FIND("|",D245,FIND("|",D245,1)+1)-FIND("|",D245,FIND("|",D245,1))-1)</f>
        <v/>
      </c>
      <c r="J245" s="11">
        <f>MID(D245,FIND(";",SUBSTITUTE(D245,"|",REPT(";",LEN(D245)),2))+1,FIND(";",SUBSTITUTE(D245,"|",REPT(";",LEN(D245)),3))-FIND(";",SUBSTITUTE(D245,"|",REPT(";",LEN(D245)),2))-1)</f>
        <v/>
      </c>
      <c r="K245" s="11">
        <f>MID(D245,FIND(";",SUBSTITUTE(D245,"|",REPT(";",LEN(D245)),3))+1,FIND(";",SUBSTITUTE(D245,"|",REPT(";",LEN(D245)),4))-FIND(";",SUBSTITUTE(D245,"|",REPT(";",LEN(D245)),3))-1)</f>
        <v/>
      </c>
      <c r="M245" s="11">
        <f>MID(D245,FIND(";",SUBSTITUTE(D245,"|",REPT(";",LEN(D245)),4))+1,LEN(D245))</f>
        <v/>
      </c>
    </row>
    <row r="246" ht="98" customHeight="1" s="21">
      <c r="A246" s="13" t="inlineStr">
        <is>
          <t>100201</t>
        </is>
      </c>
      <c r="B246" s="13" t="inlineStr">
        <is>
          <t>圆钢</t>
        </is>
      </c>
      <c r="C246" s="13" t="inlineStr">
        <is>
          <t>601318700</t>
        </is>
      </c>
      <c r="D246" s="13" t="inlineStr">
        <is>
          <t>碳素工具圆钢|圆钢|T10A|Φ45|空</t>
        </is>
      </c>
      <c r="E246" s="13" t="inlineStr">
        <is>
          <t xml:space="preserve">物资名称 碳素工具圆钢;物资简称 圆钢;牌号 T10A;直径 Φ45;技术标准号 空;加工工艺 ;热处理工艺 ;特殊要求 ;规格标准号 </t>
        </is>
      </c>
      <c r="F246" s="12" t="inlineStr">
        <is>
          <t>千克</t>
        </is>
      </c>
      <c r="G246" s="11">
        <f>LEFT(D246,FIND("|",D246,1)-1)</f>
        <v/>
      </c>
      <c r="H246" s="11">
        <f>MID(D246,FIND("|",D246,FIND("|",D246,1))+1,FIND("|",D246,FIND("|",D246,1)+1)-FIND("|",D246,FIND("|",D246,1))-1)</f>
        <v/>
      </c>
      <c r="J246" s="11">
        <f>MID(D246,FIND(";",SUBSTITUTE(D246,"|",REPT(";",LEN(D246)),2))+1,FIND(";",SUBSTITUTE(D246,"|",REPT(";",LEN(D246)),3))-FIND(";",SUBSTITUTE(D246,"|",REPT(";",LEN(D246)),2))-1)</f>
        <v/>
      </c>
      <c r="K246" s="11">
        <f>MID(D246,FIND(";",SUBSTITUTE(D246,"|",REPT(";",LEN(D246)),3))+1,FIND(";",SUBSTITUTE(D246,"|",REPT(";",LEN(D246)),4))-FIND(";",SUBSTITUTE(D246,"|",REPT(";",LEN(D246)),3))-1)</f>
        <v/>
      </c>
      <c r="M246" s="11">
        <f>MID(D246,FIND(";",SUBSTITUTE(D246,"|",REPT(";",LEN(D246)),4))+1,LEN(D246))</f>
        <v/>
      </c>
    </row>
    <row r="247" ht="98" customHeight="1" s="21">
      <c r="A247" s="13" t="inlineStr">
        <is>
          <t>100201</t>
        </is>
      </c>
      <c r="B247" s="13" t="inlineStr">
        <is>
          <t>圆钢</t>
        </is>
      </c>
      <c r="C247" s="13" t="inlineStr">
        <is>
          <t>601318600</t>
        </is>
      </c>
      <c r="D247" s="13" t="inlineStr">
        <is>
          <t>碳素工具圆钢|圆钢|T10A|Φ60|空</t>
        </is>
      </c>
      <c r="E247" s="13" t="inlineStr">
        <is>
          <t xml:space="preserve">物资名称 碳素工具圆钢;物资简称 圆钢;牌号 T10A;直径 Φ60;技术标准号 空;加工工艺 ;热处理工艺 ;特殊要求 ;规格标准号 </t>
        </is>
      </c>
      <c r="F247" s="12" t="inlineStr">
        <is>
          <t>千克</t>
        </is>
      </c>
      <c r="G247" s="11">
        <f>LEFT(D247,FIND("|",D247,1)-1)</f>
        <v/>
      </c>
      <c r="H247" s="11">
        <f>MID(D247,FIND("|",D247,FIND("|",D247,1))+1,FIND("|",D247,FIND("|",D247,1)+1)-FIND("|",D247,FIND("|",D247,1))-1)</f>
        <v/>
      </c>
      <c r="J247" s="11">
        <f>MID(D247,FIND(";",SUBSTITUTE(D247,"|",REPT(";",LEN(D247)),2))+1,FIND(";",SUBSTITUTE(D247,"|",REPT(";",LEN(D247)),3))-FIND(";",SUBSTITUTE(D247,"|",REPT(";",LEN(D247)),2))-1)</f>
        <v/>
      </c>
      <c r="K247" s="11">
        <f>MID(D247,FIND(";",SUBSTITUTE(D247,"|",REPT(";",LEN(D247)),3))+1,FIND(";",SUBSTITUTE(D247,"|",REPT(";",LEN(D247)),4))-FIND(";",SUBSTITUTE(D247,"|",REPT(";",LEN(D247)),3))-1)</f>
        <v/>
      </c>
      <c r="M247" s="11">
        <f>MID(D247,FIND(";",SUBSTITUTE(D247,"|",REPT(";",LEN(D247)),4))+1,LEN(D247))</f>
        <v/>
      </c>
    </row>
    <row r="248" ht="112" customHeight="1" s="21">
      <c r="A248" s="13" t="inlineStr">
        <is>
          <t>100201</t>
        </is>
      </c>
      <c r="B248" s="13" t="inlineStr">
        <is>
          <t>圆钢</t>
        </is>
      </c>
      <c r="C248" s="13" t="inlineStr">
        <is>
          <t>601318500</t>
        </is>
      </c>
      <c r="D248" s="13" t="inlineStr">
        <is>
          <t>碳素工具圆钢|圆钢|T10A|Φ70|空|抚顺森亚</t>
        </is>
      </c>
      <c r="E248" s="13" t="inlineStr">
        <is>
          <t xml:space="preserve">物资名称 碳素工具圆钢;物资简称 圆钢;牌号 T10A;直径 Φ70;技术标准号 空;加工工艺 ;热处理工艺 ;特殊要求 抚顺森亚;规格标准号 </t>
        </is>
      </c>
      <c r="F248" s="12" t="inlineStr">
        <is>
          <t>千克</t>
        </is>
      </c>
      <c r="G248" s="11">
        <f>LEFT(D248,FIND("|",D248,1)-1)</f>
        <v/>
      </c>
      <c r="H248" s="11">
        <f>MID(D248,FIND("|",D248,FIND("|",D248,1))+1,FIND("|",D248,FIND("|",D248,1)+1)-FIND("|",D248,FIND("|",D248,1))-1)</f>
        <v/>
      </c>
      <c r="J248" s="11">
        <f>MID(D248,FIND(";",SUBSTITUTE(D248,"|",REPT(";",LEN(D248)),2))+1,FIND(";",SUBSTITUTE(D248,"|",REPT(";",LEN(D248)),3))-FIND(";",SUBSTITUTE(D248,"|",REPT(";",LEN(D248)),2))-1)</f>
        <v/>
      </c>
      <c r="K248" s="11">
        <f>MID(D248,FIND(";",SUBSTITUTE(D248,"|",REPT(";",LEN(D248)),3))+1,FIND(";",SUBSTITUTE(D248,"|",REPT(";",LEN(D248)),4))-FIND(";",SUBSTITUTE(D248,"|",REPT(";",LEN(D248)),3))-1)</f>
        <v/>
      </c>
      <c r="M248" s="11">
        <f>MID(D248,FIND(";",SUBSTITUTE(D248,"|",REPT(";",LEN(D248)),4))+1,FIND(";",SUBSTITUTE(D248,"|",REPT(";",LEN(D248)),5))-FIND(";",SUBSTITUTE(D248,"|",REPT(";",LEN(D248)),4))-1)</f>
        <v/>
      </c>
      <c r="Q248" s="11">
        <f>MID(D248,FIND(";",SUBSTITUTE(D248,"|",REPT(";",LEN(D248)),5))+1,LEN(D248))</f>
        <v/>
      </c>
    </row>
    <row r="249" ht="98" customHeight="1" s="21">
      <c r="A249" s="13" t="inlineStr">
        <is>
          <t>100201</t>
        </is>
      </c>
      <c r="B249" s="13" t="inlineStr">
        <is>
          <t>圆钢</t>
        </is>
      </c>
      <c r="C249" s="13" t="inlineStr">
        <is>
          <t>601318400</t>
        </is>
      </c>
      <c r="D249" s="13" t="inlineStr">
        <is>
          <t>碳素工具圆钢|圆钢|T10A|Φ90|空</t>
        </is>
      </c>
      <c r="E249" s="13" t="inlineStr">
        <is>
          <t xml:space="preserve">物资名称 碳素工具圆钢;物资简称 圆钢;牌号 T10A;直径 Φ90;技术标准号 空;加工工艺 ;热处理工艺 ;特殊要求 ;规格标准号 </t>
        </is>
      </c>
      <c r="F249" s="12" t="inlineStr">
        <is>
          <t>千克</t>
        </is>
      </c>
      <c r="G249" s="11">
        <f>LEFT(D249,FIND("|",D249,1)-1)</f>
        <v/>
      </c>
      <c r="H249" s="11">
        <f>MID(D249,FIND("|",D249,FIND("|",D249,1))+1,FIND("|",D249,FIND("|",D249,1)+1)-FIND("|",D249,FIND("|",D249,1))-1)</f>
        <v/>
      </c>
      <c r="J249" s="11">
        <f>MID(D249,FIND(";",SUBSTITUTE(D249,"|",REPT(";",LEN(D249)),2))+1,FIND(";",SUBSTITUTE(D249,"|",REPT(";",LEN(D249)),3))-FIND(";",SUBSTITUTE(D249,"|",REPT(";",LEN(D249)),2))-1)</f>
        <v/>
      </c>
      <c r="K249" s="11">
        <f>MID(D249,FIND(";",SUBSTITUTE(D249,"|",REPT(";",LEN(D249)),3))+1,FIND(";",SUBSTITUTE(D249,"|",REPT(";",LEN(D249)),4))-FIND(";",SUBSTITUTE(D249,"|",REPT(";",LEN(D249)),3))-1)</f>
        <v/>
      </c>
      <c r="M249" s="11">
        <f>MID(D249,FIND(";",SUBSTITUTE(D249,"|",REPT(";",LEN(D249)),4))+1,LEN(D249))</f>
        <v/>
      </c>
    </row>
    <row r="250" ht="98" customHeight="1" s="21">
      <c r="A250" s="13" t="inlineStr">
        <is>
          <t>100201</t>
        </is>
      </c>
      <c r="B250" s="13" t="inlineStr">
        <is>
          <t>圆钢</t>
        </is>
      </c>
      <c r="C250" s="13" t="inlineStr">
        <is>
          <t>601318300</t>
        </is>
      </c>
      <c r="D250" s="13" t="inlineStr">
        <is>
          <t>优质碳素结构圆钢|圆钢|20|Φ14|空</t>
        </is>
      </c>
      <c r="E250" s="13" t="inlineStr">
        <is>
          <t xml:space="preserve">物资名称 优质碳素结构圆钢;物资简称 圆钢;牌号 20;直径 Φ14;技术标准号 空;加工工艺 ;热处理工艺 ;特殊要求 ;规格标准号 </t>
        </is>
      </c>
      <c r="F250" s="12" t="inlineStr">
        <is>
          <t>千克</t>
        </is>
      </c>
      <c r="G250" s="11">
        <f>LEFT(D250,FIND("|",D250,1)-1)</f>
        <v/>
      </c>
      <c r="H250" s="11">
        <f>MID(D250,FIND("|",D250,FIND("|",D250,1))+1,FIND("|",D250,FIND("|",D250,1)+1)-FIND("|",D250,FIND("|",D250,1))-1)</f>
        <v/>
      </c>
      <c r="J250" s="11">
        <f>MID(D250,FIND(";",SUBSTITUTE(D250,"|",REPT(";",LEN(D250)),2))+1,FIND(";",SUBSTITUTE(D250,"|",REPT(";",LEN(D250)),3))-FIND(";",SUBSTITUTE(D250,"|",REPT(";",LEN(D250)),2))-1)</f>
        <v/>
      </c>
      <c r="K250" s="11">
        <f>MID(D250,FIND(";",SUBSTITUTE(D250,"|",REPT(";",LEN(D250)),3))+1,FIND(";",SUBSTITUTE(D250,"|",REPT(";",LEN(D250)),4))-FIND(";",SUBSTITUTE(D250,"|",REPT(";",LEN(D250)),3))-1)</f>
        <v/>
      </c>
      <c r="M250" s="11">
        <f>MID(D250,FIND(";",SUBSTITUTE(D250,"|",REPT(";",LEN(D250)),4))+1,LEN(D250))</f>
        <v/>
      </c>
    </row>
    <row r="251" ht="98" customHeight="1" s="21">
      <c r="A251" s="13" t="inlineStr">
        <is>
          <t>100201</t>
        </is>
      </c>
      <c r="B251" s="13" t="inlineStr">
        <is>
          <t>圆钢</t>
        </is>
      </c>
      <c r="C251" s="13" t="inlineStr">
        <is>
          <t>601318200</t>
        </is>
      </c>
      <c r="D251" s="13" t="inlineStr">
        <is>
          <t>优质碳素结构圆钢|圆钢|20|Φ40|空</t>
        </is>
      </c>
      <c r="E251" s="13" t="inlineStr">
        <is>
          <t xml:space="preserve">物资名称 优质碳素结构圆钢;物资简称 圆钢;牌号 20;直径 Φ40;技术标准号 空;加工工艺 ;热处理工艺 ;特殊要求 ;规格标准号 </t>
        </is>
      </c>
      <c r="F251" s="12" t="inlineStr">
        <is>
          <t>千克</t>
        </is>
      </c>
      <c r="G251" s="11">
        <f>LEFT(D251,FIND("|",D251,1)-1)</f>
        <v/>
      </c>
      <c r="H251" s="11">
        <f>MID(D251,FIND("|",D251,FIND("|",D251,1))+1,FIND("|",D251,FIND("|",D251,1)+1)-FIND("|",D251,FIND("|",D251,1))-1)</f>
        <v/>
      </c>
      <c r="J251" s="11">
        <f>MID(D251,FIND(";",SUBSTITUTE(D251,"|",REPT(";",LEN(D251)),2))+1,FIND(";",SUBSTITUTE(D251,"|",REPT(";",LEN(D251)),3))-FIND(";",SUBSTITUTE(D251,"|",REPT(";",LEN(D251)),2))-1)</f>
        <v/>
      </c>
      <c r="K251" s="11">
        <f>MID(D251,FIND(";",SUBSTITUTE(D251,"|",REPT(";",LEN(D251)),3))+1,FIND(";",SUBSTITUTE(D251,"|",REPT(";",LEN(D251)),4))-FIND(";",SUBSTITUTE(D251,"|",REPT(";",LEN(D251)),3))-1)</f>
        <v/>
      </c>
      <c r="M251" s="11">
        <f>MID(D251,FIND(";",SUBSTITUTE(D251,"|",REPT(";",LEN(D251)),4))+1,LEN(D251))</f>
        <v/>
      </c>
    </row>
    <row r="252" ht="98" customHeight="1" s="21">
      <c r="A252" s="13" t="inlineStr">
        <is>
          <t>100201</t>
        </is>
      </c>
      <c r="B252" s="13" t="inlineStr">
        <is>
          <t>圆钢</t>
        </is>
      </c>
      <c r="C252" s="13" t="inlineStr">
        <is>
          <t>601318100</t>
        </is>
      </c>
      <c r="D252" s="13" t="inlineStr">
        <is>
          <t>优质碳素结构圆钢|圆钢|45|Φ130|空</t>
        </is>
      </c>
      <c r="E252" s="13" t="inlineStr">
        <is>
          <t xml:space="preserve">物资名称 优质碳素结构圆钢;物资简称 圆钢;牌号 45;直径 Φ130;技术标准号 空;加工工艺 ;热处理工艺 ;特殊要求 ;规格标准号 </t>
        </is>
      </c>
      <c r="F252" s="12" t="inlineStr">
        <is>
          <t>千克</t>
        </is>
      </c>
      <c r="G252" s="11">
        <f>LEFT(D252,FIND("|",D252,1)-1)</f>
        <v/>
      </c>
      <c r="H252" s="11">
        <f>MID(D252,FIND("|",D252,FIND("|",D252,1))+1,FIND("|",D252,FIND("|",D252,1)+1)-FIND("|",D252,FIND("|",D252,1))-1)</f>
        <v/>
      </c>
      <c r="J252" s="11">
        <f>MID(D252,FIND(";",SUBSTITUTE(D252,"|",REPT(";",LEN(D252)),2))+1,FIND(";",SUBSTITUTE(D252,"|",REPT(";",LEN(D252)),3))-FIND(";",SUBSTITUTE(D252,"|",REPT(";",LEN(D252)),2))-1)</f>
        <v/>
      </c>
      <c r="K252" s="11">
        <f>MID(D252,FIND(";",SUBSTITUTE(D252,"|",REPT(";",LEN(D252)),3))+1,FIND(";",SUBSTITUTE(D252,"|",REPT(";",LEN(D252)),4))-FIND(";",SUBSTITUTE(D252,"|",REPT(";",LEN(D252)),3))-1)</f>
        <v/>
      </c>
      <c r="M252" s="11">
        <f>MID(D252,FIND(";",SUBSTITUTE(D252,"|",REPT(";",LEN(D252)),4))+1,LEN(D252))</f>
        <v/>
      </c>
    </row>
    <row r="253" ht="112" customHeight="1" s="21">
      <c r="A253" s="13" t="inlineStr">
        <is>
          <t>100201</t>
        </is>
      </c>
      <c r="B253" s="13" t="inlineStr">
        <is>
          <t>圆钢</t>
        </is>
      </c>
      <c r="C253" s="13" t="inlineStr">
        <is>
          <t>601318000</t>
        </is>
      </c>
      <c r="D253" s="13" t="inlineStr">
        <is>
          <t>优质碳素结构圆钢|圆钢|45|Φ14|空|东北特殊</t>
        </is>
      </c>
      <c r="E253" s="13" t="inlineStr">
        <is>
          <t xml:space="preserve">物资名称 优质碳素结构圆钢;物资简称 圆钢;牌号 45;直径 Φ14;技术标准号 空;加工工艺 ;热处理工艺 ;特殊要求 东北特殊;规格标准号 </t>
        </is>
      </c>
      <c r="F253" s="12" t="inlineStr">
        <is>
          <t>千克</t>
        </is>
      </c>
      <c r="G253" s="11">
        <f>LEFT(D253,FIND("|",D253,1)-1)</f>
        <v/>
      </c>
      <c r="H253" s="11">
        <f>MID(D253,FIND("|",D253,FIND("|",D253,1))+1,FIND("|",D253,FIND("|",D253,1)+1)-FIND("|",D253,FIND("|",D253,1))-1)</f>
        <v/>
      </c>
      <c r="J253" s="11">
        <f>MID(D253,FIND(";",SUBSTITUTE(D253,"|",REPT(";",LEN(D253)),2))+1,FIND(";",SUBSTITUTE(D253,"|",REPT(";",LEN(D253)),3))-FIND(";",SUBSTITUTE(D253,"|",REPT(";",LEN(D253)),2))-1)</f>
        <v/>
      </c>
      <c r="K253" s="11">
        <f>MID(D253,FIND(";",SUBSTITUTE(D253,"|",REPT(";",LEN(D253)),3))+1,FIND(";",SUBSTITUTE(D253,"|",REPT(";",LEN(D253)),4))-FIND(";",SUBSTITUTE(D253,"|",REPT(";",LEN(D253)),3))-1)</f>
        <v/>
      </c>
      <c r="M253" s="11">
        <f>MID(D253,FIND(";",SUBSTITUTE(D253,"|",REPT(";",LEN(D253)),4))+1,FIND(";",SUBSTITUTE(D253,"|",REPT(";",LEN(D253)),5))-FIND(";",SUBSTITUTE(D253,"|",REPT(";",LEN(D253)),4))-1)</f>
        <v/>
      </c>
      <c r="Q253" s="11">
        <f>MID(D253,FIND(";",SUBSTITUTE(D253,"|",REPT(";",LEN(D253)),5))+1,LEN(D253))</f>
        <v/>
      </c>
    </row>
    <row r="254" ht="98" customHeight="1" s="21">
      <c r="A254" s="13" t="inlineStr">
        <is>
          <t>100201</t>
        </is>
      </c>
      <c r="B254" s="13" t="inlineStr">
        <is>
          <t>圆钢</t>
        </is>
      </c>
      <c r="C254" s="13" t="inlineStr">
        <is>
          <t>601317900</t>
        </is>
      </c>
      <c r="D254" s="13" t="inlineStr">
        <is>
          <t>优质碳素结构圆钢|圆钢|45|Φ140|空</t>
        </is>
      </c>
      <c r="E254" s="13" t="inlineStr">
        <is>
          <t xml:space="preserve">物资名称 优质碳素结构圆钢;物资简称 圆钢;牌号 45;直径 Φ140;技术标准号 空;加工工艺 ;热处理工艺 ;特殊要求 ;规格标准号 </t>
        </is>
      </c>
      <c r="F254" s="12" t="inlineStr">
        <is>
          <t>千克</t>
        </is>
      </c>
      <c r="G254" s="11">
        <f>LEFT(D254,FIND("|",D254,1)-1)</f>
        <v/>
      </c>
      <c r="H254" s="11">
        <f>MID(D254,FIND("|",D254,FIND("|",D254,1))+1,FIND("|",D254,FIND("|",D254,1)+1)-FIND("|",D254,FIND("|",D254,1))-1)</f>
        <v/>
      </c>
      <c r="J254" s="11">
        <f>MID(D254,FIND(";",SUBSTITUTE(D254,"|",REPT(";",LEN(D254)),2))+1,FIND(";",SUBSTITUTE(D254,"|",REPT(";",LEN(D254)),3))-FIND(";",SUBSTITUTE(D254,"|",REPT(";",LEN(D254)),2))-1)</f>
        <v/>
      </c>
      <c r="K254" s="11">
        <f>MID(D254,FIND(";",SUBSTITUTE(D254,"|",REPT(";",LEN(D254)),3))+1,FIND(";",SUBSTITUTE(D254,"|",REPT(";",LEN(D254)),4))-FIND(";",SUBSTITUTE(D254,"|",REPT(";",LEN(D254)),3))-1)</f>
        <v/>
      </c>
      <c r="M254" s="11">
        <f>MID(D254,FIND(";",SUBSTITUTE(D254,"|",REPT(";",LEN(D254)),4))+1,LEN(D254))</f>
        <v/>
      </c>
    </row>
    <row r="255" ht="98" customHeight="1" s="21">
      <c r="A255" s="13" t="inlineStr">
        <is>
          <t>100201</t>
        </is>
      </c>
      <c r="B255" s="13" t="inlineStr">
        <is>
          <t>圆钢</t>
        </is>
      </c>
      <c r="C255" s="13" t="inlineStr">
        <is>
          <t>601317800</t>
        </is>
      </c>
      <c r="D255" s="13" t="inlineStr">
        <is>
          <t>优质碳素结构圆钢|圆钢|45|Φ180|空</t>
        </is>
      </c>
      <c r="E255" s="13" t="inlineStr">
        <is>
          <t xml:space="preserve">物资名称 优质碳素结构圆钢;物资简称 圆钢;牌号 45;直径 Φ180;技术标准号 空;加工工艺 ;热处理工艺 ;特殊要求 ;规格标准号 </t>
        </is>
      </c>
      <c r="F255" s="12" t="inlineStr">
        <is>
          <t>千克</t>
        </is>
      </c>
      <c r="G255" s="11">
        <f>LEFT(D255,FIND("|",D255,1)-1)</f>
        <v/>
      </c>
      <c r="H255" s="11">
        <f>MID(D255,FIND("|",D255,FIND("|",D255,1))+1,FIND("|",D255,FIND("|",D255,1)+1)-FIND("|",D255,FIND("|",D255,1))-1)</f>
        <v/>
      </c>
      <c r="J255" s="11">
        <f>MID(D255,FIND(";",SUBSTITUTE(D255,"|",REPT(";",LEN(D255)),2))+1,FIND(";",SUBSTITUTE(D255,"|",REPT(";",LEN(D255)),3))-FIND(";",SUBSTITUTE(D255,"|",REPT(";",LEN(D255)),2))-1)</f>
        <v/>
      </c>
      <c r="K255" s="11">
        <f>MID(D255,FIND(";",SUBSTITUTE(D255,"|",REPT(";",LEN(D255)),3))+1,FIND(";",SUBSTITUTE(D255,"|",REPT(";",LEN(D255)),4))-FIND(";",SUBSTITUTE(D255,"|",REPT(";",LEN(D255)),3))-1)</f>
        <v/>
      </c>
      <c r="M255" s="11">
        <f>MID(D255,FIND(";",SUBSTITUTE(D255,"|",REPT(";",LEN(D255)),4))+1,LEN(D255))</f>
        <v/>
      </c>
    </row>
    <row r="256" ht="98" customHeight="1" s="21">
      <c r="A256" s="13" t="inlineStr">
        <is>
          <t>100201</t>
        </is>
      </c>
      <c r="B256" s="13" t="inlineStr">
        <is>
          <t>圆钢</t>
        </is>
      </c>
      <c r="C256" s="13" t="inlineStr">
        <is>
          <t>601317700</t>
        </is>
      </c>
      <c r="D256" s="13" t="inlineStr">
        <is>
          <t>优质碳素结构圆钢|圆钢|45|Φ230|空</t>
        </is>
      </c>
      <c r="E256" s="13" t="inlineStr">
        <is>
          <t xml:space="preserve">物资名称 优质碳素结构圆钢;物资简称 圆钢;牌号 45;直径 Φ230;技术标准号 空;加工工艺 ;热处理工艺 ;特殊要求 ;规格标准号 </t>
        </is>
      </c>
      <c r="F256" s="12" t="inlineStr">
        <is>
          <t>千克</t>
        </is>
      </c>
      <c r="G256" s="11">
        <f>LEFT(D256,FIND("|",D256,1)-1)</f>
        <v/>
      </c>
      <c r="H256" s="11">
        <f>MID(D256,FIND("|",D256,FIND("|",D256,1))+1,FIND("|",D256,FIND("|",D256,1)+1)-FIND("|",D256,FIND("|",D256,1))-1)</f>
        <v/>
      </c>
      <c r="J256" s="11">
        <f>MID(D256,FIND(";",SUBSTITUTE(D256,"|",REPT(";",LEN(D256)),2))+1,FIND(";",SUBSTITUTE(D256,"|",REPT(";",LEN(D256)),3))-FIND(";",SUBSTITUTE(D256,"|",REPT(";",LEN(D256)),2))-1)</f>
        <v/>
      </c>
      <c r="K256" s="11">
        <f>MID(D256,FIND(";",SUBSTITUTE(D256,"|",REPT(";",LEN(D256)),3))+1,FIND(";",SUBSTITUTE(D256,"|",REPT(";",LEN(D256)),4))-FIND(";",SUBSTITUTE(D256,"|",REPT(";",LEN(D256)),3))-1)</f>
        <v/>
      </c>
      <c r="M256" s="11">
        <f>MID(D256,FIND(";",SUBSTITUTE(D256,"|",REPT(";",LEN(D256)),4))+1,LEN(D256))</f>
        <v/>
      </c>
    </row>
    <row r="257" ht="98" customHeight="1" s="21">
      <c r="A257" s="13" t="inlineStr">
        <is>
          <t>100201</t>
        </is>
      </c>
      <c r="B257" s="13" t="inlineStr">
        <is>
          <t>圆钢</t>
        </is>
      </c>
      <c r="C257" s="13" t="inlineStr">
        <is>
          <t>601317600</t>
        </is>
      </c>
      <c r="D257" s="13" t="inlineStr">
        <is>
          <t>优质碳素结构圆钢|圆钢|45|Φ270|空</t>
        </is>
      </c>
      <c r="E257" s="13" t="inlineStr">
        <is>
          <t xml:space="preserve">物资名称 优质碳素结构圆钢;物资简称 圆钢;牌号 45;直径 Φ270;技术标准号 空;加工工艺 ;热处理工艺 ;特殊要求 ;规格标准号 </t>
        </is>
      </c>
      <c r="F257" s="12" t="inlineStr">
        <is>
          <t>千克</t>
        </is>
      </c>
      <c r="G257" s="11">
        <f>LEFT(D257,FIND("|",D257,1)-1)</f>
        <v/>
      </c>
      <c r="H257" s="11">
        <f>MID(D257,FIND("|",D257,FIND("|",D257,1))+1,FIND("|",D257,FIND("|",D257,1)+1)-FIND("|",D257,FIND("|",D257,1))-1)</f>
        <v/>
      </c>
      <c r="J257" s="11">
        <f>MID(D257,FIND(";",SUBSTITUTE(D257,"|",REPT(";",LEN(D257)),2))+1,FIND(";",SUBSTITUTE(D257,"|",REPT(";",LEN(D257)),3))-FIND(";",SUBSTITUTE(D257,"|",REPT(";",LEN(D257)),2))-1)</f>
        <v/>
      </c>
      <c r="K257" s="11">
        <f>MID(D257,FIND(";",SUBSTITUTE(D257,"|",REPT(";",LEN(D257)),3))+1,FIND(";",SUBSTITUTE(D257,"|",REPT(";",LEN(D257)),4))-FIND(";",SUBSTITUTE(D257,"|",REPT(";",LEN(D257)),3))-1)</f>
        <v/>
      </c>
      <c r="M257" s="11">
        <f>MID(D257,FIND(";",SUBSTITUTE(D257,"|",REPT(";",LEN(D257)),4))+1,LEN(D257))</f>
        <v/>
      </c>
    </row>
    <row r="258" ht="98" customHeight="1" s="21">
      <c r="A258" s="13" t="inlineStr">
        <is>
          <t>100201</t>
        </is>
      </c>
      <c r="B258" s="13" t="inlineStr">
        <is>
          <t>圆钢</t>
        </is>
      </c>
      <c r="C258" s="13" t="inlineStr">
        <is>
          <t>601317500</t>
        </is>
      </c>
      <c r="D258" s="13" t="inlineStr">
        <is>
          <t>优质碳素结构圆钢|圆钢|45|Φ300|空</t>
        </is>
      </c>
      <c r="E258" s="13" t="inlineStr">
        <is>
          <t xml:space="preserve">物资名称 优质碳素结构圆钢;物资简称 圆钢;牌号 45;直径 Φ300;技术标准号 空;加工工艺 ;热处理工艺 ;特殊要求 ;规格标准号 </t>
        </is>
      </c>
      <c r="F258" s="12" t="inlineStr">
        <is>
          <t>千克</t>
        </is>
      </c>
      <c r="G258" s="11">
        <f>LEFT(D258,FIND("|",D258,1)-1)</f>
        <v/>
      </c>
      <c r="H258" s="11">
        <f>MID(D258,FIND("|",D258,FIND("|",D258,1))+1,FIND("|",D258,FIND("|",D258,1)+1)-FIND("|",D258,FIND("|",D258,1))-1)</f>
        <v/>
      </c>
      <c r="J258" s="11">
        <f>MID(D258,FIND(";",SUBSTITUTE(D258,"|",REPT(";",LEN(D258)),2))+1,FIND(";",SUBSTITUTE(D258,"|",REPT(";",LEN(D258)),3))-FIND(";",SUBSTITUTE(D258,"|",REPT(";",LEN(D258)),2))-1)</f>
        <v/>
      </c>
      <c r="K258" s="11">
        <f>MID(D258,FIND(";",SUBSTITUTE(D258,"|",REPT(";",LEN(D258)),3))+1,FIND(";",SUBSTITUTE(D258,"|",REPT(";",LEN(D258)),4))-FIND(";",SUBSTITUTE(D258,"|",REPT(";",LEN(D258)),3))-1)</f>
        <v/>
      </c>
      <c r="M258" s="11">
        <f>MID(D258,FIND(";",SUBSTITUTE(D258,"|",REPT(";",LEN(D258)),4))+1,LEN(D258))</f>
        <v/>
      </c>
    </row>
    <row r="259" ht="98" customHeight="1" s="21">
      <c r="A259" s="13" t="inlineStr">
        <is>
          <t>100201</t>
        </is>
      </c>
      <c r="B259" s="13" t="inlineStr">
        <is>
          <t>圆钢</t>
        </is>
      </c>
      <c r="C259" s="13" t="inlineStr">
        <is>
          <t>601317400</t>
        </is>
      </c>
      <c r="D259" s="13" t="inlineStr">
        <is>
          <t>优质碳素结构圆钢|圆钢|45|Φ36|空</t>
        </is>
      </c>
      <c r="E259" s="13" t="inlineStr">
        <is>
          <t xml:space="preserve">物资名称 优质碳素结构圆钢;物资简称 圆钢;牌号 45;直径 Φ36;技术标准号 空;加工工艺 ;热处理工艺 ;特殊要求 ;规格标准号 </t>
        </is>
      </c>
      <c r="F259" s="12" t="inlineStr">
        <is>
          <t>千克</t>
        </is>
      </c>
      <c r="G259" s="11">
        <f>LEFT(D259,FIND("|",D259,1)-1)</f>
        <v/>
      </c>
      <c r="H259" s="11">
        <f>MID(D259,FIND("|",D259,FIND("|",D259,1))+1,FIND("|",D259,FIND("|",D259,1)+1)-FIND("|",D259,FIND("|",D259,1))-1)</f>
        <v/>
      </c>
      <c r="J259" s="11">
        <f>MID(D259,FIND(";",SUBSTITUTE(D259,"|",REPT(";",LEN(D259)),2))+1,FIND(";",SUBSTITUTE(D259,"|",REPT(";",LEN(D259)),3))-FIND(";",SUBSTITUTE(D259,"|",REPT(";",LEN(D259)),2))-1)</f>
        <v/>
      </c>
      <c r="K259" s="11">
        <f>MID(D259,FIND(";",SUBSTITUTE(D259,"|",REPT(";",LEN(D259)),3))+1,FIND(";",SUBSTITUTE(D259,"|",REPT(";",LEN(D259)),4))-FIND(";",SUBSTITUTE(D259,"|",REPT(";",LEN(D259)),3))-1)</f>
        <v/>
      </c>
      <c r="M259" s="11">
        <f>MID(D259,FIND(";",SUBSTITUTE(D259,"|",REPT(";",LEN(D259)),4))+1,LEN(D259))</f>
        <v/>
      </c>
    </row>
    <row r="260" ht="98" customHeight="1" s="21">
      <c r="A260" s="13" t="inlineStr">
        <is>
          <t>100201</t>
        </is>
      </c>
      <c r="B260" s="13" t="inlineStr">
        <is>
          <t>圆钢</t>
        </is>
      </c>
      <c r="C260" s="13" t="inlineStr">
        <is>
          <t>601317300</t>
        </is>
      </c>
      <c r="D260" s="13" t="inlineStr">
        <is>
          <t>优质碳素结构圆钢|圆钢|45|Φ60|空</t>
        </is>
      </c>
      <c r="E260" s="13" t="inlineStr">
        <is>
          <t xml:space="preserve">物资名称 优质碳素结构圆钢;物资简称 圆钢;牌号 45;直径 Φ60;技术标准号 空;加工工艺 ;热处理工艺 ;特殊要求 ;规格标准号 </t>
        </is>
      </c>
      <c r="F260" s="12" t="inlineStr">
        <is>
          <t>千克</t>
        </is>
      </c>
      <c r="G260" s="11">
        <f>LEFT(D260,FIND("|",D260,1)-1)</f>
        <v/>
      </c>
      <c r="H260" s="11">
        <f>MID(D260,FIND("|",D260,FIND("|",D260,1))+1,FIND("|",D260,FIND("|",D260,1)+1)-FIND("|",D260,FIND("|",D260,1))-1)</f>
        <v/>
      </c>
      <c r="J260" s="11">
        <f>MID(D260,FIND(";",SUBSTITUTE(D260,"|",REPT(";",LEN(D260)),2))+1,FIND(";",SUBSTITUTE(D260,"|",REPT(";",LEN(D260)),3))-FIND(";",SUBSTITUTE(D260,"|",REPT(";",LEN(D260)),2))-1)</f>
        <v/>
      </c>
      <c r="K260" s="11">
        <f>MID(D260,FIND(";",SUBSTITUTE(D260,"|",REPT(";",LEN(D260)),3))+1,FIND(";",SUBSTITUTE(D260,"|",REPT(";",LEN(D260)),4))-FIND(";",SUBSTITUTE(D260,"|",REPT(";",LEN(D260)),3))-1)</f>
        <v/>
      </c>
      <c r="M260" s="11">
        <f>MID(D260,FIND(";",SUBSTITUTE(D260,"|",REPT(";",LEN(D260)),4))+1,LEN(D260))</f>
        <v/>
      </c>
    </row>
    <row r="261" ht="98" customHeight="1" s="21">
      <c r="A261" s="13" t="inlineStr">
        <is>
          <t>100201</t>
        </is>
      </c>
      <c r="B261" s="13" t="inlineStr">
        <is>
          <t>圆钢</t>
        </is>
      </c>
      <c r="C261" s="13" t="inlineStr">
        <is>
          <t>601317200</t>
        </is>
      </c>
      <c r="D261" s="13" t="inlineStr">
        <is>
          <t>优质碳素结构圆钢|圆钢|45|Φ85|空</t>
        </is>
      </c>
      <c r="E261" s="13" t="inlineStr">
        <is>
          <t xml:space="preserve">物资名称 优质碳素结构圆钢;物资简称 圆钢;牌号 45;直径 Φ85;技术标准号 空;加工工艺 ;热处理工艺 ;特殊要求 ;规格标准号 </t>
        </is>
      </c>
      <c r="F261" s="12" t="inlineStr">
        <is>
          <t>千克</t>
        </is>
      </c>
      <c r="G261" s="11">
        <f>LEFT(D261,FIND("|",D261,1)-1)</f>
        <v/>
      </c>
      <c r="H261" s="11">
        <f>MID(D261,FIND("|",D261,FIND("|",D261,1))+1,FIND("|",D261,FIND("|",D261,1)+1)-FIND("|",D261,FIND("|",D261,1))-1)</f>
        <v/>
      </c>
      <c r="J261" s="11">
        <f>MID(D261,FIND(";",SUBSTITUTE(D261,"|",REPT(";",LEN(D261)),2))+1,FIND(";",SUBSTITUTE(D261,"|",REPT(";",LEN(D261)),3))-FIND(";",SUBSTITUTE(D261,"|",REPT(";",LEN(D261)),2))-1)</f>
        <v/>
      </c>
      <c r="K261" s="11">
        <f>MID(D261,FIND(";",SUBSTITUTE(D261,"|",REPT(";",LEN(D261)),3))+1,FIND(";",SUBSTITUTE(D261,"|",REPT(";",LEN(D261)),4))-FIND(";",SUBSTITUTE(D261,"|",REPT(";",LEN(D261)),3))-1)</f>
        <v/>
      </c>
      <c r="M261" s="11">
        <f>MID(D261,FIND(";",SUBSTITUTE(D261,"|",REPT(";",LEN(D261)),4))+1,LEN(D261))</f>
        <v/>
      </c>
    </row>
    <row r="262" ht="98" customHeight="1" s="21">
      <c r="A262" s="13" t="inlineStr">
        <is>
          <t>100201</t>
        </is>
      </c>
      <c r="B262" s="13" t="inlineStr">
        <is>
          <t>圆钢</t>
        </is>
      </c>
      <c r="C262" s="13" t="inlineStr">
        <is>
          <t>601317100</t>
        </is>
      </c>
      <c r="D262" s="13" t="inlineStr">
        <is>
          <t>优质碳素结构圆钢|圆钢|CK22|Φ70|空</t>
        </is>
      </c>
      <c r="E262" s="13" t="inlineStr">
        <is>
          <t xml:space="preserve">物资名称 优质碳素结构圆钢;物资简称 圆钢;牌号 CK22;直径 Φ70;技术标准号 空;加工工艺 ;热处理工艺 ;特殊要求 ;规格标准号 </t>
        </is>
      </c>
      <c r="F262" s="12" t="inlineStr">
        <is>
          <t>千克</t>
        </is>
      </c>
      <c r="G262" s="11">
        <f>LEFT(D262,FIND("|",D262,1)-1)</f>
        <v/>
      </c>
      <c r="H262" s="11">
        <f>MID(D262,FIND("|",D262,FIND("|",D262,1))+1,FIND("|",D262,FIND("|",D262,1)+1)-FIND("|",D262,FIND("|",D262,1))-1)</f>
        <v/>
      </c>
      <c r="J262" s="11">
        <f>MID(D262,FIND(";",SUBSTITUTE(D262,"|",REPT(";",LEN(D262)),2))+1,FIND(";",SUBSTITUTE(D262,"|",REPT(";",LEN(D262)),3))-FIND(";",SUBSTITUTE(D262,"|",REPT(";",LEN(D262)),2))-1)</f>
        <v/>
      </c>
      <c r="K262" s="11">
        <f>MID(D262,FIND(";",SUBSTITUTE(D262,"|",REPT(";",LEN(D262)),3))+1,FIND(";",SUBSTITUTE(D262,"|",REPT(";",LEN(D262)),4))-FIND(";",SUBSTITUTE(D262,"|",REPT(";",LEN(D262)),3))-1)</f>
        <v/>
      </c>
      <c r="M262" s="11">
        <f>MID(D262,FIND(";",SUBSTITUTE(D262,"|",REPT(";",LEN(D262)),4))+1,LEN(D262))</f>
        <v/>
      </c>
    </row>
    <row r="263" ht="98" customHeight="1" s="21">
      <c r="A263" s="13" t="inlineStr">
        <is>
          <t>100201</t>
        </is>
      </c>
      <c r="B263" s="13" t="inlineStr">
        <is>
          <t>圆钢</t>
        </is>
      </c>
      <c r="C263" s="13" t="inlineStr">
        <is>
          <t>601317000</t>
        </is>
      </c>
      <c r="D263" s="13" t="inlineStr">
        <is>
          <t>优质碳素结构圆钢|圆钢|20|Φ20|空</t>
        </is>
      </c>
      <c r="E263" s="13" t="inlineStr">
        <is>
          <t xml:space="preserve">物资名称 优质碳素结构圆钢;物资简称 圆钢;牌号 20;直径 Φ20;技术标准号 空;加工工艺 ;热处理工艺 ;特殊要求 ;规格标准号 </t>
        </is>
      </c>
      <c r="F263" s="12" t="inlineStr">
        <is>
          <t>千克</t>
        </is>
      </c>
      <c r="G263" s="11">
        <f>LEFT(D263,FIND("|",D263,1)-1)</f>
        <v/>
      </c>
      <c r="H263" s="11">
        <f>MID(D263,FIND("|",D263,FIND("|",D263,1))+1,FIND("|",D263,FIND("|",D263,1)+1)-FIND("|",D263,FIND("|",D263,1))-1)</f>
        <v/>
      </c>
      <c r="J263" s="11">
        <f>MID(D263,FIND(";",SUBSTITUTE(D263,"|",REPT(";",LEN(D263)),2))+1,FIND(";",SUBSTITUTE(D263,"|",REPT(";",LEN(D263)),3))-FIND(";",SUBSTITUTE(D263,"|",REPT(";",LEN(D263)),2))-1)</f>
        <v/>
      </c>
      <c r="K263" s="11">
        <f>MID(D263,FIND(";",SUBSTITUTE(D263,"|",REPT(";",LEN(D263)),3))+1,FIND(";",SUBSTITUTE(D263,"|",REPT(";",LEN(D263)),4))-FIND(";",SUBSTITUTE(D263,"|",REPT(";",LEN(D263)),3))-1)</f>
        <v/>
      </c>
      <c r="M263" s="11">
        <f>MID(D263,FIND(";",SUBSTITUTE(D263,"|",REPT(";",LEN(D263)),4))+1,LEN(D263))</f>
        <v/>
      </c>
    </row>
    <row r="264" ht="98" customHeight="1" s="21">
      <c r="A264" s="13" t="inlineStr">
        <is>
          <t>100201</t>
        </is>
      </c>
      <c r="B264" s="13" t="inlineStr">
        <is>
          <t>圆钢</t>
        </is>
      </c>
      <c r="C264" s="13" t="inlineStr">
        <is>
          <t>601316900</t>
        </is>
      </c>
      <c r="D264" s="13" t="inlineStr">
        <is>
          <t>优质碳素结构圆钢|圆钢|20|Φ26|空</t>
        </is>
      </c>
      <c r="E264" s="13" t="inlineStr">
        <is>
          <t xml:space="preserve">物资名称 优质碳素结构圆钢;物资简称 圆钢;牌号 20;直径 Φ26;技术标准号 空;加工工艺 ;热处理工艺 ;特殊要求 ;规格标准号 </t>
        </is>
      </c>
      <c r="F264" s="12" t="inlineStr">
        <is>
          <t>千克</t>
        </is>
      </c>
      <c r="G264" s="11">
        <f>LEFT(D264,FIND("|",D264,1)-1)</f>
        <v/>
      </c>
      <c r="H264" s="11">
        <f>MID(D264,FIND("|",D264,FIND("|",D264,1))+1,FIND("|",D264,FIND("|",D264,1)+1)-FIND("|",D264,FIND("|",D264,1))-1)</f>
        <v/>
      </c>
      <c r="J264" s="11">
        <f>MID(D264,FIND(";",SUBSTITUTE(D264,"|",REPT(";",LEN(D264)),2))+1,FIND(";",SUBSTITUTE(D264,"|",REPT(";",LEN(D264)),3))-FIND(";",SUBSTITUTE(D264,"|",REPT(";",LEN(D264)),2))-1)</f>
        <v/>
      </c>
      <c r="K264" s="11">
        <f>MID(D264,FIND(";",SUBSTITUTE(D264,"|",REPT(";",LEN(D264)),3))+1,FIND(";",SUBSTITUTE(D264,"|",REPT(";",LEN(D264)),4))-FIND(";",SUBSTITUTE(D264,"|",REPT(";",LEN(D264)),3))-1)</f>
        <v/>
      </c>
      <c r="M264" s="11">
        <f>MID(D264,FIND(";",SUBSTITUTE(D264,"|",REPT(";",LEN(D264)),4))+1,LEN(D264))</f>
        <v/>
      </c>
    </row>
    <row r="265" ht="98" customHeight="1" s="21">
      <c r="A265" s="13" t="inlineStr">
        <is>
          <t>100201</t>
        </is>
      </c>
      <c r="B265" s="13" t="inlineStr">
        <is>
          <t>圆钢</t>
        </is>
      </c>
      <c r="C265" s="13" t="inlineStr">
        <is>
          <t>601316800</t>
        </is>
      </c>
      <c r="D265" s="13" t="inlineStr">
        <is>
          <t>优质碳素结构圆钢|圆钢|20|Φ8|空|天鸟</t>
        </is>
      </c>
      <c r="E265" s="13" t="inlineStr">
        <is>
          <t xml:space="preserve">物资名称 优质碳素结构圆钢;物资简称 圆钢;牌号 20;直径 Φ8;技术标准号 空;加工工艺 ;热处理工艺 ;特殊要求 天鸟;规格标准号 </t>
        </is>
      </c>
      <c r="F265" s="12" t="inlineStr">
        <is>
          <t>千克</t>
        </is>
      </c>
      <c r="G265" s="11">
        <f>LEFT(D265,FIND("|",D265,1)-1)</f>
        <v/>
      </c>
      <c r="H265" s="11">
        <f>MID(D265,FIND("|",D265,FIND("|",D265,1))+1,FIND("|",D265,FIND("|",D265,1)+1)-FIND("|",D265,FIND("|",D265,1))-1)</f>
        <v/>
      </c>
      <c r="J265" s="11">
        <f>MID(D265,FIND(";",SUBSTITUTE(D265,"|",REPT(";",LEN(D265)),2))+1,FIND(";",SUBSTITUTE(D265,"|",REPT(";",LEN(D265)),3))-FIND(";",SUBSTITUTE(D265,"|",REPT(";",LEN(D265)),2))-1)</f>
        <v/>
      </c>
      <c r="K265" s="11">
        <f>MID(D265,FIND(";",SUBSTITUTE(D265,"|",REPT(";",LEN(D265)),3))+1,FIND(";",SUBSTITUTE(D265,"|",REPT(";",LEN(D265)),4))-FIND(";",SUBSTITUTE(D265,"|",REPT(";",LEN(D265)),3))-1)</f>
        <v/>
      </c>
      <c r="M265" s="11">
        <f>MID(D265,FIND(";",SUBSTITUTE(D265,"|",REPT(";",LEN(D265)),4))+1,FIND(";",SUBSTITUTE(D265,"|",REPT(";",LEN(D265)),5))-FIND(";",SUBSTITUTE(D265,"|",REPT(";",LEN(D265)),4))-1)</f>
        <v/>
      </c>
      <c r="Q265" s="11">
        <f>MID(D265,FIND(";",SUBSTITUTE(D265,"|",REPT(";",LEN(D265)),5))+1,LEN(D265))</f>
        <v/>
      </c>
    </row>
    <row r="266" ht="98" customHeight="1" s="21">
      <c r="A266" s="13" t="inlineStr">
        <is>
          <t>100201</t>
        </is>
      </c>
      <c r="B266" s="13" t="inlineStr">
        <is>
          <t>圆钢</t>
        </is>
      </c>
      <c r="C266" s="13" t="inlineStr">
        <is>
          <t>601316700</t>
        </is>
      </c>
      <c r="D266" s="13" t="inlineStr">
        <is>
          <t>优质碳素结构圆钢|圆钢|45|Φ27|空</t>
        </is>
      </c>
      <c r="E266" s="13" t="inlineStr">
        <is>
          <t xml:space="preserve">物资名称 优质碳素结构圆钢;物资简称 圆钢;牌号 45;直径 Φ27;技术标准号 空;加工工艺 ;热处理工艺 ;特殊要求 ;规格标准号 </t>
        </is>
      </c>
      <c r="F266" s="12" t="inlineStr">
        <is>
          <t>千克</t>
        </is>
      </c>
      <c r="G266" s="11">
        <f>LEFT(D266,FIND("|",D266,1)-1)</f>
        <v/>
      </c>
      <c r="H266" s="11">
        <f>MID(D266,FIND("|",D266,FIND("|",D266,1))+1,FIND("|",D266,FIND("|",D266,1)+1)-FIND("|",D266,FIND("|",D266,1))-1)</f>
        <v/>
      </c>
      <c r="J266" s="11">
        <f>MID(D266,FIND(";",SUBSTITUTE(D266,"|",REPT(";",LEN(D266)),2))+1,FIND(";",SUBSTITUTE(D266,"|",REPT(";",LEN(D266)),3))-FIND(";",SUBSTITUTE(D266,"|",REPT(";",LEN(D266)),2))-1)</f>
        <v/>
      </c>
      <c r="K266" s="11">
        <f>MID(D266,FIND(";",SUBSTITUTE(D266,"|",REPT(";",LEN(D266)),3))+1,FIND(";",SUBSTITUTE(D266,"|",REPT(";",LEN(D266)),4))-FIND(";",SUBSTITUTE(D266,"|",REPT(";",LEN(D266)),3))-1)</f>
        <v/>
      </c>
      <c r="M266" s="11">
        <f>MID(D266,FIND(";",SUBSTITUTE(D266,"|",REPT(";",LEN(D266)),4))+1,LEN(D266))</f>
        <v/>
      </c>
    </row>
    <row r="267" ht="98" customHeight="1" s="21">
      <c r="A267" s="13" t="inlineStr">
        <is>
          <t>100201</t>
        </is>
      </c>
      <c r="B267" s="13" t="inlineStr">
        <is>
          <t>圆钢</t>
        </is>
      </c>
      <c r="C267" s="13" t="inlineStr">
        <is>
          <t>601316600</t>
        </is>
      </c>
      <c r="D267" s="13" t="inlineStr">
        <is>
          <t>优质碳素结构圆钢|圆钢|45|Φ8|空</t>
        </is>
      </c>
      <c r="E267" s="13" t="inlineStr">
        <is>
          <t xml:space="preserve">物资名称 优质碳素结构圆钢;物资简称 圆钢;牌号 45;直径 Φ8;技术标准号 空;加工工艺 ;热处理工艺 ;特殊要求 ;规格标准号 </t>
        </is>
      </c>
      <c r="F267" s="12" t="inlineStr">
        <is>
          <t>千克</t>
        </is>
      </c>
      <c r="G267" s="11">
        <f>LEFT(D267,FIND("|",D267,1)-1)</f>
        <v/>
      </c>
      <c r="H267" s="11">
        <f>MID(D267,FIND("|",D267,FIND("|",D267,1))+1,FIND("|",D267,FIND("|",D267,1)+1)-FIND("|",D267,FIND("|",D267,1))-1)</f>
        <v/>
      </c>
      <c r="J267" s="11">
        <f>MID(D267,FIND(";",SUBSTITUTE(D267,"|",REPT(";",LEN(D267)),2))+1,FIND(";",SUBSTITUTE(D267,"|",REPT(";",LEN(D267)),3))-FIND(";",SUBSTITUTE(D267,"|",REPT(";",LEN(D267)),2))-1)</f>
        <v/>
      </c>
      <c r="K267" s="11">
        <f>MID(D267,FIND(";",SUBSTITUTE(D267,"|",REPT(";",LEN(D267)),3))+1,FIND(";",SUBSTITUTE(D267,"|",REPT(";",LEN(D267)),4))-FIND(";",SUBSTITUTE(D267,"|",REPT(";",LEN(D267)),3))-1)</f>
        <v/>
      </c>
      <c r="M267" s="11">
        <f>MID(D267,FIND(";",SUBSTITUTE(D267,"|",REPT(";",LEN(D267)),4))+1,LEN(D267))</f>
        <v/>
      </c>
    </row>
    <row r="268" ht="98" customHeight="1" s="21">
      <c r="A268" s="13" t="inlineStr">
        <is>
          <t>100201</t>
        </is>
      </c>
      <c r="B268" s="13" t="inlineStr">
        <is>
          <t>圆钢</t>
        </is>
      </c>
      <c r="C268" s="13" t="inlineStr">
        <is>
          <t>601316500</t>
        </is>
      </c>
      <c r="D268" s="13" t="inlineStr">
        <is>
          <t>易切削结构圆钢|圆钢|Y12|Φ25|空</t>
        </is>
      </c>
      <c r="E268" s="13" t="inlineStr">
        <is>
          <t xml:space="preserve">物资名称 易切削结构圆钢;物资简称 圆钢;牌号 Y12;直径 Φ25;技术标准号 空;加工工艺 ;热处理工艺 ;特殊要求 ;规格标准号 </t>
        </is>
      </c>
      <c r="F268" s="12" t="inlineStr">
        <is>
          <t>千克</t>
        </is>
      </c>
      <c r="G268" s="11">
        <f>LEFT(D268,FIND("|",D268,1)-1)</f>
        <v/>
      </c>
      <c r="H268" s="11">
        <f>MID(D268,FIND("|",D268,FIND("|",D268,1))+1,FIND("|",D268,FIND("|",D268,1)+1)-FIND("|",D268,FIND("|",D268,1))-1)</f>
        <v/>
      </c>
      <c r="J268" s="11">
        <f>MID(D268,FIND(";",SUBSTITUTE(D268,"|",REPT(";",LEN(D268)),2))+1,FIND(";",SUBSTITUTE(D268,"|",REPT(";",LEN(D268)),3))-FIND(";",SUBSTITUTE(D268,"|",REPT(";",LEN(D268)),2))-1)</f>
        <v/>
      </c>
      <c r="K268" s="11">
        <f>MID(D268,FIND(";",SUBSTITUTE(D268,"|",REPT(";",LEN(D268)),3))+1,FIND(";",SUBSTITUTE(D268,"|",REPT(";",LEN(D268)),4))-FIND(";",SUBSTITUTE(D268,"|",REPT(";",LEN(D268)),3))-1)</f>
        <v/>
      </c>
      <c r="M268" s="11">
        <f>MID(D268,FIND(";",SUBSTITUTE(D268,"|",REPT(";",LEN(D268)),4))+1,LEN(D268))</f>
        <v/>
      </c>
    </row>
    <row r="269" ht="98" customHeight="1" s="21">
      <c r="A269" s="13" t="inlineStr">
        <is>
          <t>100201</t>
        </is>
      </c>
      <c r="B269" s="13" t="inlineStr">
        <is>
          <t>圆钢</t>
        </is>
      </c>
      <c r="C269" s="13" t="inlineStr">
        <is>
          <t>601316400</t>
        </is>
      </c>
      <c r="D269" s="13" t="inlineStr">
        <is>
          <t>易切削结构圆钢|圆钢|Y12|Φ8|空</t>
        </is>
      </c>
      <c r="E269" s="13" t="inlineStr">
        <is>
          <t xml:space="preserve">物资名称 易切削结构圆钢;物资简称 圆钢;牌号 Y12;直径 Φ8;技术标准号 空;加工工艺 ;热处理工艺 ;特殊要求 ;规格标准号 </t>
        </is>
      </c>
      <c r="F269" s="12" t="inlineStr">
        <is>
          <t>千克</t>
        </is>
      </c>
      <c r="G269" s="11">
        <f>LEFT(D269,FIND("|",D269,1)-1)</f>
        <v/>
      </c>
      <c r="H269" s="11">
        <f>MID(D269,FIND("|",D269,FIND("|",D269,1))+1,FIND("|",D269,FIND("|",D269,1)+1)-FIND("|",D269,FIND("|",D269,1))-1)</f>
        <v/>
      </c>
      <c r="J269" s="11">
        <f>MID(D269,FIND(";",SUBSTITUTE(D269,"|",REPT(";",LEN(D269)),2))+1,FIND(";",SUBSTITUTE(D269,"|",REPT(";",LEN(D269)),3))-FIND(";",SUBSTITUTE(D269,"|",REPT(";",LEN(D269)),2))-1)</f>
        <v/>
      </c>
      <c r="K269" s="11">
        <f>MID(D269,FIND(";",SUBSTITUTE(D269,"|",REPT(";",LEN(D269)),3))+1,FIND(";",SUBSTITUTE(D269,"|",REPT(";",LEN(D269)),4))-FIND(";",SUBSTITUTE(D269,"|",REPT(";",LEN(D269)),3))-1)</f>
        <v/>
      </c>
      <c r="M269" s="11">
        <f>MID(D269,FIND(";",SUBSTITUTE(D269,"|",REPT(";",LEN(D269)),4))+1,LEN(D269))</f>
        <v/>
      </c>
    </row>
    <row r="270" ht="98" customHeight="1" s="21">
      <c r="A270" s="13" t="inlineStr">
        <is>
          <t>100201</t>
        </is>
      </c>
      <c r="B270" s="13" t="inlineStr">
        <is>
          <t>圆钢</t>
        </is>
      </c>
      <c r="C270" s="13" t="inlineStr">
        <is>
          <t>601316300</t>
        </is>
      </c>
      <c r="D270" s="13" t="inlineStr">
        <is>
          <t>高碳铬轴承圆钢|圆钢|GCr15|Φ12|空</t>
        </is>
      </c>
      <c r="E270" s="13" t="inlineStr">
        <is>
          <t xml:space="preserve">物资名称 高碳铬轴承圆钢;物资简称 圆钢;牌号 GCr15;直径 Φ12;技术标准号 空;加工工艺 ;热处理工艺 ;特殊要求 ;规格标准号 </t>
        </is>
      </c>
      <c r="F270" s="12" t="inlineStr">
        <is>
          <t>千克</t>
        </is>
      </c>
      <c r="G270" s="11">
        <f>LEFT(D270,FIND("|",D270,1)-1)</f>
        <v/>
      </c>
      <c r="H270" s="11">
        <f>MID(D270,FIND("|",D270,FIND("|",D270,1))+1,FIND("|",D270,FIND("|",D270,1)+1)-FIND("|",D270,FIND("|",D270,1))-1)</f>
        <v/>
      </c>
      <c r="J270" s="11">
        <f>MID(D270,FIND(";",SUBSTITUTE(D270,"|",REPT(";",LEN(D270)),2))+1,FIND(";",SUBSTITUTE(D270,"|",REPT(";",LEN(D270)),3))-FIND(";",SUBSTITUTE(D270,"|",REPT(";",LEN(D270)),2))-1)</f>
        <v/>
      </c>
      <c r="K270" s="11">
        <f>MID(D270,FIND(";",SUBSTITUTE(D270,"|",REPT(";",LEN(D270)),3))+1,FIND(";",SUBSTITUTE(D270,"|",REPT(";",LEN(D270)),4))-FIND(";",SUBSTITUTE(D270,"|",REPT(";",LEN(D270)),3))-1)</f>
        <v/>
      </c>
      <c r="M270" s="11">
        <f>MID(D270,FIND(";",SUBSTITUTE(D270,"|",REPT(";",LEN(D270)),4))+1,LEN(D270))</f>
        <v/>
      </c>
    </row>
    <row r="271" ht="98" customHeight="1" s="21">
      <c r="A271" s="13" t="inlineStr">
        <is>
          <t>100201</t>
        </is>
      </c>
      <c r="B271" s="13" t="inlineStr">
        <is>
          <t>圆钢</t>
        </is>
      </c>
      <c r="C271" s="13" t="inlineStr">
        <is>
          <t>601316200</t>
        </is>
      </c>
      <c r="D271" s="13" t="inlineStr">
        <is>
          <t>高碳铬轴承圆钢|圆钢|GCr15|Φ90|空</t>
        </is>
      </c>
      <c r="E271" s="13" t="inlineStr">
        <is>
          <t xml:space="preserve">物资名称 高碳铬轴承圆钢;物资简称 圆钢;牌号 GCr15;直径 Φ90;技术标准号 空;加工工艺 ;热处理工艺 ;特殊要求 ;规格标准号 </t>
        </is>
      </c>
      <c r="F271" s="12" t="inlineStr">
        <is>
          <t>千克</t>
        </is>
      </c>
      <c r="G271" s="11">
        <f>LEFT(D271,FIND("|",D271,1)-1)</f>
        <v/>
      </c>
      <c r="H271" s="11">
        <f>MID(D271,FIND("|",D271,FIND("|",D271,1))+1,FIND("|",D271,FIND("|",D271,1)+1)-FIND("|",D271,FIND("|",D271,1))-1)</f>
        <v/>
      </c>
      <c r="J271" s="11">
        <f>MID(D271,FIND(";",SUBSTITUTE(D271,"|",REPT(";",LEN(D271)),2))+1,FIND(";",SUBSTITUTE(D271,"|",REPT(";",LEN(D271)),3))-FIND(";",SUBSTITUTE(D271,"|",REPT(";",LEN(D271)),2))-1)</f>
        <v/>
      </c>
      <c r="K271" s="11">
        <f>MID(D271,FIND(";",SUBSTITUTE(D271,"|",REPT(";",LEN(D271)),3))+1,FIND(";",SUBSTITUTE(D271,"|",REPT(";",LEN(D271)),4))-FIND(";",SUBSTITUTE(D271,"|",REPT(";",LEN(D271)),3))-1)</f>
        <v/>
      </c>
      <c r="M271" s="11">
        <f>MID(D271,FIND(";",SUBSTITUTE(D271,"|",REPT(";",LEN(D271)),4))+1,LEN(D271))</f>
        <v/>
      </c>
    </row>
    <row r="272" ht="98" customHeight="1" s="21">
      <c r="A272" s="13" t="inlineStr">
        <is>
          <t>100201</t>
        </is>
      </c>
      <c r="B272" s="13" t="inlineStr">
        <is>
          <t>圆钢</t>
        </is>
      </c>
      <c r="C272" s="13" t="inlineStr">
        <is>
          <t>601316100</t>
        </is>
      </c>
      <c r="D272" s="13" t="inlineStr">
        <is>
          <t>优质碳素结构圆钢|圆钢|45|Φ300|GB/T 699</t>
        </is>
      </c>
      <c r="E272" s="13" t="inlineStr">
        <is>
          <t xml:space="preserve">物资名称 优质碳素结构圆钢;物资简称 圆钢;牌号 45;直径 Φ300;技术标准号 GB/T 699;加工工艺 ;热处理工艺 ;特殊要求 ;规格标准号 </t>
        </is>
      </c>
      <c r="F272" s="12" t="inlineStr">
        <is>
          <t>千克</t>
        </is>
      </c>
      <c r="G272" s="11">
        <f>LEFT(D272,FIND("|",D272,1)-1)</f>
        <v/>
      </c>
      <c r="H272" s="11">
        <f>MID(D272,FIND("|",D272,FIND("|",D272,1))+1,FIND("|",D272,FIND("|",D272,1)+1)-FIND("|",D272,FIND("|",D272,1))-1)</f>
        <v/>
      </c>
      <c r="J272" s="11">
        <f>MID(D272,FIND(";",SUBSTITUTE(D272,"|",REPT(";",LEN(D272)),2))+1,FIND(";",SUBSTITUTE(D272,"|",REPT(";",LEN(D272)),3))-FIND(";",SUBSTITUTE(D272,"|",REPT(";",LEN(D272)),2))-1)</f>
        <v/>
      </c>
      <c r="K272" s="11">
        <f>MID(D272,FIND(";",SUBSTITUTE(D272,"|",REPT(";",LEN(D272)),3))+1,FIND(";",SUBSTITUTE(D272,"|",REPT(";",LEN(D272)),4))-FIND(";",SUBSTITUTE(D272,"|",REPT(";",LEN(D272)),3))-1)</f>
        <v/>
      </c>
      <c r="M272" s="11">
        <f>MID(D272,FIND(";",SUBSTITUTE(D272,"|",REPT(";",LEN(D272)),4))+1,LEN(D272))</f>
        <v/>
      </c>
    </row>
    <row r="273" ht="98" customHeight="1" s="21">
      <c r="A273" s="13" t="inlineStr">
        <is>
          <t>100201</t>
        </is>
      </c>
      <c r="B273" s="13" t="inlineStr">
        <is>
          <t>圆钢</t>
        </is>
      </c>
      <c r="C273" s="13" t="inlineStr">
        <is>
          <t>601316000</t>
        </is>
      </c>
      <c r="D273" s="13" t="inlineStr">
        <is>
          <t>优质碳素结构圆钢|圆钢|45|Φ8|GB/T 699</t>
        </is>
      </c>
      <c r="E273" s="13" t="inlineStr">
        <is>
          <t xml:space="preserve">物资名称 优质碳素结构圆钢;物资简称 圆钢;牌号 45;直径 Φ8;技术标准号 GB/T 699;加工工艺 ;热处理工艺 ;特殊要求 ;规格标准号 </t>
        </is>
      </c>
      <c r="F273" s="12" t="inlineStr">
        <is>
          <t>千克</t>
        </is>
      </c>
      <c r="G273" s="11">
        <f>LEFT(D273,FIND("|",D273,1)-1)</f>
        <v/>
      </c>
      <c r="H273" s="11">
        <f>MID(D273,FIND("|",D273,FIND("|",D273,1))+1,FIND("|",D273,FIND("|",D273,1)+1)-FIND("|",D273,FIND("|",D273,1))-1)</f>
        <v/>
      </c>
      <c r="J273" s="11">
        <f>MID(D273,FIND(";",SUBSTITUTE(D273,"|",REPT(";",LEN(D273)),2))+1,FIND(";",SUBSTITUTE(D273,"|",REPT(";",LEN(D273)),3))-FIND(";",SUBSTITUTE(D273,"|",REPT(";",LEN(D273)),2))-1)</f>
        <v/>
      </c>
      <c r="K273" s="11">
        <f>MID(D273,FIND(";",SUBSTITUTE(D273,"|",REPT(";",LEN(D273)),3))+1,FIND(";",SUBSTITUTE(D273,"|",REPT(";",LEN(D273)),4))-FIND(";",SUBSTITUTE(D273,"|",REPT(";",LEN(D273)),3))-1)</f>
        <v/>
      </c>
      <c r="M273" s="11">
        <f>MID(D273,FIND(";",SUBSTITUTE(D273,"|",REPT(";",LEN(D273)),4))+1,LEN(D273))</f>
        <v/>
      </c>
    </row>
    <row r="274" ht="140" customHeight="1" s="21">
      <c r="A274" s="13" t="inlineStr">
        <is>
          <t>100201</t>
        </is>
      </c>
      <c r="B274" s="13" t="inlineStr">
        <is>
          <t>圆钢</t>
        </is>
      </c>
      <c r="C274" s="13" t="inlineStr">
        <is>
          <t>601315900</t>
        </is>
      </c>
      <c r="D274" s="13" t="inlineStr">
        <is>
          <t>锻制航空航天用超高强度圆钢|圆钢|45CrNiMo1VA|Φ195|GJB 5063-2001|锻制|GB/T 908-2008</t>
        </is>
      </c>
      <c r="E274" s="13" t="inlineStr">
        <is>
          <t>物资名称 锻制航空航天用超高强度圆钢;物资简称 圆钢;牌号 45CrNiMo1VA;直径 Φ195;技术标准号 GJB 5063-2001;加工工艺 锻制;热处理工艺 ;特殊要求 ;规格标准号 GB/T 908-2008</t>
        </is>
      </c>
      <c r="F274" s="12" t="inlineStr">
        <is>
          <t>千克</t>
        </is>
      </c>
      <c r="G274" s="11">
        <f>LEFT(D274,FIND("|",D274,1)-1)</f>
        <v/>
      </c>
      <c r="H274" s="11">
        <f>MID(D274,FIND("|",D274,FIND("|",D274,1))+1,FIND("|",D274,FIND("|",D274,1)+1)-FIND("|",D274,FIND("|",D274,1))-1)</f>
        <v/>
      </c>
      <c r="J274" s="11">
        <f>MID(D274,FIND(";",SUBSTITUTE(D274,"|",REPT(";",LEN(D274)),2))+1,FIND(";",SUBSTITUTE(D274,"|",REPT(";",LEN(D274)),3))-FIND(";",SUBSTITUTE(D274,"|",REPT(";",LEN(D274)),2))-1)</f>
        <v/>
      </c>
      <c r="K274" s="11">
        <f>MID(D274,FIND(";",SUBSTITUTE(D274,"|",REPT(";",LEN(D274)),3))+1,FIND(";",SUBSTITUTE(D274,"|",REPT(";",LEN(D274)),4))-FIND(";",SUBSTITUTE(D274,"|",REPT(";",LEN(D274)),3))-1)</f>
        <v/>
      </c>
      <c r="M274" s="11">
        <f>MID(D274,FIND(";",SUBSTITUTE(D274,"|",REPT(";",LEN(D274)),4))+1,FIND(";",SUBSTITUTE(D274,"|",REPT(";",LEN(D274)),5))-FIND(";",SUBSTITUTE(D274,"|",REPT(";",LEN(D274)),4))-1)</f>
        <v/>
      </c>
      <c r="N274" s="11">
        <f>MID(D274,FIND(";",SUBSTITUTE(D274,"|",REPT(";",LEN(D274)),6))+1,LEN(D274))</f>
        <v/>
      </c>
      <c r="O274" s="11">
        <f>MID(D274,FIND(";",SUBSTITUTE(D274,"|",REPT(";",LEN(D274)),5))+1,FIND(";",SUBSTITUTE(D274,"|",REPT(";",LEN(D274)),6))-FIND(";",SUBSTITUTE(D274,"|",REPT(";",LEN(D274)),5))-1)</f>
        <v/>
      </c>
    </row>
    <row r="275" ht="140" customHeight="1" s="21">
      <c r="A275" s="13" t="inlineStr">
        <is>
          <t>100201</t>
        </is>
      </c>
      <c r="B275" s="13" t="inlineStr">
        <is>
          <t>圆钢</t>
        </is>
      </c>
      <c r="C275" s="13" t="inlineStr">
        <is>
          <t>601018500</t>
        </is>
      </c>
      <c r="D275" s="13" t="inlineStr">
        <is>
          <t>热轧优质碳素结构圆钢|圆钢|45|Φ300|GB/T 699-1999|热轧|GB/T 702-2008</t>
        </is>
      </c>
      <c r="E275" s="13" t="inlineStr">
        <is>
          <t>物资名称 热轧优质碳素结构圆钢;物资简称 圆钢;牌号 45;直径 Φ300;技术标准号 GB/T 699-1999;加工工艺 热轧;热处理工艺 ;特殊要求 ;规格标准号 GB/T 702-2008</t>
        </is>
      </c>
      <c r="F275" s="12" t="inlineStr">
        <is>
          <t>千克</t>
        </is>
      </c>
      <c r="G275" s="11">
        <f>LEFT(D275,FIND("|",D275,1)-1)</f>
        <v/>
      </c>
      <c r="H275" s="11">
        <f>MID(D275,FIND("|",D275,FIND("|",D275,1))+1,FIND("|",D275,FIND("|",D275,1)+1)-FIND("|",D275,FIND("|",D275,1))-1)</f>
        <v/>
      </c>
      <c r="J275" s="11">
        <f>MID(D275,FIND(";",SUBSTITUTE(D275,"|",REPT(";",LEN(D275)),2))+1,FIND(";",SUBSTITUTE(D275,"|",REPT(";",LEN(D275)),3))-FIND(";",SUBSTITUTE(D275,"|",REPT(";",LEN(D275)),2))-1)</f>
        <v/>
      </c>
      <c r="K275" s="11">
        <f>MID(D275,FIND(";",SUBSTITUTE(D275,"|",REPT(";",LEN(D275)),3))+1,FIND(";",SUBSTITUTE(D275,"|",REPT(";",LEN(D275)),4))-FIND(";",SUBSTITUTE(D275,"|",REPT(";",LEN(D275)),3))-1)</f>
        <v/>
      </c>
      <c r="M275" s="11">
        <f>MID(D275,FIND(";",SUBSTITUTE(D275,"|",REPT(";",LEN(D275)),4))+1,FIND(";",SUBSTITUTE(D275,"|",REPT(";",LEN(D275)),5))-FIND(";",SUBSTITUTE(D275,"|",REPT(";",LEN(D275)),4))-1)</f>
        <v/>
      </c>
      <c r="N275" s="11">
        <f>MID(D275,FIND(";",SUBSTITUTE(D275,"|",REPT(";",LEN(D275)),6))+1,LEN(D275))</f>
        <v/>
      </c>
      <c r="O275" s="11">
        <f>MID(D275,FIND(";",SUBSTITUTE(D275,"|",REPT(";",LEN(D275)),5))+1,FIND(";",SUBSTITUTE(D275,"|",REPT(";",LEN(D275)),6))-FIND(";",SUBSTITUTE(D275,"|",REPT(";",LEN(D275)),5))-1)</f>
        <v/>
      </c>
    </row>
    <row r="276" ht="126" customHeight="1" s="21">
      <c r="A276" s="13" t="inlineStr">
        <is>
          <t>100201</t>
        </is>
      </c>
      <c r="B276" s="13" t="inlineStr">
        <is>
          <t>圆钢</t>
        </is>
      </c>
      <c r="C276" s="13" t="inlineStr">
        <is>
          <t>601009600</t>
        </is>
      </c>
      <c r="D276" s="13" t="inlineStr">
        <is>
          <t>热轧合金结构圆钢|圆钢|40Cr|Φ85|GB/T 3077-1999|热轧|GB/T 702-2008</t>
        </is>
      </c>
      <c r="E276" s="13" t="inlineStr">
        <is>
          <t>物资名称 热轧合金结构圆钢;物资简称 圆钢;牌号 40Cr;直径 Φ85;技术标准号 GB/T 3077-1999;加工工艺 热轧;热处理工艺 ;特殊要求 ;规格标准号 GB/T 702-2008</t>
        </is>
      </c>
      <c r="F276" s="12" t="inlineStr">
        <is>
          <t>千克</t>
        </is>
      </c>
      <c r="G276" s="11">
        <f>LEFT(D276,FIND("|",D276,1)-1)</f>
        <v/>
      </c>
      <c r="H276" s="11">
        <f>MID(D276,FIND("|",D276,FIND("|",D276,1))+1,FIND("|",D276,FIND("|",D276,1)+1)-FIND("|",D276,FIND("|",D276,1))-1)</f>
        <v/>
      </c>
      <c r="J276" s="11">
        <f>MID(D276,FIND(";",SUBSTITUTE(D276,"|",REPT(";",LEN(D276)),2))+1,FIND(";",SUBSTITUTE(D276,"|",REPT(";",LEN(D276)),3))-FIND(";",SUBSTITUTE(D276,"|",REPT(";",LEN(D276)),2))-1)</f>
        <v/>
      </c>
      <c r="K276" s="11">
        <f>MID(D276,FIND(";",SUBSTITUTE(D276,"|",REPT(";",LEN(D276)),3))+1,FIND(";",SUBSTITUTE(D276,"|",REPT(";",LEN(D276)),4))-FIND(";",SUBSTITUTE(D276,"|",REPT(";",LEN(D276)),3))-1)</f>
        <v/>
      </c>
      <c r="M276" s="11">
        <f>MID(D276,FIND(";",SUBSTITUTE(D276,"|",REPT(";",LEN(D276)),4))+1,FIND(";",SUBSTITUTE(D276,"|",REPT(";",LEN(D276)),5))-FIND(";",SUBSTITUTE(D276,"|",REPT(";",LEN(D276)),4))-1)</f>
        <v/>
      </c>
      <c r="N276" s="11">
        <f>MID(D276,FIND(";",SUBSTITUTE(D276,"|",REPT(";",LEN(D276)),6))+1,LEN(D276))</f>
        <v/>
      </c>
      <c r="O276" s="11">
        <f>MID(D276,FIND(";",SUBSTITUTE(D276,"|",REPT(";",LEN(D276)),5))+1,FIND(";",SUBSTITUTE(D276,"|",REPT(";",LEN(D276)),6))-FIND(";",SUBSTITUTE(D276,"|",REPT(";",LEN(D276)),5))-1)</f>
        <v/>
      </c>
    </row>
    <row r="277" ht="140" customHeight="1" s="21">
      <c r="A277" s="13" t="inlineStr">
        <is>
          <t>100201</t>
        </is>
      </c>
      <c r="B277" s="13" t="inlineStr">
        <is>
          <t>圆钢</t>
        </is>
      </c>
      <c r="C277" s="13" t="inlineStr">
        <is>
          <t>601003600</t>
        </is>
      </c>
      <c r="D277" s="13" t="inlineStr">
        <is>
          <t>热轧航空用优质结构圆钢|圆钢|38CrMoAlA|Φ25|GJB 1951-1994|热轧|GB/T 702-2008</t>
        </is>
      </c>
      <c r="E277" s="13" t="inlineStr">
        <is>
          <t>物资名称 热轧航空用优质结构圆钢;物资简称 圆钢;牌号 38CrMoAlA;直径 Φ25;技术标准号 GJB 1951-1994;加工工艺 热轧;热处理工艺 ;特殊要求 ;规格标准号 GB/T 702-2008</t>
        </is>
      </c>
      <c r="F277" s="12" t="inlineStr">
        <is>
          <t>千克</t>
        </is>
      </c>
      <c r="G277" s="11">
        <f>LEFT(D277,FIND("|",D277,1)-1)</f>
        <v/>
      </c>
      <c r="H277" s="11">
        <f>MID(D277,FIND("|",D277,FIND("|",D277,1))+1,FIND("|",D277,FIND("|",D277,1)+1)-FIND("|",D277,FIND("|",D277,1))-1)</f>
        <v/>
      </c>
      <c r="J277" s="11">
        <f>MID(D277,FIND(";",SUBSTITUTE(D277,"|",REPT(";",LEN(D277)),2))+1,FIND(";",SUBSTITUTE(D277,"|",REPT(";",LEN(D277)),3))-FIND(";",SUBSTITUTE(D277,"|",REPT(";",LEN(D277)),2))-1)</f>
        <v/>
      </c>
      <c r="K277" s="11">
        <f>MID(D277,FIND(";",SUBSTITUTE(D277,"|",REPT(";",LEN(D277)),3))+1,FIND(";",SUBSTITUTE(D277,"|",REPT(";",LEN(D277)),4))-FIND(";",SUBSTITUTE(D277,"|",REPT(";",LEN(D277)),3))-1)</f>
        <v/>
      </c>
      <c r="M277" s="11">
        <f>MID(D277,FIND(";",SUBSTITUTE(D277,"|",REPT(";",LEN(D277)),4))+1,FIND(";",SUBSTITUTE(D277,"|",REPT(";",LEN(D277)),5))-FIND(";",SUBSTITUTE(D277,"|",REPT(";",LEN(D277)),4))-1)</f>
        <v/>
      </c>
      <c r="N277" s="11">
        <f>MID(D277,FIND(";",SUBSTITUTE(D277,"|",REPT(";",LEN(D277)),6))+1,LEN(D277))</f>
        <v/>
      </c>
      <c r="O277" s="11">
        <f>MID(D277,FIND(";",SUBSTITUTE(D277,"|",REPT(";",LEN(D277)),5))+1,FIND(";",SUBSTITUTE(D277,"|",REPT(";",LEN(D277)),6))-FIND(";",SUBSTITUTE(D277,"|",REPT(";",LEN(D277)),5))-1)</f>
        <v/>
      </c>
    </row>
    <row r="278" ht="126" customHeight="1" s="21">
      <c r="A278" s="13" t="inlineStr">
        <is>
          <t>100201</t>
        </is>
      </c>
      <c r="B278" s="13" t="inlineStr">
        <is>
          <t>圆钢</t>
        </is>
      </c>
      <c r="C278" s="13" t="inlineStr">
        <is>
          <t>600999500</t>
        </is>
      </c>
      <c r="D278" s="13" t="inlineStr">
        <is>
          <t>热轧不锈圆钢|圆钢|2Cr13|Φ85|GB 1220-1992|热轧|GB/T 702-2008</t>
        </is>
      </c>
      <c r="E278" s="13" t="inlineStr">
        <is>
          <t>物资名称 热轧不锈圆钢;物资简称 圆钢;牌号 2Cr13;直径 Φ85;技术标准号 GB 1220-1992;加工工艺 热轧;热处理工艺 ;特殊要求 ;规格标准号 GB/T 702-2008</t>
        </is>
      </c>
      <c r="F278" s="12" t="inlineStr">
        <is>
          <t>千克</t>
        </is>
      </c>
      <c r="G278" s="11">
        <f>LEFT(D278,FIND("|",D278,1)-1)</f>
        <v/>
      </c>
      <c r="H278" s="11">
        <f>MID(D278,FIND("|",D278,FIND("|",D278,1))+1,FIND("|",D278,FIND("|",D278,1)+1)-FIND("|",D278,FIND("|",D278,1))-1)</f>
        <v/>
      </c>
      <c r="J278" s="11">
        <f>MID(D278,FIND(";",SUBSTITUTE(D278,"|",REPT(";",LEN(D278)),2))+1,FIND(";",SUBSTITUTE(D278,"|",REPT(";",LEN(D278)),3))-FIND(";",SUBSTITUTE(D278,"|",REPT(";",LEN(D278)),2))-1)</f>
        <v/>
      </c>
      <c r="K278" s="11">
        <f>MID(D278,FIND(";",SUBSTITUTE(D278,"|",REPT(";",LEN(D278)),3))+1,FIND(";",SUBSTITUTE(D278,"|",REPT(";",LEN(D278)),4))-FIND(";",SUBSTITUTE(D278,"|",REPT(";",LEN(D278)),3))-1)</f>
        <v/>
      </c>
      <c r="M278" s="11">
        <f>MID(D278,FIND(";",SUBSTITUTE(D278,"|",REPT(";",LEN(D278)),4))+1,FIND(";",SUBSTITUTE(D278,"|",REPT(";",LEN(D278)),5))-FIND(";",SUBSTITUTE(D278,"|",REPT(";",LEN(D278)),4))-1)</f>
        <v/>
      </c>
      <c r="N278" s="11">
        <f>MID(D278,FIND(";",SUBSTITUTE(D278,"|",REPT(";",LEN(D278)),6))+1,LEN(D278))</f>
        <v/>
      </c>
      <c r="O278" s="11">
        <f>MID(D278,FIND(";",SUBSTITUTE(D278,"|",REPT(";",LEN(D278)),5))+1,FIND(";",SUBSTITUTE(D278,"|",REPT(";",LEN(D278)),6))-FIND(";",SUBSTITUTE(D278,"|",REPT(";",LEN(D278)),5))-1)</f>
        <v/>
      </c>
    </row>
    <row r="279" ht="140" customHeight="1" s="21">
      <c r="A279" s="13" t="inlineStr">
        <is>
          <t>100201</t>
        </is>
      </c>
      <c r="B279" s="13" t="inlineStr">
        <is>
          <t>圆钢</t>
        </is>
      </c>
      <c r="C279" s="13" t="inlineStr">
        <is>
          <t>600999400</t>
        </is>
      </c>
      <c r="D279" s="13" t="inlineStr">
        <is>
          <t>热轧航空用不锈圆钢|圆钢|1Cr18Ni9Ti|Φ82|GJB 2294-1995|热轧|GB/T 702-2008</t>
        </is>
      </c>
      <c r="E279" s="13" t="inlineStr">
        <is>
          <t>物资名称 热轧航空用不锈圆钢;物资简称 圆钢;牌号 1Cr18Ni9Ti;直径 Φ82;技术标准号 GJB 2294-1995;加工工艺 热轧;热处理工艺 ;特殊要求 ;规格标准号 GB/T 702-2008</t>
        </is>
      </c>
      <c r="F279" s="12" t="inlineStr">
        <is>
          <t>千克</t>
        </is>
      </c>
      <c r="G279" s="11">
        <f>LEFT(D279,FIND("|",D279,1)-1)</f>
        <v/>
      </c>
      <c r="H279" s="11">
        <f>MID(D279,FIND("|",D279,FIND("|",D279,1))+1,FIND("|",D279,FIND("|",D279,1)+1)-FIND("|",D279,FIND("|",D279,1))-1)</f>
        <v/>
      </c>
      <c r="J279" s="11">
        <f>MID(D279,FIND(";",SUBSTITUTE(D279,"|",REPT(";",LEN(D279)),2))+1,FIND(";",SUBSTITUTE(D279,"|",REPT(";",LEN(D279)),3))-FIND(";",SUBSTITUTE(D279,"|",REPT(";",LEN(D279)),2))-1)</f>
        <v/>
      </c>
      <c r="K279" s="11">
        <f>MID(D279,FIND(";",SUBSTITUTE(D279,"|",REPT(";",LEN(D279)),3))+1,FIND(";",SUBSTITUTE(D279,"|",REPT(";",LEN(D279)),4))-FIND(";",SUBSTITUTE(D279,"|",REPT(";",LEN(D279)),3))-1)</f>
        <v/>
      </c>
      <c r="M279" s="11">
        <f>MID(D279,FIND(";",SUBSTITUTE(D279,"|",REPT(";",LEN(D279)),4))+1,FIND(";",SUBSTITUTE(D279,"|",REPT(";",LEN(D279)),5))-FIND(";",SUBSTITUTE(D279,"|",REPT(";",LEN(D279)),4))-1)</f>
        <v/>
      </c>
      <c r="N279" s="11">
        <f>MID(D279,FIND(";",SUBSTITUTE(D279,"|",REPT(";",LEN(D279)),6))+1,LEN(D279))</f>
        <v/>
      </c>
      <c r="O279" s="11">
        <f>MID(D279,FIND(";",SUBSTITUTE(D279,"|",REPT(";",LEN(D279)),5))+1,FIND(";",SUBSTITUTE(D279,"|",REPT(";",LEN(D279)),6))-FIND(";",SUBSTITUTE(D279,"|",REPT(";",LEN(D279)),5))-1)</f>
        <v/>
      </c>
    </row>
    <row r="280" ht="140" customHeight="1" s="21">
      <c r="A280" s="13" t="inlineStr">
        <is>
          <t>100201</t>
        </is>
      </c>
      <c r="B280" s="13" t="inlineStr">
        <is>
          <t>圆钢</t>
        </is>
      </c>
      <c r="C280" s="13" t="inlineStr">
        <is>
          <t>600996500</t>
        </is>
      </c>
      <c r="D280" s="13" t="inlineStr">
        <is>
          <t>热轧航空用优质结构圆钢|圆钢|38CrMoAlA|Φ118|GJB 1951-1994|热轧|GB/T 702-2008</t>
        </is>
      </c>
      <c r="E280" s="13" t="inlineStr">
        <is>
          <t>物资名称 热轧航空用优质结构圆钢;物资简称 圆钢;牌号 38CrMoAlA;直径 Φ118;技术标准号 GJB 1951-1994;加工工艺 热轧;热处理工艺 ;特殊要求 ;规格标准号 GB/T 702-2008</t>
        </is>
      </c>
      <c r="F280" s="12" t="inlineStr">
        <is>
          <t>千克</t>
        </is>
      </c>
      <c r="G280" s="11">
        <f>LEFT(D280,FIND("|",D280,1)-1)</f>
        <v/>
      </c>
      <c r="H280" s="11">
        <f>MID(D280,FIND("|",D280,FIND("|",D280,1))+1,FIND("|",D280,FIND("|",D280,1)+1)-FIND("|",D280,FIND("|",D280,1))-1)</f>
        <v/>
      </c>
      <c r="J280" s="11">
        <f>MID(D280,FIND(";",SUBSTITUTE(D280,"|",REPT(";",LEN(D280)),2))+1,FIND(";",SUBSTITUTE(D280,"|",REPT(";",LEN(D280)),3))-FIND(";",SUBSTITUTE(D280,"|",REPT(";",LEN(D280)),2))-1)</f>
        <v/>
      </c>
      <c r="K280" s="11">
        <f>MID(D280,FIND(";",SUBSTITUTE(D280,"|",REPT(";",LEN(D280)),3))+1,FIND(";",SUBSTITUTE(D280,"|",REPT(";",LEN(D280)),4))-FIND(";",SUBSTITUTE(D280,"|",REPT(";",LEN(D280)),3))-1)</f>
        <v/>
      </c>
      <c r="M280" s="11">
        <f>MID(D280,FIND(";",SUBSTITUTE(D280,"|",REPT(";",LEN(D280)),4))+1,FIND(";",SUBSTITUTE(D280,"|",REPT(";",LEN(D280)),5))-FIND(";",SUBSTITUTE(D280,"|",REPT(";",LEN(D280)),4))-1)</f>
        <v/>
      </c>
      <c r="N280" s="11">
        <f>MID(D280,FIND(";",SUBSTITUTE(D280,"|",REPT(";",LEN(D280)),6))+1,LEN(D280))</f>
        <v/>
      </c>
      <c r="O280" s="11">
        <f>MID(D280,FIND(";",SUBSTITUTE(D280,"|",REPT(";",LEN(D280)),5))+1,FIND(";",SUBSTITUTE(D280,"|",REPT(";",LEN(D280)),6))-FIND(";",SUBSTITUTE(D280,"|",REPT(";",LEN(D280)),5))-1)</f>
        <v/>
      </c>
    </row>
    <row r="281" ht="126" customHeight="1" s="21">
      <c r="A281" s="13" t="inlineStr">
        <is>
          <t>100201</t>
        </is>
      </c>
      <c r="B281" s="13" t="inlineStr">
        <is>
          <t>圆钢</t>
        </is>
      </c>
      <c r="C281" s="13" t="inlineStr">
        <is>
          <t>600996400</t>
        </is>
      </c>
      <c r="D281" s="13" t="inlineStr">
        <is>
          <t>热轧合金结构圆钢|圆钢|40Cr|Φ52|GB/T 3077-1999|热轧|GB/T 702-2008</t>
        </is>
      </c>
      <c r="E281" s="13" t="inlineStr">
        <is>
          <t>物资名称 热轧合金结构圆钢;物资简称 圆钢;牌号 40Cr;直径 Φ52;技术标准号 GB/T 3077-1999;加工工艺 热轧;热处理工艺 ;特殊要求 ;规格标准号 GB/T 702-2008</t>
        </is>
      </c>
      <c r="F281" s="12" t="inlineStr">
        <is>
          <t>千克</t>
        </is>
      </c>
      <c r="G281" s="11">
        <f>LEFT(D281,FIND("|",D281,1)-1)</f>
        <v/>
      </c>
      <c r="H281" s="11">
        <f>MID(D281,FIND("|",D281,FIND("|",D281,1))+1,FIND("|",D281,FIND("|",D281,1)+1)-FIND("|",D281,FIND("|",D281,1))-1)</f>
        <v/>
      </c>
      <c r="J281" s="11">
        <f>MID(D281,FIND(";",SUBSTITUTE(D281,"|",REPT(";",LEN(D281)),2))+1,FIND(";",SUBSTITUTE(D281,"|",REPT(";",LEN(D281)),3))-FIND(";",SUBSTITUTE(D281,"|",REPT(";",LEN(D281)),2))-1)</f>
        <v/>
      </c>
      <c r="K281" s="11">
        <f>MID(D281,FIND(";",SUBSTITUTE(D281,"|",REPT(";",LEN(D281)),3))+1,FIND(";",SUBSTITUTE(D281,"|",REPT(";",LEN(D281)),4))-FIND(";",SUBSTITUTE(D281,"|",REPT(";",LEN(D281)),3))-1)</f>
        <v/>
      </c>
      <c r="M281" s="11">
        <f>MID(D281,FIND(";",SUBSTITUTE(D281,"|",REPT(";",LEN(D281)),4))+1,FIND(";",SUBSTITUTE(D281,"|",REPT(";",LEN(D281)),5))-FIND(";",SUBSTITUTE(D281,"|",REPT(";",LEN(D281)),4))-1)</f>
        <v/>
      </c>
      <c r="N281" s="11">
        <f>MID(D281,FIND(";",SUBSTITUTE(D281,"|",REPT(";",LEN(D281)),6))+1,LEN(D281))</f>
        <v/>
      </c>
      <c r="O281" s="11">
        <f>MID(D281,FIND(";",SUBSTITUTE(D281,"|",REPT(";",LEN(D281)),5))+1,FIND(";",SUBSTITUTE(D281,"|",REPT(";",LEN(D281)),6))-FIND(";",SUBSTITUTE(D281,"|",REPT(";",LEN(D281)),5))-1)</f>
        <v/>
      </c>
    </row>
    <row r="282" ht="140" customHeight="1" s="21">
      <c r="A282" s="13" t="inlineStr">
        <is>
          <t>100201</t>
        </is>
      </c>
      <c r="B282" s="13" t="inlineStr">
        <is>
          <t>圆钢</t>
        </is>
      </c>
      <c r="C282" s="13" t="inlineStr">
        <is>
          <t>600996300</t>
        </is>
      </c>
      <c r="D282" s="13" t="inlineStr">
        <is>
          <t>热轧航空用不锈圆钢|圆钢|1Cr18Ni9Ti|Φ50|GJB 2294-1995|热轧|GB/T 702-2008</t>
        </is>
      </c>
      <c r="E282" s="13" t="inlineStr">
        <is>
          <t>物资名称 热轧航空用不锈圆钢;物资简称 圆钢;牌号 1Cr18Ni9Ti;直径 Φ50;技术标准号 GJB 2294-1995;加工工艺 热轧;热处理工艺 ;特殊要求 ;规格标准号 GB/T 702-2008</t>
        </is>
      </c>
      <c r="F282" s="12" t="inlineStr">
        <is>
          <t>千克</t>
        </is>
      </c>
      <c r="G282" s="11">
        <f>LEFT(D282,FIND("|",D282,1)-1)</f>
        <v/>
      </c>
      <c r="H282" s="11">
        <f>MID(D282,FIND("|",D282,FIND("|",D282,1))+1,FIND("|",D282,FIND("|",D282,1)+1)-FIND("|",D282,FIND("|",D282,1))-1)</f>
        <v/>
      </c>
      <c r="J282" s="11">
        <f>MID(D282,FIND(";",SUBSTITUTE(D282,"|",REPT(";",LEN(D282)),2))+1,FIND(";",SUBSTITUTE(D282,"|",REPT(";",LEN(D282)),3))-FIND(";",SUBSTITUTE(D282,"|",REPT(";",LEN(D282)),2))-1)</f>
        <v/>
      </c>
      <c r="K282" s="11">
        <f>MID(D282,FIND(";",SUBSTITUTE(D282,"|",REPT(";",LEN(D282)),3))+1,FIND(";",SUBSTITUTE(D282,"|",REPT(";",LEN(D282)),4))-FIND(";",SUBSTITUTE(D282,"|",REPT(";",LEN(D282)),3))-1)</f>
        <v/>
      </c>
      <c r="M282" s="11">
        <f>MID(D282,FIND(";",SUBSTITUTE(D282,"|",REPT(";",LEN(D282)),4))+1,FIND(";",SUBSTITUTE(D282,"|",REPT(";",LEN(D282)),5))-FIND(";",SUBSTITUTE(D282,"|",REPT(";",LEN(D282)),4))-1)</f>
        <v/>
      </c>
      <c r="N282" s="11">
        <f>MID(D282,FIND(";",SUBSTITUTE(D282,"|",REPT(";",LEN(D282)),6))+1,LEN(D282))</f>
        <v/>
      </c>
      <c r="O282" s="11">
        <f>MID(D282,FIND(";",SUBSTITUTE(D282,"|",REPT(";",LEN(D282)),5))+1,FIND(";",SUBSTITUTE(D282,"|",REPT(";",LEN(D282)),6))-FIND(";",SUBSTITUTE(D282,"|",REPT(";",LEN(D282)),5))-1)</f>
        <v/>
      </c>
    </row>
    <row r="283" ht="140" customHeight="1" s="21">
      <c r="A283" s="13" t="inlineStr">
        <is>
          <t>100201</t>
        </is>
      </c>
      <c r="B283" s="13" t="inlineStr">
        <is>
          <t>圆钢</t>
        </is>
      </c>
      <c r="C283" s="13" t="inlineStr">
        <is>
          <t>600996200</t>
        </is>
      </c>
      <c r="D283" s="13" t="inlineStr">
        <is>
          <t>热轧航空用不锈圆钢|圆钢|1Cr18Ni9Ti|Φ18|GJB 2294-1995|热轧|GB/T 702-2008</t>
        </is>
      </c>
      <c r="E283" s="13" t="inlineStr">
        <is>
          <t>物资名称 热轧航空用不锈圆钢;物资简称 圆钢;牌号 1Cr18Ni9Ti;直径 Φ18;技术标准号 GJB 2294-1995;加工工艺 热轧;热处理工艺 ;特殊要求 ;规格标准号 GB/T 702-2008</t>
        </is>
      </c>
      <c r="F283" s="12" t="inlineStr">
        <is>
          <t>千克</t>
        </is>
      </c>
      <c r="G283" s="11">
        <f>LEFT(D283,FIND("|",D283,1)-1)</f>
        <v/>
      </c>
      <c r="H283" s="11">
        <f>MID(D283,FIND("|",D283,FIND("|",D283,1))+1,FIND("|",D283,FIND("|",D283,1)+1)-FIND("|",D283,FIND("|",D283,1))-1)</f>
        <v/>
      </c>
      <c r="J283" s="11">
        <f>MID(D283,FIND(";",SUBSTITUTE(D283,"|",REPT(";",LEN(D283)),2))+1,FIND(";",SUBSTITUTE(D283,"|",REPT(";",LEN(D283)),3))-FIND(";",SUBSTITUTE(D283,"|",REPT(";",LEN(D283)),2))-1)</f>
        <v/>
      </c>
      <c r="K283" s="11">
        <f>MID(D283,FIND(";",SUBSTITUTE(D283,"|",REPT(";",LEN(D283)),3))+1,FIND(";",SUBSTITUTE(D283,"|",REPT(";",LEN(D283)),4))-FIND(";",SUBSTITUTE(D283,"|",REPT(";",LEN(D283)),3))-1)</f>
        <v/>
      </c>
      <c r="M283" s="11">
        <f>MID(D283,FIND(";",SUBSTITUTE(D283,"|",REPT(";",LEN(D283)),4))+1,FIND(";",SUBSTITUTE(D283,"|",REPT(";",LEN(D283)),5))-FIND(";",SUBSTITUTE(D283,"|",REPT(";",LEN(D283)),4))-1)</f>
        <v/>
      </c>
      <c r="N283" s="11">
        <f>MID(D283,FIND(";",SUBSTITUTE(D283,"|",REPT(";",LEN(D283)),6))+1,LEN(D283))</f>
        <v/>
      </c>
      <c r="O283" s="11">
        <f>MID(D283,FIND(";",SUBSTITUTE(D283,"|",REPT(";",LEN(D283)),5))+1,FIND(";",SUBSTITUTE(D283,"|",REPT(";",LEN(D283)),6))-FIND(";",SUBSTITUTE(D283,"|",REPT(";",LEN(D283)),5))-1)</f>
        <v/>
      </c>
    </row>
    <row r="284" ht="140" customHeight="1" s="21">
      <c r="A284" s="13" t="inlineStr">
        <is>
          <t>100201</t>
        </is>
      </c>
      <c r="B284" s="13" t="inlineStr">
        <is>
          <t>圆钢</t>
        </is>
      </c>
      <c r="C284" s="13" t="inlineStr">
        <is>
          <t>600996100</t>
        </is>
      </c>
      <c r="D284" s="13" t="inlineStr">
        <is>
          <t>热轧航空用不锈圆钢|圆钢|1Cr18Ni9Ti|Φ33|GJB 2294-1995|热轧|GB/T 702-2008</t>
        </is>
      </c>
      <c r="E284" s="13" t="inlineStr">
        <is>
          <t>物资名称 热轧航空用不锈圆钢;物资简称 圆钢;牌号 1Cr18Ni9Ti;直径 Φ33;技术标准号 GJB 2294-1995;加工工艺 热轧;热处理工艺 ;特殊要求 ;规格标准号 GB/T 702-2008</t>
        </is>
      </c>
      <c r="F284" s="12" t="inlineStr">
        <is>
          <t>千克</t>
        </is>
      </c>
      <c r="G284" s="11">
        <f>LEFT(D284,FIND("|",D284,1)-1)</f>
        <v/>
      </c>
      <c r="H284" s="11">
        <f>MID(D284,FIND("|",D284,FIND("|",D284,1))+1,FIND("|",D284,FIND("|",D284,1)+1)-FIND("|",D284,FIND("|",D284,1))-1)</f>
        <v/>
      </c>
      <c r="J284" s="11">
        <f>MID(D284,FIND(";",SUBSTITUTE(D284,"|",REPT(";",LEN(D284)),2))+1,FIND(";",SUBSTITUTE(D284,"|",REPT(";",LEN(D284)),3))-FIND(";",SUBSTITUTE(D284,"|",REPT(";",LEN(D284)),2))-1)</f>
        <v/>
      </c>
      <c r="K284" s="11">
        <f>MID(D284,FIND(";",SUBSTITUTE(D284,"|",REPT(";",LEN(D284)),3))+1,FIND(";",SUBSTITUTE(D284,"|",REPT(";",LEN(D284)),4))-FIND(";",SUBSTITUTE(D284,"|",REPT(";",LEN(D284)),3))-1)</f>
        <v/>
      </c>
      <c r="M284" s="11">
        <f>MID(D284,FIND(";",SUBSTITUTE(D284,"|",REPT(";",LEN(D284)),4))+1,FIND(";",SUBSTITUTE(D284,"|",REPT(";",LEN(D284)),5))-FIND(";",SUBSTITUTE(D284,"|",REPT(";",LEN(D284)),4))-1)</f>
        <v/>
      </c>
      <c r="N284" s="11">
        <f>MID(D284,FIND(";",SUBSTITUTE(D284,"|",REPT(";",LEN(D284)),6))+1,LEN(D284))</f>
        <v/>
      </c>
      <c r="O284" s="11">
        <f>MID(D284,FIND(";",SUBSTITUTE(D284,"|",REPT(";",LEN(D284)),5))+1,FIND(";",SUBSTITUTE(D284,"|",REPT(";",LEN(D284)),6))-FIND(";",SUBSTITUTE(D284,"|",REPT(";",LEN(D284)),5))-1)</f>
        <v/>
      </c>
    </row>
    <row r="285" ht="140" customHeight="1" s="21">
      <c r="A285" s="13" t="inlineStr">
        <is>
          <t>100201</t>
        </is>
      </c>
      <c r="B285" s="13" t="inlineStr">
        <is>
          <t>圆钢</t>
        </is>
      </c>
      <c r="C285" s="13" t="inlineStr">
        <is>
          <t>600996000</t>
        </is>
      </c>
      <c r="D285" s="13" t="inlineStr">
        <is>
          <t>热轧航空用不锈圆钢|圆钢|1Cr18Ni9Ti|Φ65|GJB 2294-1995|热轧|GB/T 702-2008</t>
        </is>
      </c>
      <c r="E285" s="13" t="inlineStr">
        <is>
          <t>物资名称 热轧航空用不锈圆钢;物资简称 圆钢;牌号 1Cr18Ni9Ti;直径 Φ65;技术标准号 GJB 2294-1995;加工工艺 热轧;热处理工艺 ;特殊要求 ;规格标准号 GB/T 702-2008</t>
        </is>
      </c>
      <c r="F285" s="12" t="inlineStr">
        <is>
          <t>千克</t>
        </is>
      </c>
      <c r="G285" s="11">
        <f>LEFT(D285,FIND("|",D285,1)-1)</f>
        <v/>
      </c>
      <c r="H285" s="11">
        <f>MID(D285,FIND("|",D285,FIND("|",D285,1))+1,FIND("|",D285,FIND("|",D285,1)+1)-FIND("|",D285,FIND("|",D285,1))-1)</f>
        <v/>
      </c>
      <c r="J285" s="11">
        <f>MID(D285,FIND(";",SUBSTITUTE(D285,"|",REPT(";",LEN(D285)),2))+1,FIND(";",SUBSTITUTE(D285,"|",REPT(";",LEN(D285)),3))-FIND(";",SUBSTITUTE(D285,"|",REPT(";",LEN(D285)),2))-1)</f>
        <v/>
      </c>
      <c r="K285" s="11">
        <f>MID(D285,FIND(";",SUBSTITUTE(D285,"|",REPT(";",LEN(D285)),3))+1,FIND(";",SUBSTITUTE(D285,"|",REPT(";",LEN(D285)),4))-FIND(";",SUBSTITUTE(D285,"|",REPT(";",LEN(D285)),3))-1)</f>
        <v/>
      </c>
      <c r="M285" s="11">
        <f>MID(D285,FIND(";",SUBSTITUTE(D285,"|",REPT(";",LEN(D285)),4))+1,FIND(";",SUBSTITUTE(D285,"|",REPT(";",LEN(D285)),5))-FIND(";",SUBSTITUTE(D285,"|",REPT(";",LEN(D285)),4))-1)</f>
        <v/>
      </c>
      <c r="N285" s="11">
        <f>MID(D285,FIND(";",SUBSTITUTE(D285,"|",REPT(";",LEN(D285)),6))+1,LEN(D285))</f>
        <v/>
      </c>
      <c r="O285" s="11">
        <f>MID(D285,FIND(";",SUBSTITUTE(D285,"|",REPT(";",LEN(D285)),5))+1,FIND(";",SUBSTITUTE(D285,"|",REPT(";",LEN(D285)),6))-FIND(";",SUBSTITUTE(D285,"|",REPT(";",LEN(D285)),5))-1)</f>
        <v/>
      </c>
    </row>
    <row r="286" ht="140" customHeight="1" s="21">
      <c r="A286" s="13" t="inlineStr">
        <is>
          <t>100201</t>
        </is>
      </c>
      <c r="B286" s="13" t="inlineStr">
        <is>
          <t>圆钢</t>
        </is>
      </c>
      <c r="C286" s="13" t="inlineStr">
        <is>
          <t>600995900</t>
        </is>
      </c>
      <c r="D286" s="13" t="inlineStr">
        <is>
          <t>热轧航空用不锈圆钢|圆钢|1Cr18Ni9Ti|Φ80|GJB 2294-1995|热轧|GB/T 702-2008</t>
        </is>
      </c>
      <c r="E286" s="13" t="inlineStr">
        <is>
          <t>物资名称 热轧航空用不锈圆钢;物资简称 圆钢;牌号 1Cr18Ni9Ti;直径 Φ80;技术标准号 GJB 2294-1995;加工工艺 热轧;热处理工艺 ;特殊要求 ;规格标准号 GB/T 702-2008</t>
        </is>
      </c>
      <c r="F286" s="12" t="inlineStr">
        <is>
          <t>千克</t>
        </is>
      </c>
      <c r="G286" s="11">
        <f>LEFT(D286,FIND("|",D286,1)-1)</f>
        <v/>
      </c>
      <c r="H286" s="11">
        <f>MID(D286,FIND("|",D286,FIND("|",D286,1))+1,FIND("|",D286,FIND("|",D286,1)+1)-FIND("|",D286,FIND("|",D286,1))-1)</f>
        <v/>
      </c>
      <c r="J286" s="11">
        <f>MID(D286,FIND(";",SUBSTITUTE(D286,"|",REPT(";",LEN(D286)),2))+1,FIND(";",SUBSTITUTE(D286,"|",REPT(";",LEN(D286)),3))-FIND(";",SUBSTITUTE(D286,"|",REPT(";",LEN(D286)),2))-1)</f>
        <v/>
      </c>
      <c r="K286" s="11">
        <f>MID(D286,FIND(";",SUBSTITUTE(D286,"|",REPT(";",LEN(D286)),3))+1,FIND(";",SUBSTITUTE(D286,"|",REPT(";",LEN(D286)),4))-FIND(";",SUBSTITUTE(D286,"|",REPT(";",LEN(D286)),3))-1)</f>
        <v/>
      </c>
      <c r="M286" s="11">
        <f>MID(D286,FIND(";",SUBSTITUTE(D286,"|",REPT(";",LEN(D286)),4))+1,FIND(";",SUBSTITUTE(D286,"|",REPT(";",LEN(D286)),5))-FIND(";",SUBSTITUTE(D286,"|",REPT(";",LEN(D286)),4))-1)</f>
        <v/>
      </c>
      <c r="N286" s="11">
        <f>MID(D286,FIND(";",SUBSTITUTE(D286,"|",REPT(";",LEN(D286)),6))+1,LEN(D286))</f>
        <v/>
      </c>
      <c r="O286" s="11">
        <f>MID(D286,FIND(";",SUBSTITUTE(D286,"|",REPT(";",LEN(D286)),5))+1,FIND(";",SUBSTITUTE(D286,"|",REPT(";",LEN(D286)),6))-FIND(";",SUBSTITUTE(D286,"|",REPT(";",LEN(D286)),5))-1)</f>
        <v/>
      </c>
    </row>
    <row r="287" ht="140" customHeight="1" s="21">
      <c r="A287" s="13" t="inlineStr">
        <is>
          <t>100201</t>
        </is>
      </c>
      <c r="B287" s="13" t="inlineStr">
        <is>
          <t>圆钢</t>
        </is>
      </c>
      <c r="C287" s="13" t="inlineStr">
        <is>
          <t>600995800</t>
        </is>
      </c>
      <c r="D287" s="13" t="inlineStr">
        <is>
          <t>热轧航空用不锈圆钢|圆钢|1Cr18Ni9Ti|Φ31|GJB 2294-1995|热轧|GB/T 702-2008</t>
        </is>
      </c>
      <c r="E287" s="13" t="inlineStr">
        <is>
          <t>物资名称 热轧航空用不锈圆钢;物资简称 圆钢;牌号 1Cr18Ni9Ti;直径 Φ31;技术标准号 GJB 2294-1995;加工工艺 热轧;热处理工艺 ;特殊要求 ;规格标准号 GB/T 702-2008</t>
        </is>
      </c>
      <c r="F287" s="12" t="inlineStr">
        <is>
          <t>千克</t>
        </is>
      </c>
      <c r="G287" s="11">
        <f>LEFT(D287,FIND("|",D287,1)-1)</f>
        <v/>
      </c>
      <c r="H287" s="11">
        <f>MID(D287,FIND("|",D287,FIND("|",D287,1))+1,FIND("|",D287,FIND("|",D287,1)+1)-FIND("|",D287,FIND("|",D287,1))-1)</f>
        <v/>
      </c>
      <c r="J287" s="11">
        <f>MID(D287,FIND(";",SUBSTITUTE(D287,"|",REPT(";",LEN(D287)),2))+1,FIND(";",SUBSTITUTE(D287,"|",REPT(";",LEN(D287)),3))-FIND(";",SUBSTITUTE(D287,"|",REPT(";",LEN(D287)),2))-1)</f>
        <v/>
      </c>
      <c r="K287" s="11">
        <f>MID(D287,FIND(";",SUBSTITUTE(D287,"|",REPT(";",LEN(D287)),3))+1,FIND(";",SUBSTITUTE(D287,"|",REPT(";",LEN(D287)),4))-FIND(";",SUBSTITUTE(D287,"|",REPT(";",LEN(D287)),3))-1)</f>
        <v/>
      </c>
      <c r="M287" s="11">
        <f>MID(D287,FIND(";",SUBSTITUTE(D287,"|",REPT(";",LEN(D287)),4))+1,FIND(";",SUBSTITUTE(D287,"|",REPT(";",LEN(D287)),5))-FIND(";",SUBSTITUTE(D287,"|",REPT(";",LEN(D287)),4))-1)</f>
        <v/>
      </c>
      <c r="N287" s="11">
        <f>MID(D287,FIND(";",SUBSTITUTE(D287,"|",REPT(";",LEN(D287)),6))+1,LEN(D287))</f>
        <v/>
      </c>
      <c r="O287" s="11">
        <f>MID(D287,FIND(";",SUBSTITUTE(D287,"|",REPT(";",LEN(D287)),5))+1,FIND(";",SUBSTITUTE(D287,"|",REPT(";",LEN(D287)),6))-FIND(";",SUBSTITUTE(D287,"|",REPT(";",LEN(D287)),5))-1)</f>
        <v/>
      </c>
    </row>
    <row r="288" ht="140" customHeight="1" s="21">
      <c r="A288" s="13" t="inlineStr">
        <is>
          <t>100201</t>
        </is>
      </c>
      <c r="B288" s="13" t="inlineStr">
        <is>
          <t>圆钢</t>
        </is>
      </c>
      <c r="C288" s="13" t="inlineStr">
        <is>
          <t>600995700</t>
        </is>
      </c>
      <c r="D288" s="13" t="inlineStr">
        <is>
          <t>热轧航空用不锈圆钢|圆钢|1Cr18Ni9Ti|Φ30|GJB 2294-1995|热轧|GB/T 702-2008</t>
        </is>
      </c>
      <c r="E288" s="13" t="inlineStr">
        <is>
          <t>物资名称 热轧航空用不锈圆钢;物资简称 圆钢;牌号 1Cr18Ni9Ti;直径 Φ30;技术标准号 GJB 2294-1995;加工工艺 热轧;热处理工艺 ;特殊要求 ;规格标准号 GB/T 702-2008</t>
        </is>
      </c>
      <c r="F288" s="12" t="inlineStr">
        <is>
          <t>千克</t>
        </is>
      </c>
      <c r="G288" s="11">
        <f>LEFT(D288,FIND("|",D288,1)-1)</f>
        <v/>
      </c>
      <c r="H288" s="11">
        <f>MID(D288,FIND("|",D288,FIND("|",D288,1))+1,FIND("|",D288,FIND("|",D288,1)+1)-FIND("|",D288,FIND("|",D288,1))-1)</f>
        <v/>
      </c>
      <c r="J288" s="11">
        <f>MID(D288,FIND(";",SUBSTITUTE(D288,"|",REPT(";",LEN(D288)),2))+1,FIND(";",SUBSTITUTE(D288,"|",REPT(";",LEN(D288)),3))-FIND(";",SUBSTITUTE(D288,"|",REPT(";",LEN(D288)),2))-1)</f>
        <v/>
      </c>
      <c r="K288" s="11">
        <f>MID(D288,FIND(";",SUBSTITUTE(D288,"|",REPT(";",LEN(D288)),3))+1,FIND(";",SUBSTITUTE(D288,"|",REPT(";",LEN(D288)),4))-FIND(";",SUBSTITUTE(D288,"|",REPT(";",LEN(D288)),3))-1)</f>
        <v/>
      </c>
      <c r="M288" s="11">
        <f>MID(D288,FIND(";",SUBSTITUTE(D288,"|",REPT(";",LEN(D288)),4))+1,FIND(";",SUBSTITUTE(D288,"|",REPT(";",LEN(D288)),5))-FIND(";",SUBSTITUTE(D288,"|",REPT(";",LEN(D288)),4))-1)</f>
        <v/>
      </c>
      <c r="N288" s="11">
        <f>MID(D288,FIND(";",SUBSTITUTE(D288,"|",REPT(";",LEN(D288)),6))+1,LEN(D288))</f>
        <v/>
      </c>
      <c r="O288" s="11">
        <f>MID(D288,FIND(";",SUBSTITUTE(D288,"|",REPT(";",LEN(D288)),5))+1,FIND(";",SUBSTITUTE(D288,"|",REPT(";",LEN(D288)),6))-FIND(";",SUBSTITUTE(D288,"|",REPT(";",LEN(D288)),5))-1)</f>
        <v/>
      </c>
    </row>
    <row r="289" ht="140" customHeight="1" s="21">
      <c r="A289" s="13" t="inlineStr">
        <is>
          <t>100201</t>
        </is>
      </c>
      <c r="B289" s="13" t="inlineStr">
        <is>
          <t>圆钢</t>
        </is>
      </c>
      <c r="C289" s="13" t="inlineStr">
        <is>
          <t>600995600</t>
        </is>
      </c>
      <c r="D289" s="13" t="inlineStr">
        <is>
          <t>热轧航空用不锈圆钢|圆钢|1Cr18Ni9Ti|Φ40|GJB 2294-1995|热轧|GB/T 702-2008</t>
        </is>
      </c>
      <c r="E289" s="13" t="inlineStr">
        <is>
          <t>物资名称 热轧航空用不锈圆钢;物资简称 圆钢;牌号 1Cr18Ni9Ti;直径 Φ40;技术标准号 GJB 2294-1995;加工工艺 热轧;热处理工艺 ;特殊要求 ;规格标准号 GB/T 702-2008</t>
        </is>
      </c>
      <c r="F289" s="12" t="inlineStr">
        <is>
          <t>千克</t>
        </is>
      </c>
      <c r="G289" s="11">
        <f>LEFT(D289,FIND("|",D289,1)-1)</f>
        <v/>
      </c>
      <c r="H289" s="11">
        <f>MID(D289,FIND("|",D289,FIND("|",D289,1))+1,FIND("|",D289,FIND("|",D289,1)+1)-FIND("|",D289,FIND("|",D289,1))-1)</f>
        <v/>
      </c>
      <c r="J289" s="11">
        <f>MID(D289,FIND(";",SUBSTITUTE(D289,"|",REPT(";",LEN(D289)),2))+1,FIND(";",SUBSTITUTE(D289,"|",REPT(";",LEN(D289)),3))-FIND(";",SUBSTITUTE(D289,"|",REPT(";",LEN(D289)),2))-1)</f>
        <v/>
      </c>
      <c r="K289" s="11">
        <f>MID(D289,FIND(";",SUBSTITUTE(D289,"|",REPT(";",LEN(D289)),3))+1,FIND(";",SUBSTITUTE(D289,"|",REPT(";",LEN(D289)),4))-FIND(";",SUBSTITUTE(D289,"|",REPT(";",LEN(D289)),3))-1)</f>
        <v/>
      </c>
      <c r="M289" s="11">
        <f>MID(D289,FIND(";",SUBSTITUTE(D289,"|",REPT(";",LEN(D289)),4))+1,FIND(";",SUBSTITUTE(D289,"|",REPT(";",LEN(D289)),5))-FIND(";",SUBSTITUTE(D289,"|",REPT(";",LEN(D289)),4))-1)</f>
        <v/>
      </c>
      <c r="N289" s="11">
        <f>MID(D289,FIND(";",SUBSTITUTE(D289,"|",REPT(";",LEN(D289)),6))+1,LEN(D289))</f>
        <v/>
      </c>
      <c r="O289" s="11">
        <f>MID(D289,FIND(";",SUBSTITUTE(D289,"|",REPT(";",LEN(D289)),5))+1,FIND(";",SUBSTITUTE(D289,"|",REPT(";",LEN(D289)),6))-FIND(";",SUBSTITUTE(D289,"|",REPT(";",LEN(D289)),5))-1)</f>
        <v/>
      </c>
    </row>
    <row r="290" ht="140" customHeight="1" s="21">
      <c r="A290" s="13" t="inlineStr">
        <is>
          <t>100201</t>
        </is>
      </c>
      <c r="B290" s="13" t="inlineStr">
        <is>
          <t>圆钢</t>
        </is>
      </c>
      <c r="C290" s="13" t="inlineStr">
        <is>
          <t>600995500</t>
        </is>
      </c>
      <c r="D290" s="13" t="inlineStr">
        <is>
          <t>热轧航空用不锈圆钢|圆钢|1Cr18Ni9Ti|Φ175|GJB 2294-1995|热轧|GB/T 702-2008</t>
        </is>
      </c>
      <c r="E290" s="13" t="inlineStr">
        <is>
          <t>物资名称 热轧航空用不锈圆钢;物资简称 圆钢;牌号 1Cr18Ni9Ti;直径 Φ175;技术标准号 GJB 2294-1995;加工工艺 热轧;热处理工艺 ;特殊要求 ;规格标准号 GB/T 702-2008</t>
        </is>
      </c>
      <c r="F290" s="12" t="inlineStr">
        <is>
          <t>千克</t>
        </is>
      </c>
      <c r="G290" s="11">
        <f>LEFT(D290,FIND("|",D290,1)-1)</f>
        <v/>
      </c>
      <c r="H290" s="11">
        <f>MID(D290,FIND("|",D290,FIND("|",D290,1))+1,FIND("|",D290,FIND("|",D290,1)+1)-FIND("|",D290,FIND("|",D290,1))-1)</f>
        <v/>
      </c>
      <c r="J290" s="11">
        <f>MID(D290,FIND(";",SUBSTITUTE(D290,"|",REPT(";",LEN(D290)),2))+1,FIND(";",SUBSTITUTE(D290,"|",REPT(";",LEN(D290)),3))-FIND(";",SUBSTITUTE(D290,"|",REPT(";",LEN(D290)),2))-1)</f>
        <v/>
      </c>
      <c r="K290" s="11">
        <f>MID(D290,FIND(";",SUBSTITUTE(D290,"|",REPT(";",LEN(D290)),3))+1,FIND(";",SUBSTITUTE(D290,"|",REPT(";",LEN(D290)),4))-FIND(";",SUBSTITUTE(D290,"|",REPT(";",LEN(D290)),3))-1)</f>
        <v/>
      </c>
      <c r="M290" s="11">
        <f>MID(D290,FIND(";",SUBSTITUTE(D290,"|",REPT(";",LEN(D290)),4))+1,FIND(";",SUBSTITUTE(D290,"|",REPT(";",LEN(D290)),5))-FIND(";",SUBSTITUTE(D290,"|",REPT(";",LEN(D290)),4))-1)</f>
        <v/>
      </c>
      <c r="N290" s="11">
        <f>MID(D290,FIND(";",SUBSTITUTE(D290,"|",REPT(";",LEN(D290)),6))+1,LEN(D290))</f>
        <v/>
      </c>
      <c r="O290" s="11">
        <f>MID(D290,FIND(";",SUBSTITUTE(D290,"|",REPT(";",LEN(D290)),5))+1,FIND(";",SUBSTITUTE(D290,"|",REPT(";",LEN(D290)),6))-FIND(";",SUBSTITUTE(D290,"|",REPT(";",LEN(D290)),5))-1)</f>
        <v/>
      </c>
    </row>
    <row r="291" ht="140" customHeight="1" s="21">
      <c r="A291" s="13" t="inlineStr">
        <is>
          <t>100201</t>
        </is>
      </c>
      <c r="B291" s="13" t="inlineStr">
        <is>
          <t>圆钢</t>
        </is>
      </c>
      <c r="C291" s="13" t="inlineStr">
        <is>
          <t>600995400</t>
        </is>
      </c>
      <c r="D291" s="13" t="inlineStr">
        <is>
          <t>热轧航空用不锈圆钢|圆钢|1Cr18Ni9Ti|Φ130|GJB 2294-1995|热轧|GB/T 702-2008</t>
        </is>
      </c>
      <c r="E291" s="13" t="inlineStr">
        <is>
          <t>物资名称 热轧航空用不锈圆钢;物资简称 圆钢;牌号 1Cr18Ni9Ti;直径 Φ130;技术标准号 GJB 2294-1995;加工工艺 热轧;热处理工艺 ;特殊要求 ;规格标准号 GB/T 702-2008</t>
        </is>
      </c>
      <c r="F291" s="12" t="inlineStr">
        <is>
          <t>千克</t>
        </is>
      </c>
      <c r="G291" s="11">
        <f>LEFT(D291,FIND("|",D291,1)-1)</f>
        <v/>
      </c>
      <c r="H291" s="11">
        <f>MID(D291,FIND("|",D291,FIND("|",D291,1))+1,FIND("|",D291,FIND("|",D291,1)+1)-FIND("|",D291,FIND("|",D291,1))-1)</f>
        <v/>
      </c>
      <c r="J291" s="11">
        <f>MID(D291,FIND(";",SUBSTITUTE(D291,"|",REPT(";",LEN(D291)),2))+1,FIND(";",SUBSTITUTE(D291,"|",REPT(";",LEN(D291)),3))-FIND(";",SUBSTITUTE(D291,"|",REPT(";",LEN(D291)),2))-1)</f>
        <v/>
      </c>
      <c r="K291" s="11">
        <f>MID(D291,FIND(";",SUBSTITUTE(D291,"|",REPT(";",LEN(D291)),3))+1,FIND(";",SUBSTITUTE(D291,"|",REPT(";",LEN(D291)),4))-FIND(";",SUBSTITUTE(D291,"|",REPT(";",LEN(D291)),3))-1)</f>
        <v/>
      </c>
      <c r="M291" s="11">
        <f>MID(D291,FIND(";",SUBSTITUTE(D291,"|",REPT(";",LEN(D291)),4))+1,FIND(";",SUBSTITUTE(D291,"|",REPT(";",LEN(D291)),5))-FIND(";",SUBSTITUTE(D291,"|",REPT(";",LEN(D291)),4))-1)</f>
        <v/>
      </c>
      <c r="N291" s="11">
        <f>MID(D291,FIND(";",SUBSTITUTE(D291,"|",REPT(";",LEN(D291)),6))+1,LEN(D291))</f>
        <v/>
      </c>
      <c r="O291" s="11">
        <f>MID(D291,FIND(";",SUBSTITUTE(D291,"|",REPT(";",LEN(D291)),5))+1,FIND(";",SUBSTITUTE(D291,"|",REPT(";",LEN(D291)),6))-FIND(";",SUBSTITUTE(D291,"|",REPT(";",LEN(D291)),5))-1)</f>
        <v/>
      </c>
    </row>
    <row r="292" ht="140" customHeight="1" s="21">
      <c r="A292" s="13" t="inlineStr">
        <is>
          <t>100201</t>
        </is>
      </c>
      <c r="B292" s="13" t="inlineStr">
        <is>
          <t>圆钢</t>
        </is>
      </c>
      <c r="C292" s="13" t="inlineStr">
        <is>
          <t>600995300</t>
        </is>
      </c>
      <c r="D292" s="13" t="inlineStr">
        <is>
          <t>热轧航空用不锈圆钢|圆钢|1Cr18Ni9Ti|Φ8|GJB 2294-1995|热轧|GB/T 702-2008</t>
        </is>
      </c>
      <c r="E292" s="13" t="inlineStr">
        <is>
          <t>物资名称 热轧航空用不锈圆钢;物资简称 圆钢;牌号 1Cr18Ni9Ti;直径 Φ8;技术标准号 GJB 2294-1995;加工工艺 热轧;热处理工艺 ;特殊要求 ;规格标准号 GB/T 702-2008</t>
        </is>
      </c>
      <c r="F292" s="12" t="inlineStr">
        <is>
          <t>千克</t>
        </is>
      </c>
      <c r="G292" s="11">
        <f>LEFT(D292,FIND("|",D292,1)-1)</f>
        <v/>
      </c>
      <c r="H292" s="11">
        <f>MID(D292,FIND("|",D292,FIND("|",D292,1))+1,FIND("|",D292,FIND("|",D292,1)+1)-FIND("|",D292,FIND("|",D292,1))-1)</f>
        <v/>
      </c>
      <c r="J292" s="11">
        <f>MID(D292,FIND(";",SUBSTITUTE(D292,"|",REPT(";",LEN(D292)),2))+1,FIND(";",SUBSTITUTE(D292,"|",REPT(";",LEN(D292)),3))-FIND(";",SUBSTITUTE(D292,"|",REPT(";",LEN(D292)),2))-1)</f>
        <v/>
      </c>
      <c r="K292" s="11">
        <f>MID(D292,FIND(";",SUBSTITUTE(D292,"|",REPT(";",LEN(D292)),3))+1,FIND(";",SUBSTITUTE(D292,"|",REPT(";",LEN(D292)),4))-FIND(";",SUBSTITUTE(D292,"|",REPT(";",LEN(D292)),3))-1)</f>
        <v/>
      </c>
      <c r="M292" s="11">
        <f>MID(D292,FIND(";",SUBSTITUTE(D292,"|",REPT(";",LEN(D292)),4))+1,FIND(";",SUBSTITUTE(D292,"|",REPT(";",LEN(D292)),5))-FIND(";",SUBSTITUTE(D292,"|",REPT(";",LEN(D292)),4))-1)</f>
        <v/>
      </c>
      <c r="N292" s="11">
        <f>MID(D292,FIND(";",SUBSTITUTE(D292,"|",REPT(";",LEN(D292)),6))+1,LEN(D292))</f>
        <v/>
      </c>
      <c r="O292" s="11">
        <f>MID(D292,FIND(";",SUBSTITUTE(D292,"|",REPT(";",LEN(D292)),5))+1,FIND(";",SUBSTITUTE(D292,"|",REPT(";",LEN(D292)),6))-FIND(";",SUBSTITUTE(D292,"|",REPT(";",LEN(D292)),5))-1)</f>
        <v/>
      </c>
    </row>
    <row r="293" ht="140" customHeight="1" s="21">
      <c r="A293" s="13" t="inlineStr">
        <is>
          <t>100201</t>
        </is>
      </c>
      <c r="B293" s="13" t="inlineStr">
        <is>
          <t>圆钢</t>
        </is>
      </c>
      <c r="C293" s="13" t="inlineStr">
        <is>
          <t>600995200</t>
        </is>
      </c>
      <c r="D293" s="13" t="inlineStr">
        <is>
          <t>热轧航空用不锈圆钢|圆钢|1Cr18Ni9Ti|Φ11|GJB 2294-1995|热轧|GB/T 702-2008</t>
        </is>
      </c>
      <c r="E293" s="13" t="inlineStr">
        <is>
          <t>物资名称 热轧航空用不锈圆钢;物资简称 圆钢;牌号 1Cr18Ni9Ti;直径 Φ11;技术标准号 GJB 2294-1995;加工工艺 热轧;热处理工艺 ;特殊要求 ;规格标准号 GB/T 702-2008</t>
        </is>
      </c>
      <c r="F293" s="12" t="inlineStr">
        <is>
          <t>千克</t>
        </is>
      </c>
      <c r="G293" s="11">
        <f>LEFT(D293,FIND("|",D293,1)-1)</f>
        <v/>
      </c>
      <c r="H293" s="11">
        <f>MID(D293,FIND("|",D293,FIND("|",D293,1))+1,FIND("|",D293,FIND("|",D293,1)+1)-FIND("|",D293,FIND("|",D293,1))-1)</f>
        <v/>
      </c>
      <c r="J293" s="11">
        <f>MID(D293,FIND(";",SUBSTITUTE(D293,"|",REPT(";",LEN(D293)),2))+1,FIND(";",SUBSTITUTE(D293,"|",REPT(";",LEN(D293)),3))-FIND(";",SUBSTITUTE(D293,"|",REPT(";",LEN(D293)),2))-1)</f>
        <v/>
      </c>
      <c r="K293" s="11">
        <f>MID(D293,FIND(";",SUBSTITUTE(D293,"|",REPT(";",LEN(D293)),3))+1,FIND(";",SUBSTITUTE(D293,"|",REPT(";",LEN(D293)),4))-FIND(";",SUBSTITUTE(D293,"|",REPT(";",LEN(D293)),3))-1)</f>
        <v/>
      </c>
      <c r="M293" s="11">
        <f>MID(D293,FIND(";",SUBSTITUTE(D293,"|",REPT(";",LEN(D293)),4))+1,FIND(";",SUBSTITUTE(D293,"|",REPT(";",LEN(D293)),5))-FIND(";",SUBSTITUTE(D293,"|",REPT(";",LEN(D293)),4))-1)</f>
        <v/>
      </c>
      <c r="N293" s="11">
        <f>MID(D293,FIND(";",SUBSTITUTE(D293,"|",REPT(";",LEN(D293)),6))+1,LEN(D293))</f>
        <v/>
      </c>
      <c r="O293" s="11">
        <f>MID(D293,FIND(";",SUBSTITUTE(D293,"|",REPT(";",LEN(D293)),5))+1,FIND(";",SUBSTITUTE(D293,"|",REPT(";",LEN(D293)),6))-FIND(";",SUBSTITUTE(D293,"|",REPT(";",LEN(D293)),5))-1)</f>
        <v/>
      </c>
    </row>
    <row r="294" ht="140" customHeight="1" s="21">
      <c r="A294" s="13" t="inlineStr">
        <is>
          <t>100201</t>
        </is>
      </c>
      <c r="B294" s="13" t="inlineStr">
        <is>
          <t>圆钢</t>
        </is>
      </c>
      <c r="C294" s="13" t="inlineStr">
        <is>
          <t>600995000</t>
        </is>
      </c>
      <c r="D294" s="13" t="inlineStr">
        <is>
          <t>热轧航空用不锈圆钢|圆钢|1Cr18Ni9Ti|Φ100|GJB 2294-1995|热轧|GB/T 702-2008</t>
        </is>
      </c>
      <c r="E294" s="13" t="inlineStr">
        <is>
          <t>物资名称 热轧航空用不锈圆钢;物资简称 圆钢;牌号 1Cr18Ni9Ti;直径 Φ100;技术标准号 GJB 2294-1995;加工工艺 热轧;热处理工艺 ;特殊要求 ;规格标准号 GB/T 702-2008</t>
        </is>
      </c>
      <c r="F294" s="12" t="inlineStr">
        <is>
          <t>千克</t>
        </is>
      </c>
      <c r="G294" s="11">
        <f>LEFT(D294,FIND("|",D294,1)-1)</f>
        <v/>
      </c>
      <c r="H294" s="11">
        <f>MID(D294,FIND("|",D294,FIND("|",D294,1))+1,FIND("|",D294,FIND("|",D294,1)+1)-FIND("|",D294,FIND("|",D294,1))-1)</f>
        <v/>
      </c>
      <c r="J294" s="11">
        <f>MID(D294,FIND(";",SUBSTITUTE(D294,"|",REPT(";",LEN(D294)),2))+1,FIND(";",SUBSTITUTE(D294,"|",REPT(";",LEN(D294)),3))-FIND(";",SUBSTITUTE(D294,"|",REPT(";",LEN(D294)),2))-1)</f>
        <v/>
      </c>
      <c r="K294" s="11">
        <f>MID(D294,FIND(";",SUBSTITUTE(D294,"|",REPT(";",LEN(D294)),3))+1,FIND(";",SUBSTITUTE(D294,"|",REPT(";",LEN(D294)),4))-FIND(";",SUBSTITUTE(D294,"|",REPT(";",LEN(D294)),3))-1)</f>
        <v/>
      </c>
      <c r="M294" s="11">
        <f>MID(D294,FIND(";",SUBSTITUTE(D294,"|",REPT(";",LEN(D294)),4))+1,FIND(";",SUBSTITUTE(D294,"|",REPT(";",LEN(D294)),5))-FIND(";",SUBSTITUTE(D294,"|",REPT(";",LEN(D294)),4))-1)</f>
        <v/>
      </c>
      <c r="N294" s="11">
        <f>MID(D294,FIND(";",SUBSTITUTE(D294,"|",REPT(";",LEN(D294)),6))+1,LEN(D294))</f>
        <v/>
      </c>
      <c r="O294" s="11">
        <f>MID(D294,FIND(";",SUBSTITUTE(D294,"|",REPT(";",LEN(D294)),5))+1,FIND(";",SUBSTITUTE(D294,"|",REPT(";",LEN(D294)),6))-FIND(";",SUBSTITUTE(D294,"|",REPT(";",LEN(D294)),5))-1)</f>
        <v/>
      </c>
    </row>
    <row r="295" ht="140" customHeight="1" s="21">
      <c r="A295" s="13" t="inlineStr">
        <is>
          <t>100201</t>
        </is>
      </c>
      <c r="B295" s="13" t="inlineStr">
        <is>
          <t>圆钢</t>
        </is>
      </c>
      <c r="C295" s="13" t="inlineStr">
        <is>
          <t>600994900</t>
        </is>
      </c>
      <c r="D295" s="13" t="inlineStr">
        <is>
          <t>热轧航空用不锈圆钢|圆钢|1Cr18Ni9Ti|Φ45|GJB 2294-1995|热轧|GB/T 702-2008</t>
        </is>
      </c>
      <c r="E295" s="13" t="inlineStr">
        <is>
          <t>物资名称 热轧航空用不锈圆钢;物资简称 圆钢;牌号 1Cr18Ni9Ti;直径 Φ45;技术标准号 GJB 2294-1995;加工工艺 热轧;热处理工艺 ;特殊要求 ;规格标准号 GB/T 702-2008</t>
        </is>
      </c>
      <c r="F295" s="12" t="inlineStr">
        <is>
          <t>千克</t>
        </is>
      </c>
      <c r="G295" s="11">
        <f>LEFT(D295,FIND("|",D295,1)-1)</f>
        <v/>
      </c>
      <c r="H295" s="11">
        <f>MID(D295,FIND("|",D295,FIND("|",D295,1))+1,FIND("|",D295,FIND("|",D295,1)+1)-FIND("|",D295,FIND("|",D295,1))-1)</f>
        <v/>
      </c>
      <c r="J295" s="11">
        <f>MID(D295,FIND(";",SUBSTITUTE(D295,"|",REPT(";",LEN(D295)),2))+1,FIND(";",SUBSTITUTE(D295,"|",REPT(";",LEN(D295)),3))-FIND(";",SUBSTITUTE(D295,"|",REPT(";",LEN(D295)),2))-1)</f>
        <v/>
      </c>
      <c r="K295" s="11">
        <f>MID(D295,FIND(";",SUBSTITUTE(D295,"|",REPT(";",LEN(D295)),3))+1,FIND(";",SUBSTITUTE(D295,"|",REPT(";",LEN(D295)),4))-FIND(";",SUBSTITUTE(D295,"|",REPT(";",LEN(D295)),3))-1)</f>
        <v/>
      </c>
      <c r="M295" s="11">
        <f>MID(D295,FIND(";",SUBSTITUTE(D295,"|",REPT(";",LEN(D295)),4))+1,FIND(";",SUBSTITUTE(D295,"|",REPT(";",LEN(D295)),5))-FIND(";",SUBSTITUTE(D295,"|",REPT(";",LEN(D295)),4))-1)</f>
        <v/>
      </c>
      <c r="N295" s="11">
        <f>MID(D295,FIND(";",SUBSTITUTE(D295,"|",REPT(";",LEN(D295)),6))+1,LEN(D295))</f>
        <v/>
      </c>
      <c r="O295" s="11">
        <f>MID(D295,FIND(";",SUBSTITUTE(D295,"|",REPT(";",LEN(D295)),5))+1,FIND(";",SUBSTITUTE(D295,"|",REPT(";",LEN(D295)),6))-FIND(";",SUBSTITUTE(D295,"|",REPT(";",LEN(D295)),5))-1)</f>
        <v/>
      </c>
    </row>
    <row r="296" ht="140" customHeight="1" s="21">
      <c r="A296" s="13" t="inlineStr">
        <is>
          <t>100201</t>
        </is>
      </c>
      <c r="B296" s="13" t="inlineStr">
        <is>
          <t>圆钢</t>
        </is>
      </c>
      <c r="C296" s="13" t="inlineStr">
        <is>
          <t>600994800</t>
        </is>
      </c>
      <c r="D296" s="13" t="inlineStr">
        <is>
          <t>热轧航空用不锈圆钢|圆钢|1Cr18Ni9Ti|Φ48|GJB 2294-1995|热轧|GB/T 702-2008</t>
        </is>
      </c>
      <c r="E296" s="13" t="inlineStr">
        <is>
          <t>物资名称 热轧航空用不锈圆钢;物资简称 圆钢;牌号 1Cr18Ni9Ti;直径 Φ48;技术标准号 GJB 2294-1995;加工工艺 热轧;热处理工艺 ;特殊要求 ;规格标准号 GB/T 702-2008</t>
        </is>
      </c>
      <c r="F296" s="12" t="inlineStr">
        <is>
          <t>千克</t>
        </is>
      </c>
      <c r="G296" s="11">
        <f>LEFT(D296,FIND("|",D296,1)-1)</f>
        <v/>
      </c>
      <c r="H296" s="11">
        <f>MID(D296,FIND("|",D296,FIND("|",D296,1))+1,FIND("|",D296,FIND("|",D296,1)+1)-FIND("|",D296,FIND("|",D296,1))-1)</f>
        <v/>
      </c>
      <c r="J296" s="11">
        <f>MID(D296,FIND(";",SUBSTITUTE(D296,"|",REPT(";",LEN(D296)),2))+1,FIND(";",SUBSTITUTE(D296,"|",REPT(";",LEN(D296)),3))-FIND(";",SUBSTITUTE(D296,"|",REPT(";",LEN(D296)),2))-1)</f>
        <v/>
      </c>
      <c r="K296" s="11">
        <f>MID(D296,FIND(";",SUBSTITUTE(D296,"|",REPT(";",LEN(D296)),3))+1,FIND(";",SUBSTITUTE(D296,"|",REPT(";",LEN(D296)),4))-FIND(";",SUBSTITUTE(D296,"|",REPT(";",LEN(D296)),3))-1)</f>
        <v/>
      </c>
      <c r="M296" s="11">
        <f>MID(D296,FIND(";",SUBSTITUTE(D296,"|",REPT(";",LEN(D296)),4))+1,FIND(";",SUBSTITUTE(D296,"|",REPT(";",LEN(D296)),5))-FIND(";",SUBSTITUTE(D296,"|",REPT(";",LEN(D296)),4))-1)</f>
        <v/>
      </c>
      <c r="N296" s="11">
        <f>MID(D296,FIND(";",SUBSTITUTE(D296,"|",REPT(";",LEN(D296)),6))+1,LEN(D296))</f>
        <v/>
      </c>
      <c r="O296" s="11">
        <f>MID(D296,FIND(";",SUBSTITUTE(D296,"|",REPT(";",LEN(D296)),5))+1,FIND(";",SUBSTITUTE(D296,"|",REPT(";",LEN(D296)),6))-FIND(";",SUBSTITUTE(D296,"|",REPT(";",LEN(D296)),5))-1)</f>
        <v/>
      </c>
    </row>
    <row r="297" ht="140" customHeight="1" s="21">
      <c r="A297" s="13" t="inlineStr">
        <is>
          <t>100201</t>
        </is>
      </c>
      <c r="B297" s="13" t="inlineStr">
        <is>
          <t>圆钢</t>
        </is>
      </c>
      <c r="C297" s="13" t="inlineStr">
        <is>
          <t>600994700</t>
        </is>
      </c>
      <c r="D297" s="13" t="inlineStr">
        <is>
          <t>热轧航空用不锈圆钢|圆钢|1Cr18Ni9Ti|Φ34|GJB 2294-1995|热轧|GB/T 702-2008</t>
        </is>
      </c>
      <c r="E297" s="13" t="inlineStr">
        <is>
          <t>物资名称 热轧航空用不锈圆钢;物资简称 圆钢;牌号 1Cr18Ni9Ti;直径 Φ34;技术标准号 GJB 2294-1995;加工工艺 热轧;热处理工艺 ;特殊要求 ;规格标准号 GB/T 702-2008</t>
        </is>
      </c>
      <c r="F297" s="12" t="inlineStr">
        <is>
          <t>千克</t>
        </is>
      </c>
      <c r="G297" s="11">
        <f>LEFT(D297,FIND("|",D297,1)-1)</f>
        <v/>
      </c>
      <c r="H297" s="11">
        <f>MID(D297,FIND("|",D297,FIND("|",D297,1))+1,FIND("|",D297,FIND("|",D297,1)+1)-FIND("|",D297,FIND("|",D297,1))-1)</f>
        <v/>
      </c>
      <c r="J297" s="11">
        <f>MID(D297,FIND(";",SUBSTITUTE(D297,"|",REPT(";",LEN(D297)),2))+1,FIND(";",SUBSTITUTE(D297,"|",REPT(";",LEN(D297)),3))-FIND(";",SUBSTITUTE(D297,"|",REPT(";",LEN(D297)),2))-1)</f>
        <v/>
      </c>
      <c r="K297" s="11">
        <f>MID(D297,FIND(";",SUBSTITUTE(D297,"|",REPT(";",LEN(D297)),3))+1,FIND(";",SUBSTITUTE(D297,"|",REPT(";",LEN(D297)),4))-FIND(";",SUBSTITUTE(D297,"|",REPT(";",LEN(D297)),3))-1)</f>
        <v/>
      </c>
      <c r="M297" s="11">
        <f>MID(D297,FIND(";",SUBSTITUTE(D297,"|",REPT(";",LEN(D297)),4))+1,FIND(";",SUBSTITUTE(D297,"|",REPT(";",LEN(D297)),5))-FIND(";",SUBSTITUTE(D297,"|",REPT(";",LEN(D297)),4))-1)</f>
        <v/>
      </c>
      <c r="N297" s="11">
        <f>MID(D297,FIND(";",SUBSTITUTE(D297,"|",REPT(";",LEN(D297)),6))+1,LEN(D297))</f>
        <v/>
      </c>
      <c r="O297" s="11">
        <f>MID(D297,FIND(";",SUBSTITUTE(D297,"|",REPT(";",LEN(D297)),5))+1,FIND(";",SUBSTITUTE(D297,"|",REPT(";",LEN(D297)),6))-FIND(";",SUBSTITUTE(D297,"|",REPT(";",LEN(D297)),5))-1)</f>
        <v/>
      </c>
    </row>
    <row r="298" ht="140" customHeight="1" s="21">
      <c r="A298" s="13" t="inlineStr">
        <is>
          <t>100201</t>
        </is>
      </c>
      <c r="B298" s="13" t="inlineStr">
        <is>
          <t>圆钢</t>
        </is>
      </c>
      <c r="C298" s="13" t="inlineStr">
        <is>
          <t>600994600</t>
        </is>
      </c>
      <c r="D298" s="13" t="inlineStr">
        <is>
          <t>热轧航空用不锈圆钢|圆钢|1Cr18Ni9Ti|Φ28|GJB 2294-1995|热轧|GB/T 702-2008</t>
        </is>
      </c>
      <c r="E298" s="13" t="inlineStr">
        <is>
          <t>物资名称 热轧航空用不锈圆钢;物资简称 圆钢;牌号 1Cr18Ni9Ti;直径 Φ28;技术标准号 GJB 2294-1995;加工工艺 热轧;热处理工艺 ;特殊要求 ;规格标准号 GB/T 702-2008</t>
        </is>
      </c>
      <c r="F298" s="12" t="inlineStr">
        <is>
          <t>千克</t>
        </is>
      </c>
      <c r="G298" s="11">
        <f>LEFT(D298,FIND("|",D298,1)-1)</f>
        <v/>
      </c>
      <c r="H298" s="11">
        <f>MID(D298,FIND("|",D298,FIND("|",D298,1))+1,FIND("|",D298,FIND("|",D298,1)+1)-FIND("|",D298,FIND("|",D298,1))-1)</f>
        <v/>
      </c>
      <c r="J298" s="11">
        <f>MID(D298,FIND(";",SUBSTITUTE(D298,"|",REPT(";",LEN(D298)),2))+1,FIND(";",SUBSTITUTE(D298,"|",REPT(";",LEN(D298)),3))-FIND(";",SUBSTITUTE(D298,"|",REPT(";",LEN(D298)),2))-1)</f>
        <v/>
      </c>
      <c r="K298" s="11">
        <f>MID(D298,FIND(";",SUBSTITUTE(D298,"|",REPT(";",LEN(D298)),3))+1,FIND(";",SUBSTITUTE(D298,"|",REPT(";",LEN(D298)),4))-FIND(";",SUBSTITUTE(D298,"|",REPT(";",LEN(D298)),3))-1)</f>
        <v/>
      </c>
      <c r="M298" s="11">
        <f>MID(D298,FIND(";",SUBSTITUTE(D298,"|",REPT(";",LEN(D298)),4))+1,FIND(";",SUBSTITUTE(D298,"|",REPT(";",LEN(D298)),5))-FIND(";",SUBSTITUTE(D298,"|",REPT(";",LEN(D298)),4))-1)</f>
        <v/>
      </c>
      <c r="N298" s="11">
        <f>MID(D298,FIND(";",SUBSTITUTE(D298,"|",REPT(";",LEN(D298)),6))+1,LEN(D298))</f>
        <v/>
      </c>
      <c r="O298" s="11">
        <f>MID(D298,FIND(";",SUBSTITUTE(D298,"|",REPT(";",LEN(D298)),5))+1,FIND(";",SUBSTITUTE(D298,"|",REPT(";",LEN(D298)),6))-FIND(";",SUBSTITUTE(D298,"|",REPT(";",LEN(D298)),5))-1)</f>
        <v/>
      </c>
    </row>
    <row r="299" ht="140" customHeight="1" s="21">
      <c r="A299" s="13" t="inlineStr">
        <is>
          <t>100201</t>
        </is>
      </c>
      <c r="B299" s="13" t="inlineStr">
        <is>
          <t>圆钢</t>
        </is>
      </c>
      <c r="C299" s="13" t="inlineStr">
        <is>
          <t>600993500</t>
        </is>
      </c>
      <c r="D299" s="13" t="inlineStr">
        <is>
          <t>热轧不锈圆钢|圆钢|Y1Cr18Ni9|Φ30|GB 1220-1992|热轧|GB/T 702-2008</t>
        </is>
      </c>
      <c r="E299" s="13" t="inlineStr">
        <is>
          <t>物资名称 热轧不锈圆钢;物资简称 圆钢;牌号 Y1Cr18Ni9;直径 Φ30;技术标准号 GB 1220-1992;加工工艺 热轧;热处理工艺 ;特殊要求 ;规格标准号 GB/T 702-2008</t>
        </is>
      </c>
      <c r="F299" s="12" t="inlineStr">
        <is>
          <t>千克</t>
        </is>
      </c>
      <c r="G299" s="11">
        <f>LEFT(D299,FIND("|",D299,1)-1)</f>
        <v/>
      </c>
      <c r="H299" s="11">
        <f>MID(D299,FIND("|",D299,FIND("|",D299,1))+1,FIND("|",D299,FIND("|",D299,1)+1)-FIND("|",D299,FIND("|",D299,1))-1)</f>
        <v/>
      </c>
      <c r="J299" s="11">
        <f>MID(D299,FIND(";",SUBSTITUTE(D299,"|",REPT(";",LEN(D299)),2))+1,FIND(";",SUBSTITUTE(D299,"|",REPT(";",LEN(D299)),3))-FIND(";",SUBSTITUTE(D299,"|",REPT(";",LEN(D299)),2))-1)</f>
        <v/>
      </c>
      <c r="K299" s="11">
        <f>MID(D299,FIND(";",SUBSTITUTE(D299,"|",REPT(";",LEN(D299)),3))+1,FIND(";",SUBSTITUTE(D299,"|",REPT(";",LEN(D299)),4))-FIND(";",SUBSTITUTE(D299,"|",REPT(";",LEN(D299)),3))-1)</f>
        <v/>
      </c>
      <c r="M299" s="11">
        <f>MID(D299,FIND(";",SUBSTITUTE(D299,"|",REPT(";",LEN(D299)),4))+1,FIND(";",SUBSTITUTE(D299,"|",REPT(";",LEN(D299)),5))-FIND(";",SUBSTITUTE(D299,"|",REPT(";",LEN(D299)),4))-1)</f>
        <v/>
      </c>
      <c r="N299" s="11">
        <f>MID(D299,FIND(";",SUBSTITUTE(D299,"|",REPT(";",LEN(D299)),6))+1,LEN(D299))</f>
        <v/>
      </c>
      <c r="O299" s="11">
        <f>MID(D299,FIND(";",SUBSTITUTE(D299,"|",REPT(";",LEN(D299)),5))+1,FIND(";",SUBSTITUTE(D299,"|",REPT(";",LEN(D299)),6))-FIND(";",SUBSTITUTE(D299,"|",REPT(";",LEN(D299)),5))-1)</f>
        <v/>
      </c>
    </row>
    <row r="300" ht="140" customHeight="1" s="21">
      <c r="A300" s="13" t="inlineStr">
        <is>
          <t>100201</t>
        </is>
      </c>
      <c r="B300" s="13" t="inlineStr">
        <is>
          <t>圆钢</t>
        </is>
      </c>
      <c r="C300" s="13" t="inlineStr">
        <is>
          <t>600992800</t>
        </is>
      </c>
      <c r="D300" s="13" t="inlineStr">
        <is>
          <t>热轧航空用不锈圆钢|圆钢|Y2Cr13Ni2|Φ28|GJB 2294-95|热轧|GB/T 702-2008</t>
        </is>
      </c>
      <c r="E300" s="13" t="inlineStr">
        <is>
          <t>物资名称 热轧航空用不锈圆钢;物资简称 圆钢;牌号 Y2Cr13Ni2;直径 Φ28;技术标准号 GJB 2294-95;加工工艺 热轧;热处理工艺 ;特殊要求 ;规格标准号 GB/T 702-2008</t>
        </is>
      </c>
      <c r="F300" s="12" t="inlineStr">
        <is>
          <t>千克</t>
        </is>
      </c>
      <c r="G300" s="11">
        <f>LEFT(D300,FIND("|",D300,1)-1)</f>
        <v/>
      </c>
      <c r="H300" s="11">
        <f>MID(D300,FIND("|",D300,FIND("|",D300,1))+1,FIND("|",D300,FIND("|",D300,1)+1)-FIND("|",D300,FIND("|",D300,1))-1)</f>
        <v/>
      </c>
      <c r="J300" s="11">
        <f>MID(D300,FIND(";",SUBSTITUTE(D300,"|",REPT(";",LEN(D300)),2))+1,FIND(";",SUBSTITUTE(D300,"|",REPT(";",LEN(D300)),3))-FIND(";",SUBSTITUTE(D300,"|",REPT(";",LEN(D300)),2))-1)</f>
        <v/>
      </c>
      <c r="K300" s="11">
        <f>MID(D300,FIND(";",SUBSTITUTE(D300,"|",REPT(";",LEN(D300)),3))+1,FIND(";",SUBSTITUTE(D300,"|",REPT(";",LEN(D300)),4))-FIND(";",SUBSTITUTE(D300,"|",REPT(";",LEN(D300)),3))-1)</f>
        <v/>
      </c>
      <c r="M300" s="11">
        <f>MID(D300,FIND(";",SUBSTITUTE(D300,"|",REPT(";",LEN(D300)),4))+1,FIND(";",SUBSTITUTE(D300,"|",REPT(";",LEN(D300)),5))-FIND(";",SUBSTITUTE(D300,"|",REPT(";",LEN(D300)),4))-1)</f>
        <v/>
      </c>
      <c r="N300" s="11">
        <f>MID(D300,FIND(";",SUBSTITUTE(D300,"|",REPT(";",LEN(D300)),6))+1,LEN(D300))</f>
        <v/>
      </c>
      <c r="O300" s="11">
        <f>MID(D300,FIND(";",SUBSTITUTE(D300,"|",REPT(";",LEN(D300)),5))+1,FIND(";",SUBSTITUTE(D300,"|",REPT(";",LEN(D300)),6))-FIND(";",SUBSTITUTE(D300,"|",REPT(";",LEN(D300)),5))-1)</f>
        <v/>
      </c>
    </row>
    <row r="301" ht="140" customHeight="1" s="21">
      <c r="A301" s="13" t="inlineStr">
        <is>
          <t>100201</t>
        </is>
      </c>
      <c r="B301" s="13" t="inlineStr">
        <is>
          <t>圆钢</t>
        </is>
      </c>
      <c r="C301" s="13" t="inlineStr">
        <is>
          <t>600992700</t>
        </is>
      </c>
      <c r="D301" s="13" t="inlineStr">
        <is>
          <t>热轧航空用不锈圆钢|圆钢|Y2Cr13Ni2|Φ7|GJB 2294-1995|热轧|GB/T 702-2008</t>
        </is>
      </c>
      <c r="E301" s="13" t="inlineStr">
        <is>
          <t>物资名称 热轧航空用不锈圆钢;物资简称 圆钢;牌号 Y2Cr13Ni2;直径 Φ7;技术标准号 GJB 2294-1995;加工工艺 热轧;热处理工艺 ;特殊要求 ;规格标准号 GB/T 702-2008</t>
        </is>
      </c>
      <c r="F301" s="12" t="inlineStr">
        <is>
          <t>千克</t>
        </is>
      </c>
      <c r="G301" s="11">
        <f>LEFT(D301,FIND("|",D301,1)-1)</f>
        <v/>
      </c>
      <c r="H301" s="11">
        <f>MID(D301,FIND("|",D301,FIND("|",D301,1))+1,FIND("|",D301,FIND("|",D301,1)+1)-FIND("|",D301,FIND("|",D301,1))-1)</f>
        <v/>
      </c>
      <c r="J301" s="11">
        <f>MID(D301,FIND(";",SUBSTITUTE(D301,"|",REPT(";",LEN(D301)),2))+1,FIND(";",SUBSTITUTE(D301,"|",REPT(";",LEN(D301)),3))-FIND(";",SUBSTITUTE(D301,"|",REPT(";",LEN(D301)),2))-1)</f>
        <v/>
      </c>
      <c r="K301" s="11">
        <f>MID(D301,FIND(";",SUBSTITUTE(D301,"|",REPT(";",LEN(D301)),3))+1,FIND(";",SUBSTITUTE(D301,"|",REPT(";",LEN(D301)),4))-FIND(";",SUBSTITUTE(D301,"|",REPT(";",LEN(D301)),3))-1)</f>
        <v/>
      </c>
      <c r="M301" s="11">
        <f>MID(D301,FIND(";",SUBSTITUTE(D301,"|",REPT(";",LEN(D301)),4))+1,FIND(";",SUBSTITUTE(D301,"|",REPT(";",LEN(D301)),5))-FIND(";",SUBSTITUTE(D301,"|",REPT(";",LEN(D301)),4))-1)</f>
        <v/>
      </c>
      <c r="N301" s="11">
        <f>MID(D301,FIND(";",SUBSTITUTE(D301,"|",REPT(";",LEN(D301)),6))+1,LEN(D301))</f>
        <v/>
      </c>
      <c r="O301" s="11">
        <f>MID(D301,FIND(";",SUBSTITUTE(D301,"|",REPT(";",LEN(D301)),5))+1,FIND(";",SUBSTITUTE(D301,"|",REPT(";",LEN(D301)),6))-FIND(";",SUBSTITUTE(D301,"|",REPT(";",LEN(D301)),5))-1)</f>
        <v/>
      </c>
    </row>
    <row r="302" ht="140" customHeight="1" s="21">
      <c r="A302" s="13" t="inlineStr">
        <is>
          <t>100201</t>
        </is>
      </c>
      <c r="B302" s="13" t="inlineStr">
        <is>
          <t>圆钢</t>
        </is>
      </c>
      <c r="C302" s="13" t="inlineStr">
        <is>
          <t>600992600</t>
        </is>
      </c>
      <c r="D302" s="13" t="inlineStr">
        <is>
          <t>热轧航空用不锈圆钢|圆钢|Y2Cr13Ni2|Φ12|GJB 2294-1995|热轧|GB/T 702-2008</t>
        </is>
      </c>
      <c r="E302" s="13" t="inlineStr">
        <is>
          <t>物资名称 热轧航空用不锈圆钢;物资简称 圆钢;牌号 Y2Cr13Ni2;直径 Φ12;技术标准号 GJB 2294-1995;加工工艺 热轧;热处理工艺 ;特殊要求 ;规格标准号 GB/T 702-2008</t>
        </is>
      </c>
      <c r="F302" s="12" t="inlineStr">
        <is>
          <t>千克</t>
        </is>
      </c>
      <c r="G302" s="11">
        <f>LEFT(D302,FIND("|",D302,1)-1)</f>
        <v/>
      </c>
      <c r="H302" s="11">
        <f>MID(D302,FIND("|",D302,FIND("|",D302,1))+1,FIND("|",D302,FIND("|",D302,1)+1)-FIND("|",D302,FIND("|",D302,1))-1)</f>
        <v/>
      </c>
      <c r="J302" s="11">
        <f>MID(D302,FIND(";",SUBSTITUTE(D302,"|",REPT(";",LEN(D302)),2))+1,FIND(";",SUBSTITUTE(D302,"|",REPT(";",LEN(D302)),3))-FIND(";",SUBSTITUTE(D302,"|",REPT(";",LEN(D302)),2))-1)</f>
        <v/>
      </c>
      <c r="K302" s="11">
        <f>MID(D302,FIND(";",SUBSTITUTE(D302,"|",REPT(";",LEN(D302)),3))+1,FIND(";",SUBSTITUTE(D302,"|",REPT(";",LEN(D302)),4))-FIND(";",SUBSTITUTE(D302,"|",REPT(";",LEN(D302)),3))-1)</f>
        <v/>
      </c>
      <c r="M302" s="11">
        <f>MID(D302,FIND(";",SUBSTITUTE(D302,"|",REPT(";",LEN(D302)),4))+1,FIND(";",SUBSTITUTE(D302,"|",REPT(";",LEN(D302)),5))-FIND(";",SUBSTITUTE(D302,"|",REPT(";",LEN(D302)),4))-1)</f>
        <v/>
      </c>
      <c r="N302" s="11">
        <f>MID(D302,FIND(";",SUBSTITUTE(D302,"|",REPT(";",LEN(D302)),6))+1,LEN(D302))</f>
        <v/>
      </c>
      <c r="O302" s="11">
        <f>MID(D302,FIND(";",SUBSTITUTE(D302,"|",REPT(";",LEN(D302)),5))+1,FIND(";",SUBSTITUTE(D302,"|",REPT(";",LEN(D302)),6))-FIND(";",SUBSTITUTE(D302,"|",REPT(";",LEN(D302)),5))-1)</f>
        <v/>
      </c>
    </row>
    <row r="303" ht="140" customHeight="1" s="21">
      <c r="A303" s="13" t="inlineStr">
        <is>
          <t>100201</t>
        </is>
      </c>
      <c r="B303" s="13" t="inlineStr">
        <is>
          <t>圆钢</t>
        </is>
      </c>
      <c r="C303" s="13" t="inlineStr">
        <is>
          <t>600992500</t>
        </is>
      </c>
      <c r="D303" s="13" t="inlineStr">
        <is>
          <t>热轧航空用不锈圆钢|圆钢|Y2Cr13Ni2|Φ6|GJB 2294-1995|热轧|GB/T 702-2008</t>
        </is>
      </c>
      <c r="E303" s="13" t="inlineStr">
        <is>
          <t>物资名称 热轧航空用不锈圆钢;物资简称 圆钢;牌号 Y2Cr13Ni2;直径 Φ6;技术标准号 GJB 2294-1995;加工工艺 热轧;热处理工艺 ;特殊要求 ;规格标准号 GB/T 702-2008</t>
        </is>
      </c>
      <c r="F303" s="12" t="inlineStr">
        <is>
          <t>千克</t>
        </is>
      </c>
      <c r="G303" s="11">
        <f>LEFT(D303,FIND("|",D303,1)-1)</f>
        <v/>
      </c>
      <c r="H303" s="11">
        <f>MID(D303,FIND("|",D303,FIND("|",D303,1))+1,FIND("|",D303,FIND("|",D303,1)+1)-FIND("|",D303,FIND("|",D303,1))-1)</f>
        <v/>
      </c>
      <c r="J303" s="11">
        <f>MID(D303,FIND(";",SUBSTITUTE(D303,"|",REPT(";",LEN(D303)),2))+1,FIND(";",SUBSTITUTE(D303,"|",REPT(";",LEN(D303)),3))-FIND(";",SUBSTITUTE(D303,"|",REPT(";",LEN(D303)),2))-1)</f>
        <v/>
      </c>
      <c r="K303" s="11">
        <f>MID(D303,FIND(";",SUBSTITUTE(D303,"|",REPT(";",LEN(D303)),3))+1,FIND(";",SUBSTITUTE(D303,"|",REPT(";",LEN(D303)),4))-FIND(";",SUBSTITUTE(D303,"|",REPT(";",LEN(D303)),3))-1)</f>
        <v/>
      </c>
      <c r="M303" s="11">
        <f>MID(D303,FIND(";",SUBSTITUTE(D303,"|",REPT(";",LEN(D303)),4))+1,FIND(";",SUBSTITUTE(D303,"|",REPT(";",LEN(D303)),5))-FIND(";",SUBSTITUTE(D303,"|",REPT(";",LEN(D303)),4))-1)</f>
        <v/>
      </c>
      <c r="N303" s="11">
        <f>MID(D303,FIND(";",SUBSTITUTE(D303,"|",REPT(";",LEN(D303)),6))+1,LEN(D303))</f>
        <v/>
      </c>
      <c r="O303" s="11">
        <f>MID(D303,FIND(";",SUBSTITUTE(D303,"|",REPT(";",LEN(D303)),5))+1,FIND(";",SUBSTITUTE(D303,"|",REPT(";",LEN(D303)),6))-FIND(";",SUBSTITUTE(D303,"|",REPT(";",LEN(D303)),5))-1)</f>
        <v/>
      </c>
    </row>
    <row r="304" ht="140" customHeight="1" s="21">
      <c r="A304" s="13" t="inlineStr">
        <is>
          <t>100201</t>
        </is>
      </c>
      <c r="B304" s="13" t="inlineStr">
        <is>
          <t>圆钢</t>
        </is>
      </c>
      <c r="C304" s="13" t="inlineStr">
        <is>
          <t>600992400</t>
        </is>
      </c>
      <c r="D304" s="13" t="inlineStr">
        <is>
          <t>热轧航空用不锈圆钢|圆钢|Y2Cr13Ni2|Φ18|GJB 2294-1995|GB/T 702-2008</t>
        </is>
      </c>
      <c r="E304" s="13" t="inlineStr">
        <is>
          <t>物资名称 热轧航空用不锈圆钢;物资简称 圆钢;牌号 Y2Cr13Ni2;直径 Φ18;技术标准号 GJB 2294-1995;加工工艺 ;热处理工艺 ;特殊要求 ;规格标准号 GB/T 702-2008</t>
        </is>
      </c>
      <c r="F304" s="12" t="inlineStr">
        <is>
          <t>千克</t>
        </is>
      </c>
      <c r="G304" s="11">
        <f>LEFT(D304,FIND("|",D304,1)-1)</f>
        <v/>
      </c>
      <c r="H304" s="11">
        <f>MID(D304,FIND("|",D304,FIND("|",D304,1))+1,FIND("|",D304,FIND("|",D304,1)+1)-FIND("|",D304,FIND("|",D304,1))-1)</f>
        <v/>
      </c>
      <c r="J304" s="11">
        <f>MID(D304,FIND(";",SUBSTITUTE(D304,"|",REPT(";",LEN(D304)),2))+1,FIND(";",SUBSTITUTE(D304,"|",REPT(";",LEN(D304)),3))-FIND(";",SUBSTITUTE(D304,"|",REPT(";",LEN(D304)),2))-1)</f>
        <v/>
      </c>
      <c r="K304" s="11">
        <f>MID(D304,FIND(";",SUBSTITUTE(D304,"|",REPT(";",LEN(D304)),3))+1,FIND(";",SUBSTITUTE(D304,"|",REPT(";",LEN(D304)),4))-FIND(";",SUBSTITUTE(D304,"|",REPT(";",LEN(D304)),3))-1)</f>
        <v/>
      </c>
      <c r="M304" s="11">
        <f>MID(D304,FIND(";",SUBSTITUTE(D304,"|",REPT(";",LEN(D304)),4))+1,FIND(";",SUBSTITUTE(D304,"|",REPT(";",LEN(D304)),5))-FIND(";",SUBSTITUTE(D304,"|",REPT(";",LEN(D304)),4))-1)</f>
        <v/>
      </c>
      <c r="N304" s="11">
        <f>MID(D304,FIND(";",SUBSTITUTE(D304,"|",REPT(";",LEN(D304)),5))+1,LEN(D304))</f>
        <v/>
      </c>
    </row>
    <row r="305" ht="140" customHeight="1" s="21">
      <c r="A305" s="13" t="inlineStr">
        <is>
          <t>100201</t>
        </is>
      </c>
      <c r="B305" s="13" t="inlineStr">
        <is>
          <t>圆钢</t>
        </is>
      </c>
      <c r="C305" s="13" t="inlineStr">
        <is>
          <t>600992300</t>
        </is>
      </c>
      <c r="D305" s="13" t="inlineStr">
        <is>
          <t>热轧航空用不锈圆钢|圆钢|Y2Cr13Ni2|Φ16|GJB 2294-1995|GB/T 702-2008</t>
        </is>
      </c>
      <c r="E305" s="13" t="inlineStr">
        <is>
          <t>物资名称 热轧航空用不锈圆钢;物资简称 圆钢;牌号 Y2Cr13Ni2;直径 Φ16;技术标准号 GJB 2294-1995;加工工艺 ;热处理工艺 ;特殊要求 ;规格标准号 GB/T 702-2008</t>
        </is>
      </c>
      <c r="F305" s="12" t="inlineStr">
        <is>
          <t>千克</t>
        </is>
      </c>
      <c r="G305" s="11">
        <f>LEFT(D305,FIND("|",D305,1)-1)</f>
        <v/>
      </c>
      <c r="H305" s="11">
        <f>MID(D305,FIND("|",D305,FIND("|",D305,1))+1,FIND("|",D305,FIND("|",D305,1)+1)-FIND("|",D305,FIND("|",D305,1))-1)</f>
        <v/>
      </c>
      <c r="J305" s="11">
        <f>MID(D305,FIND(";",SUBSTITUTE(D305,"|",REPT(";",LEN(D305)),2))+1,FIND(";",SUBSTITUTE(D305,"|",REPT(";",LEN(D305)),3))-FIND(";",SUBSTITUTE(D305,"|",REPT(";",LEN(D305)),2))-1)</f>
        <v/>
      </c>
      <c r="K305" s="11">
        <f>MID(D305,FIND(";",SUBSTITUTE(D305,"|",REPT(";",LEN(D305)),3))+1,FIND(";",SUBSTITUTE(D305,"|",REPT(";",LEN(D305)),4))-FIND(";",SUBSTITUTE(D305,"|",REPT(";",LEN(D305)),3))-1)</f>
        <v/>
      </c>
      <c r="M305" s="11">
        <f>MID(D305,FIND(";",SUBSTITUTE(D305,"|",REPT(";",LEN(D305)),4))+1,FIND(";",SUBSTITUTE(D305,"|",REPT(";",LEN(D305)),5))-FIND(";",SUBSTITUTE(D305,"|",REPT(";",LEN(D305)),4))-1)</f>
        <v/>
      </c>
      <c r="N305" s="11">
        <f>MID(D305,FIND(";",SUBSTITUTE(D305,"|",REPT(";",LEN(D305)),5))+1,LEN(D305))</f>
        <v/>
      </c>
    </row>
    <row r="306" ht="140" customHeight="1" s="21">
      <c r="A306" s="13" t="inlineStr">
        <is>
          <t>100201</t>
        </is>
      </c>
      <c r="B306" s="13" t="inlineStr">
        <is>
          <t>圆钢</t>
        </is>
      </c>
      <c r="C306" s="13" t="inlineStr">
        <is>
          <t>600992200</t>
        </is>
      </c>
      <c r="D306" s="13" t="inlineStr">
        <is>
          <t>热轧航空用不锈圆钢|圆钢|Y2Cr13Ni2|Φ11|GJB 2294-1995|GB/T 702-2008</t>
        </is>
      </c>
      <c r="E306" s="13" t="inlineStr">
        <is>
          <t>物资名称 热轧航空用不锈圆钢;物资简称 圆钢;牌号 Y2Cr13Ni2;直径 Φ11;技术标准号 GJB 2294-1995;加工工艺 ;热处理工艺 ;特殊要求 ;规格标准号 GB/T 702-2008</t>
        </is>
      </c>
      <c r="F306" s="12" t="inlineStr">
        <is>
          <t>千克</t>
        </is>
      </c>
      <c r="G306" s="11">
        <f>LEFT(D306,FIND("|",D306,1)-1)</f>
        <v/>
      </c>
      <c r="H306" s="11">
        <f>MID(D306,FIND("|",D306,FIND("|",D306,1))+1,FIND("|",D306,FIND("|",D306,1)+1)-FIND("|",D306,FIND("|",D306,1))-1)</f>
        <v/>
      </c>
      <c r="J306" s="11">
        <f>MID(D306,FIND(";",SUBSTITUTE(D306,"|",REPT(";",LEN(D306)),2))+1,FIND(";",SUBSTITUTE(D306,"|",REPT(";",LEN(D306)),3))-FIND(";",SUBSTITUTE(D306,"|",REPT(";",LEN(D306)),2))-1)</f>
        <v/>
      </c>
      <c r="K306" s="11">
        <f>MID(D306,FIND(";",SUBSTITUTE(D306,"|",REPT(";",LEN(D306)),3))+1,FIND(";",SUBSTITUTE(D306,"|",REPT(";",LEN(D306)),4))-FIND(";",SUBSTITUTE(D306,"|",REPT(";",LEN(D306)),3))-1)</f>
        <v/>
      </c>
      <c r="M306" s="11">
        <f>MID(D306,FIND(";",SUBSTITUTE(D306,"|",REPT(";",LEN(D306)),4))+1,FIND(";",SUBSTITUTE(D306,"|",REPT(";",LEN(D306)),5))-FIND(";",SUBSTITUTE(D306,"|",REPT(";",LEN(D306)),4))-1)</f>
        <v/>
      </c>
      <c r="N306" s="11">
        <f>MID(D306,FIND(";",SUBSTITUTE(D306,"|",REPT(";",LEN(D306)),5))+1,LEN(D306))</f>
        <v/>
      </c>
    </row>
    <row r="307" ht="140" customHeight="1" s="21">
      <c r="A307" s="13" t="inlineStr">
        <is>
          <t>100201</t>
        </is>
      </c>
      <c r="B307" s="13" t="inlineStr">
        <is>
          <t>圆钢</t>
        </is>
      </c>
      <c r="C307" s="13" t="inlineStr">
        <is>
          <t>600992100</t>
        </is>
      </c>
      <c r="D307" s="13" t="inlineStr">
        <is>
          <t>热轧航空用不锈圆钢|圆钢|Y2Cr13Ni2|Φ35|GJB 2294-1995|GB/T 702-2008</t>
        </is>
      </c>
      <c r="E307" s="13" t="inlineStr">
        <is>
          <t>物资名称 热轧航空用不锈圆钢;物资简称 圆钢;牌号 Y2Cr13Ni2;直径 Φ35;技术标准号 GJB 2294-1995;加工工艺 ;热处理工艺 ;特殊要求 ;规格标准号 GB/T 702-2008</t>
        </is>
      </c>
      <c r="F307" s="12" t="inlineStr">
        <is>
          <t>千克</t>
        </is>
      </c>
      <c r="G307" s="11">
        <f>LEFT(D307,FIND("|",D307,1)-1)</f>
        <v/>
      </c>
      <c r="H307" s="11">
        <f>MID(D307,FIND("|",D307,FIND("|",D307,1))+1,FIND("|",D307,FIND("|",D307,1)+1)-FIND("|",D307,FIND("|",D307,1))-1)</f>
        <v/>
      </c>
      <c r="J307" s="11">
        <f>MID(D307,FIND(";",SUBSTITUTE(D307,"|",REPT(";",LEN(D307)),2))+1,FIND(";",SUBSTITUTE(D307,"|",REPT(";",LEN(D307)),3))-FIND(";",SUBSTITUTE(D307,"|",REPT(";",LEN(D307)),2))-1)</f>
        <v/>
      </c>
      <c r="K307" s="11">
        <f>MID(D307,FIND(";",SUBSTITUTE(D307,"|",REPT(";",LEN(D307)),3))+1,FIND(";",SUBSTITUTE(D307,"|",REPT(";",LEN(D307)),4))-FIND(";",SUBSTITUTE(D307,"|",REPT(";",LEN(D307)),3))-1)</f>
        <v/>
      </c>
      <c r="M307" s="11">
        <f>MID(D307,FIND(";",SUBSTITUTE(D307,"|",REPT(";",LEN(D307)),4))+1,FIND(";",SUBSTITUTE(D307,"|",REPT(";",LEN(D307)),5))-FIND(";",SUBSTITUTE(D307,"|",REPT(";",LEN(D307)),4))-1)</f>
        <v/>
      </c>
      <c r="N307" s="11">
        <f>MID(D307,FIND(";",SUBSTITUTE(D307,"|",REPT(";",LEN(D307)),5))+1,LEN(D307))</f>
        <v/>
      </c>
    </row>
    <row r="308" ht="140" customHeight="1" s="21">
      <c r="A308" s="13" t="inlineStr">
        <is>
          <t>100201</t>
        </is>
      </c>
      <c r="B308" s="13" t="inlineStr">
        <is>
          <t>圆钢</t>
        </is>
      </c>
      <c r="C308" s="13" t="inlineStr">
        <is>
          <t>600992000</t>
        </is>
      </c>
      <c r="D308" s="13" t="inlineStr">
        <is>
          <t>热轧航空用不锈圆钢|圆钢|Y2Cr13Ni2|Φ9|GJB 2294-1995|热轧|GB/T 702-2008</t>
        </is>
      </c>
      <c r="E308" s="13" t="inlineStr">
        <is>
          <t>物资名称 热轧航空用不锈圆钢;物资简称 圆钢;牌号 Y2Cr13Ni2;直径 Φ9;技术标准号 GJB 2294-1995;加工工艺 热轧;热处理工艺 ;特殊要求 ;规格标准号 GB/T 702-2008</t>
        </is>
      </c>
      <c r="F308" s="12" t="inlineStr">
        <is>
          <t>千克</t>
        </is>
      </c>
      <c r="G308" s="11">
        <f>LEFT(D308,FIND("|",D308,1)-1)</f>
        <v/>
      </c>
      <c r="H308" s="11">
        <f>MID(D308,FIND("|",D308,FIND("|",D308,1))+1,FIND("|",D308,FIND("|",D308,1)+1)-FIND("|",D308,FIND("|",D308,1))-1)</f>
        <v/>
      </c>
      <c r="J308" s="11">
        <f>MID(D308,FIND(";",SUBSTITUTE(D308,"|",REPT(";",LEN(D308)),2))+1,FIND(";",SUBSTITUTE(D308,"|",REPT(";",LEN(D308)),3))-FIND(";",SUBSTITUTE(D308,"|",REPT(";",LEN(D308)),2))-1)</f>
        <v/>
      </c>
      <c r="K308" s="11">
        <f>MID(D308,FIND(";",SUBSTITUTE(D308,"|",REPT(";",LEN(D308)),3))+1,FIND(";",SUBSTITUTE(D308,"|",REPT(";",LEN(D308)),4))-FIND(";",SUBSTITUTE(D308,"|",REPT(";",LEN(D308)),3))-1)</f>
        <v/>
      </c>
      <c r="M308" s="11">
        <f>MID(D308,FIND(";",SUBSTITUTE(D308,"|",REPT(";",LEN(D308)),4))+1,FIND(";",SUBSTITUTE(D308,"|",REPT(";",LEN(D308)),5))-FIND(";",SUBSTITUTE(D308,"|",REPT(";",LEN(D308)),4))-1)</f>
        <v/>
      </c>
      <c r="N308" s="11">
        <f>MID(D308,FIND(";",SUBSTITUTE(D308,"|",REPT(";",LEN(D308)),6))+1,LEN(D308))</f>
        <v/>
      </c>
      <c r="O308" s="11">
        <f>MID(D308,FIND(";",SUBSTITUTE(D308,"|",REPT(";",LEN(D308)),5))+1,FIND(";",SUBSTITUTE(D308,"|",REPT(";",LEN(D308)),6))-FIND(";",SUBSTITUTE(D308,"|",REPT(";",LEN(D308)),5))-1)</f>
        <v/>
      </c>
    </row>
    <row r="309" ht="140" customHeight="1" s="21">
      <c r="A309" s="13" t="inlineStr">
        <is>
          <t>100201</t>
        </is>
      </c>
      <c r="B309" s="13" t="inlineStr">
        <is>
          <t>圆钢</t>
        </is>
      </c>
      <c r="C309" s="13" t="inlineStr">
        <is>
          <t>600991900</t>
        </is>
      </c>
      <c r="D309" s="13" t="inlineStr">
        <is>
          <t>热轧航空用不锈圆钢|圆钢|Y2Cr13Ni2|Φ5|GJB 2294-1995|热轧|GB/T 702-2008</t>
        </is>
      </c>
      <c r="E309" s="13" t="inlineStr">
        <is>
          <t>物资名称 热轧航空用不锈圆钢;物资简称 圆钢;牌号 Y2Cr13Ni2;直径 Φ5;技术标准号 GJB 2294-1995;加工工艺 热轧;热处理工艺 ;特殊要求 ;规格标准号 GB/T 702-2008</t>
        </is>
      </c>
      <c r="F309" s="12" t="inlineStr">
        <is>
          <t>千克</t>
        </is>
      </c>
      <c r="G309" s="11">
        <f>LEFT(D309,FIND("|",D309,1)-1)</f>
        <v/>
      </c>
      <c r="H309" s="11">
        <f>MID(D309,FIND("|",D309,FIND("|",D309,1))+1,FIND("|",D309,FIND("|",D309,1)+1)-FIND("|",D309,FIND("|",D309,1))-1)</f>
        <v/>
      </c>
      <c r="J309" s="11">
        <f>MID(D309,FIND(";",SUBSTITUTE(D309,"|",REPT(";",LEN(D309)),2))+1,FIND(";",SUBSTITUTE(D309,"|",REPT(";",LEN(D309)),3))-FIND(";",SUBSTITUTE(D309,"|",REPT(";",LEN(D309)),2))-1)</f>
        <v/>
      </c>
      <c r="K309" s="11">
        <f>MID(D309,FIND(";",SUBSTITUTE(D309,"|",REPT(";",LEN(D309)),3))+1,FIND(";",SUBSTITUTE(D309,"|",REPT(";",LEN(D309)),4))-FIND(";",SUBSTITUTE(D309,"|",REPT(";",LEN(D309)),3))-1)</f>
        <v/>
      </c>
      <c r="M309" s="11">
        <f>MID(D309,FIND(";",SUBSTITUTE(D309,"|",REPT(";",LEN(D309)),4))+1,FIND(";",SUBSTITUTE(D309,"|",REPT(";",LEN(D309)),5))-FIND(";",SUBSTITUTE(D309,"|",REPT(";",LEN(D309)),4))-1)</f>
        <v/>
      </c>
      <c r="N309" s="11">
        <f>MID(D309,FIND(";",SUBSTITUTE(D309,"|",REPT(";",LEN(D309)),6))+1,LEN(D309))</f>
        <v/>
      </c>
      <c r="O309" s="11">
        <f>MID(D309,FIND(";",SUBSTITUTE(D309,"|",REPT(";",LEN(D309)),5))+1,FIND(";",SUBSTITUTE(D309,"|",REPT(";",LEN(D309)),6))-FIND(";",SUBSTITUTE(D309,"|",REPT(";",LEN(D309)),5))-1)</f>
        <v/>
      </c>
    </row>
    <row r="310" ht="140" customHeight="1" s="21">
      <c r="A310" s="13" t="inlineStr">
        <is>
          <t>100201</t>
        </is>
      </c>
      <c r="B310" s="13" t="inlineStr">
        <is>
          <t>圆钢</t>
        </is>
      </c>
      <c r="C310" s="13" t="inlineStr">
        <is>
          <t>600991800</t>
        </is>
      </c>
      <c r="D310" s="13" t="inlineStr">
        <is>
          <t>热轧高碳铬轴承圆钢|圆钢|GCr15|Φ8|GB/T 18254-2002|热轧|GB/T 702-2008</t>
        </is>
      </c>
      <c r="E310" s="13" t="inlineStr">
        <is>
          <t>物资名称 热轧高碳铬轴承圆钢;物资简称 圆钢;牌号 GCr15;直径 Φ8;技术标准号 GB/T 18254-2002;加工工艺 热轧;热处理工艺 ;特殊要求 ;规格标准号 GB/T 702-2008</t>
        </is>
      </c>
      <c r="F310" s="12" t="inlineStr">
        <is>
          <t>千克</t>
        </is>
      </c>
      <c r="G310" s="11">
        <f>LEFT(D310,FIND("|",D310,1)-1)</f>
        <v/>
      </c>
      <c r="H310" s="11">
        <f>MID(D310,FIND("|",D310,FIND("|",D310,1))+1,FIND("|",D310,FIND("|",D310,1)+1)-FIND("|",D310,FIND("|",D310,1))-1)</f>
        <v/>
      </c>
      <c r="J310" s="11">
        <f>MID(D310,FIND(";",SUBSTITUTE(D310,"|",REPT(";",LEN(D310)),2))+1,FIND(";",SUBSTITUTE(D310,"|",REPT(";",LEN(D310)),3))-FIND(";",SUBSTITUTE(D310,"|",REPT(";",LEN(D310)),2))-1)</f>
        <v/>
      </c>
      <c r="K310" s="11">
        <f>MID(D310,FIND(";",SUBSTITUTE(D310,"|",REPT(";",LEN(D310)),3))+1,FIND(";",SUBSTITUTE(D310,"|",REPT(";",LEN(D310)),4))-FIND(";",SUBSTITUTE(D310,"|",REPT(";",LEN(D310)),3))-1)</f>
        <v/>
      </c>
      <c r="M310" s="11">
        <f>MID(D310,FIND(";",SUBSTITUTE(D310,"|",REPT(";",LEN(D310)),4))+1,FIND(";",SUBSTITUTE(D310,"|",REPT(";",LEN(D310)),5))-FIND(";",SUBSTITUTE(D310,"|",REPT(";",LEN(D310)),4))-1)</f>
        <v/>
      </c>
      <c r="N310" s="11">
        <f>MID(D310,FIND(";",SUBSTITUTE(D310,"|",REPT(";",LEN(D310)),6))+1,LEN(D310))</f>
        <v/>
      </c>
      <c r="O310" s="11">
        <f>MID(D310,FIND(";",SUBSTITUTE(D310,"|",REPT(";",LEN(D310)),5))+1,FIND(";",SUBSTITUTE(D310,"|",REPT(";",LEN(D310)),6))-FIND(";",SUBSTITUTE(D310,"|",REPT(";",LEN(D310)),5))-1)</f>
        <v/>
      </c>
    </row>
    <row r="311" ht="140" customHeight="1" s="21">
      <c r="A311" s="13" t="inlineStr">
        <is>
          <t>100201</t>
        </is>
      </c>
      <c r="B311" s="13" t="inlineStr">
        <is>
          <t>圆钢</t>
        </is>
      </c>
      <c r="C311" s="13" t="inlineStr">
        <is>
          <t>600988700</t>
        </is>
      </c>
      <c r="D311" s="13" t="inlineStr">
        <is>
          <t>热轧不锈圆钢|圆钢|1Cr18Ni9Ti|Φ52|GB 1220-1992|热轧|GB/T 702-2008</t>
        </is>
      </c>
      <c r="E311" s="13" t="inlineStr">
        <is>
          <t>物资名称 热轧不锈圆钢;物资简称 圆钢;牌号 1Cr18Ni9Ti;直径 Φ52;技术标准号 GB 1220-1992;加工工艺 热轧;热处理工艺 ;特殊要求 ;规格标准号 GB/T 702-2008</t>
        </is>
      </c>
      <c r="F311" s="12" t="inlineStr">
        <is>
          <t>千克</t>
        </is>
      </c>
      <c r="G311" s="11">
        <f>LEFT(D311,FIND("|",D311,1)-1)</f>
        <v/>
      </c>
      <c r="H311" s="11">
        <f>MID(D311,FIND("|",D311,FIND("|",D311,1))+1,FIND("|",D311,FIND("|",D311,1)+1)-FIND("|",D311,FIND("|",D311,1))-1)</f>
        <v/>
      </c>
      <c r="J311" s="11">
        <f>MID(D311,FIND(";",SUBSTITUTE(D311,"|",REPT(";",LEN(D311)),2))+1,FIND(";",SUBSTITUTE(D311,"|",REPT(";",LEN(D311)),3))-FIND(";",SUBSTITUTE(D311,"|",REPT(";",LEN(D311)),2))-1)</f>
        <v/>
      </c>
      <c r="K311" s="11">
        <f>MID(D311,FIND(";",SUBSTITUTE(D311,"|",REPT(";",LEN(D311)),3))+1,FIND(";",SUBSTITUTE(D311,"|",REPT(";",LEN(D311)),4))-FIND(";",SUBSTITUTE(D311,"|",REPT(";",LEN(D311)),3))-1)</f>
        <v/>
      </c>
      <c r="M311" s="11">
        <f>MID(D311,FIND(";",SUBSTITUTE(D311,"|",REPT(";",LEN(D311)),4))+1,FIND(";",SUBSTITUTE(D311,"|",REPT(";",LEN(D311)),5))-FIND(";",SUBSTITUTE(D311,"|",REPT(";",LEN(D311)),4))-1)</f>
        <v/>
      </c>
      <c r="N311" s="11">
        <f>MID(D311,FIND(";",SUBSTITUTE(D311,"|",REPT(";",LEN(D311)),6))+1,LEN(D311))</f>
        <v/>
      </c>
      <c r="O311" s="11">
        <f>MID(D311,FIND(";",SUBSTITUTE(D311,"|",REPT(";",LEN(D311)),5))+1,FIND(";",SUBSTITUTE(D311,"|",REPT(";",LEN(D311)),6))-FIND(";",SUBSTITUTE(D311,"|",REPT(";",LEN(D311)),5))-1)</f>
        <v/>
      </c>
    </row>
    <row r="312" ht="140" customHeight="1" s="21">
      <c r="A312" s="13" t="inlineStr">
        <is>
          <t>100201</t>
        </is>
      </c>
      <c r="B312" s="13" t="inlineStr">
        <is>
          <t>圆钢</t>
        </is>
      </c>
      <c r="C312" s="13" t="inlineStr">
        <is>
          <t>600988600</t>
        </is>
      </c>
      <c r="D312" s="13" t="inlineStr">
        <is>
          <t>热轧不锈圆钢|圆钢|1Cr18Ni9Ti|Φ78|GB 1220-1992|热轧|GB/T 702-2008</t>
        </is>
      </c>
      <c r="E312" s="13" t="inlineStr">
        <is>
          <t>物资名称 热轧不锈圆钢;物资简称 圆钢;牌号 1Cr18Ni9Ti;直径 Φ78;技术标准号 GB 1220-1992;加工工艺 热轧;热处理工艺 ;特殊要求 ;规格标准号 GB/T 702-2008</t>
        </is>
      </c>
      <c r="F312" s="12" t="inlineStr">
        <is>
          <t>千克</t>
        </is>
      </c>
      <c r="G312" s="11">
        <f>LEFT(D312,FIND("|",D312,1)-1)</f>
        <v/>
      </c>
      <c r="H312" s="11">
        <f>MID(D312,FIND("|",D312,FIND("|",D312,1))+1,FIND("|",D312,FIND("|",D312,1)+1)-FIND("|",D312,FIND("|",D312,1))-1)</f>
        <v/>
      </c>
      <c r="J312" s="11">
        <f>MID(D312,FIND(";",SUBSTITUTE(D312,"|",REPT(";",LEN(D312)),2))+1,FIND(";",SUBSTITUTE(D312,"|",REPT(";",LEN(D312)),3))-FIND(";",SUBSTITUTE(D312,"|",REPT(";",LEN(D312)),2))-1)</f>
        <v/>
      </c>
      <c r="K312" s="11">
        <f>MID(D312,FIND(";",SUBSTITUTE(D312,"|",REPT(";",LEN(D312)),3))+1,FIND(";",SUBSTITUTE(D312,"|",REPT(";",LEN(D312)),4))-FIND(";",SUBSTITUTE(D312,"|",REPT(";",LEN(D312)),3))-1)</f>
        <v/>
      </c>
      <c r="M312" s="11">
        <f>MID(D312,FIND(";",SUBSTITUTE(D312,"|",REPT(";",LEN(D312)),4))+1,FIND(";",SUBSTITUTE(D312,"|",REPT(";",LEN(D312)),5))-FIND(";",SUBSTITUTE(D312,"|",REPT(";",LEN(D312)),4))-1)</f>
        <v/>
      </c>
      <c r="N312" s="11">
        <f>MID(D312,FIND(";",SUBSTITUTE(D312,"|",REPT(";",LEN(D312)),6))+1,LEN(D312))</f>
        <v/>
      </c>
      <c r="O312" s="11">
        <f>MID(D312,FIND(";",SUBSTITUTE(D312,"|",REPT(";",LEN(D312)),5))+1,FIND(";",SUBSTITUTE(D312,"|",REPT(";",LEN(D312)),6))-FIND(";",SUBSTITUTE(D312,"|",REPT(";",LEN(D312)),5))-1)</f>
        <v/>
      </c>
    </row>
    <row r="313" ht="140" customHeight="1" s="21">
      <c r="A313" s="13" t="inlineStr">
        <is>
          <t>100201</t>
        </is>
      </c>
      <c r="B313" s="13" t="inlineStr">
        <is>
          <t>圆钢</t>
        </is>
      </c>
      <c r="C313" s="13" t="inlineStr">
        <is>
          <t>600988500</t>
        </is>
      </c>
      <c r="D313" s="13" t="inlineStr">
        <is>
          <t>热轧不锈圆钢|圆钢|1Cr18Ni9Ti|Φ33|GB 1220-1992|热轧|GB/T 702-2008</t>
        </is>
      </c>
      <c r="E313" s="13" t="inlineStr">
        <is>
          <t>物资名称 热轧不锈圆钢;物资简称 圆钢;牌号 1Cr18Ni9Ti;直径 Φ33;技术标准号 GB 1220-1992;加工工艺 热轧;热处理工艺 ;特殊要求 ;规格标准号 GB/T 702-2008</t>
        </is>
      </c>
      <c r="F313" s="12" t="inlineStr">
        <is>
          <t>千克</t>
        </is>
      </c>
      <c r="G313" s="11">
        <f>LEFT(D313,FIND("|",D313,1)-1)</f>
        <v/>
      </c>
      <c r="H313" s="11">
        <f>MID(D313,FIND("|",D313,FIND("|",D313,1))+1,FIND("|",D313,FIND("|",D313,1)+1)-FIND("|",D313,FIND("|",D313,1))-1)</f>
        <v/>
      </c>
      <c r="J313" s="11">
        <f>MID(D313,FIND(";",SUBSTITUTE(D313,"|",REPT(";",LEN(D313)),2))+1,FIND(";",SUBSTITUTE(D313,"|",REPT(";",LEN(D313)),3))-FIND(";",SUBSTITUTE(D313,"|",REPT(";",LEN(D313)),2))-1)</f>
        <v/>
      </c>
      <c r="K313" s="11">
        <f>MID(D313,FIND(";",SUBSTITUTE(D313,"|",REPT(";",LEN(D313)),3))+1,FIND(";",SUBSTITUTE(D313,"|",REPT(";",LEN(D313)),4))-FIND(";",SUBSTITUTE(D313,"|",REPT(";",LEN(D313)),3))-1)</f>
        <v/>
      </c>
      <c r="M313" s="11">
        <f>MID(D313,FIND(";",SUBSTITUTE(D313,"|",REPT(";",LEN(D313)),4))+1,FIND(";",SUBSTITUTE(D313,"|",REPT(";",LEN(D313)),5))-FIND(";",SUBSTITUTE(D313,"|",REPT(";",LEN(D313)),4))-1)</f>
        <v/>
      </c>
      <c r="N313" s="11">
        <f>MID(D313,FIND(";",SUBSTITUTE(D313,"|",REPT(";",LEN(D313)),6))+1,LEN(D313))</f>
        <v/>
      </c>
      <c r="O313" s="11">
        <f>MID(D313,FIND(";",SUBSTITUTE(D313,"|",REPT(";",LEN(D313)),5))+1,FIND(";",SUBSTITUTE(D313,"|",REPT(";",LEN(D313)),6))-FIND(";",SUBSTITUTE(D313,"|",REPT(";",LEN(D313)),5))-1)</f>
        <v/>
      </c>
    </row>
    <row r="314" ht="140" customHeight="1" s="21">
      <c r="A314" s="13" t="inlineStr">
        <is>
          <t>100201</t>
        </is>
      </c>
      <c r="B314" s="13" t="inlineStr">
        <is>
          <t>圆钢</t>
        </is>
      </c>
      <c r="C314" s="13" t="inlineStr">
        <is>
          <t>600988400</t>
        </is>
      </c>
      <c r="D314" s="13" t="inlineStr">
        <is>
          <t>热轧不锈圆钢|圆钢|1Cr18Ni9Ti|Φ48|GB 1220-1992|热轧|GB/T 702-2008</t>
        </is>
      </c>
      <c r="E314" s="13" t="inlineStr">
        <is>
          <t>物资名称 热轧不锈圆钢;物资简称 圆钢;牌号 1Cr18Ni9Ti;直径 Φ48;技术标准号 GB 1220-1992;加工工艺 热轧;热处理工艺 ;特殊要求 ;规格标准号 GB/T 702-2008</t>
        </is>
      </c>
      <c r="F314" s="12" t="inlineStr">
        <is>
          <t>千克</t>
        </is>
      </c>
      <c r="G314" s="11">
        <f>LEFT(D314,FIND("|",D314,1)-1)</f>
        <v/>
      </c>
      <c r="H314" s="11">
        <f>MID(D314,FIND("|",D314,FIND("|",D314,1))+1,FIND("|",D314,FIND("|",D314,1)+1)-FIND("|",D314,FIND("|",D314,1))-1)</f>
        <v/>
      </c>
      <c r="J314" s="11">
        <f>MID(D314,FIND(";",SUBSTITUTE(D314,"|",REPT(";",LEN(D314)),2))+1,FIND(";",SUBSTITUTE(D314,"|",REPT(";",LEN(D314)),3))-FIND(";",SUBSTITUTE(D314,"|",REPT(";",LEN(D314)),2))-1)</f>
        <v/>
      </c>
      <c r="K314" s="11">
        <f>MID(D314,FIND(";",SUBSTITUTE(D314,"|",REPT(";",LEN(D314)),3))+1,FIND(";",SUBSTITUTE(D314,"|",REPT(";",LEN(D314)),4))-FIND(";",SUBSTITUTE(D314,"|",REPT(";",LEN(D314)),3))-1)</f>
        <v/>
      </c>
      <c r="M314" s="11">
        <f>MID(D314,FIND(";",SUBSTITUTE(D314,"|",REPT(";",LEN(D314)),4))+1,FIND(";",SUBSTITUTE(D314,"|",REPT(";",LEN(D314)),5))-FIND(";",SUBSTITUTE(D314,"|",REPT(";",LEN(D314)),4))-1)</f>
        <v/>
      </c>
      <c r="N314" s="11">
        <f>MID(D314,FIND(";",SUBSTITUTE(D314,"|",REPT(";",LEN(D314)),6))+1,LEN(D314))</f>
        <v/>
      </c>
      <c r="O314" s="11">
        <f>MID(D314,FIND(";",SUBSTITUTE(D314,"|",REPT(";",LEN(D314)),5))+1,FIND(";",SUBSTITUTE(D314,"|",REPT(";",LEN(D314)),6))-FIND(";",SUBSTITUTE(D314,"|",REPT(";",LEN(D314)),5))-1)</f>
        <v/>
      </c>
    </row>
    <row r="315" ht="140" customHeight="1" s="21">
      <c r="A315" s="13" t="inlineStr">
        <is>
          <t>100201</t>
        </is>
      </c>
      <c r="B315" s="13" t="inlineStr">
        <is>
          <t>圆钢</t>
        </is>
      </c>
      <c r="C315" s="13" t="inlineStr">
        <is>
          <t>600988300</t>
        </is>
      </c>
      <c r="D315" s="13" t="inlineStr">
        <is>
          <t>热轧不锈圆钢|圆钢|1Cr18Ni9Ti|Φ45|GB 1220-1992|热轧|GB/T 702-2008</t>
        </is>
      </c>
      <c r="E315" s="13" t="inlineStr">
        <is>
          <t>物资名称 热轧不锈圆钢;物资简称 圆钢;牌号 1Cr18Ni9Ti;直径 Φ45;技术标准号 GB 1220-1992;加工工艺 热轧;热处理工艺 ;特殊要求 ;规格标准号 GB/T 702-2008</t>
        </is>
      </c>
      <c r="F315" s="12" t="inlineStr">
        <is>
          <t>千克</t>
        </is>
      </c>
      <c r="G315" s="11">
        <f>LEFT(D315,FIND("|",D315,1)-1)</f>
        <v/>
      </c>
      <c r="H315" s="11">
        <f>MID(D315,FIND("|",D315,FIND("|",D315,1))+1,FIND("|",D315,FIND("|",D315,1)+1)-FIND("|",D315,FIND("|",D315,1))-1)</f>
        <v/>
      </c>
      <c r="J315" s="11">
        <f>MID(D315,FIND(";",SUBSTITUTE(D315,"|",REPT(";",LEN(D315)),2))+1,FIND(";",SUBSTITUTE(D315,"|",REPT(";",LEN(D315)),3))-FIND(";",SUBSTITUTE(D315,"|",REPT(";",LEN(D315)),2))-1)</f>
        <v/>
      </c>
      <c r="K315" s="11">
        <f>MID(D315,FIND(";",SUBSTITUTE(D315,"|",REPT(";",LEN(D315)),3))+1,FIND(";",SUBSTITUTE(D315,"|",REPT(";",LEN(D315)),4))-FIND(";",SUBSTITUTE(D315,"|",REPT(";",LEN(D315)),3))-1)</f>
        <v/>
      </c>
      <c r="M315" s="11">
        <f>MID(D315,FIND(";",SUBSTITUTE(D315,"|",REPT(";",LEN(D315)),4))+1,FIND(";",SUBSTITUTE(D315,"|",REPT(";",LEN(D315)),5))-FIND(";",SUBSTITUTE(D315,"|",REPT(";",LEN(D315)),4))-1)</f>
        <v/>
      </c>
      <c r="N315" s="11">
        <f>MID(D315,FIND(";",SUBSTITUTE(D315,"|",REPT(";",LEN(D315)),6))+1,LEN(D315))</f>
        <v/>
      </c>
      <c r="O315" s="11">
        <f>MID(D315,FIND(";",SUBSTITUTE(D315,"|",REPT(";",LEN(D315)),5))+1,FIND(";",SUBSTITUTE(D315,"|",REPT(";",LEN(D315)),6))-FIND(";",SUBSTITUTE(D315,"|",REPT(";",LEN(D315)),5))-1)</f>
        <v/>
      </c>
    </row>
    <row r="316" ht="140" customHeight="1" s="21">
      <c r="A316" s="13" t="inlineStr">
        <is>
          <t>100201</t>
        </is>
      </c>
      <c r="B316" s="13" t="inlineStr">
        <is>
          <t>圆钢</t>
        </is>
      </c>
      <c r="C316" s="13" t="inlineStr">
        <is>
          <t>600988200</t>
        </is>
      </c>
      <c r="D316" s="13" t="inlineStr">
        <is>
          <t>热轧不锈圆钢|圆钢|1Cr18Ni9Ti|Φ12|GB 1220-1992|热轧|GB/T 702-2008</t>
        </is>
      </c>
      <c r="E316" s="13" t="inlineStr">
        <is>
          <t>物资名称 热轧不锈圆钢;物资简称 圆钢;牌号 1Cr18Ni9Ti;直径 Φ12;技术标准号 GB 1220-1992;加工工艺 热轧;热处理工艺 ;特殊要求 ;规格标准号 GB/T 702-2008</t>
        </is>
      </c>
      <c r="F316" s="12" t="inlineStr">
        <is>
          <t>千克</t>
        </is>
      </c>
      <c r="G316" s="11">
        <f>LEFT(D316,FIND("|",D316,1)-1)</f>
        <v/>
      </c>
      <c r="H316" s="11">
        <f>MID(D316,FIND("|",D316,FIND("|",D316,1))+1,FIND("|",D316,FIND("|",D316,1)+1)-FIND("|",D316,FIND("|",D316,1))-1)</f>
        <v/>
      </c>
      <c r="J316" s="11">
        <f>MID(D316,FIND(";",SUBSTITUTE(D316,"|",REPT(";",LEN(D316)),2))+1,FIND(";",SUBSTITUTE(D316,"|",REPT(";",LEN(D316)),3))-FIND(";",SUBSTITUTE(D316,"|",REPT(";",LEN(D316)),2))-1)</f>
        <v/>
      </c>
      <c r="K316" s="11">
        <f>MID(D316,FIND(";",SUBSTITUTE(D316,"|",REPT(";",LEN(D316)),3))+1,FIND(";",SUBSTITUTE(D316,"|",REPT(";",LEN(D316)),4))-FIND(";",SUBSTITUTE(D316,"|",REPT(";",LEN(D316)),3))-1)</f>
        <v/>
      </c>
      <c r="M316" s="11">
        <f>MID(D316,FIND(";",SUBSTITUTE(D316,"|",REPT(";",LEN(D316)),4))+1,FIND(";",SUBSTITUTE(D316,"|",REPT(";",LEN(D316)),5))-FIND(";",SUBSTITUTE(D316,"|",REPT(";",LEN(D316)),4))-1)</f>
        <v/>
      </c>
      <c r="N316" s="11">
        <f>MID(D316,FIND(";",SUBSTITUTE(D316,"|",REPT(";",LEN(D316)),6))+1,LEN(D316))</f>
        <v/>
      </c>
      <c r="O316" s="11">
        <f>MID(D316,FIND(";",SUBSTITUTE(D316,"|",REPT(";",LEN(D316)),5))+1,FIND(";",SUBSTITUTE(D316,"|",REPT(";",LEN(D316)),6))-FIND(";",SUBSTITUTE(D316,"|",REPT(";",LEN(D316)),5))-1)</f>
        <v/>
      </c>
    </row>
    <row r="317" ht="112" customHeight="1" s="21">
      <c r="A317" s="13" t="inlineStr">
        <is>
          <t>100201</t>
        </is>
      </c>
      <c r="B317" s="13" t="inlineStr">
        <is>
          <t>圆钢</t>
        </is>
      </c>
      <c r="C317" s="13" t="inlineStr">
        <is>
          <t>600984900</t>
        </is>
      </c>
      <c r="D317" s="13" t="inlineStr">
        <is>
          <t>合金结构圆钢|圆钢|30CrMnSi|Φ14|GB/T 3077-1999</t>
        </is>
      </c>
      <c r="E317" s="13" t="inlineStr">
        <is>
          <t xml:space="preserve">物资名称 合金结构圆钢;物资简称 圆钢;牌号 30CrMnSi;直径 Φ14;技术标准号 GB/T 3077-1999;加工工艺 ;热处理工艺 ;特殊要求 ;规格标准号 </t>
        </is>
      </c>
      <c r="F317" s="12" t="inlineStr">
        <is>
          <t>千克</t>
        </is>
      </c>
      <c r="G317" s="11">
        <f>LEFT(D317,FIND("|",D317,1)-1)</f>
        <v/>
      </c>
      <c r="H317" s="11">
        <f>MID(D317,FIND("|",D317,FIND("|",D317,1))+1,FIND("|",D317,FIND("|",D317,1)+1)-FIND("|",D317,FIND("|",D317,1))-1)</f>
        <v/>
      </c>
      <c r="J317" s="11">
        <f>MID(D317,FIND(";",SUBSTITUTE(D317,"|",REPT(";",LEN(D317)),2))+1,FIND(";",SUBSTITUTE(D317,"|",REPT(";",LEN(D317)),3))-FIND(";",SUBSTITUTE(D317,"|",REPT(";",LEN(D317)),2))-1)</f>
        <v/>
      </c>
      <c r="K317" s="11">
        <f>MID(D317,FIND(";",SUBSTITUTE(D317,"|",REPT(";",LEN(D317)),3))+1,FIND(";",SUBSTITUTE(D317,"|",REPT(";",LEN(D317)),4))-FIND(";",SUBSTITUTE(D317,"|",REPT(";",LEN(D317)),3))-1)</f>
        <v/>
      </c>
      <c r="M317" s="11">
        <f>MID(D317,FIND(";",SUBSTITUTE(D317,"|",REPT(";",LEN(D317)),4))+1,LEN(D317))</f>
        <v/>
      </c>
    </row>
    <row r="318" ht="112" customHeight="1" s="21">
      <c r="A318" s="13" t="inlineStr">
        <is>
          <t>100201</t>
        </is>
      </c>
      <c r="B318" s="13" t="inlineStr">
        <is>
          <t>圆钢</t>
        </is>
      </c>
      <c r="C318" s="13" t="inlineStr">
        <is>
          <t>600984800</t>
        </is>
      </c>
      <c r="D318" s="13" t="inlineStr">
        <is>
          <t>合金结构圆钢|圆钢|30CrMnSi|Φ22|GB/T 3077-1999</t>
        </is>
      </c>
      <c r="E318" s="13" t="inlineStr">
        <is>
          <t xml:space="preserve">物资名称 合金结构圆钢;物资简称 圆钢;牌号 30CrMnSi;直径 Φ22;技术标准号 GB/T 3077-1999;加工工艺 ;热处理工艺 ;特殊要求 ;规格标准号 </t>
        </is>
      </c>
      <c r="F318" s="12" t="inlineStr">
        <is>
          <t>千克</t>
        </is>
      </c>
      <c r="G318" s="11">
        <f>LEFT(D318,FIND("|",D318,1)-1)</f>
        <v/>
      </c>
      <c r="H318" s="11">
        <f>MID(D318,FIND("|",D318,FIND("|",D318,1))+1,FIND("|",D318,FIND("|",D318,1)+1)-FIND("|",D318,FIND("|",D318,1))-1)</f>
        <v/>
      </c>
      <c r="J318" s="11">
        <f>MID(D318,FIND(";",SUBSTITUTE(D318,"|",REPT(";",LEN(D318)),2))+1,FIND(";",SUBSTITUTE(D318,"|",REPT(";",LEN(D318)),3))-FIND(";",SUBSTITUTE(D318,"|",REPT(";",LEN(D318)),2))-1)</f>
        <v/>
      </c>
      <c r="K318" s="11">
        <f>MID(D318,FIND(";",SUBSTITUTE(D318,"|",REPT(";",LEN(D318)),3))+1,FIND(";",SUBSTITUTE(D318,"|",REPT(";",LEN(D318)),4))-FIND(";",SUBSTITUTE(D318,"|",REPT(";",LEN(D318)),3))-1)</f>
        <v/>
      </c>
      <c r="M318" s="11">
        <f>MID(D318,FIND(";",SUBSTITUTE(D318,"|",REPT(";",LEN(D318)),4))+1,LEN(D318))</f>
        <v/>
      </c>
    </row>
    <row r="319" ht="126" customHeight="1" s="21">
      <c r="A319" s="13" t="inlineStr">
        <is>
          <t>100201</t>
        </is>
      </c>
      <c r="B319" s="13" t="inlineStr">
        <is>
          <t>圆钢</t>
        </is>
      </c>
      <c r="C319" s="13" t="inlineStr">
        <is>
          <t>600984700</t>
        </is>
      </c>
      <c r="D319" s="13" t="inlineStr">
        <is>
          <t>合金结构圆钢|圆钢|30CrMnSiA|Φ18|GB/T 3078-1994</t>
        </is>
      </c>
      <c r="E319" s="13" t="inlineStr">
        <is>
          <t xml:space="preserve">物资名称 合金结构圆钢;物资简称 圆钢;牌号 30CrMnSiA;直径 Φ18;技术标准号 GB/T 3078-1994;加工工艺 ;热处理工艺 ;特殊要求 ;规格标准号 </t>
        </is>
      </c>
      <c r="F319" s="12" t="inlineStr">
        <is>
          <t>千克</t>
        </is>
      </c>
      <c r="G319" s="11">
        <f>LEFT(D319,FIND("|",D319,1)-1)</f>
        <v/>
      </c>
      <c r="H319" s="11">
        <f>MID(D319,FIND("|",D319,FIND("|",D319,1))+1,FIND("|",D319,FIND("|",D319,1)+1)-FIND("|",D319,FIND("|",D319,1))-1)</f>
        <v/>
      </c>
      <c r="J319" s="11">
        <f>MID(D319,FIND(";",SUBSTITUTE(D319,"|",REPT(";",LEN(D319)),2))+1,FIND(";",SUBSTITUTE(D319,"|",REPT(";",LEN(D319)),3))-FIND(";",SUBSTITUTE(D319,"|",REPT(";",LEN(D319)),2))-1)</f>
        <v/>
      </c>
      <c r="K319" s="11">
        <f>MID(D319,FIND(";",SUBSTITUTE(D319,"|",REPT(";",LEN(D319)),3))+1,FIND(";",SUBSTITUTE(D319,"|",REPT(";",LEN(D319)),4))-FIND(";",SUBSTITUTE(D319,"|",REPT(";",LEN(D319)),3))-1)</f>
        <v/>
      </c>
      <c r="M319" s="11">
        <f>MID(D319,FIND(";",SUBSTITUTE(D319,"|",REPT(";",LEN(D319)),4))+1,LEN(D319))</f>
        <v/>
      </c>
    </row>
    <row r="320" ht="112" customHeight="1" s="21">
      <c r="A320" s="13" t="inlineStr">
        <is>
          <t>100201</t>
        </is>
      </c>
      <c r="B320" s="13" t="inlineStr">
        <is>
          <t>圆钢</t>
        </is>
      </c>
      <c r="C320" s="13" t="inlineStr">
        <is>
          <t>600984600</t>
        </is>
      </c>
      <c r="D320" s="13" t="inlineStr">
        <is>
          <t>钢棒|圆钢|0Cr18Ni9|Φ65|GB/T 4237-1992</t>
        </is>
      </c>
      <c r="E320" s="13" t="inlineStr">
        <is>
          <t xml:space="preserve">物资名称 钢棒;物资简称 圆钢;牌号 0Cr18Ni9;直径 Φ65;技术标准号 GB/T 4237-1992;加工工艺 ;热处理工艺 ;特殊要求 ;规格标准号 </t>
        </is>
      </c>
      <c r="F320" s="12" t="inlineStr">
        <is>
          <t>千克</t>
        </is>
      </c>
      <c r="G320" s="11">
        <f>LEFT(D320,FIND("|",D320,1)-1)</f>
        <v/>
      </c>
      <c r="H320" s="11">
        <f>MID(D320,FIND("|",D320,FIND("|",D320,1))+1,FIND("|",D320,FIND("|",D320,1)+1)-FIND("|",D320,FIND("|",D320,1))-1)</f>
        <v/>
      </c>
      <c r="J320" s="11">
        <f>MID(D320,FIND(";",SUBSTITUTE(D320,"|",REPT(";",LEN(D320)),2))+1,FIND(";",SUBSTITUTE(D320,"|",REPT(";",LEN(D320)),3))-FIND(";",SUBSTITUTE(D320,"|",REPT(";",LEN(D320)),2))-1)</f>
        <v/>
      </c>
      <c r="K320" s="11">
        <f>MID(D320,FIND(";",SUBSTITUTE(D320,"|",REPT(";",LEN(D320)),3))+1,FIND(";",SUBSTITUTE(D320,"|",REPT(";",LEN(D320)),4))-FIND(";",SUBSTITUTE(D320,"|",REPT(";",LEN(D320)),3))-1)</f>
        <v/>
      </c>
      <c r="M320" s="11">
        <f>MID(D320,FIND(";",SUBSTITUTE(D320,"|",REPT(";",LEN(D320)),4))+1,LEN(D320))</f>
        <v/>
      </c>
    </row>
    <row r="321" ht="126" customHeight="1" s="21">
      <c r="A321" s="13" t="inlineStr">
        <is>
          <t>100201</t>
        </is>
      </c>
      <c r="B321" s="13" t="inlineStr">
        <is>
          <t>圆钢</t>
        </is>
      </c>
      <c r="C321" s="13" t="inlineStr">
        <is>
          <t>600984500</t>
        </is>
      </c>
      <c r="D321" s="13" t="inlineStr">
        <is>
          <t>热轧航空用不锈圆钢|圆钢|Y2Cr13Ni2|Φ3.5|GJB 2294-1995|热轧</t>
        </is>
      </c>
      <c r="E321" s="13" t="inlineStr">
        <is>
          <t xml:space="preserve">物资名称 热轧航空用不锈圆钢;物资简称 圆钢;牌号 Y2Cr13Ni2;直径 Φ3.5;技术标准号 GJB 2294-1995;加工工艺 热轧;热处理工艺 ;特殊要求 ;规格标准号 </t>
        </is>
      </c>
      <c r="F321" s="12" t="inlineStr">
        <is>
          <t>千克</t>
        </is>
      </c>
      <c r="G321" s="11">
        <f>LEFT(D321,FIND("|",D321,1)-1)</f>
        <v/>
      </c>
      <c r="H321" s="11">
        <f>MID(D321,FIND("|",D321,FIND("|",D321,1))+1,FIND("|",D321,FIND("|",D321,1)+1)-FIND("|",D321,FIND("|",D321,1))-1)</f>
        <v/>
      </c>
      <c r="J321" s="11">
        <f>MID(D321,FIND(";",SUBSTITUTE(D321,"|",REPT(";",LEN(D321)),2))+1,FIND(";",SUBSTITUTE(D321,"|",REPT(";",LEN(D321)),3))-FIND(";",SUBSTITUTE(D321,"|",REPT(";",LEN(D321)),2))-1)</f>
        <v/>
      </c>
      <c r="K321" s="11">
        <f>MID(D321,FIND(";",SUBSTITUTE(D321,"|",REPT(";",LEN(D321)),3))+1,FIND(";",SUBSTITUTE(D321,"|",REPT(";",LEN(D321)),4))-FIND(";",SUBSTITUTE(D321,"|",REPT(";",LEN(D321)),3))-1)</f>
        <v/>
      </c>
      <c r="M321" s="11">
        <f>MID(D321,FIND(";",SUBSTITUTE(D321,"|",REPT(";",LEN(D321)),4))+1,FIND(";",SUBSTITUTE(D321,"|",REPT(";",LEN(D321)),5))-FIND(";",SUBSTITUTE(D321,"|",REPT(";",LEN(D321)),4))-1)</f>
        <v/>
      </c>
      <c r="O321" s="11">
        <f>MID(D321,FIND(";",SUBSTITUTE(D321,"|",REPT(";",LEN(D321)),5))+1,LEN(D321))</f>
        <v/>
      </c>
    </row>
    <row r="322" ht="112" customHeight="1" s="21">
      <c r="A322" s="13" t="inlineStr">
        <is>
          <t>100201</t>
        </is>
      </c>
      <c r="B322" s="13" t="inlineStr">
        <is>
          <t>圆钢</t>
        </is>
      </c>
      <c r="C322" s="13" t="inlineStr">
        <is>
          <t>600984400</t>
        </is>
      </c>
      <c r="D322" s="13" t="inlineStr">
        <is>
          <t>圆钢|圆钢|Y20|Φ20|GB/T 8731-1988</t>
        </is>
      </c>
      <c r="E322" s="13" t="inlineStr">
        <is>
          <t xml:space="preserve">物资名称 圆钢;物资简称 圆钢;牌号 Y20;直径 Φ20;技术标准号 GB/T 8731-1988;加工工艺 ;热处理工艺 ;特殊要求 ;规格标准号 </t>
        </is>
      </c>
      <c r="F322" s="12" t="inlineStr">
        <is>
          <t>千克</t>
        </is>
      </c>
      <c r="G322" s="11">
        <f>LEFT(D322,FIND("|",D322,1)-1)</f>
        <v/>
      </c>
      <c r="H322" s="11">
        <f>MID(D322,FIND("|",D322,FIND("|",D322,1))+1,FIND("|",D322,FIND("|",D322,1)+1)-FIND("|",D322,FIND("|",D322,1))-1)</f>
        <v/>
      </c>
      <c r="J322" s="11">
        <f>MID(D322,FIND(";",SUBSTITUTE(D322,"|",REPT(";",LEN(D322)),2))+1,FIND(";",SUBSTITUTE(D322,"|",REPT(";",LEN(D322)),3))-FIND(";",SUBSTITUTE(D322,"|",REPT(";",LEN(D322)),2))-1)</f>
        <v/>
      </c>
      <c r="K322" s="11">
        <f>MID(D322,FIND(";",SUBSTITUTE(D322,"|",REPT(";",LEN(D322)),3))+1,FIND(";",SUBSTITUTE(D322,"|",REPT(";",LEN(D322)),4))-FIND(";",SUBSTITUTE(D322,"|",REPT(";",LEN(D322)),3))-1)</f>
        <v/>
      </c>
      <c r="M322" s="11">
        <f>MID(D322,FIND(";",SUBSTITUTE(D322,"|",REPT(";",LEN(D322)),4))+1,LEN(D322))</f>
        <v/>
      </c>
    </row>
    <row r="323" ht="112" customHeight="1" s="21">
      <c r="A323" s="13" t="inlineStr">
        <is>
          <t>100201</t>
        </is>
      </c>
      <c r="B323" s="13" t="inlineStr">
        <is>
          <t>圆钢</t>
        </is>
      </c>
      <c r="C323" s="13" t="inlineStr">
        <is>
          <t>600984300</t>
        </is>
      </c>
      <c r="D323" s="13" t="inlineStr">
        <is>
          <t>圆钢|钢棒|Y20|Φ14|GB/T 8731-1988</t>
        </is>
      </c>
      <c r="E323" s="13" t="inlineStr">
        <is>
          <t xml:space="preserve">物资名称 圆钢;物资简称 钢棒;牌号 Y20;直径 Φ14;技术标准号 GB/T 8731-1988;加工工艺 ;热处理工艺 ;特殊要求 ;规格标准号 </t>
        </is>
      </c>
      <c r="F323" s="12" t="inlineStr">
        <is>
          <t>千克</t>
        </is>
      </c>
      <c r="G323" s="11">
        <f>LEFT(D323,FIND("|",D323,1)-1)</f>
        <v/>
      </c>
      <c r="H323" s="11">
        <f>MID(D323,FIND("|",D323,FIND("|",D323,1))+1,FIND("|",D323,FIND("|",D323,1)+1)-FIND("|",D323,FIND("|",D323,1))-1)</f>
        <v/>
      </c>
      <c r="J323" s="11">
        <f>MID(D323,FIND(";",SUBSTITUTE(D323,"|",REPT(";",LEN(D323)),2))+1,FIND(";",SUBSTITUTE(D323,"|",REPT(";",LEN(D323)),3))-FIND(";",SUBSTITUTE(D323,"|",REPT(";",LEN(D323)),2))-1)</f>
        <v/>
      </c>
      <c r="K323" s="11">
        <f>MID(D323,FIND(";",SUBSTITUTE(D323,"|",REPT(";",LEN(D323)),3))+1,FIND(";",SUBSTITUTE(D323,"|",REPT(";",LEN(D323)),4))-FIND(";",SUBSTITUTE(D323,"|",REPT(";",LEN(D323)),3))-1)</f>
        <v/>
      </c>
      <c r="M323" s="11">
        <f>MID(D323,FIND(";",SUBSTITUTE(D323,"|",REPT(";",LEN(D323)),4))+1,LEN(D323))</f>
        <v/>
      </c>
    </row>
    <row r="324" ht="112" customHeight="1" s="21">
      <c r="A324" s="13" t="inlineStr">
        <is>
          <t>100201</t>
        </is>
      </c>
      <c r="B324" s="13" t="inlineStr">
        <is>
          <t>圆钢</t>
        </is>
      </c>
      <c r="C324" s="13" t="inlineStr">
        <is>
          <t>600984200</t>
        </is>
      </c>
      <c r="D324" s="13" t="inlineStr">
        <is>
          <t>圆钢|圆钢|Y20|Φ18|GB/T 8731-1988</t>
        </is>
      </c>
      <c r="E324" s="13" t="inlineStr">
        <is>
          <t xml:space="preserve">物资名称 圆钢;物资简称 圆钢;牌号 Y20;直径 Φ18;技术标准号 GB/T 8731-1988;加工工艺 ;热处理工艺 ;特殊要求 ;规格标准号 </t>
        </is>
      </c>
      <c r="F324" s="12" t="inlineStr">
        <is>
          <t>千克</t>
        </is>
      </c>
      <c r="G324" s="11">
        <f>LEFT(D324,FIND("|",D324,1)-1)</f>
        <v/>
      </c>
      <c r="H324" s="11">
        <f>MID(D324,FIND("|",D324,FIND("|",D324,1))+1,FIND("|",D324,FIND("|",D324,1)+1)-FIND("|",D324,FIND("|",D324,1))-1)</f>
        <v/>
      </c>
      <c r="J324" s="11">
        <f>MID(D324,FIND(";",SUBSTITUTE(D324,"|",REPT(";",LEN(D324)),2))+1,FIND(";",SUBSTITUTE(D324,"|",REPT(";",LEN(D324)),3))-FIND(";",SUBSTITUTE(D324,"|",REPT(";",LEN(D324)),2))-1)</f>
        <v/>
      </c>
      <c r="K324" s="11">
        <f>MID(D324,FIND(";",SUBSTITUTE(D324,"|",REPT(";",LEN(D324)),3))+1,FIND(";",SUBSTITUTE(D324,"|",REPT(";",LEN(D324)),4))-FIND(";",SUBSTITUTE(D324,"|",REPT(";",LEN(D324)),3))-1)</f>
        <v/>
      </c>
      <c r="M324" s="11">
        <f>MID(D324,FIND(";",SUBSTITUTE(D324,"|",REPT(";",LEN(D324)),4))+1,LEN(D324))</f>
        <v/>
      </c>
    </row>
    <row r="325" ht="112" customHeight="1" s="21">
      <c r="A325" s="13" t="inlineStr">
        <is>
          <t>100201</t>
        </is>
      </c>
      <c r="B325" s="13" t="inlineStr">
        <is>
          <t>圆钢</t>
        </is>
      </c>
      <c r="C325" s="13" t="inlineStr">
        <is>
          <t>600984100</t>
        </is>
      </c>
      <c r="D325" s="13" t="inlineStr">
        <is>
          <t>圆钢|圆钢|Y20|Φ21|GB/T 8731-1988</t>
        </is>
      </c>
      <c r="E325" s="13" t="inlineStr">
        <is>
          <t xml:space="preserve">物资名称 圆钢;物资简称 圆钢;牌号 Y20;直径 Φ21;技术标准号 GB/T 8731-1988;加工工艺 ;热处理工艺 ;特殊要求 ;规格标准号 </t>
        </is>
      </c>
      <c r="F325" s="12" t="inlineStr">
        <is>
          <t>千克</t>
        </is>
      </c>
      <c r="G325" s="11">
        <f>LEFT(D325,FIND("|",D325,1)-1)</f>
        <v/>
      </c>
      <c r="H325" s="11">
        <f>MID(D325,FIND("|",D325,FIND("|",D325,1))+1,FIND("|",D325,FIND("|",D325,1)+1)-FIND("|",D325,FIND("|",D325,1))-1)</f>
        <v/>
      </c>
      <c r="J325" s="11">
        <f>MID(D325,FIND(";",SUBSTITUTE(D325,"|",REPT(";",LEN(D325)),2))+1,FIND(";",SUBSTITUTE(D325,"|",REPT(";",LEN(D325)),3))-FIND(";",SUBSTITUTE(D325,"|",REPT(";",LEN(D325)),2))-1)</f>
        <v/>
      </c>
      <c r="K325" s="11">
        <f>MID(D325,FIND(";",SUBSTITUTE(D325,"|",REPT(";",LEN(D325)),3))+1,FIND(";",SUBSTITUTE(D325,"|",REPT(";",LEN(D325)),4))-FIND(";",SUBSTITUTE(D325,"|",REPT(";",LEN(D325)),3))-1)</f>
        <v/>
      </c>
      <c r="M325" s="11">
        <f>MID(D325,FIND(";",SUBSTITUTE(D325,"|",REPT(";",LEN(D325)),4))+1,LEN(D325))</f>
        <v/>
      </c>
    </row>
    <row r="326" ht="126" customHeight="1" s="21">
      <c r="A326" s="13" t="inlineStr">
        <is>
          <t>100201</t>
        </is>
      </c>
      <c r="B326" s="13" t="inlineStr">
        <is>
          <t>圆钢</t>
        </is>
      </c>
      <c r="C326" s="13" t="inlineStr">
        <is>
          <t>600984000</t>
        </is>
      </c>
      <c r="D326" s="13" t="inlineStr">
        <is>
          <t>热轧优质碳素结构圆钢|钢棒|45|Φ3|GB/T 699-1999|热轧</t>
        </is>
      </c>
      <c r="E326" s="13" t="inlineStr">
        <is>
          <t xml:space="preserve">物资名称 热轧优质碳素结构圆钢;物资简称 钢棒;牌号 45;直径 Φ3;技术标准号 GB/T 699-1999;加工工艺 热轧;热处理工艺 ;特殊要求 ;规格标准号 </t>
        </is>
      </c>
      <c r="F326" s="12" t="inlineStr">
        <is>
          <t>千克</t>
        </is>
      </c>
      <c r="G326" s="11">
        <f>LEFT(D326,FIND("|",D326,1)-1)</f>
        <v/>
      </c>
      <c r="H326" s="11">
        <f>MID(D326,FIND("|",D326,FIND("|",D326,1))+1,FIND("|",D326,FIND("|",D326,1)+1)-FIND("|",D326,FIND("|",D326,1))-1)</f>
        <v/>
      </c>
      <c r="J326" s="11">
        <f>MID(D326,FIND(";",SUBSTITUTE(D326,"|",REPT(";",LEN(D326)),2))+1,FIND(";",SUBSTITUTE(D326,"|",REPT(";",LEN(D326)),3))-FIND(";",SUBSTITUTE(D326,"|",REPT(";",LEN(D326)),2))-1)</f>
        <v/>
      </c>
      <c r="K326" s="11">
        <f>MID(D326,FIND(";",SUBSTITUTE(D326,"|",REPT(";",LEN(D326)),3))+1,FIND(";",SUBSTITUTE(D326,"|",REPT(";",LEN(D326)),4))-FIND(";",SUBSTITUTE(D326,"|",REPT(";",LEN(D326)),3))-1)</f>
        <v/>
      </c>
      <c r="M326" s="11">
        <f>MID(D326,FIND(";",SUBSTITUTE(D326,"|",REPT(";",LEN(D326)),4))+1,FIND(";",SUBSTITUTE(D326,"|",REPT(";",LEN(D326)),5))-FIND(";",SUBSTITUTE(D326,"|",REPT(";",LEN(D326)),4))-1)</f>
        <v/>
      </c>
      <c r="O326" s="11">
        <f>MID(D326,FIND(";",SUBSTITUTE(D326,"|",REPT(";",LEN(D326)),5))+1,LEN(D326))</f>
        <v/>
      </c>
    </row>
    <row r="327" ht="126" customHeight="1" s="21">
      <c r="A327" s="13" t="inlineStr">
        <is>
          <t>100201</t>
        </is>
      </c>
      <c r="B327" s="13" t="inlineStr">
        <is>
          <t>圆钢</t>
        </is>
      </c>
      <c r="C327" s="13" t="inlineStr">
        <is>
          <t>600983900</t>
        </is>
      </c>
      <c r="D327" s="13" t="inlineStr">
        <is>
          <t>热轧合金结构圆钢|圆钢|40Cr|Φ290|GB/T 3077-1999|热轧</t>
        </is>
      </c>
      <c r="E327" s="13" t="inlineStr">
        <is>
          <t xml:space="preserve">物资名称 热轧合金结构圆钢;物资简称 圆钢;牌号 40Cr;直径 Φ290;技术标准号 GB/T 3077-1999;加工工艺 热轧;热处理工艺 ;特殊要求 ;规格标准号 </t>
        </is>
      </c>
      <c r="F327" s="12" t="inlineStr">
        <is>
          <t>千克</t>
        </is>
      </c>
      <c r="G327" s="11">
        <f>LEFT(D327,FIND("|",D327,1)-1)</f>
        <v/>
      </c>
      <c r="H327" s="11">
        <f>MID(D327,FIND("|",D327,FIND("|",D327,1))+1,FIND("|",D327,FIND("|",D327,1)+1)-FIND("|",D327,FIND("|",D327,1))-1)</f>
        <v/>
      </c>
      <c r="J327" s="11">
        <f>MID(D327,FIND(";",SUBSTITUTE(D327,"|",REPT(";",LEN(D327)),2))+1,FIND(";",SUBSTITUTE(D327,"|",REPT(";",LEN(D327)),3))-FIND(";",SUBSTITUTE(D327,"|",REPT(";",LEN(D327)),2))-1)</f>
        <v/>
      </c>
      <c r="K327" s="11">
        <f>MID(D327,FIND(";",SUBSTITUTE(D327,"|",REPT(";",LEN(D327)),3))+1,FIND(";",SUBSTITUTE(D327,"|",REPT(";",LEN(D327)),4))-FIND(";",SUBSTITUTE(D327,"|",REPT(";",LEN(D327)),3))-1)</f>
        <v/>
      </c>
      <c r="M327" s="11">
        <f>MID(D327,FIND(";",SUBSTITUTE(D327,"|",REPT(";",LEN(D327)),4))+1,FIND(";",SUBSTITUTE(D327,"|",REPT(";",LEN(D327)),5))-FIND(";",SUBSTITUTE(D327,"|",REPT(";",LEN(D327)),4))-1)</f>
        <v/>
      </c>
      <c r="O327" s="11">
        <f>MID(D327,FIND(";",SUBSTITUTE(D327,"|",REPT(";",LEN(D327)),5))+1,LEN(D327))</f>
        <v/>
      </c>
    </row>
    <row r="328" ht="112" customHeight="1" s="21">
      <c r="A328" s="13" t="inlineStr">
        <is>
          <t>100201</t>
        </is>
      </c>
      <c r="B328" s="13" t="inlineStr">
        <is>
          <t>圆钢</t>
        </is>
      </c>
      <c r="C328" s="13" t="inlineStr">
        <is>
          <t>600969100</t>
        </is>
      </c>
      <c r="D328" s="13" t="inlineStr">
        <is>
          <t>圆钢|圆钢|30CrMnSiA|GB/T 3077-1999</t>
        </is>
      </c>
      <c r="E328" s="13" t="inlineStr">
        <is>
          <t xml:space="preserve">物资名称 圆钢;物资简称 圆钢;牌号 30CrMnSiA;直径 Φ;技术标准号 GB/T 3077-1999;加工工艺 ;热处理工艺 ;特殊要求 ;规格标准号 </t>
        </is>
      </c>
      <c r="F328" s="12" t="inlineStr">
        <is>
          <t>千克</t>
        </is>
      </c>
      <c r="G328" s="11">
        <f>LEFT(D328,FIND("|",D328,1)-1)</f>
        <v/>
      </c>
      <c r="H328" s="11">
        <f>MID(D328,FIND("|",D328,FIND("|",D328,1))+1,FIND("|",D328,FIND("|",D328,1)+1)-FIND("|",D328,FIND("|",D328,1))-1)</f>
        <v/>
      </c>
      <c r="J328" s="11">
        <f>MID(D328,FIND(";",SUBSTITUTE(D328,"|",REPT(";",LEN(D328)),2))+1,FIND(";",SUBSTITUTE(D328,"|",REPT(";",LEN(D328)),3))-FIND(";",SUBSTITUTE(D328,"|",REPT(";",LEN(D328)),2))-1)</f>
        <v/>
      </c>
      <c r="M328" s="11">
        <f>MID(D328,FIND(";",SUBSTITUTE(D328,"|",REPT(";",LEN(D328)),3))+1,LEN(D328))</f>
        <v/>
      </c>
    </row>
    <row r="329" ht="112" customHeight="1" s="21">
      <c r="A329" s="13" t="inlineStr">
        <is>
          <t>100201</t>
        </is>
      </c>
      <c r="B329" s="13" t="inlineStr">
        <is>
          <t>圆钢</t>
        </is>
      </c>
      <c r="C329" s="13" t="inlineStr">
        <is>
          <t>600950600</t>
        </is>
      </c>
      <c r="D329" s="13" t="inlineStr">
        <is>
          <t>不锈钢棒|钢棒|2Cr13|GB/T 1220-1992</t>
        </is>
      </c>
      <c r="E329" s="13" t="inlineStr">
        <is>
          <t xml:space="preserve">物资名称 不锈钢棒;物资简称 钢棒;牌号 2Cr13;直径 Φ;技术标准号 GB/T 1220-1992;加工工艺 ;热处理工艺 ;特殊要求 ;规格标准号 </t>
        </is>
      </c>
      <c r="F329" s="12" t="inlineStr">
        <is>
          <t>千克</t>
        </is>
      </c>
      <c r="G329" s="11">
        <f>LEFT(D329,FIND("|",D329,1)-1)</f>
        <v/>
      </c>
      <c r="H329" s="11">
        <f>MID(D329,FIND("|",D329,FIND("|",D329,1))+1,FIND("|",D329,FIND("|",D329,1)+1)-FIND("|",D329,FIND("|",D329,1))-1)</f>
        <v/>
      </c>
      <c r="J329" s="11">
        <f>MID(D329,FIND(";",SUBSTITUTE(D329,"|",REPT(";",LEN(D329)),2))+1,FIND(";",SUBSTITUTE(D329,"|",REPT(";",LEN(D329)),3))-FIND(";",SUBSTITUTE(D329,"|",REPT(";",LEN(D329)),2))-1)</f>
        <v/>
      </c>
      <c r="M329" s="11">
        <f>MID(D329,FIND(";",SUBSTITUTE(D329,"|",REPT(";",LEN(D329)),3))+1,LEN(D329))</f>
        <v/>
      </c>
    </row>
    <row r="330" ht="126" customHeight="1" s="21">
      <c r="A330" s="13" t="inlineStr">
        <is>
          <t>100201</t>
        </is>
      </c>
      <c r="B330" s="13" t="inlineStr">
        <is>
          <t>圆钢</t>
        </is>
      </c>
      <c r="C330" s="13" t="inlineStr">
        <is>
          <t>600949900</t>
        </is>
      </c>
      <c r="D330" s="13" t="inlineStr">
        <is>
          <t>不锈钢棒|钢棒|不锈钢Y1Cr18Ni9|GB/T 1220-1992</t>
        </is>
      </c>
      <c r="E330" s="13" t="inlineStr">
        <is>
          <t xml:space="preserve">物资名称 不锈钢棒;物资简称 钢棒;牌号 不锈钢Y1Cr18Ni9;直径 Φ;技术标准号 GB/T 1220-1992;加工工艺 ;热处理工艺 ;特殊要求 ;规格标准号 </t>
        </is>
      </c>
      <c r="F330" s="12" t="inlineStr">
        <is>
          <t>千克</t>
        </is>
      </c>
      <c r="G330" s="11">
        <f>LEFT(D330,FIND("|",D330,1)-1)</f>
        <v/>
      </c>
      <c r="H330" s="11">
        <f>MID(D330,FIND("|",D330,FIND("|",D330,1))+1,FIND("|",D330,FIND("|",D330,1)+1)-FIND("|",D330,FIND("|",D330,1))-1)</f>
        <v/>
      </c>
      <c r="J330" s="11">
        <f>MID(D330,FIND(";",SUBSTITUTE(D330,"|",REPT(";",LEN(D330)),2))+1,FIND(";",SUBSTITUTE(D330,"|",REPT(";",LEN(D330)),3))-FIND(";",SUBSTITUTE(D330,"|",REPT(";",LEN(D330)),2))-1)</f>
        <v/>
      </c>
      <c r="M330" s="11">
        <f>MID(D330,FIND(";",SUBSTITUTE(D330,"|",REPT(";",LEN(D330)),3))+1,LEN(D330))</f>
        <v/>
      </c>
    </row>
    <row r="331" ht="140" customHeight="1" s="21">
      <c r="A331" s="13" t="inlineStr">
        <is>
          <t>100201</t>
        </is>
      </c>
      <c r="B331" s="13" t="inlineStr">
        <is>
          <t>圆钢</t>
        </is>
      </c>
      <c r="C331" s="13" t="inlineStr">
        <is>
          <t>600947500</t>
        </is>
      </c>
      <c r="D331" s="13" t="inlineStr">
        <is>
          <t>热轧优质碳素结构圆钢|圆钢|45|Φ265|GB/T 699-1999|热轧|GB/T 702-2008</t>
        </is>
      </c>
      <c r="E331" s="13" t="inlineStr">
        <is>
          <t>物资名称 热轧优质碳素结构圆钢;物资简称 圆钢;牌号 45;直径 Φ265;技术标准号 GB/T 699-1999;加工工艺 热轧;热处理工艺 ;特殊要求 ;规格标准号 GB/T 702-2008</t>
        </is>
      </c>
      <c r="F331" s="12" t="inlineStr">
        <is>
          <t>千克</t>
        </is>
      </c>
      <c r="G331" s="11">
        <f>LEFT(D331,FIND("|",D331,1)-1)</f>
        <v/>
      </c>
      <c r="H331" s="11">
        <f>MID(D331,FIND("|",D331,FIND("|",D331,1))+1,FIND("|",D331,FIND("|",D331,1)+1)-FIND("|",D331,FIND("|",D331,1))-1)</f>
        <v/>
      </c>
      <c r="J331" s="11">
        <f>MID(D331,FIND(";",SUBSTITUTE(D331,"|",REPT(";",LEN(D331)),2))+1,FIND(";",SUBSTITUTE(D331,"|",REPT(";",LEN(D331)),3))-FIND(";",SUBSTITUTE(D331,"|",REPT(";",LEN(D331)),2))-1)</f>
        <v/>
      </c>
      <c r="K331" s="11">
        <f>MID(D331,FIND(";",SUBSTITUTE(D331,"|",REPT(";",LEN(D331)),3))+1,FIND(";",SUBSTITUTE(D331,"|",REPT(";",LEN(D331)),4))-FIND(";",SUBSTITUTE(D331,"|",REPT(";",LEN(D331)),3))-1)</f>
        <v/>
      </c>
      <c r="M331" s="11">
        <f>MID(D331,FIND(";",SUBSTITUTE(D331,"|",REPT(";",LEN(D331)),4))+1,FIND(";",SUBSTITUTE(D331,"|",REPT(";",LEN(D331)),5))-FIND(";",SUBSTITUTE(D331,"|",REPT(";",LEN(D331)),4))-1)</f>
        <v/>
      </c>
      <c r="N331" s="11">
        <f>MID(D331,FIND(";",SUBSTITUTE(D331,"|",REPT(";",LEN(D331)),6))+1,LEN(D331))</f>
        <v/>
      </c>
      <c r="O331" s="11">
        <f>MID(D331,FIND(";",SUBSTITUTE(D331,"|",REPT(";",LEN(D331)),5))+1,FIND(";",SUBSTITUTE(D331,"|",REPT(";",LEN(D331)),6))-FIND(";",SUBSTITUTE(D331,"|",REPT(";",LEN(D331)),5))-1)</f>
        <v/>
      </c>
    </row>
    <row r="332" ht="126" customHeight="1" s="21">
      <c r="A332" s="13" t="inlineStr">
        <is>
          <t>100201</t>
        </is>
      </c>
      <c r="B332" s="13" t="inlineStr">
        <is>
          <t>圆钢</t>
        </is>
      </c>
      <c r="C332" s="13" t="inlineStr">
        <is>
          <t>600947400</t>
        </is>
      </c>
      <c r="D332" s="13" t="inlineStr">
        <is>
          <t>热轧不锈圆钢|圆钢|40Cr13|Φ15|GB/T 1220-2007|热轧|GB/T 702-2008</t>
        </is>
      </c>
      <c r="E332" s="13" t="inlineStr">
        <is>
          <t>物资名称 热轧不锈圆钢;物资简称 圆钢;牌号 40Cr13;直径 Φ15;技术标准号 GB/T 1220-2007;加工工艺 热轧;热处理工艺 ;特殊要求 ;规格标准号 GB/T 702-2008</t>
        </is>
      </c>
      <c r="F332" s="12" t="inlineStr">
        <is>
          <t>千克</t>
        </is>
      </c>
      <c r="G332" s="11">
        <f>LEFT(D332,FIND("|",D332,1)-1)</f>
        <v/>
      </c>
      <c r="H332" s="11">
        <f>MID(D332,FIND("|",D332,FIND("|",D332,1))+1,FIND("|",D332,FIND("|",D332,1)+1)-FIND("|",D332,FIND("|",D332,1))-1)</f>
        <v/>
      </c>
      <c r="J332" s="11">
        <f>MID(D332,FIND(";",SUBSTITUTE(D332,"|",REPT(";",LEN(D332)),2))+1,FIND(";",SUBSTITUTE(D332,"|",REPT(";",LEN(D332)),3))-FIND(";",SUBSTITUTE(D332,"|",REPT(";",LEN(D332)),2))-1)</f>
        <v/>
      </c>
      <c r="K332" s="11">
        <f>MID(D332,FIND(";",SUBSTITUTE(D332,"|",REPT(";",LEN(D332)),3))+1,FIND(";",SUBSTITUTE(D332,"|",REPT(";",LEN(D332)),4))-FIND(";",SUBSTITUTE(D332,"|",REPT(";",LEN(D332)),3))-1)</f>
        <v/>
      </c>
      <c r="M332" s="11">
        <f>MID(D332,FIND(";",SUBSTITUTE(D332,"|",REPT(";",LEN(D332)),4))+1,FIND(";",SUBSTITUTE(D332,"|",REPT(";",LEN(D332)),5))-FIND(";",SUBSTITUTE(D332,"|",REPT(";",LEN(D332)),4))-1)</f>
        <v/>
      </c>
      <c r="N332" s="11">
        <f>MID(D332,FIND(";",SUBSTITUTE(D332,"|",REPT(";",LEN(D332)),6))+1,LEN(D332))</f>
        <v/>
      </c>
      <c r="O332" s="11">
        <f>MID(D332,FIND(";",SUBSTITUTE(D332,"|",REPT(";",LEN(D332)),5))+1,FIND(";",SUBSTITUTE(D332,"|",REPT(";",LEN(D332)),6))-FIND(";",SUBSTITUTE(D332,"|",REPT(";",LEN(D332)),5))-1)</f>
        <v/>
      </c>
    </row>
    <row r="333" ht="140" customHeight="1" s="21">
      <c r="A333" s="13" t="inlineStr">
        <is>
          <t>100201</t>
        </is>
      </c>
      <c r="B333" s="13" t="inlineStr">
        <is>
          <t>圆钢</t>
        </is>
      </c>
      <c r="C333" s="13" t="inlineStr">
        <is>
          <t>600947300</t>
        </is>
      </c>
      <c r="D333" s="13" t="inlineStr">
        <is>
          <t>热轧合金结构圆钢|圆钢|30CrMnSiA|Φ70|GB/T 3077-1999|热轧|GB/T 702-2008</t>
        </is>
      </c>
      <c r="E333" s="13" t="inlineStr">
        <is>
          <t>物资名称 热轧合金结构圆钢;物资简称 圆钢;牌号 30CrMnSiA;直径 Φ70;技术标准号 GB/T 3077-1999;加工工艺 热轧;热处理工艺 ;特殊要求 ;规格标准号 GB/T 702-2008</t>
        </is>
      </c>
      <c r="F333" s="12" t="inlineStr">
        <is>
          <t>千克</t>
        </is>
      </c>
      <c r="G333" s="11">
        <f>LEFT(D333,FIND("|",D333,1)-1)</f>
        <v/>
      </c>
      <c r="H333" s="11">
        <f>MID(D333,FIND("|",D333,FIND("|",D333,1))+1,FIND("|",D333,FIND("|",D333,1)+1)-FIND("|",D333,FIND("|",D333,1))-1)</f>
        <v/>
      </c>
      <c r="J333" s="11">
        <f>MID(D333,FIND(";",SUBSTITUTE(D333,"|",REPT(";",LEN(D333)),2))+1,FIND(";",SUBSTITUTE(D333,"|",REPT(";",LEN(D333)),3))-FIND(";",SUBSTITUTE(D333,"|",REPT(";",LEN(D333)),2))-1)</f>
        <v/>
      </c>
      <c r="K333" s="11">
        <f>MID(D333,FIND(";",SUBSTITUTE(D333,"|",REPT(";",LEN(D333)),3))+1,FIND(";",SUBSTITUTE(D333,"|",REPT(";",LEN(D333)),4))-FIND(";",SUBSTITUTE(D333,"|",REPT(";",LEN(D333)),3))-1)</f>
        <v/>
      </c>
      <c r="M333" s="11">
        <f>MID(D333,FIND(";",SUBSTITUTE(D333,"|",REPT(";",LEN(D333)),4))+1,FIND(";",SUBSTITUTE(D333,"|",REPT(";",LEN(D333)),5))-FIND(";",SUBSTITUTE(D333,"|",REPT(";",LEN(D333)),4))-1)</f>
        <v/>
      </c>
      <c r="N333" s="11">
        <f>MID(D333,FIND(";",SUBSTITUTE(D333,"|",REPT(";",LEN(D333)),6))+1,LEN(D333))</f>
        <v/>
      </c>
      <c r="O333" s="11">
        <f>MID(D333,FIND(";",SUBSTITUTE(D333,"|",REPT(";",LEN(D333)),5))+1,FIND(";",SUBSTITUTE(D333,"|",REPT(";",LEN(D333)),6))-FIND(";",SUBSTITUTE(D333,"|",REPT(";",LEN(D333)),5))-1)</f>
        <v/>
      </c>
    </row>
    <row r="334" ht="140" customHeight="1" s="21">
      <c r="A334" s="13" t="inlineStr">
        <is>
          <t>100201</t>
        </is>
      </c>
      <c r="B334" s="13" t="inlineStr">
        <is>
          <t>圆钢</t>
        </is>
      </c>
      <c r="C334" s="13" t="inlineStr">
        <is>
          <t>600947200</t>
        </is>
      </c>
      <c r="D334" s="13" t="inlineStr">
        <is>
          <t>热轧合金结构圆钢|圆钢|30CrMnSiA|Φ30|GB/T 3077-1999|热轧|GB/T 702-2008</t>
        </is>
      </c>
      <c r="E334" s="13" t="inlineStr">
        <is>
          <t>物资名称 热轧合金结构圆钢;物资简称 圆钢;牌号 30CrMnSiA;直径 Φ30;技术标准号 GB/T 3077-1999;加工工艺 热轧;热处理工艺 ;特殊要求 ;规格标准号 GB/T 702-2008</t>
        </is>
      </c>
      <c r="F334" s="12" t="inlineStr">
        <is>
          <t>千克</t>
        </is>
      </c>
      <c r="G334" s="11">
        <f>LEFT(D334,FIND("|",D334,1)-1)</f>
        <v/>
      </c>
      <c r="H334" s="11">
        <f>MID(D334,FIND("|",D334,FIND("|",D334,1))+1,FIND("|",D334,FIND("|",D334,1)+1)-FIND("|",D334,FIND("|",D334,1))-1)</f>
        <v/>
      </c>
      <c r="J334" s="11">
        <f>MID(D334,FIND(";",SUBSTITUTE(D334,"|",REPT(";",LEN(D334)),2))+1,FIND(";",SUBSTITUTE(D334,"|",REPT(";",LEN(D334)),3))-FIND(";",SUBSTITUTE(D334,"|",REPT(";",LEN(D334)),2))-1)</f>
        <v/>
      </c>
      <c r="K334" s="11">
        <f>MID(D334,FIND(";",SUBSTITUTE(D334,"|",REPT(";",LEN(D334)),3))+1,FIND(";",SUBSTITUTE(D334,"|",REPT(";",LEN(D334)),4))-FIND(";",SUBSTITUTE(D334,"|",REPT(";",LEN(D334)),3))-1)</f>
        <v/>
      </c>
      <c r="M334" s="11">
        <f>MID(D334,FIND(";",SUBSTITUTE(D334,"|",REPT(";",LEN(D334)),4))+1,FIND(";",SUBSTITUTE(D334,"|",REPT(";",LEN(D334)),5))-FIND(";",SUBSTITUTE(D334,"|",REPT(";",LEN(D334)),4))-1)</f>
        <v/>
      </c>
      <c r="N334" s="11">
        <f>MID(D334,FIND(";",SUBSTITUTE(D334,"|",REPT(";",LEN(D334)),6))+1,LEN(D334))</f>
        <v/>
      </c>
      <c r="O334" s="11">
        <f>MID(D334,FIND(";",SUBSTITUTE(D334,"|",REPT(";",LEN(D334)),5))+1,FIND(";",SUBSTITUTE(D334,"|",REPT(";",LEN(D334)),6))-FIND(";",SUBSTITUTE(D334,"|",REPT(";",LEN(D334)),5))-1)</f>
        <v/>
      </c>
    </row>
    <row r="335" ht="126" customHeight="1" s="21">
      <c r="A335" s="13" t="inlineStr">
        <is>
          <t>100201</t>
        </is>
      </c>
      <c r="B335" s="13" t="inlineStr">
        <is>
          <t>圆钢</t>
        </is>
      </c>
      <c r="C335" s="13" t="inlineStr">
        <is>
          <t>600947100</t>
        </is>
      </c>
      <c r="D335" s="13" t="inlineStr">
        <is>
          <t>热轧不锈圆钢|钢棒|1Cr17Ni2|Φ8|GB/T 1220-1992|GB/T 702-2008</t>
        </is>
      </c>
      <c r="E335" s="13" t="inlineStr">
        <is>
          <t>物资名称 热轧不锈圆钢;物资简称 钢棒;牌号 1Cr17Ni2;直径 Φ8;技术标准号 GB/T 1220-1992;加工工艺 ;热处理工艺 ;特殊要求 ;规格标准号 GB/T 702-2008</t>
        </is>
      </c>
      <c r="F335" s="12" t="inlineStr">
        <is>
          <t>千克</t>
        </is>
      </c>
      <c r="G335" s="11">
        <f>LEFT(D335,FIND("|",D335,1)-1)</f>
        <v/>
      </c>
      <c r="H335" s="11">
        <f>MID(D335,FIND("|",D335,FIND("|",D335,1))+1,FIND("|",D335,FIND("|",D335,1)+1)-FIND("|",D335,FIND("|",D335,1))-1)</f>
        <v/>
      </c>
      <c r="J335" s="11">
        <f>MID(D335,FIND(";",SUBSTITUTE(D335,"|",REPT(";",LEN(D335)),2))+1,FIND(";",SUBSTITUTE(D335,"|",REPT(";",LEN(D335)),3))-FIND(";",SUBSTITUTE(D335,"|",REPT(";",LEN(D335)),2))-1)</f>
        <v/>
      </c>
      <c r="K335" s="11">
        <f>MID(D335,FIND(";",SUBSTITUTE(D335,"|",REPT(";",LEN(D335)),3))+1,FIND(";",SUBSTITUTE(D335,"|",REPT(";",LEN(D335)),4))-FIND(";",SUBSTITUTE(D335,"|",REPT(";",LEN(D335)),3))-1)</f>
        <v/>
      </c>
      <c r="M335" s="11">
        <f>MID(D335,FIND(";",SUBSTITUTE(D335,"|",REPT(";",LEN(D335)),4))+1,FIND(";",SUBSTITUTE(D335,"|",REPT(";",LEN(D335)),5))-FIND(";",SUBSTITUTE(D335,"|",REPT(";",LEN(D335)),4))-1)</f>
        <v/>
      </c>
      <c r="N335" s="11">
        <f>MID(D335,FIND(";",SUBSTITUTE(D335,"|",REPT(";",LEN(D335)),5))+1,LEN(D335))</f>
        <v/>
      </c>
    </row>
    <row r="336" ht="112" customHeight="1" s="21">
      <c r="A336" s="13" t="inlineStr">
        <is>
          <t>100201</t>
        </is>
      </c>
      <c r="B336" s="13" t="inlineStr">
        <is>
          <t>圆钢</t>
        </is>
      </c>
      <c r="C336" s="13" t="inlineStr">
        <is>
          <t>600940600</t>
        </is>
      </c>
      <c r="D336" s="13" t="inlineStr">
        <is>
          <t>圆钢|圆钢|45|Φ13|GB/T 699-1999|GB/T 702-1986</t>
        </is>
      </c>
      <c r="E336" s="13" t="inlineStr">
        <is>
          <t>物资名称 圆钢;物资简称 圆钢;牌号 45;直径 Φ13;技术标准号 GB/T 699-1999;加工工艺 ;热处理工艺 ;特殊要求 ;规格标准号 GB/T 702-1986</t>
        </is>
      </c>
      <c r="F336" s="12" t="inlineStr">
        <is>
          <t>千克</t>
        </is>
      </c>
      <c r="G336" s="11">
        <f>LEFT(D336,FIND("|",D336,1)-1)</f>
        <v/>
      </c>
      <c r="H336" s="11">
        <f>MID(D336,FIND("|",D336,FIND("|",D336,1))+1,FIND("|",D336,FIND("|",D336,1)+1)-FIND("|",D336,FIND("|",D336,1))-1)</f>
        <v/>
      </c>
      <c r="J336" s="11">
        <f>MID(D336,FIND(";",SUBSTITUTE(D336,"|",REPT(";",LEN(D336)),2))+1,FIND(";",SUBSTITUTE(D336,"|",REPT(";",LEN(D336)),3))-FIND(";",SUBSTITUTE(D336,"|",REPT(";",LEN(D336)),2))-1)</f>
        <v/>
      </c>
      <c r="K336" s="11">
        <f>MID(D336,FIND(";",SUBSTITUTE(D336,"|",REPT(";",LEN(D336)),3))+1,FIND(";",SUBSTITUTE(D336,"|",REPT(";",LEN(D336)),4))-FIND(";",SUBSTITUTE(D336,"|",REPT(";",LEN(D336)),3))-1)</f>
        <v/>
      </c>
      <c r="M336" s="11">
        <f>MID(D336,FIND(";",SUBSTITUTE(D336,"|",REPT(";",LEN(D336)),4))+1,FIND(";",SUBSTITUTE(D336,"|",REPT(";",LEN(D336)),5))-FIND(";",SUBSTITUTE(D336,"|",REPT(";",LEN(D336)),4))-1)</f>
        <v/>
      </c>
      <c r="N336" s="11">
        <f>MID(D336,FIND(";",SUBSTITUTE(D336,"|",REPT(";",LEN(D336)),5))+1,LEN(D336))</f>
        <v/>
      </c>
    </row>
    <row r="337" ht="112" customHeight="1" s="21">
      <c r="A337" s="13" t="inlineStr">
        <is>
          <t>100201</t>
        </is>
      </c>
      <c r="B337" s="13" t="inlineStr">
        <is>
          <t>圆钢</t>
        </is>
      </c>
      <c r="C337" s="13" t="inlineStr">
        <is>
          <t>600940500</t>
        </is>
      </c>
      <c r="D337" s="13" t="inlineStr">
        <is>
          <t>圆钢|圆钢|45|Φ7|GB/T 699-1999|GB/T 702-1986</t>
        </is>
      </c>
      <c r="E337" s="13" t="inlineStr">
        <is>
          <t>物资名称 圆钢;物资简称 圆钢;牌号 45;直径 Φ7;技术标准号 GB/T 699-1999;加工工艺 ;热处理工艺 ;特殊要求 ;规格标准号 GB/T 702-1986</t>
        </is>
      </c>
      <c r="F337" s="12" t="inlineStr">
        <is>
          <t>千克</t>
        </is>
      </c>
      <c r="G337" s="11">
        <f>LEFT(D337,FIND("|",D337,1)-1)</f>
        <v/>
      </c>
      <c r="H337" s="11">
        <f>MID(D337,FIND("|",D337,FIND("|",D337,1))+1,FIND("|",D337,FIND("|",D337,1)+1)-FIND("|",D337,FIND("|",D337,1))-1)</f>
        <v/>
      </c>
      <c r="J337" s="11">
        <f>MID(D337,FIND(";",SUBSTITUTE(D337,"|",REPT(";",LEN(D337)),2))+1,FIND(";",SUBSTITUTE(D337,"|",REPT(";",LEN(D337)),3))-FIND(";",SUBSTITUTE(D337,"|",REPT(";",LEN(D337)),2))-1)</f>
        <v/>
      </c>
      <c r="K337" s="11">
        <f>MID(D337,FIND(";",SUBSTITUTE(D337,"|",REPT(";",LEN(D337)),3))+1,FIND(";",SUBSTITUTE(D337,"|",REPT(";",LEN(D337)),4))-FIND(";",SUBSTITUTE(D337,"|",REPT(";",LEN(D337)),3))-1)</f>
        <v/>
      </c>
      <c r="M337" s="11">
        <f>MID(D337,FIND(";",SUBSTITUTE(D337,"|",REPT(";",LEN(D337)),4))+1,FIND(";",SUBSTITUTE(D337,"|",REPT(";",LEN(D337)),5))-FIND(";",SUBSTITUTE(D337,"|",REPT(";",LEN(D337)),4))-1)</f>
        <v/>
      </c>
      <c r="N337" s="11">
        <f>MID(D337,FIND(";",SUBSTITUTE(D337,"|",REPT(";",LEN(D337)),5))+1,LEN(D337))</f>
        <v/>
      </c>
    </row>
    <row r="338" ht="112" customHeight="1" s="21">
      <c r="A338" s="13" t="inlineStr">
        <is>
          <t>100201</t>
        </is>
      </c>
      <c r="B338" s="13" t="inlineStr">
        <is>
          <t>圆钢</t>
        </is>
      </c>
      <c r="C338" s="13" t="inlineStr">
        <is>
          <t>600924800</t>
        </is>
      </c>
      <c r="D338" s="13" t="inlineStr">
        <is>
          <t>六角钢|六角钢|30CrMnSi|GB/T 3077-1999</t>
        </is>
      </c>
      <c r="E338" s="13" t="inlineStr">
        <is>
          <t xml:space="preserve">物资名称 六角钢;物资简称 六角钢;牌号 30CrMnSi;直径 Φ;技术标准号 GB/T 3077-1999;加工工艺 ;热处理工艺 ;特殊要求 ;规格标准号 </t>
        </is>
      </c>
      <c r="F338" s="12" t="inlineStr">
        <is>
          <t>千克</t>
        </is>
      </c>
      <c r="G338" s="11">
        <f>LEFT(D338,FIND("|",D338,1)-1)</f>
        <v/>
      </c>
      <c r="H338" s="11">
        <f>MID(D338,FIND("|",D338,FIND("|",D338,1))+1,FIND("|",D338,FIND("|",D338,1)+1)-FIND("|",D338,FIND("|",D338,1))-1)</f>
        <v/>
      </c>
      <c r="J338" s="11">
        <f>MID(D338,FIND(";",SUBSTITUTE(D338,"|",REPT(";",LEN(D338)),2))+1,FIND(";",SUBSTITUTE(D338,"|",REPT(";",LEN(D338)),3))-FIND(";",SUBSTITUTE(D338,"|",REPT(";",LEN(D338)),2))-1)</f>
        <v/>
      </c>
      <c r="M338" s="11">
        <f>MID(D338,FIND(";",SUBSTITUTE(D338,"|",REPT(";",LEN(D338)),3))+1,LEN(D338))</f>
        <v/>
      </c>
    </row>
    <row r="339" ht="98" customHeight="1" s="21">
      <c r="A339" s="13" t="inlineStr">
        <is>
          <t>100201</t>
        </is>
      </c>
      <c r="B339" s="13" t="inlineStr">
        <is>
          <t>圆钢</t>
        </is>
      </c>
      <c r="C339" s="13" t="inlineStr">
        <is>
          <t>600917700</t>
        </is>
      </c>
      <c r="D339" s="13" t="inlineStr">
        <is>
          <t>圆钢|圆钢|20|GB/T 699-1999</t>
        </is>
      </c>
      <c r="E339" s="13" t="inlineStr">
        <is>
          <t xml:space="preserve">物资名称 圆钢;物资简称 圆钢;牌号 20;直径 Φ;技术标准号 GB/T 699-1999;加工工艺 ;热处理工艺 ;特殊要求 ;规格标准号 </t>
        </is>
      </c>
      <c r="F339" s="12" t="inlineStr">
        <is>
          <t>千克</t>
        </is>
      </c>
      <c r="G339" s="11">
        <f>LEFT(D339,FIND("|",D339,1)-1)</f>
        <v/>
      </c>
      <c r="H339" s="11">
        <f>MID(D339,FIND("|",D339,FIND("|",D339,1))+1,FIND("|",D339,FIND("|",D339,1)+1)-FIND("|",D339,FIND("|",D339,1))-1)</f>
        <v/>
      </c>
      <c r="J339" s="11">
        <f>MID(D339,FIND(";",SUBSTITUTE(D339,"|",REPT(";",LEN(D339)),2))+1,FIND(";",SUBSTITUTE(D339,"|",REPT(";",LEN(D339)),3))-FIND(";",SUBSTITUTE(D339,"|",REPT(";",LEN(D339)),2))-1)</f>
        <v/>
      </c>
      <c r="M339" s="11">
        <f>MID(D339,FIND(";",SUBSTITUTE(D339,"|",REPT(";",LEN(D339)),3))+1,LEN(D339))</f>
        <v/>
      </c>
    </row>
    <row r="340" ht="112" customHeight="1" s="21">
      <c r="A340" s="13" t="inlineStr">
        <is>
          <t>100201</t>
        </is>
      </c>
      <c r="B340" s="13" t="inlineStr">
        <is>
          <t>圆钢</t>
        </is>
      </c>
      <c r="C340" s="13" t="inlineStr">
        <is>
          <t>600917600</t>
        </is>
      </c>
      <c r="D340" s="13" t="inlineStr">
        <is>
          <t>圆钢|圆钢|30CrMnSiA|GB/T 3078-1994</t>
        </is>
      </c>
      <c r="E340" s="13" t="inlineStr">
        <is>
          <t xml:space="preserve">物资名称 圆钢;物资简称 圆钢;牌号 30CrMnSiA;直径 Φ;技术标准号 GB/T 3078-1994;加工工艺 ;热处理工艺 ;特殊要求 ;规格标准号 </t>
        </is>
      </c>
      <c r="F340" s="12" t="inlineStr">
        <is>
          <t>千克</t>
        </is>
      </c>
      <c r="G340" s="11">
        <f>LEFT(D340,FIND("|",D340,1)-1)</f>
        <v/>
      </c>
      <c r="H340" s="11">
        <f>MID(D340,FIND("|",D340,FIND("|",D340,1))+1,FIND("|",D340,FIND("|",D340,1)+1)-FIND("|",D340,FIND("|",D340,1))-1)</f>
        <v/>
      </c>
      <c r="J340" s="11">
        <f>MID(D340,FIND(";",SUBSTITUTE(D340,"|",REPT(";",LEN(D340)),2))+1,FIND(";",SUBSTITUTE(D340,"|",REPT(";",LEN(D340)),3))-FIND(";",SUBSTITUTE(D340,"|",REPT(";",LEN(D340)),2))-1)</f>
        <v/>
      </c>
      <c r="M340" s="11">
        <f>MID(D340,FIND(";",SUBSTITUTE(D340,"|",REPT(";",LEN(D340)),3))+1,LEN(D340))</f>
        <v/>
      </c>
    </row>
    <row r="341" ht="112" customHeight="1" s="21">
      <c r="A341" s="13" t="inlineStr">
        <is>
          <t>100201</t>
        </is>
      </c>
      <c r="B341" s="13" t="inlineStr">
        <is>
          <t>圆钢</t>
        </is>
      </c>
      <c r="C341" s="13" t="inlineStr">
        <is>
          <t>600913400</t>
        </is>
      </c>
      <c r="D341" s="13" t="inlineStr">
        <is>
          <t>棒|棒|Y2Cr13Ni2|Φ25|GB/T 2294-95</t>
        </is>
      </c>
      <c r="E341" s="13" t="inlineStr">
        <is>
          <t xml:space="preserve">物资名称 棒;物资简称 棒;牌号 Y2Cr13Ni2;直径 Φ25;技术标准号 GB/T 2294-95;加工工艺 ;热处理工艺 ;特殊要求 ;规格标准号 </t>
        </is>
      </c>
      <c r="F341" s="12" t="inlineStr">
        <is>
          <t>千克</t>
        </is>
      </c>
      <c r="G341" s="11">
        <f>LEFT(D341,FIND("|",D341,1)-1)</f>
        <v/>
      </c>
      <c r="H341" s="11">
        <f>MID(D341,FIND("|",D341,FIND("|",D341,1))+1,FIND("|",D341,FIND("|",D341,1)+1)-FIND("|",D341,FIND("|",D341,1))-1)</f>
        <v/>
      </c>
      <c r="J341" s="11">
        <f>MID(D341,FIND(";",SUBSTITUTE(D341,"|",REPT(";",LEN(D341)),2))+1,FIND(";",SUBSTITUTE(D341,"|",REPT(";",LEN(D341)),3))-FIND(";",SUBSTITUTE(D341,"|",REPT(";",LEN(D341)),2))-1)</f>
        <v/>
      </c>
      <c r="K341" s="11">
        <f>MID(D341,FIND(";",SUBSTITUTE(D341,"|",REPT(";",LEN(D341)),3))+1,FIND(";",SUBSTITUTE(D341,"|",REPT(";",LEN(D341)),4))-FIND(";",SUBSTITUTE(D341,"|",REPT(";",LEN(D341)),3))-1)</f>
        <v/>
      </c>
      <c r="M341" s="11">
        <f>MID(D341,FIND(";",SUBSTITUTE(D341,"|",REPT(";",LEN(D341)),4))+1,LEN(D341))</f>
        <v/>
      </c>
    </row>
    <row r="342" ht="98" customHeight="1" s="21">
      <c r="A342" s="13" t="inlineStr">
        <is>
          <t>100201</t>
        </is>
      </c>
      <c r="B342" s="13" t="inlineStr">
        <is>
          <t>圆钢</t>
        </is>
      </c>
      <c r="C342" s="13" t="inlineStr">
        <is>
          <t>600910000</t>
        </is>
      </c>
      <c r="D342" s="13" t="inlineStr">
        <is>
          <t>圆钢|圆钢|45|GB/T 699-1999</t>
        </is>
      </c>
      <c r="E342" s="13" t="inlineStr">
        <is>
          <t xml:space="preserve">物资名称 圆钢;物资简称 圆钢;牌号 45;直径 Φ;技术标准号 GB/T 699-1999;加工工艺 ;热处理工艺 ;特殊要求 ;规格标准号 </t>
        </is>
      </c>
      <c r="F342" s="12" t="inlineStr">
        <is>
          <t>千克</t>
        </is>
      </c>
      <c r="G342" s="11">
        <f>LEFT(D342,FIND("|",D342,1)-1)</f>
        <v/>
      </c>
      <c r="H342" s="11">
        <f>MID(D342,FIND("|",D342,FIND("|",D342,1))+1,FIND("|",D342,FIND("|",D342,1)+1)-FIND("|",D342,FIND("|",D342,1))-1)</f>
        <v/>
      </c>
      <c r="J342" s="11">
        <f>MID(D342,FIND(";",SUBSTITUTE(D342,"|",REPT(";",LEN(D342)),2))+1,FIND(";",SUBSTITUTE(D342,"|",REPT(";",LEN(D342)),3))-FIND(";",SUBSTITUTE(D342,"|",REPT(";",LEN(D342)),2))-1)</f>
        <v/>
      </c>
      <c r="M342" s="11">
        <f>MID(D342,FIND(";",SUBSTITUTE(D342,"|",REPT(";",LEN(D342)),3))+1,LEN(D342))</f>
        <v/>
      </c>
    </row>
    <row r="343" ht="98" customHeight="1" s="21">
      <c r="A343" s="13" t="inlineStr">
        <is>
          <t>100201</t>
        </is>
      </c>
      <c r="B343" s="13" t="inlineStr">
        <is>
          <t>圆钢</t>
        </is>
      </c>
      <c r="C343" s="13" t="inlineStr">
        <is>
          <t>600909400</t>
        </is>
      </c>
      <c r="D343" s="13" t="inlineStr">
        <is>
          <t>圆钢|圆钢|Y20|GB/T 8731-1988</t>
        </is>
      </c>
      <c r="E343" s="13" t="inlineStr">
        <is>
          <t xml:space="preserve">物资名称 圆钢;物资简称 圆钢;牌号 Y20;直径 Φ;技术标准号 GB/T 8731-1988;加工工艺 ;热处理工艺 ;特殊要求 ;规格标准号 </t>
        </is>
      </c>
      <c r="F343" s="12" t="inlineStr">
        <is>
          <t>千克</t>
        </is>
      </c>
      <c r="G343" s="11">
        <f>LEFT(D343,FIND("|",D343,1)-1)</f>
        <v/>
      </c>
      <c r="H343" s="11">
        <f>MID(D343,FIND("|",D343,FIND("|",D343,1))+1,FIND("|",D343,FIND("|",D343,1)+1)-FIND("|",D343,FIND("|",D343,1))-1)</f>
        <v/>
      </c>
      <c r="J343" s="11">
        <f>MID(D343,FIND(";",SUBSTITUTE(D343,"|",REPT(";",LEN(D343)),2))+1,FIND(";",SUBSTITUTE(D343,"|",REPT(";",LEN(D343)),3))-FIND(";",SUBSTITUTE(D343,"|",REPT(";",LEN(D343)),2))-1)</f>
        <v/>
      </c>
      <c r="M343" s="11">
        <f>MID(D343,FIND(";",SUBSTITUTE(D343,"|",REPT(";",LEN(D343)),3))+1,LEN(D343))</f>
        <v/>
      </c>
    </row>
    <row r="344" ht="98" customHeight="1" s="21">
      <c r="A344" s="13" t="inlineStr">
        <is>
          <t>100201</t>
        </is>
      </c>
      <c r="B344" s="13" t="inlineStr">
        <is>
          <t>圆钢</t>
        </is>
      </c>
      <c r="C344" s="13" t="inlineStr">
        <is>
          <t>600909200</t>
        </is>
      </c>
      <c r="D344" s="13" t="inlineStr">
        <is>
          <t>圆钢|圆钢|Y2Cr13Ni2|GJB 2294-95</t>
        </is>
      </c>
      <c r="E344" s="13" t="inlineStr">
        <is>
          <t xml:space="preserve">物资名称 圆钢;物资简称 圆钢;牌号 Y2Cr13Ni2;直径 Φ;技术标准号 GJB 2294-95;加工工艺 ;热处理工艺 ;特殊要求 ;规格标准号 </t>
        </is>
      </c>
      <c r="F344" s="12" t="inlineStr">
        <is>
          <t>千克</t>
        </is>
      </c>
      <c r="G344" s="11">
        <f>LEFT(D344,FIND("|",D344,1)-1)</f>
        <v/>
      </c>
      <c r="H344" s="11">
        <f>MID(D344,FIND("|",D344,FIND("|",D344,1))+1,FIND("|",D344,FIND("|",D344,1)+1)-FIND("|",D344,FIND("|",D344,1))-1)</f>
        <v/>
      </c>
      <c r="J344" s="11">
        <f>MID(D344,FIND(";",SUBSTITUTE(D344,"|",REPT(";",LEN(D344)),2))+1,FIND(";",SUBSTITUTE(D344,"|",REPT(";",LEN(D344)),3))-FIND(";",SUBSTITUTE(D344,"|",REPT(";",LEN(D344)),2))-1)</f>
        <v/>
      </c>
      <c r="M344" s="11">
        <f>MID(D344,FIND(";",SUBSTITUTE(D344,"|",REPT(";",LEN(D344)),3))+1,LEN(D344))</f>
        <v/>
      </c>
    </row>
    <row r="345" ht="112" customHeight="1" s="21">
      <c r="A345" s="13" t="inlineStr">
        <is>
          <t>100201</t>
        </is>
      </c>
      <c r="B345" s="13" t="inlineStr">
        <is>
          <t>圆钢</t>
        </is>
      </c>
      <c r="C345" s="13" t="inlineStr">
        <is>
          <t>600908800</t>
        </is>
      </c>
      <c r="D345" s="13" t="inlineStr">
        <is>
          <t>圆钢|圆钢|Y2Cr13Ni2|GJB 2294-1995</t>
        </is>
      </c>
      <c r="E345" s="13" t="inlineStr">
        <is>
          <t xml:space="preserve">物资名称 圆钢;物资简称 圆钢;牌号 Y2Cr13Ni2;直径 Φ;技术标准号 GJB 2294-1995;加工工艺 ;热处理工艺 ;特殊要求 ;规格标准号 </t>
        </is>
      </c>
      <c r="F345" s="12" t="inlineStr">
        <is>
          <t>千克</t>
        </is>
      </c>
      <c r="G345" s="11">
        <f>LEFT(D345,FIND("|",D345,1)-1)</f>
        <v/>
      </c>
      <c r="H345" s="11">
        <f>MID(D345,FIND("|",D345,FIND("|",D345,1))+1,FIND("|",D345,FIND("|",D345,1)+1)-FIND("|",D345,FIND("|",D345,1))-1)</f>
        <v/>
      </c>
      <c r="J345" s="11">
        <f>MID(D345,FIND(";",SUBSTITUTE(D345,"|",REPT(";",LEN(D345)),2))+1,FIND(";",SUBSTITUTE(D345,"|",REPT(";",LEN(D345)),3))-FIND(";",SUBSTITUTE(D345,"|",REPT(";",LEN(D345)),2))-1)</f>
        <v/>
      </c>
      <c r="M345" s="11">
        <f>MID(D345,FIND(";",SUBSTITUTE(D345,"|",REPT(";",LEN(D345)),3))+1,LEN(D345))</f>
        <v/>
      </c>
    </row>
    <row r="346" ht="140" customHeight="1" s="21">
      <c r="A346" s="13" t="inlineStr">
        <is>
          <t>100201</t>
        </is>
      </c>
      <c r="B346" s="13" t="inlineStr">
        <is>
          <t>圆钢</t>
        </is>
      </c>
      <c r="C346" s="13" t="inlineStr">
        <is>
          <t>600901000</t>
        </is>
      </c>
      <c r="D346" s="13" t="inlineStr">
        <is>
          <t>热轧合金结构圆钢|圆钢|30CrMnSiA|GB/T 3077-1999|热轧|GB/T 702-2008</t>
        </is>
      </c>
      <c r="E346" s="13" t="inlineStr">
        <is>
          <t>物资名称 热轧合金结构圆钢;物资简称 圆钢;牌号 30CrMnSiA;直径 Φ;技术标准号 GB/T 3077-1999;加工工艺 热轧;热处理工艺 ;特殊要求 ;规格标准号 GB/T 702-2008</t>
        </is>
      </c>
      <c r="F346" s="12" t="inlineStr">
        <is>
          <t>千克</t>
        </is>
      </c>
      <c r="G346" s="11">
        <f>LEFT(D346,FIND("|",D346,1)-1)</f>
        <v/>
      </c>
      <c r="H346" s="11">
        <f>MID(D346,FIND("|",D346,FIND("|",D346,1))+1,FIND("|",D346,FIND("|",D346,1)+1)-FIND("|",D346,FIND("|",D346,1))-1)</f>
        <v/>
      </c>
      <c r="J346" s="11">
        <f>MID(D346,FIND(";",SUBSTITUTE(D346,"|",REPT(";",LEN(D346)),2))+1,FIND(";",SUBSTITUTE(D346,"|",REPT(";",LEN(D346)),3))-FIND(";",SUBSTITUTE(D346,"|",REPT(";",LEN(D346)),2))-1)</f>
        <v/>
      </c>
      <c r="M346" s="11">
        <f>MID(D346,FIND(";",SUBSTITUTE(D346,"|",REPT(";",LEN(D346)),3))+1,FIND(";",SUBSTITUTE(D346,"|",REPT(";",LEN(D346)),4))-FIND(";",SUBSTITUTE(D346,"|",REPT(";",LEN(D346)),3))-1)</f>
        <v/>
      </c>
      <c r="N346" s="11">
        <f>MID(D346,FIND(";",SUBSTITUTE(D346,"|",REPT(";",LEN(D346)),5))+1,LEN(D346))</f>
        <v/>
      </c>
      <c r="O346" s="11">
        <f>MID(D346,FIND(";",SUBSTITUTE(D346,"|",REPT(";",LEN(D346)),4))+1,FIND(";",SUBSTITUTE(D346,"|",REPT(";",LEN(D346)),5))-FIND(";",SUBSTITUTE(D346,"|",REPT(";",LEN(D346)),4))-1)</f>
        <v/>
      </c>
    </row>
    <row r="347" ht="112" customHeight="1" s="21">
      <c r="A347" s="13" t="inlineStr">
        <is>
          <t>100201</t>
        </is>
      </c>
      <c r="B347" s="13" t="inlineStr">
        <is>
          <t>圆钢</t>
        </is>
      </c>
      <c r="C347" s="13" t="inlineStr">
        <is>
          <t>600894600</t>
        </is>
      </c>
      <c r="D347" s="13" t="inlineStr">
        <is>
          <t>合金结构圆钢|圆钢|30CrMnSi|Φ48|GB/T 3077-1999</t>
        </is>
      </c>
      <c r="E347" s="13" t="inlineStr">
        <is>
          <t xml:space="preserve">物资名称 合金结构圆钢;物资简称 圆钢;牌号 30CrMnSi;直径 Φ48;技术标准号 GB/T 3077-1999;加工工艺 ;热处理工艺 ;特殊要求 ;规格标准号 </t>
        </is>
      </c>
      <c r="F347" s="12" t="inlineStr">
        <is>
          <t>千克</t>
        </is>
      </c>
      <c r="G347" s="11">
        <f>LEFT(D347,FIND("|",D347,1)-1)</f>
        <v/>
      </c>
      <c r="H347" s="11">
        <f>MID(D347,FIND("|",D347,FIND("|",D347,1))+1,FIND("|",D347,FIND("|",D347,1)+1)-FIND("|",D347,FIND("|",D347,1))-1)</f>
        <v/>
      </c>
      <c r="J347" s="11">
        <f>MID(D347,FIND(";",SUBSTITUTE(D347,"|",REPT(";",LEN(D347)),2))+1,FIND(";",SUBSTITUTE(D347,"|",REPT(";",LEN(D347)),3))-FIND(";",SUBSTITUTE(D347,"|",REPT(";",LEN(D347)),2))-1)</f>
        <v/>
      </c>
      <c r="K347" s="11">
        <f>MID(D347,FIND(";",SUBSTITUTE(D347,"|",REPT(";",LEN(D347)),3))+1,FIND(";",SUBSTITUTE(D347,"|",REPT(";",LEN(D347)),4))-FIND(";",SUBSTITUTE(D347,"|",REPT(";",LEN(D347)),3))-1)</f>
        <v/>
      </c>
      <c r="M347" s="11">
        <f>MID(D347,FIND(";",SUBSTITUTE(D347,"|",REPT(";",LEN(D347)),4))+1,LEN(D347))</f>
        <v/>
      </c>
    </row>
    <row r="348" ht="140" customHeight="1" s="21">
      <c r="A348" s="13" t="inlineStr">
        <is>
          <t>100201</t>
        </is>
      </c>
      <c r="B348" s="13" t="inlineStr">
        <is>
          <t>圆钢</t>
        </is>
      </c>
      <c r="C348" s="13" t="inlineStr">
        <is>
          <t>600891400</t>
        </is>
      </c>
      <c r="D348" s="13" t="inlineStr">
        <is>
          <t>热轧合金结构圆钢|圆钢|35CrMnSiA|Φ70|GB/T 3077-1999|热轧|退火|GB/T 702-2008</t>
        </is>
      </c>
      <c r="E348" s="13" t="inlineStr">
        <is>
          <t>物资名称 热轧合金结构圆钢;物资简称 圆钢;牌号 35CrMnSiA;直径 Φ70;技术标准号 GB/T 3077-1999;加工工艺 热轧;热处理工艺 退火;特殊要求 ;规格标准号 GB/T 702-2008</t>
        </is>
      </c>
      <c r="F348" s="12" t="inlineStr">
        <is>
          <t>千克</t>
        </is>
      </c>
      <c r="G348" s="11">
        <f>LEFT(D348,FIND("|",D348,1)-1)</f>
        <v/>
      </c>
      <c r="H348" s="11">
        <f>MID(D348,FIND("|",D348,FIND("|",D348,1))+1,FIND("|",D348,FIND("|",D348,1)+1)-FIND("|",D348,FIND("|",D348,1))-1)</f>
        <v/>
      </c>
      <c r="J348" s="11">
        <f>MID(D348,FIND(";",SUBSTITUTE(D348,"|",REPT(";",LEN(D348)),2))+1,FIND(";",SUBSTITUTE(D348,"|",REPT(";",LEN(D348)),3))-FIND(";",SUBSTITUTE(D348,"|",REPT(";",LEN(D348)),2))-1)</f>
        <v/>
      </c>
      <c r="K348" s="11">
        <f>MID(D348,FIND(";",SUBSTITUTE(D348,"|",REPT(";",LEN(D348)),3))+1,FIND(";",SUBSTITUTE(D348,"|",REPT(";",LEN(D348)),4))-FIND(";",SUBSTITUTE(D348,"|",REPT(";",LEN(D348)),3))-1)</f>
        <v/>
      </c>
      <c r="M348" s="11">
        <f>MID(D348,FIND(";",SUBSTITUTE(D348,"|",REPT(";",LEN(D348)),4))+1,FIND(";",SUBSTITUTE(D348,"|",REPT(";",LEN(D348)),5))-FIND(";",SUBSTITUTE(D348,"|",REPT(";",LEN(D348)),4))-1)</f>
        <v/>
      </c>
      <c r="N348" s="11">
        <f>MID(D348,FIND(";",SUBSTITUTE(D348,"|",REPT(";",LEN(D348)),7))+1,LEN(D348))</f>
        <v/>
      </c>
      <c r="O348" s="11">
        <f>MID(D348,FIND(";",SUBSTITUTE(D348,"|",REPT(";",LEN(D348)),5))+1,FIND(";",SUBSTITUTE(D348,"|",REPT(";",LEN(D348)),6))-FIND(";",SUBSTITUTE(D348,"|",REPT(";",LEN(D348)),5))-1)</f>
        <v/>
      </c>
      <c r="P348" s="11">
        <f>MID(D348,FIND(";",SUBSTITUTE(D348,"|",REPT(";",LEN(D348)),6))+1,FIND(";",SUBSTITUTE(D348,"|",REPT(";",LEN(D348)),7))-FIND(";",SUBSTITUTE(D348,"|",REPT(";",LEN(D348)),6))-1)</f>
        <v/>
      </c>
    </row>
    <row r="349" ht="126" customHeight="1" s="21">
      <c r="A349" s="13" t="inlineStr">
        <is>
          <t>100201</t>
        </is>
      </c>
      <c r="B349" s="13" t="inlineStr">
        <is>
          <t>圆钢</t>
        </is>
      </c>
      <c r="C349" s="13" t="inlineStr">
        <is>
          <t>600844200</t>
        </is>
      </c>
      <c r="D349" s="13" t="inlineStr">
        <is>
          <t>热轧不锈圆钢|圆钢|1Cr17Ni2|GB 1220-1992|GB/T702-2008</t>
        </is>
      </c>
      <c r="E349" s="13" t="inlineStr">
        <is>
          <t>物资名称 热轧不锈圆钢;物资简称 圆钢;牌号 1Cr17Ni2;直径 Φ;技术标准号 GB 1220-1992;加工工艺 ;热处理工艺 ;特殊要求 ;规格标准号 GB/T702-2008</t>
        </is>
      </c>
      <c r="F349" s="12" t="inlineStr">
        <is>
          <t>千克</t>
        </is>
      </c>
      <c r="G349" s="11">
        <f>LEFT(D349,FIND("|",D349,1)-1)</f>
        <v/>
      </c>
      <c r="H349" s="11">
        <f>MID(D349,FIND("|",D349,FIND("|",D349,1))+1,FIND("|",D349,FIND("|",D349,1)+1)-FIND("|",D349,FIND("|",D349,1))-1)</f>
        <v/>
      </c>
      <c r="J349" s="11">
        <f>MID(D349,FIND(";",SUBSTITUTE(D349,"|",REPT(";",LEN(D349)),2))+1,FIND(";",SUBSTITUTE(D349,"|",REPT(";",LEN(D349)),3))-FIND(";",SUBSTITUTE(D349,"|",REPT(";",LEN(D349)),2))-1)</f>
        <v/>
      </c>
      <c r="M349" s="11">
        <f>MID(D349,FIND(";",SUBSTITUTE(D349,"|",REPT(";",LEN(D349)),3))+1,FIND(";",SUBSTITUTE(D349,"|",REPT(";",LEN(D349)),4))-FIND(";",SUBSTITUTE(D349,"|",REPT(";",LEN(D349)),3))-1)</f>
        <v/>
      </c>
      <c r="N349" s="11">
        <f>MID(D349,FIND(";",SUBSTITUTE(D349,"|",REPT(";",LEN(D349)),4))+1,LEN(D349))</f>
        <v/>
      </c>
    </row>
    <row r="350" ht="126" customHeight="1" s="21">
      <c r="A350" s="13" t="inlineStr">
        <is>
          <t>100201</t>
        </is>
      </c>
      <c r="B350" s="13" t="inlineStr">
        <is>
          <t>圆钢</t>
        </is>
      </c>
      <c r="C350" s="13" t="inlineStr">
        <is>
          <t>600844100</t>
        </is>
      </c>
      <c r="D350" s="13" t="inlineStr">
        <is>
          <t>热轧不锈圆钢|圆钢|1Cr17Ni2|Φ6|GB 1220-1992|GB/T 702-2008</t>
        </is>
      </c>
      <c r="E350" s="13" t="inlineStr">
        <is>
          <t>物资名称 热轧不锈圆钢;物资简称 圆钢;牌号 1Cr17Ni2;直径 Φ6;技术标准号 GB 1220-1992;加工工艺 ;热处理工艺 ;特殊要求 ;规格标准号 GB/T 702-2008</t>
        </is>
      </c>
      <c r="F350" s="12" t="inlineStr">
        <is>
          <t>千克</t>
        </is>
      </c>
      <c r="G350" s="11">
        <f>LEFT(D350,FIND("|",D350,1)-1)</f>
        <v/>
      </c>
      <c r="H350" s="11">
        <f>MID(D350,FIND("|",D350,FIND("|",D350,1))+1,FIND("|",D350,FIND("|",D350,1)+1)-FIND("|",D350,FIND("|",D350,1))-1)</f>
        <v/>
      </c>
      <c r="J350" s="11">
        <f>MID(D350,FIND(";",SUBSTITUTE(D350,"|",REPT(";",LEN(D350)),2))+1,FIND(";",SUBSTITUTE(D350,"|",REPT(";",LEN(D350)),3))-FIND(";",SUBSTITUTE(D350,"|",REPT(";",LEN(D350)),2))-1)</f>
        <v/>
      </c>
      <c r="K350" s="11">
        <f>MID(D350,FIND(";",SUBSTITUTE(D350,"|",REPT(";",LEN(D350)),3))+1,FIND(";",SUBSTITUTE(D350,"|",REPT(";",LEN(D350)),4))-FIND(";",SUBSTITUTE(D350,"|",REPT(";",LEN(D350)),3))-1)</f>
        <v/>
      </c>
      <c r="M350" s="11">
        <f>MID(D350,FIND(";",SUBSTITUTE(D350,"|",REPT(";",LEN(D350)),4))+1,FIND(";",SUBSTITUTE(D350,"|",REPT(";",LEN(D350)),5))-FIND(";",SUBSTITUTE(D350,"|",REPT(";",LEN(D350)),4))-1)</f>
        <v/>
      </c>
      <c r="N350" s="11">
        <f>MID(D350,FIND(";",SUBSTITUTE(D350,"|",REPT(";",LEN(D350)),5))+1,LEN(D350))</f>
        <v/>
      </c>
    </row>
    <row r="351" ht="140" customHeight="1" s="21">
      <c r="A351" s="13" t="inlineStr">
        <is>
          <t>100201</t>
        </is>
      </c>
      <c r="B351" s="13" t="inlineStr">
        <is>
          <t>圆钢</t>
        </is>
      </c>
      <c r="C351" s="13" t="inlineStr">
        <is>
          <t>600843300</t>
        </is>
      </c>
      <c r="D351" s="13" t="inlineStr">
        <is>
          <t>冷拉优质碳素结构圆钢|圆钢|20|Φ18|GB/T 3078-2008|冷拉|允许偏差级别12|GB/T 905-1994</t>
        </is>
      </c>
      <c r="E351" s="13" t="inlineStr">
        <is>
          <t>物资名称 冷拉优质碳素结构圆钢;物资简称 圆钢;牌号 20;直径 Φ18;技术标准号 GB/T 3078-2008;加工工艺 冷拉;热处理工艺 ;特殊要求 允许偏差级别12;规格标准号 GB/T 905-1994</t>
        </is>
      </c>
      <c r="F351" s="12" t="inlineStr">
        <is>
          <t>千克</t>
        </is>
      </c>
      <c r="G351" s="11">
        <f>LEFT(D351,FIND("|",D351,1)-1)</f>
        <v/>
      </c>
      <c r="H351" s="11">
        <f>MID(D351,FIND("|",D351,FIND("|",D351,1))+1,FIND("|",D351,FIND("|",D351,1)+1)-FIND("|",D351,FIND("|",D351,1))-1)</f>
        <v/>
      </c>
      <c r="J351" s="11">
        <f>MID(D351,FIND(";",SUBSTITUTE(D351,"|",REPT(";",LEN(D351)),2))+1,FIND(";",SUBSTITUTE(D351,"|",REPT(";",LEN(D351)),3))-FIND(";",SUBSTITUTE(D351,"|",REPT(";",LEN(D351)),2))-1)</f>
        <v/>
      </c>
      <c r="K351" s="11">
        <f>MID(D351,FIND(";",SUBSTITUTE(D351,"|",REPT(";",LEN(D351)),3))+1,FIND(";",SUBSTITUTE(D351,"|",REPT(";",LEN(D351)),4))-FIND(";",SUBSTITUTE(D351,"|",REPT(";",LEN(D351)),3))-1)</f>
        <v/>
      </c>
      <c r="M351" s="11">
        <f>MID(D351,FIND(";",SUBSTITUTE(D351,"|",REPT(";",LEN(D351)),4))+1,FIND(";",SUBSTITUTE(D351,"|",REPT(";",LEN(D351)),5))-FIND(";",SUBSTITUTE(D351,"|",REPT(";",LEN(D351)),4))-1)</f>
        <v/>
      </c>
      <c r="N351" s="11">
        <f>MID(D351,FIND(";",SUBSTITUTE(D351,"|",REPT(";",LEN(D351)),7))+1,LEN(D351))</f>
        <v/>
      </c>
      <c r="O351" s="11">
        <f>MID(D351,FIND(";",SUBSTITUTE(D351,"|",REPT(";",LEN(D351)),5))+1,FIND(";",SUBSTITUTE(D351,"|",REPT(";",LEN(D351)),6))-FIND(";",SUBSTITUTE(D351,"|",REPT(";",LEN(D351)),5))-1)</f>
        <v/>
      </c>
      <c r="Q351" s="11">
        <f>MID(D351,FIND(";",SUBSTITUTE(D351,"|",REPT(";",LEN(D351)),6))+1,FIND(";",SUBSTITUTE(D351,"|",REPT(";",LEN(D351)),7))-FIND(";",SUBSTITUTE(D351,"|",REPT(";",LEN(D351)),6))-1)</f>
        <v/>
      </c>
    </row>
    <row r="352" ht="154" customHeight="1" s="21">
      <c r="A352" s="13" t="inlineStr">
        <is>
          <t>100201</t>
        </is>
      </c>
      <c r="B352" s="13" t="inlineStr">
        <is>
          <t>圆钢</t>
        </is>
      </c>
      <c r="C352" s="13" t="inlineStr">
        <is>
          <t>600843200</t>
        </is>
      </c>
      <c r="D352" s="13" t="inlineStr">
        <is>
          <t>冷拉优质碳素结构圆钢|圆钢|20|Φ4.5|GB/T 3078-2008|冷拉|允许偏差级别12|GB/T 905-1994</t>
        </is>
      </c>
      <c r="E352" s="13" t="inlineStr">
        <is>
          <t>物资名称 冷拉优质碳素结构圆钢;物资简称 圆钢;牌号 20;直径 Φ4.5;技术标准号 GB/T 3078-2008;加工工艺 冷拉;热处理工艺 ;特殊要求 允许偏差级别12;规格标准号 GB/T 905-1994</t>
        </is>
      </c>
      <c r="F352" s="12" t="inlineStr">
        <is>
          <t>千克</t>
        </is>
      </c>
      <c r="G352" s="11">
        <f>LEFT(D352,FIND("|",D352,1)-1)</f>
        <v/>
      </c>
      <c r="H352" s="11">
        <f>MID(D352,FIND("|",D352,FIND("|",D352,1))+1,FIND("|",D352,FIND("|",D352,1)+1)-FIND("|",D352,FIND("|",D352,1))-1)</f>
        <v/>
      </c>
      <c r="J352" s="11">
        <f>MID(D352,FIND(";",SUBSTITUTE(D352,"|",REPT(";",LEN(D352)),2))+1,FIND(";",SUBSTITUTE(D352,"|",REPT(";",LEN(D352)),3))-FIND(";",SUBSTITUTE(D352,"|",REPT(";",LEN(D352)),2))-1)</f>
        <v/>
      </c>
      <c r="K352" s="11">
        <f>MID(D352,FIND(";",SUBSTITUTE(D352,"|",REPT(";",LEN(D352)),3))+1,FIND(";",SUBSTITUTE(D352,"|",REPT(";",LEN(D352)),4))-FIND(";",SUBSTITUTE(D352,"|",REPT(";",LEN(D352)),3))-1)</f>
        <v/>
      </c>
      <c r="M352" s="11">
        <f>MID(D352,FIND(";",SUBSTITUTE(D352,"|",REPT(";",LEN(D352)),4))+1,FIND(";",SUBSTITUTE(D352,"|",REPT(";",LEN(D352)),5))-FIND(";",SUBSTITUTE(D352,"|",REPT(";",LEN(D352)),4))-1)</f>
        <v/>
      </c>
      <c r="N352" s="11">
        <f>MID(D352,FIND(";",SUBSTITUTE(D352,"|",REPT(";",LEN(D352)),7))+1,LEN(D352))</f>
        <v/>
      </c>
      <c r="O352" s="11">
        <f>MID(D352,FIND(";",SUBSTITUTE(D352,"|",REPT(";",LEN(D352)),5))+1,FIND(";",SUBSTITUTE(D352,"|",REPT(";",LEN(D352)),6))-FIND(";",SUBSTITUTE(D352,"|",REPT(";",LEN(D352)),5))-1)</f>
        <v/>
      </c>
      <c r="Q352" s="11">
        <f>MID(D352,FIND(";",SUBSTITUTE(D352,"|",REPT(";",LEN(D352)),6))+1,FIND(";",SUBSTITUTE(D352,"|",REPT(";",LEN(D352)),7))-FIND(";",SUBSTITUTE(D352,"|",REPT(";",LEN(D352)),6))-1)</f>
        <v/>
      </c>
    </row>
    <row r="353" ht="126" customHeight="1" s="21">
      <c r="A353" s="13" t="inlineStr">
        <is>
          <t>100201</t>
        </is>
      </c>
      <c r="B353" s="13" t="inlineStr">
        <is>
          <t>圆钢</t>
        </is>
      </c>
      <c r="C353" s="13" t="inlineStr">
        <is>
          <t>600843000</t>
        </is>
      </c>
      <c r="D353" s="13" t="inlineStr">
        <is>
          <t>航空用不锈钢棒|不锈钢棒|1Cr17Ni2|GJB 2294-1995</t>
        </is>
      </c>
      <c r="E353" s="13" t="inlineStr">
        <is>
          <t xml:space="preserve">物资名称 航空用不锈钢棒;物资简称 不锈钢棒;牌号 1Cr17Ni2;直径 Φ;技术标准号 GJB 2294-1995;加工工艺 ;热处理工艺 ;特殊要求 ;规格标准号 </t>
        </is>
      </c>
      <c r="F353" s="12" t="inlineStr">
        <is>
          <t>千克</t>
        </is>
      </c>
      <c r="G353" s="11">
        <f>LEFT(D353,FIND("|",D353,1)-1)</f>
        <v/>
      </c>
      <c r="H353" s="11">
        <f>MID(D353,FIND("|",D353,FIND("|",D353,1))+1,FIND("|",D353,FIND("|",D353,1)+1)-FIND("|",D353,FIND("|",D353,1))-1)</f>
        <v/>
      </c>
      <c r="J353" s="11">
        <f>MID(D353,FIND(";",SUBSTITUTE(D353,"|",REPT(";",LEN(D353)),2))+1,FIND(";",SUBSTITUTE(D353,"|",REPT(";",LEN(D353)),3))-FIND(";",SUBSTITUTE(D353,"|",REPT(";",LEN(D353)),2))-1)</f>
        <v/>
      </c>
      <c r="M353" s="11">
        <f>MID(D353,FIND(";",SUBSTITUTE(D353,"|",REPT(";",LEN(D353)),3))+1,LEN(D353))</f>
        <v/>
      </c>
    </row>
    <row r="354" ht="126" customHeight="1" s="21">
      <c r="A354" s="13" t="inlineStr">
        <is>
          <t>100201</t>
        </is>
      </c>
      <c r="B354" s="13" t="inlineStr">
        <is>
          <t>圆钢</t>
        </is>
      </c>
      <c r="C354" s="13" t="inlineStr">
        <is>
          <t>600842900</t>
        </is>
      </c>
      <c r="D354" s="13" t="inlineStr">
        <is>
          <t>航空用优质结构圆钢|圆钢|38CrMoAlA|GJB 1951-1994</t>
        </is>
      </c>
      <c r="E354" s="13" t="inlineStr">
        <is>
          <t xml:space="preserve">物资名称 航空用优质结构圆钢;物资简称 圆钢;牌号 38CrMoAlA;直径 Φ;技术标准号 GJB 1951-1994;加工工艺 ;热处理工艺 ;特殊要求 ;规格标准号 </t>
        </is>
      </c>
      <c r="F354" s="12" t="inlineStr">
        <is>
          <t>千克</t>
        </is>
      </c>
      <c r="G354" s="11">
        <f>LEFT(D354,FIND("|",D354,1)-1)</f>
        <v/>
      </c>
      <c r="H354" s="11">
        <f>MID(D354,FIND("|",D354,FIND("|",D354,1))+1,FIND("|",D354,FIND("|",D354,1)+1)-FIND("|",D354,FIND("|",D354,1))-1)</f>
        <v/>
      </c>
      <c r="J354" s="11">
        <f>MID(D354,FIND(";",SUBSTITUTE(D354,"|",REPT(";",LEN(D354)),2))+1,FIND(";",SUBSTITUTE(D354,"|",REPT(";",LEN(D354)),3))-FIND(";",SUBSTITUTE(D354,"|",REPT(";",LEN(D354)),2))-1)</f>
        <v/>
      </c>
      <c r="M354" s="11">
        <f>MID(D354,FIND(";",SUBSTITUTE(D354,"|",REPT(";",LEN(D354)),3))+1,LEN(D354))</f>
        <v/>
      </c>
    </row>
    <row r="355" ht="140" customHeight="1" s="21">
      <c r="A355" s="13" t="inlineStr">
        <is>
          <t>100201</t>
        </is>
      </c>
      <c r="B355" s="13" t="inlineStr">
        <is>
          <t>圆钢</t>
        </is>
      </c>
      <c r="C355" s="13" t="inlineStr">
        <is>
          <t>600842700</t>
        </is>
      </c>
      <c r="D355" s="13" t="inlineStr">
        <is>
          <t>航空用优质结构圆钢|圆钢|38CrMoAlA|Φ50|GJB 1951-1994|GB/T 702-2008</t>
        </is>
      </c>
      <c r="E355" s="13" t="inlineStr">
        <is>
          <t>物资名称 航空用优质结构圆钢;物资简称 圆钢;牌号 38CrMoAlA;直径 Φ50;技术标准号 GJB 1951-1994;加工工艺 ;热处理工艺 ;特殊要求 ;规格标准号 GB/T 702-2008</t>
        </is>
      </c>
      <c r="F355" s="12" t="inlineStr">
        <is>
          <t>千克</t>
        </is>
      </c>
      <c r="G355" s="11">
        <f>LEFT(D355,FIND("|",D355,1)-1)</f>
        <v/>
      </c>
      <c r="H355" s="11">
        <f>MID(D355,FIND("|",D355,FIND("|",D355,1))+1,FIND("|",D355,FIND("|",D355,1)+1)-FIND("|",D355,FIND("|",D355,1))-1)</f>
        <v/>
      </c>
      <c r="J355" s="11">
        <f>MID(D355,FIND(";",SUBSTITUTE(D355,"|",REPT(";",LEN(D355)),2))+1,FIND(";",SUBSTITUTE(D355,"|",REPT(";",LEN(D355)),3))-FIND(";",SUBSTITUTE(D355,"|",REPT(";",LEN(D355)),2))-1)</f>
        <v/>
      </c>
      <c r="K355" s="11">
        <f>MID(D355,FIND(";",SUBSTITUTE(D355,"|",REPT(";",LEN(D355)),3))+1,FIND(";",SUBSTITUTE(D355,"|",REPT(";",LEN(D355)),4))-FIND(";",SUBSTITUTE(D355,"|",REPT(";",LEN(D355)),3))-1)</f>
        <v/>
      </c>
      <c r="M355" s="11">
        <f>MID(D355,FIND(";",SUBSTITUTE(D355,"|",REPT(";",LEN(D355)),4))+1,FIND(";",SUBSTITUTE(D355,"|",REPT(";",LEN(D355)),5))-FIND(";",SUBSTITUTE(D355,"|",REPT(";",LEN(D355)),4))-1)</f>
        <v/>
      </c>
      <c r="N355" s="11">
        <f>MID(D355,FIND(";",SUBSTITUTE(D355,"|",REPT(";",LEN(D355)),5))+1,LEN(D355))</f>
        <v/>
      </c>
    </row>
    <row r="356" ht="140" customHeight="1" s="21">
      <c r="A356" s="13" t="inlineStr">
        <is>
          <t>100201</t>
        </is>
      </c>
      <c r="B356" s="13" t="inlineStr">
        <is>
          <t>圆钢</t>
        </is>
      </c>
      <c r="C356" s="13" t="inlineStr">
        <is>
          <t>600842600</t>
        </is>
      </c>
      <c r="D356" s="13" t="inlineStr">
        <is>
          <t>航空用优质结构圆钢|圆钢|38CrMoAlA|Φ110|GJB 1951-1994|GB/T 702-2008</t>
        </is>
      </c>
      <c r="E356" s="13" t="inlineStr">
        <is>
          <t>物资名称 航空用优质结构圆钢;物资简称 圆钢;牌号 38CrMoAlA;直径 Φ110;技术标准号 GJB 1951-1994;加工工艺 ;热处理工艺 ;特殊要求 ;规格标准号 GB/T 702-2008</t>
        </is>
      </c>
      <c r="F356" s="12" t="inlineStr">
        <is>
          <t>千克</t>
        </is>
      </c>
      <c r="G356" s="11">
        <f>LEFT(D356,FIND("|",D356,1)-1)</f>
        <v/>
      </c>
      <c r="H356" s="11">
        <f>MID(D356,FIND("|",D356,FIND("|",D356,1))+1,FIND("|",D356,FIND("|",D356,1)+1)-FIND("|",D356,FIND("|",D356,1))-1)</f>
        <v/>
      </c>
      <c r="J356" s="11">
        <f>MID(D356,FIND(";",SUBSTITUTE(D356,"|",REPT(";",LEN(D356)),2))+1,FIND(";",SUBSTITUTE(D356,"|",REPT(";",LEN(D356)),3))-FIND(";",SUBSTITUTE(D356,"|",REPT(";",LEN(D356)),2))-1)</f>
        <v/>
      </c>
      <c r="K356" s="11">
        <f>MID(D356,FIND(";",SUBSTITUTE(D356,"|",REPT(";",LEN(D356)),3))+1,FIND(";",SUBSTITUTE(D356,"|",REPT(";",LEN(D356)),4))-FIND(";",SUBSTITUTE(D356,"|",REPT(";",LEN(D356)),3))-1)</f>
        <v/>
      </c>
      <c r="M356" s="11">
        <f>MID(D356,FIND(";",SUBSTITUTE(D356,"|",REPT(";",LEN(D356)),4))+1,FIND(";",SUBSTITUTE(D356,"|",REPT(";",LEN(D356)),5))-FIND(";",SUBSTITUTE(D356,"|",REPT(";",LEN(D356)),4))-1)</f>
        <v/>
      </c>
      <c r="N356" s="11">
        <f>MID(D356,FIND(";",SUBSTITUTE(D356,"|",REPT(";",LEN(D356)),5))+1,LEN(D356))</f>
        <v/>
      </c>
    </row>
    <row r="357" ht="126" customHeight="1" s="21">
      <c r="A357" s="13" t="inlineStr">
        <is>
          <t>100201</t>
        </is>
      </c>
      <c r="B357" s="13" t="inlineStr">
        <is>
          <t>圆钢</t>
        </is>
      </c>
      <c r="C357" s="13" t="inlineStr">
        <is>
          <t>600837600</t>
        </is>
      </c>
      <c r="D357" s="13" t="inlineStr">
        <is>
          <t>热轧不锈圆钢|圆钢|1Cr17Ni2|Φ6|GB/T1220-1992|GB/T702-2008</t>
        </is>
      </c>
      <c r="E357" s="13" t="inlineStr">
        <is>
          <t>物资名称 热轧不锈圆钢;物资简称 圆钢;牌号 1Cr17Ni2;直径 Φ6;技术标准号 GB/T1220-1992;加工工艺 ;热处理工艺 ;特殊要求 ;规格标准号 GB/T702-2008</t>
        </is>
      </c>
      <c r="F357" s="12" t="inlineStr">
        <is>
          <t>千克</t>
        </is>
      </c>
      <c r="G357" s="11">
        <f>LEFT(D357,FIND("|",D357,1)-1)</f>
        <v/>
      </c>
      <c r="H357" s="11">
        <f>MID(D357,FIND("|",D357,FIND("|",D357,1))+1,FIND("|",D357,FIND("|",D357,1)+1)-FIND("|",D357,FIND("|",D357,1))-1)</f>
        <v/>
      </c>
      <c r="J357" s="11">
        <f>MID(D357,FIND(";",SUBSTITUTE(D357,"|",REPT(";",LEN(D357)),2))+1,FIND(";",SUBSTITUTE(D357,"|",REPT(";",LEN(D357)),3))-FIND(";",SUBSTITUTE(D357,"|",REPT(";",LEN(D357)),2))-1)</f>
        <v/>
      </c>
      <c r="K357" s="11">
        <f>MID(D357,FIND(";",SUBSTITUTE(D357,"|",REPT(";",LEN(D357)),3))+1,FIND(";",SUBSTITUTE(D357,"|",REPT(";",LEN(D357)),4))-FIND(";",SUBSTITUTE(D357,"|",REPT(";",LEN(D357)),3))-1)</f>
        <v/>
      </c>
      <c r="M357" s="11">
        <f>MID(D357,FIND(";",SUBSTITUTE(D357,"|",REPT(";",LEN(D357)),4))+1,FIND(";",SUBSTITUTE(D357,"|",REPT(";",LEN(D357)),5))-FIND(";",SUBSTITUTE(D357,"|",REPT(";",LEN(D357)),4))-1)</f>
        <v/>
      </c>
      <c r="N357" s="11">
        <f>MID(D357,FIND(";",SUBSTITUTE(D357,"|",REPT(";",LEN(D357)),5))+1,LEN(D357))</f>
        <v/>
      </c>
    </row>
    <row r="358" ht="126" customHeight="1" s="21">
      <c r="A358" s="13" t="inlineStr">
        <is>
          <t>100201</t>
        </is>
      </c>
      <c r="B358" s="13" t="inlineStr">
        <is>
          <t>圆钢</t>
        </is>
      </c>
      <c r="C358" s="13" t="inlineStr">
        <is>
          <t>600837500</t>
        </is>
      </c>
      <c r="D358" s="13" t="inlineStr">
        <is>
          <t>热轧弹簧圆钢|圆钢|60Si2MnA|Φ6|GB/T1222-2007|GB/T702-2008</t>
        </is>
      </c>
      <c r="E358" s="13" t="inlineStr">
        <is>
          <t>物资名称 热轧弹簧圆钢;物资简称 圆钢;牌号 60Si2MnA;直径 Φ6;技术标准号 GB/T1222-2007;加工工艺 ;热处理工艺 ;特殊要求 ;规格标准号 GB/T702-2008</t>
        </is>
      </c>
      <c r="F358" s="12" t="inlineStr">
        <is>
          <t>千克</t>
        </is>
      </c>
      <c r="G358" s="11">
        <f>LEFT(D358,FIND("|",D358,1)-1)</f>
        <v/>
      </c>
      <c r="H358" s="11">
        <f>MID(D358,FIND("|",D358,FIND("|",D358,1))+1,FIND("|",D358,FIND("|",D358,1)+1)-FIND("|",D358,FIND("|",D358,1))-1)</f>
        <v/>
      </c>
      <c r="J358" s="11">
        <f>MID(D358,FIND(";",SUBSTITUTE(D358,"|",REPT(";",LEN(D358)),2))+1,FIND(";",SUBSTITUTE(D358,"|",REPT(";",LEN(D358)),3))-FIND(";",SUBSTITUTE(D358,"|",REPT(";",LEN(D358)),2))-1)</f>
        <v/>
      </c>
      <c r="K358" s="11">
        <f>MID(D358,FIND(";",SUBSTITUTE(D358,"|",REPT(";",LEN(D358)),3))+1,FIND(";",SUBSTITUTE(D358,"|",REPT(";",LEN(D358)),4))-FIND(";",SUBSTITUTE(D358,"|",REPT(";",LEN(D358)),3))-1)</f>
        <v/>
      </c>
      <c r="M358" s="11">
        <f>MID(D358,FIND(";",SUBSTITUTE(D358,"|",REPT(";",LEN(D358)),4))+1,FIND(";",SUBSTITUTE(D358,"|",REPT(";",LEN(D358)),5))-FIND(";",SUBSTITUTE(D358,"|",REPT(";",LEN(D358)),4))-1)</f>
        <v/>
      </c>
      <c r="N358" s="11">
        <f>MID(D358,FIND(";",SUBSTITUTE(D358,"|",REPT(";",LEN(D358)),5))+1,LEN(D358))</f>
        <v/>
      </c>
    </row>
    <row r="359" ht="140" customHeight="1" s="21">
      <c r="A359" s="13" t="inlineStr">
        <is>
          <t>100201</t>
        </is>
      </c>
      <c r="B359" s="13" t="inlineStr">
        <is>
          <t>圆钢</t>
        </is>
      </c>
      <c r="C359" s="13" t="inlineStr">
        <is>
          <t>600823700</t>
        </is>
      </c>
      <c r="D359" s="13" t="inlineStr">
        <is>
          <t>热轧合金结构圆钢|圆钢|30CrMnSiA|Φ10|GB/T 3077-1999|GB/T 702-2008</t>
        </is>
      </c>
      <c r="E359" s="13" t="inlineStr">
        <is>
          <t>物资名称 热轧合金结构圆钢;物资简称 圆钢;牌号 30CrMnSiA;直径 Φ10;技术标准号 GB/T 3077-1999;加工工艺 ;热处理工艺 ;特殊要求 ;规格标准号 GB/T 702-2008</t>
        </is>
      </c>
      <c r="F359" s="12" t="inlineStr">
        <is>
          <t>千克</t>
        </is>
      </c>
      <c r="G359" s="11">
        <f>LEFT(D359,FIND("|",D359,1)-1)</f>
        <v/>
      </c>
      <c r="H359" s="11">
        <f>MID(D359,FIND("|",D359,FIND("|",D359,1))+1,FIND("|",D359,FIND("|",D359,1)+1)-FIND("|",D359,FIND("|",D359,1))-1)</f>
        <v/>
      </c>
      <c r="J359" s="11">
        <f>MID(D359,FIND(";",SUBSTITUTE(D359,"|",REPT(";",LEN(D359)),2))+1,FIND(";",SUBSTITUTE(D359,"|",REPT(";",LEN(D359)),3))-FIND(";",SUBSTITUTE(D359,"|",REPT(";",LEN(D359)),2))-1)</f>
        <v/>
      </c>
      <c r="K359" s="11">
        <f>MID(D359,FIND(";",SUBSTITUTE(D359,"|",REPT(";",LEN(D359)),3))+1,FIND(";",SUBSTITUTE(D359,"|",REPT(";",LEN(D359)),4))-FIND(";",SUBSTITUTE(D359,"|",REPT(";",LEN(D359)),3))-1)</f>
        <v/>
      </c>
      <c r="M359" s="11">
        <f>MID(D359,FIND(";",SUBSTITUTE(D359,"|",REPT(";",LEN(D359)),4))+1,FIND(";",SUBSTITUTE(D359,"|",REPT(";",LEN(D359)),5))-FIND(";",SUBSTITUTE(D359,"|",REPT(";",LEN(D359)),4))-1)</f>
        <v/>
      </c>
      <c r="N359" s="11">
        <f>MID(D359,FIND(";",SUBSTITUTE(D359,"|",REPT(";",LEN(D359)),5))+1,LEN(D359))</f>
        <v/>
      </c>
    </row>
    <row r="360" ht="126" customHeight="1" s="21">
      <c r="A360" s="13" t="inlineStr">
        <is>
          <t>100201</t>
        </is>
      </c>
      <c r="B360" s="13" t="inlineStr">
        <is>
          <t>圆钢</t>
        </is>
      </c>
      <c r="C360" s="13" t="inlineStr">
        <is>
          <t>600823600</t>
        </is>
      </c>
      <c r="D360" s="13" t="inlineStr">
        <is>
          <t>热轧优质碳素结构圆钢|圆钢|45|Φ17|GB/T 699-1999|热轧|GB/T 702-2008</t>
        </is>
      </c>
      <c r="E360" s="13" t="inlineStr">
        <is>
          <t>物资名称 热轧优质碳素结构圆钢;物资简称 圆钢;牌号 45;直径 Φ17;技术标准号 GB/T 699-1999;加工工艺 热轧;热处理工艺 ;特殊要求 ;规格标准号 GB/T 702-2008</t>
        </is>
      </c>
      <c r="F360" s="12" t="inlineStr">
        <is>
          <t>千克</t>
        </is>
      </c>
      <c r="G360" s="11">
        <f>LEFT(D360,FIND("|",D360,1)-1)</f>
        <v/>
      </c>
      <c r="H360" s="11">
        <f>MID(D360,FIND("|",D360,FIND("|",D360,1))+1,FIND("|",D360,FIND("|",D360,1)+1)-FIND("|",D360,FIND("|",D360,1))-1)</f>
        <v/>
      </c>
      <c r="J360" s="11">
        <f>MID(D360,FIND(";",SUBSTITUTE(D360,"|",REPT(";",LEN(D360)),2))+1,FIND(";",SUBSTITUTE(D360,"|",REPT(";",LEN(D360)),3))-FIND(";",SUBSTITUTE(D360,"|",REPT(";",LEN(D360)),2))-1)</f>
        <v/>
      </c>
      <c r="K360" s="11">
        <f>MID(D360,FIND(";",SUBSTITUTE(D360,"|",REPT(";",LEN(D360)),3))+1,FIND(";",SUBSTITUTE(D360,"|",REPT(";",LEN(D360)),4))-FIND(";",SUBSTITUTE(D360,"|",REPT(";",LEN(D360)),3))-1)</f>
        <v/>
      </c>
      <c r="M360" s="11">
        <f>MID(D360,FIND(";",SUBSTITUTE(D360,"|",REPT(";",LEN(D360)),4))+1,FIND(";",SUBSTITUTE(D360,"|",REPT(";",LEN(D360)),5))-FIND(";",SUBSTITUTE(D360,"|",REPT(";",LEN(D360)),4))-1)</f>
        <v/>
      </c>
      <c r="N360" s="11">
        <f>MID(D360,FIND(";",SUBSTITUTE(D360,"|",REPT(";",LEN(D360)),6))+1,LEN(D360))</f>
        <v/>
      </c>
      <c r="O360" s="11">
        <f>MID(D360,FIND(";",SUBSTITUTE(D360,"|",REPT(";",LEN(D360)),5))+1,FIND(";",SUBSTITUTE(D360,"|",REPT(";",LEN(D360)),6))-FIND(";",SUBSTITUTE(D360,"|",REPT(";",LEN(D360)),5))-1)</f>
        <v/>
      </c>
    </row>
    <row r="361" ht="126" customHeight="1" s="21">
      <c r="A361" s="13" t="inlineStr">
        <is>
          <t>100201</t>
        </is>
      </c>
      <c r="B361" s="13" t="inlineStr">
        <is>
          <t>圆钢</t>
        </is>
      </c>
      <c r="C361" s="13" t="inlineStr">
        <is>
          <t>600823500</t>
        </is>
      </c>
      <c r="D361" s="13" t="inlineStr">
        <is>
          <t>热轧优质碳素结构圆钢|圆钢|45|Φ9|GB/T 699-1999|热轧|GB/T 702-2008</t>
        </is>
      </c>
      <c r="E361" s="13" t="inlineStr">
        <is>
          <t>物资名称 热轧优质碳素结构圆钢;物资简称 圆钢;牌号 45;直径 Φ9;技术标准号 GB/T 699-1999;加工工艺 热轧;热处理工艺 ;特殊要求 ;规格标准号 GB/T 702-2008</t>
        </is>
      </c>
      <c r="F361" s="12" t="inlineStr">
        <is>
          <t>千克</t>
        </is>
      </c>
      <c r="G361" s="11">
        <f>LEFT(D361,FIND("|",D361,1)-1)</f>
        <v/>
      </c>
      <c r="H361" s="11">
        <f>MID(D361,FIND("|",D361,FIND("|",D361,1))+1,FIND("|",D361,FIND("|",D361,1)+1)-FIND("|",D361,FIND("|",D361,1))-1)</f>
        <v/>
      </c>
      <c r="J361" s="11">
        <f>MID(D361,FIND(";",SUBSTITUTE(D361,"|",REPT(";",LEN(D361)),2))+1,FIND(";",SUBSTITUTE(D361,"|",REPT(";",LEN(D361)),3))-FIND(";",SUBSTITUTE(D361,"|",REPT(";",LEN(D361)),2))-1)</f>
        <v/>
      </c>
      <c r="K361" s="11">
        <f>MID(D361,FIND(";",SUBSTITUTE(D361,"|",REPT(";",LEN(D361)),3))+1,FIND(";",SUBSTITUTE(D361,"|",REPT(";",LEN(D361)),4))-FIND(";",SUBSTITUTE(D361,"|",REPT(";",LEN(D361)),3))-1)</f>
        <v/>
      </c>
      <c r="M361" s="11">
        <f>MID(D361,FIND(";",SUBSTITUTE(D361,"|",REPT(";",LEN(D361)),4))+1,FIND(";",SUBSTITUTE(D361,"|",REPT(";",LEN(D361)),5))-FIND(";",SUBSTITUTE(D361,"|",REPT(";",LEN(D361)),4))-1)</f>
        <v/>
      </c>
      <c r="N361" s="11">
        <f>MID(D361,FIND(";",SUBSTITUTE(D361,"|",REPT(";",LEN(D361)),6))+1,LEN(D361))</f>
        <v/>
      </c>
      <c r="O361" s="11">
        <f>MID(D361,FIND(";",SUBSTITUTE(D361,"|",REPT(";",LEN(D361)),5))+1,FIND(";",SUBSTITUTE(D361,"|",REPT(";",LEN(D361)),6))-FIND(";",SUBSTITUTE(D361,"|",REPT(";",LEN(D361)),5))-1)</f>
        <v/>
      </c>
    </row>
    <row r="362" ht="140" customHeight="1" s="21">
      <c r="A362" s="13" t="inlineStr">
        <is>
          <t>100201</t>
        </is>
      </c>
      <c r="B362" s="13" t="inlineStr">
        <is>
          <t>圆钢</t>
        </is>
      </c>
      <c r="C362" s="13" t="inlineStr">
        <is>
          <t>600823400</t>
        </is>
      </c>
      <c r="D362" s="13" t="inlineStr">
        <is>
          <t>热轧合金结构圆钢|圆钢|30CrMnSiA|Φ48|GB/T 3077-1999|热轧|GB/T 702-2008</t>
        </is>
      </c>
      <c r="E362" s="13" t="inlineStr">
        <is>
          <t>物资名称 热轧合金结构圆钢;物资简称 圆钢;牌号 30CrMnSiA;直径 Φ48;技术标准号 GB/T 3077-1999;加工工艺 热轧;热处理工艺 ;特殊要求 ;规格标准号 GB/T 702-2008</t>
        </is>
      </c>
      <c r="F362" s="12" t="inlineStr">
        <is>
          <t>千克</t>
        </is>
      </c>
      <c r="G362" s="11">
        <f>LEFT(D362,FIND("|",D362,1)-1)</f>
        <v/>
      </c>
      <c r="H362" s="11">
        <f>MID(D362,FIND("|",D362,FIND("|",D362,1))+1,FIND("|",D362,FIND("|",D362,1)+1)-FIND("|",D362,FIND("|",D362,1))-1)</f>
        <v/>
      </c>
      <c r="J362" s="11">
        <f>MID(D362,FIND(";",SUBSTITUTE(D362,"|",REPT(";",LEN(D362)),2))+1,FIND(";",SUBSTITUTE(D362,"|",REPT(";",LEN(D362)),3))-FIND(";",SUBSTITUTE(D362,"|",REPT(";",LEN(D362)),2))-1)</f>
        <v/>
      </c>
      <c r="K362" s="11">
        <f>MID(D362,FIND(";",SUBSTITUTE(D362,"|",REPT(";",LEN(D362)),3))+1,FIND(";",SUBSTITUTE(D362,"|",REPT(";",LEN(D362)),4))-FIND(";",SUBSTITUTE(D362,"|",REPT(";",LEN(D362)),3))-1)</f>
        <v/>
      </c>
      <c r="M362" s="11">
        <f>MID(D362,FIND(";",SUBSTITUTE(D362,"|",REPT(";",LEN(D362)),4))+1,FIND(";",SUBSTITUTE(D362,"|",REPT(";",LEN(D362)),5))-FIND(";",SUBSTITUTE(D362,"|",REPT(";",LEN(D362)),4))-1)</f>
        <v/>
      </c>
      <c r="N362" s="11">
        <f>MID(D362,FIND(";",SUBSTITUTE(D362,"|",REPT(";",LEN(D362)),6))+1,LEN(D362))</f>
        <v/>
      </c>
      <c r="O362" s="11">
        <f>MID(D362,FIND(";",SUBSTITUTE(D362,"|",REPT(";",LEN(D362)),5))+1,FIND(";",SUBSTITUTE(D362,"|",REPT(";",LEN(D362)),6))-FIND(";",SUBSTITUTE(D362,"|",REPT(";",LEN(D362)),5))-1)</f>
        <v/>
      </c>
    </row>
    <row r="363" ht="126" customHeight="1" s="21">
      <c r="A363" s="13" t="inlineStr">
        <is>
          <t>100201</t>
        </is>
      </c>
      <c r="B363" s="13" t="inlineStr">
        <is>
          <t>圆钢</t>
        </is>
      </c>
      <c r="C363" s="13" t="inlineStr">
        <is>
          <t>600624900</t>
        </is>
      </c>
      <c r="D363" s="13" t="inlineStr">
        <is>
          <t>航空用不锈钢棒|钢棒|1Cr18Ni9Ti|GJB 2294-1995</t>
        </is>
      </c>
      <c r="E363" s="13" t="inlineStr">
        <is>
          <t xml:space="preserve">物资名称 航空用不锈钢棒;物资简称 钢棒;牌号 1Cr18Ni9Ti;直径 Φ;技术标准号 GJB 2294-1995;加工工艺 ;热处理工艺 ;特殊要求 ;规格标准号 </t>
        </is>
      </c>
      <c r="F363" s="12" t="inlineStr">
        <is>
          <t>千克</t>
        </is>
      </c>
      <c r="G363" s="11">
        <f>LEFT(D363,FIND("|",D363,1)-1)</f>
        <v/>
      </c>
      <c r="H363" s="11">
        <f>MID(D363,FIND("|",D363,FIND("|",D363,1))+1,FIND("|",D363,FIND("|",D363,1)+1)-FIND("|",D363,FIND("|",D363,1))-1)</f>
        <v/>
      </c>
      <c r="J363" s="11">
        <f>MID(D363,FIND(";",SUBSTITUTE(D363,"|",REPT(";",LEN(D363)),2))+1,FIND(";",SUBSTITUTE(D363,"|",REPT(";",LEN(D363)),3))-FIND(";",SUBSTITUTE(D363,"|",REPT(";",LEN(D363)),2))-1)</f>
        <v/>
      </c>
      <c r="M363" s="11">
        <f>MID(D363,FIND(";",SUBSTITUTE(D363,"|",REPT(";",LEN(D363)),3))+1,LEN(D363))</f>
        <v/>
      </c>
    </row>
    <row r="364" ht="140" customHeight="1" s="21">
      <c r="A364" s="13" t="inlineStr">
        <is>
          <t>100201</t>
        </is>
      </c>
      <c r="B364" s="13" t="inlineStr">
        <is>
          <t>圆钢</t>
        </is>
      </c>
      <c r="C364" s="13" t="inlineStr">
        <is>
          <t>600624800</t>
        </is>
      </c>
      <c r="D364" s="13" t="inlineStr">
        <is>
          <t>热轧航空用不锈圆钢|圆钢|1Cr18Ni9Ti|GJB 2294-1995|GB/T 702-2008</t>
        </is>
      </c>
      <c r="E364" s="13" t="inlineStr">
        <is>
          <t>物资名称 热轧航空用不锈圆钢;物资简称 圆钢;牌号 1Cr18Ni9Ti;直径 Φ;技术标准号 GJB 2294-1995;加工工艺 ;热处理工艺 ;特殊要求 ;规格标准号 GB/T 702-2008</t>
        </is>
      </c>
      <c r="F364" s="12" t="inlineStr">
        <is>
          <t>千克</t>
        </is>
      </c>
      <c r="G364" s="11">
        <f>LEFT(D364,FIND("|",D364,1)-1)</f>
        <v/>
      </c>
      <c r="H364" s="11">
        <f>MID(D364,FIND("|",D364,FIND("|",D364,1))+1,FIND("|",D364,FIND("|",D364,1)+1)-FIND("|",D364,FIND("|",D364,1))-1)</f>
        <v/>
      </c>
      <c r="J364" s="11">
        <f>MID(D364,FIND(";",SUBSTITUTE(D364,"|",REPT(";",LEN(D364)),2))+1,FIND(";",SUBSTITUTE(D364,"|",REPT(";",LEN(D364)),3))-FIND(";",SUBSTITUTE(D364,"|",REPT(";",LEN(D364)),2))-1)</f>
        <v/>
      </c>
      <c r="M364" s="11">
        <f>MID(D364,FIND(";",SUBSTITUTE(D364,"|",REPT(";",LEN(D364)),3))+1,FIND(";",SUBSTITUTE(D364,"|",REPT(";",LEN(D364)),4))-FIND(";",SUBSTITUTE(D364,"|",REPT(";",LEN(D364)),3))-1)</f>
        <v/>
      </c>
      <c r="N364" s="11">
        <f>MID(D364,FIND(";",SUBSTITUTE(D364,"|",REPT(";",LEN(D364)),4))+1,LEN(D364))</f>
        <v/>
      </c>
    </row>
    <row r="365" ht="140" customHeight="1" s="21">
      <c r="A365" s="13" t="inlineStr">
        <is>
          <t>100201</t>
        </is>
      </c>
      <c r="B365" s="13" t="inlineStr">
        <is>
          <t>圆钢</t>
        </is>
      </c>
      <c r="C365" s="13" t="inlineStr">
        <is>
          <t>600624700</t>
        </is>
      </c>
      <c r="D365" s="13" t="inlineStr">
        <is>
          <t>热轧航空用不锈圆钢|圆钢|1Cr18Ni9Ti|Φ170|GJB 2294-1995|热轧|GB/T 702-2008</t>
        </is>
      </c>
      <c r="E365" s="13" t="inlineStr">
        <is>
          <t>物资名称 热轧航空用不锈圆钢;物资简称 圆钢;牌号 1Cr18Ni9Ti;直径 Φ170;技术标准号 GJB 2294-1995;加工工艺 热轧;热处理工艺 ;特殊要求 ;规格标准号 GB/T 702-2008</t>
        </is>
      </c>
      <c r="F365" s="12" t="inlineStr">
        <is>
          <t>千克</t>
        </is>
      </c>
      <c r="G365" s="11">
        <f>LEFT(D365,FIND("|",D365,1)-1)</f>
        <v/>
      </c>
      <c r="H365" s="11">
        <f>MID(D365,FIND("|",D365,FIND("|",D365,1))+1,FIND("|",D365,FIND("|",D365,1)+1)-FIND("|",D365,FIND("|",D365,1))-1)</f>
        <v/>
      </c>
      <c r="J365" s="11">
        <f>MID(D365,FIND(";",SUBSTITUTE(D365,"|",REPT(";",LEN(D365)),2))+1,FIND(";",SUBSTITUTE(D365,"|",REPT(";",LEN(D365)),3))-FIND(";",SUBSTITUTE(D365,"|",REPT(";",LEN(D365)),2))-1)</f>
        <v/>
      </c>
      <c r="K365" s="11">
        <f>MID(D365,FIND(";",SUBSTITUTE(D365,"|",REPT(";",LEN(D365)),3))+1,FIND(";",SUBSTITUTE(D365,"|",REPT(";",LEN(D365)),4))-FIND(";",SUBSTITUTE(D365,"|",REPT(";",LEN(D365)),3))-1)</f>
        <v/>
      </c>
      <c r="M365" s="11">
        <f>MID(D365,FIND(";",SUBSTITUTE(D365,"|",REPT(";",LEN(D365)),4))+1,FIND(";",SUBSTITUTE(D365,"|",REPT(";",LEN(D365)),5))-FIND(";",SUBSTITUTE(D365,"|",REPT(";",LEN(D365)),4))-1)</f>
        <v/>
      </c>
      <c r="N365" s="11">
        <f>MID(D365,FIND(";",SUBSTITUTE(D365,"|",REPT(";",LEN(D365)),6))+1,LEN(D365))</f>
        <v/>
      </c>
      <c r="O365" s="11">
        <f>MID(D365,FIND(";",SUBSTITUTE(D365,"|",REPT(";",LEN(D365)),5))+1,FIND(";",SUBSTITUTE(D365,"|",REPT(";",LEN(D365)),6))-FIND(";",SUBSTITUTE(D365,"|",REPT(";",LEN(D365)),5))-1)</f>
        <v/>
      </c>
    </row>
    <row r="366" ht="140" customHeight="1" s="21">
      <c r="A366" s="13" t="inlineStr">
        <is>
          <t>100201</t>
        </is>
      </c>
      <c r="B366" s="13" t="inlineStr">
        <is>
          <t>圆钢</t>
        </is>
      </c>
      <c r="C366" s="13" t="inlineStr">
        <is>
          <t>600624600</t>
        </is>
      </c>
      <c r="D366" s="13" t="inlineStr">
        <is>
          <t>热轧不锈圆钢|圆钢|1Cr18Ni9Ti|GB 1220-1992|GB/T 702-2008</t>
        </is>
      </c>
      <c r="E366" s="13" t="inlineStr">
        <is>
          <t>物资名称 热轧不锈圆钢;物资简称 圆钢;牌号 1Cr18Ni9Ti;直径 Φ;技术标准号 GB 1220-1992;加工工艺 ;热处理工艺 ;特殊要求 ;规格标准号 GB/T 702-2008</t>
        </is>
      </c>
      <c r="F366" s="12" t="inlineStr">
        <is>
          <t>千克</t>
        </is>
      </c>
      <c r="G366" s="11">
        <f>LEFT(D366,FIND("|",D366,1)-1)</f>
        <v/>
      </c>
      <c r="H366" s="11">
        <f>MID(D366,FIND("|",D366,FIND("|",D366,1))+1,FIND("|",D366,FIND("|",D366,1)+1)-FIND("|",D366,FIND("|",D366,1))-1)</f>
        <v/>
      </c>
      <c r="J366" s="11">
        <f>MID(D366,FIND(";",SUBSTITUTE(D366,"|",REPT(";",LEN(D366)),2))+1,FIND(";",SUBSTITUTE(D366,"|",REPT(";",LEN(D366)),3))-FIND(";",SUBSTITUTE(D366,"|",REPT(";",LEN(D366)),2))-1)</f>
        <v/>
      </c>
      <c r="M366" s="11">
        <f>MID(D366,FIND(";",SUBSTITUTE(D366,"|",REPT(";",LEN(D366)),3))+1,FIND(";",SUBSTITUTE(D366,"|",REPT(";",LEN(D366)),4))-FIND(";",SUBSTITUTE(D366,"|",REPT(";",LEN(D366)),3))-1)</f>
        <v/>
      </c>
      <c r="N366" s="11">
        <f>MID(D366,FIND(";",SUBSTITUTE(D366,"|",REPT(";",LEN(D366)),4))+1,LEN(D366))</f>
        <v/>
      </c>
    </row>
    <row r="367" ht="140" customHeight="1" s="21">
      <c r="A367" s="13" t="inlineStr">
        <is>
          <t>100201</t>
        </is>
      </c>
      <c r="B367" s="13" t="inlineStr">
        <is>
          <t>圆钢</t>
        </is>
      </c>
      <c r="C367" s="13" t="inlineStr">
        <is>
          <t>600624500</t>
        </is>
      </c>
      <c r="D367" s="13" t="inlineStr">
        <is>
          <t>热轧不锈圆钢|圆钢|1Cr18Ni9Ti|Φ10|GB 1220-1992|热轧|GB/T 702-2008</t>
        </is>
      </c>
      <c r="E367" s="13" t="inlineStr">
        <is>
          <t>物资名称 热轧不锈圆钢;物资简称 圆钢;牌号 1Cr18Ni9Ti;直径 Φ10;技术标准号 GB 1220-1992;加工工艺 热轧;热处理工艺 ;特殊要求 ;规格标准号 GB/T 702-2008</t>
        </is>
      </c>
      <c r="F367" s="12" t="inlineStr">
        <is>
          <t>千克</t>
        </is>
      </c>
      <c r="G367" s="11">
        <f>LEFT(D367,FIND("|",D367,1)-1)</f>
        <v/>
      </c>
      <c r="H367" s="11">
        <f>MID(D367,FIND("|",D367,FIND("|",D367,1))+1,FIND("|",D367,FIND("|",D367,1)+1)-FIND("|",D367,FIND("|",D367,1))-1)</f>
        <v/>
      </c>
      <c r="J367" s="11">
        <f>MID(D367,FIND(";",SUBSTITUTE(D367,"|",REPT(";",LEN(D367)),2))+1,FIND(";",SUBSTITUTE(D367,"|",REPT(";",LEN(D367)),3))-FIND(";",SUBSTITUTE(D367,"|",REPT(";",LEN(D367)),2))-1)</f>
        <v/>
      </c>
      <c r="K367" s="11">
        <f>MID(D367,FIND(";",SUBSTITUTE(D367,"|",REPT(";",LEN(D367)),3))+1,FIND(";",SUBSTITUTE(D367,"|",REPT(";",LEN(D367)),4))-FIND(";",SUBSTITUTE(D367,"|",REPT(";",LEN(D367)),3))-1)</f>
        <v/>
      </c>
      <c r="M367" s="11">
        <f>MID(D367,FIND(";",SUBSTITUTE(D367,"|",REPT(";",LEN(D367)),4))+1,FIND(";",SUBSTITUTE(D367,"|",REPT(";",LEN(D367)),5))-FIND(";",SUBSTITUTE(D367,"|",REPT(";",LEN(D367)),4))-1)</f>
        <v/>
      </c>
      <c r="N367" s="11">
        <f>MID(D367,FIND(";",SUBSTITUTE(D367,"|",REPT(";",LEN(D367)),6))+1,LEN(D367))</f>
        <v/>
      </c>
      <c r="O367" s="11">
        <f>MID(D367,FIND(";",SUBSTITUTE(D367,"|",REPT(";",LEN(D367)),5))+1,FIND(";",SUBSTITUTE(D367,"|",REPT(";",LEN(D367)),6))-FIND(";",SUBSTITUTE(D367,"|",REPT(";",LEN(D367)),5))-1)</f>
        <v/>
      </c>
    </row>
    <row r="368" ht="140" customHeight="1" s="21">
      <c r="A368" s="13" t="inlineStr">
        <is>
          <t>100201</t>
        </is>
      </c>
      <c r="B368" s="13" t="inlineStr">
        <is>
          <t>圆钢</t>
        </is>
      </c>
      <c r="C368" s="13" t="inlineStr">
        <is>
          <t>600624400</t>
        </is>
      </c>
      <c r="D368" s="13" t="inlineStr">
        <is>
          <t>热轧不锈圆钢|圆钢|1Cr18Ni9Ti|Φ13|GB 1220-1992|热轧|GB/T 702-2008</t>
        </is>
      </c>
      <c r="E368" s="13" t="inlineStr">
        <is>
          <t>物资名称 热轧不锈圆钢;物资简称 圆钢;牌号 1Cr18Ni9Ti;直径 Φ13;技术标准号 GB 1220-1992;加工工艺 热轧;热处理工艺 ;特殊要求 ;规格标准号 GB/T 702-2008</t>
        </is>
      </c>
      <c r="F368" s="12" t="inlineStr">
        <is>
          <t>千克</t>
        </is>
      </c>
      <c r="G368" s="11">
        <f>LEFT(D368,FIND("|",D368,1)-1)</f>
        <v/>
      </c>
      <c r="H368" s="11">
        <f>MID(D368,FIND("|",D368,FIND("|",D368,1))+1,FIND("|",D368,FIND("|",D368,1)+1)-FIND("|",D368,FIND("|",D368,1))-1)</f>
        <v/>
      </c>
      <c r="J368" s="11">
        <f>MID(D368,FIND(";",SUBSTITUTE(D368,"|",REPT(";",LEN(D368)),2))+1,FIND(";",SUBSTITUTE(D368,"|",REPT(";",LEN(D368)),3))-FIND(";",SUBSTITUTE(D368,"|",REPT(";",LEN(D368)),2))-1)</f>
        <v/>
      </c>
      <c r="K368" s="11">
        <f>MID(D368,FIND(";",SUBSTITUTE(D368,"|",REPT(";",LEN(D368)),3))+1,FIND(";",SUBSTITUTE(D368,"|",REPT(";",LEN(D368)),4))-FIND(";",SUBSTITUTE(D368,"|",REPT(";",LEN(D368)),3))-1)</f>
        <v/>
      </c>
      <c r="M368" s="11">
        <f>MID(D368,FIND(";",SUBSTITUTE(D368,"|",REPT(";",LEN(D368)),4))+1,FIND(";",SUBSTITUTE(D368,"|",REPT(";",LEN(D368)),5))-FIND(";",SUBSTITUTE(D368,"|",REPT(";",LEN(D368)),4))-1)</f>
        <v/>
      </c>
      <c r="N368" s="11">
        <f>MID(D368,FIND(";",SUBSTITUTE(D368,"|",REPT(";",LEN(D368)),6))+1,LEN(D368))</f>
        <v/>
      </c>
      <c r="O368" s="11">
        <f>MID(D368,FIND(";",SUBSTITUTE(D368,"|",REPT(";",LEN(D368)),5))+1,FIND(";",SUBSTITUTE(D368,"|",REPT(";",LEN(D368)),6))-FIND(";",SUBSTITUTE(D368,"|",REPT(";",LEN(D368)),5))-1)</f>
        <v/>
      </c>
    </row>
    <row r="369" ht="140" customHeight="1" s="21">
      <c r="A369" s="13" t="inlineStr">
        <is>
          <t>100201</t>
        </is>
      </c>
      <c r="B369" s="13" t="inlineStr">
        <is>
          <t>圆钢</t>
        </is>
      </c>
      <c r="C369" s="13" t="inlineStr">
        <is>
          <t>600624300</t>
        </is>
      </c>
      <c r="D369" s="13" t="inlineStr">
        <is>
          <t>热轧不锈圆钢|圆钢|1Cr18Ni9Ti|Φ14|GB 1220-1992|热轧|GB/T 702-2008</t>
        </is>
      </c>
      <c r="E369" s="13" t="inlineStr">
        <is>
          <t>物资名称 热轧不锈圆钢;物资简称 圆钢;牌号 1Cr18Ni9Ti;直径 Φ14;技术标准号 GB 1220-1992;加工工艺 热轧;热处理工艺 ;特殊要求 ;规格标准号 GB/T 702-2008</t>
        </is>
      </c>
      <c r="F369" s="12" t="inlineStr">
        <is>
          <t>千克</t>
        </is>
      </c>
      <c r="G369" s="11">
        <f>LEFT(D369,FIND("|",D369,1)-1)</f>
        <v/>
      </c>
      <c r="H369" s="11">
        <f>MID(D369,FIND("|",D369,FIND("|",D369,1))+1,FIND("|",D369,FIND("|",D369,1)+1)-FIND("|",D369,FIND("|",D369,1))-1)</f>
        <v/>
      </c>
      <c r="J369" s="11">
        <f>MID(D369,FIND(";",SUBSTITUTE(D369,"|",REPT(";",LEN(D369)),2))+1,FIND(";",SUBSTITUTE(D369,"|",REPT(";",LEN(D369)),3))-FIND(";",SUBSTITUTE(D369,"|",REPT(";",LEN(D369)),2))-1)</f>
        <v/>
      </c>
      <c r="K369" s="11">
        <f>MID(D369,FIND(";",SUBSTITUTE(D369,"|",REPT(";",LEN(D369)),3))+1,FIND(";",SUBSTITUTE(D369,"|",REPT(";",LEN(D369)),4))-FIND(";",SUBSTITUTE(D369,"|",REPT(";",LEN(D369)),3))-1)</f>
        <v/>
      </c>
      <c r="M369" s="11">
        <f>MID(D369,FIND(";",SUBSTITUTE(D369,"|",REPT(";",LEN(D369)),4))+1,FIND(";",SUBSTITUTE(D369,"|",REPT(";",LEN(D369)),5))-FIND(";",SUBSTITUTE(D369,"|",REPT(";",LEN(D369)),4))-1)</f>
        <v/>
      </c>
      <c r="N369" s="11">
        <f>MID(D369,FIND(";",SUBSTITUTE(D369,"|",REPT(";",LEN(D369)),6))+1,LEN(D369))</f>
        <v/>
      </c>
      <c r="O369" s="11">
        <f>MID(D369,FIND(";",SUBSTITUTE(D369,"|",REPT(";",LEN(D369)),5))+1,FIND(";",SUBSTITUTE(D369,"|",REPT(";",LEN(D369)),6))-FIND(";",SUBSTITUTE(D369,"|",REPT(";",LEN(D369)),5))-1)</f>
        <v/>
      </c>
    </row>
    <row r="370" ht="140" customHeight="1" s="21">
      <c r="A370" s="13" t="inlineStr">
        <is>
          <t>100201</t>
        </is>
      </c>
      <c r="B370" s="13" t="inlineStr">
        <is>
          <t>圆钢</t>
        </is>
      </c>
      <c r="C370" s="13" t="inlineStr">
        <is>
          <t>600624200</t>
        </is>
      </c>
      <c r="D370" s="13" t="inlineStr">
        <is>
          <t>热轧不锈圆钢|圆钢|1Cr18Ni9Ti|Φ16|GB 1220-1992|热轧|GB/T 702-2008</t>
        </is>
      </c>
      <c r="E370" s="13" t="inlineStr">
        <is>
          <t>物资名称 热轧不锈圆钢;物资简称 圆钢;牌号 1Cr18Ni9Ti;直径 Φ16;技术标准号 GB 1220-1992;加工工艺 热轧;热处理工艺 ;特殊要求 ;规格标准号 GB/T 702-2008</t>
        </is>
      </c>
      <c r="F370" s="12" t="inlineStr">
        <is>
          <t>千克</t>
        </is>
      </c>
      <c r="G370" s="11">
        <f>LEFT(D370,FIND("|",D370,1)-1)</f>
        <v/>
      </c>
      <c r="H370" s="11">
        <f>MID(D370,FIND("|",D370,FIND("|",D370,1))+1,FIND("|",D370,FIND("|",D370,1)+1)-FIND("|",D370,FIND("|",D370,1))-1)</f>
        <v/>
      </c>
      <c r="J370" s="11">
        <f>MID(D370,FIND(";",SUBSTITUTE(D370,"|",REPT(";",LEN(D370)),2))+1,FIND(";",SUBSTITUTE(D370,"|",REPT(";",LEN(D370)),3))-FIND(";",SUBSTITUTE(D370,"|",REPT(";",LEN(D370)),2))-1)</f>
        <v/>
      </c>
      <c r="K370" s="11">
        <f>MID(D370,FIND(";",SUBSTITUTE(D370,"|",REPT(";",LEN(D370)),3))+1,FIND(";",SUBSTITUTE(D370,"|",REPT(";",LEN(D370)),4))-FIND(";",SUBSTITUTE(D370,"|",REPT(";",LEN(D370)),3))-1)</f>
        <v/>
      </c>
      <c r="M370" s="11">
        <f>MID(D370,FIND(";",SUBSTITUTE(D370,"|",REPT(";",LEN(D370)),4))+1,FIND(";",SUBSTITUTE(D370,"|",REPT(";",LEN(D370)),5))-FIND(";",SUBSTITUTE(D370,"|",REPT(";",LEN(D370)),4))-1)</f>
        <v/>
      </c>
      <c r="N370" s="11">
        <f>MID(D370,FIND(";",SUBSTITUTE(D370,"|",REPT(";",LEN(D370)),6))+1,LEN(D370))</f>
        <v/>
      </c>
      <c r="O370" s="11">
        <f>MID(D370,FIND(";",SUBSTITUTE(D370,"|",REPT(";",LEN(D370)),5))+1,FIND(";",SUBSTITUTE(D370,"|",REPT(";",LEN(D370)),6))-FIND(";",SUBSTITUTE(D370,"|",REPT(";",LEN(D370)),5))-1)</f>
        <v/>
      </c>
    </row>
    <row r="371" ht="140" customHeight="1" s="21">
      <c r="A371" s="13" t="inlineStr">
        <is>
          <t>100201</t>
        </is>
      </c>
      <c r="B371" s="13" t="inlineStr">
        <is>
          <t>圆钢</t>
        </is>
      </c>
      <c r="C371" s="13" t="inlineStr">
        <is>
          <t>600624100</t>
        </is>
      </c>
      <c r="D371" s="13" t="inlineStr">
        <is>
          <t>热轧不锈圆钢|圆钢|1Cr18Ni9Ti|Φ18|GB 1220-1992|热轧|GB/T 702-2008</t>
        </is>
      </c>
      <c r="E371" s="13" t="inlineStr">
        <is>
          <t>物资名称 热轧不锈圆钢;物资简称 圆钢;牌号 1Cr18Ni9Ti;直径 Φ18;技术标准号 GB 1220-1992;加工工艺 热轧;热处理工艺 ;特殊要求 ;规格标准号 GB/T 702-2008</t>
        </is>
      </c>
      <c r="F371" s="12" t="inlineStr">
        <is>
          <t>千克</t>
        </is>
      </c>
      <c r="G371" s="11">
        <f>LEFT(D371,FIND("|",D371,1)-1)</f>
        <v/>
      </c>
      <c r="H371" s="11">
        <f>MID(D371,FIND("|",D371,FIND("|",D371,1))+1,FIND("|",D371,FIND("|",D371,1)+1)-FIND("|",D371,FIND("|",D371,1))-1)</f>
        <v/>
      </c>
      <c r="J371" s="11">
        <f>MID(D371,FIND(";",SUBSTITUTE(D371,"|",REPT(";",LEN(D371)),2))+1,FIND(";",SUBSTITUTE(D371,"|",REPT(";",LEN(D371)),3))-FIND(";",SUBSTITUTE(D371,"|",REPT(";",LEN(D371)),2))-1)</f>
        <v/>
      </c>
      <c r="K371" s="11">
        <f>MID(D371,FIND(";",SUBSTITUTE(D371,"|",REPT(";",LEN(D371)),3))+1,FIND(";",SUBSTITUTE(D371,"|",REPT(";",LEN(D371)),4))-FIND(";",SUBSTITUTE(D371,"|",REPT(";",LEN(D371)),3))-1)</f>
        <v/>
      </c>
      <c r="M371" s="11">
        <f>MID(D371,FIND(";",SUBSTITUTE(D371,"|",REPT(";",LEN(D371)),4))+1,FIND(";",SUBSTITUTE(D371,"|",REPT(";",LEN(D371)),5))-FIND(";",SUBSTITUTE(D371,"|",REPT(";",LEN(D371)),4))-1)</f>
        <v/>
      </c>
      <c r="N371" s="11">
        <f>MID(D371,FIND(";",SUBSTITUTE(D371,"|",REPT(";",LEN(D371)),6))+1,LEN(D371))</f>
        <v/>
      </c>
      <c r="O371" s="11">
        <f>MID(D371,FIND(";",SUBSTITUTE(D371,"|",REPT(";",LEN(D371)),5))+1,FIND(";",SUBSTITUTE(D371,"|",REPT(";",LEN(D371)),6))-FIND(";",SUBSTITUTE(D371,"|",REPT(";",LEN(D371)),5))-1)</f>
        <v/>
      </c>
    </row>
    <row r="372" ht="140" customHeight="1" s="21">
      <c r="A372" s="13" t="inlineStr">
        <is>
          <t>100201</t>
        </is>
      </c>
      <c r="B372" s="13" t="inlineStr">
        <is>
          <t>圆钢</t>
        </is>
      </c>
      <c r="C372" s="13" t="inlineStr">
        <is>
          <t>600624000</t>
        </is>
      </c>
      <c r="D372" s="13" t="inlineStr">
        <is>
          <t>热轧不锈圆钢|圆钢|1Cr18Ni9Ti|Φ20|GB 1220-1992|热轧|GB/T 702-2008</t>
        </is>
      </c>
      <c r="E372" s="13" t="inlineStr">
        <is>
          <t>物资名称 热轧不锈圆钢;物资简称 圆钢;牌号 1Cr18Ni9Ti;直径 Φ20;技术标准号 GB 1220-1992;加工工艺 热轧;热处理工艺 ;特殊要求 ;规格标准号 GB/T 702-2008</t>
        </is>
      </c>
      <c r="F372" s="12" t="inlineStr">
        <is>
          <t>千克</t>
        </is>
      </c>
      <c r="G372" s="11">
        <f>LEFT(D372,FIND("|",D372,1)-1)</f>
        <v/>
      </c>
      <c r="H372" s="11">
        <f>MID(D372,FIND("|",D372,FIND("|",D372,1))+1,FIND("|",D372,FIND("|",D372,1)+1)-FIND("|",D372,FIND("|",D372,1))-1)</f>
        <v/>
      </c>
      <c r="J372" s="11">
        <f>MID(D372,FIND(";",SUBSTITUTE(D372,"|",REPT(";",LEN(D372)),2))+1,FIND(";",SUBSTITUTE(D372,"|",REPT(";",LEN(D372)),3))-FIND(";",SUBSTITUTE(D372,"|",REPT(";",LEN(D372)),2))-1)</f>
        <v/>
      </c>
      <c r="K372" s="11">
        <f>MID(D372,FIND(";",SUBSTITUTE(D372,"|",REPT(";",LEN(D372)),3))+1,FIND(";",SUBSTITUTE(D372,"|",REPT(";",LEN(D372)),4))-FIND(";",SUBSTITUTE(D372,"|",REPT(";",LEN(D372)),3))-1)</f>
        <v/>
      </c>
      <c r="M372" s="11">
        <f>MID(D372,FIND(";",SUBSTITUTE(D372,"|",REPT(";",LEN(D372)),4))+1,FIND(";",SUBSTITUTE(D372,"|",REPT(";",LEN(D372)),5))-FIND(";",SUBSTITUTE(D372,"|",REPT(";",LEN(D372)),4))-1)</f>
        <v/>
      </c>
      <c r="N372" s="11">
        <f>MID(D372,FIND(";",SUBSTITUTE(D372,"|",REPT(";",LEN(D372)),6))+1,LEN(D372))</f>
        <v/>
      </c>
      <c r="O372" s="11">
        <f>MID(D372,FIND(";",SUBSTITUTE(D372,"|",REPT(";",LEN(D372)),5))+1,FIND(";",SUBSTITUTE(D372,"|",REPT(";",LEN(D372)),6))-FIND(";",SUBSTITUTE(D372,"|",REPT(";",LEN(D372)),5))-1)</f>
        <v/>
      </c>
    </row>
    <row r="373" ht="140" customHeight="1" s="21">
      <c r="A373" s="13" t="inlineStr">
        <is>
          <t>100201</t>
        </is>
      </c>
      <c r="B373" s="13" t="inlineStr">
        <is>
          <t>圆钢</t>
        </is>
      </c>
      <c r="C373" s="13" t="inlineStr">
        <is>
          <t>600623900</t>
        </is>
      </c>
      <c r="D373" s="13" t="inlineStr">
        <is>
          <t>热轧不锈圆钢|圆钢|1Cr18Ni9Ti|Φ25|GB 1220-1992|热轧|GB/T 702-2008</t>
        </is>
      </c>
      <c r="E373" s="13" t="inlineStr">
        <is>
          <t>物资名称 热轧不锈圆钢;物资简称 圆钢;牌号 1Cr18Ni9Ti;直径 Φ25;技术标准号 GB 1220-1992;加工工艺 热轧;热处理工艺 ;特殊要求 ;规格标准号 GB/T 702-2008</t>
        </is>
      </c>
      <c r="F373" s="12" t="inlineStr">
        <is>
          <t>千克</t>
        </is>
      </c>
      <c r="G373" s="11">
        <f>LEFT(D373,FIND("|",D373,1)-1)</f>
        <v/>
      </c>
      <c r="H373" s="11">
        <f>MID(D373,FIND("|",D373,FIND("|",D373,1))+1,FIND("|",D373,FIND("|",D373,1)+1)-FIND("|",D373,FIND("|",D373,1))-1)</f>
        <v/>
      </c>
      <c r="J373" s="11">
        <f>MID(D373,FIND(";",SUBSTITUTE(D373,"|",REPT(";",LEN(D373)),2))+1,FIND(";",SUBSTITUTE(D373,"|",REPT(";",LEN(D373)),3))-FIND(";",SUBSTITUTE(D373,"|",REPT(";",LEN(D373)),2))-1)</f>
        <v/>
      </c>
      <c r="K373" s="11">
        <f>MID(D373,FIND(";",SUBSTITUTE(D373,"|",REPT(";",LEN(D373)),3))+1,FIND(";",SUBSTITUTE(D373,"|",REPT(";",LEN(D373)),4))-FIND(";",SUBSTITUTE(D373,"|",REPT(";",LEN(D373)),3))-1)</f>
        <v/>
      </c>
      <c r="M373" s="11">
        <f>MID(D373,FIND(";",SUBSTITUTE(D373,"|",REPT(";",LEN(D373)),4))+1,FIND(";",SUBSTITUTE(D373,"|",REPT(";",LEN(D373)),5))-FIND(";",SUBSTITUTE(D373,"|",REPT(";",LEN(D373)),4))-1)</f>
        <v/>
      </c>
      <c r="N373" s="11">
        <f>MID(D373,FIND(";",SUBSTITUTE(D373,"|",REPT(";",LEN(D373)),6))+1,LEN(D373))</f>
        <v/>
      </c>
      <c r="O373" s="11">
        <f>MID(D373,FIND(";",SUBSTITUTE(D373,"|",REPT(";",LEN(D373)),5))+1,FIND(";",SUBSTITUTE(D373,"|",REPT(";",LEN(D373)),6))-FIND(";",SUBSTITUTE(D373,"|",REPT(";",LEN(D373)),5))-1)</f>
        <v/>
      </c>
    </row>
    <row r="374" ht="140" customHeight="1" s="21">
      <c r="A374" s="13" t="inlineStr">
        <is>
          <t>100201</t>
        </is>
      </c>
      <c r="B374" s="13" t="inlineStr">
        <is>
          <t>圆钢</t>
        </is>
      </c>
      <c r="C374" s="13" t="inlineStr">
        <is>
          <t>600623800</t>
        </is>
      </c>
      <c r="D374" s="13" t="inlineStr">
        <is>
          <t>热轧不锈圆钢|圆钢|1Cr18Ni9Ti|Φ28|GB 1220-1992|热轧|GB/T 702-2008</t>
        </is>
      </c>
      <c r="E374" s="13" t="inlineStr">
        <is>
          <t>物资名称 热轧不锈圆钢;物资简称 圆钢;牌号 1Cr18Ni9Ti;直径 Φ28;技术标准号 GB 1220-1992;加工工艺 热轧;热处理工艺 ;特殊要求 ;规格标准号 GB/T 702-2008</t>
        </is>
      </c>
      <c r="F374" s="12" t="inlineStr">
        <is>
          <t>千克</t>
        </is>
      </c>
      <c r="G374" s="11">
        <f>LEFT(D374,FIND("|",D374,1)-1)</f>
        <v/>
      </c>
      <c r="H374" s="11">
        <f>MID(D374,FIND("|",D374,FIND("|",D374,1))+1,FIND("|",D374,FIND("|",D374,1)+1)-FIND("|",D374,FIND("|",D374,1))-1)</f>
        <v/>
      </c>
      <c r="J374" s="11">
        <f>MID(D374,FIND(";",SUBSTITUTE(D374,"|",REPT(";",LEN(D374)),2))+1,FIND(";",SUBSTITUTE(D374,"|",REPT(";",LEN(D374)),3))-FIND(";",SUBSTITUTE(D374,"|",REPT(";",LEN(D374)),2))-1)</f>
        <v/>
      </c>
      <c r="K374" s="11">
        <f>MID(D374,FIND(";",SUBSTITUTE(D374,"|",REPT(";",LEN(D374)),3))+1,FIND(";",SUBSTITUTE(D374,"|",REPT(";",LEN(D374)),4))-FIND(";",SUBSTITUTE(D374,"|",REPT(";",LEN(D374)),3))-1)</f>
        <v/>
      </c>
      <c r="M374" s="11">
        <f>MID(D374,FIND(";",SUBSTITUTE(D374,"|",REPT(";",LEN(D374)),4))+1,FIND(";",SUBSTITUTE(D374,"|",REPT(";",LEN(D374)),5))-FIND(";",SUBSTITUTE(D374,"|",REPT(";",LEN(D374)),4))-1)</f>
        <v/>
      </c>
      <c r="N374" s="11">
        <f>MID(D374,FIND(";",SUBSTITUTE(D374,"|",REPT(";",LEN(D374)),6))+1,LEN(D374))</f>
        <v/>
      </c>
      <c r="O374" s="11">
        <f>MID(D374,FIND(";",SUBSTITUTE(D374,"|",REPT(";",LEN(D374)),5))+1,FIND(";",SUBSTITUTE(D374,"|",REPT(";",LEN(D374)),6))-FIND(";",SUBSTITUTE(D374,"|",REPT(";",LEN(D374)),5))-1)</f>
        <v/>
      </c>
    </row>
    <row r="375" ht="140" customHeight="1" s="21">
      <c r="A375" s="13" t="inlineStr">
        <is>
          <t>100201</t>
        </is>
      </c>
      <c r="B375" s="13" t="inlineStr">
        <is>
          <t>圆钢</t>
        </is>
      </c>
      <c r="C375" s="13" t="inlineStr">
        <is>
          <t>600623700</t>
        </is>
      </c>
      <c r="D375" s="13" t="inlineStr">
        <is>
          <t>热轧不锈圆钢|圆钢|1Cr18Ni9Ti|Φ30|GB 1220-1992|热轧|GB/T 702-2008</t>
        </is>
      </c>
      <c r="E375" s="13" t="inlineStr">
        <is>
          <t>物资名称 热轧不锈圆钢;物资简称 圆钢;牌号 1Cr18Ni9Ti;直径 Φ30;技术标准号 GB 1220-1992;加工工艺 热轧;热处理工艺 ;特殊要求 ;规格标准号 GB/T 702-2008</t>
        </is>
      </c>
      <c r="F375" s="12" t="inlineStr">
        <is>
          <t>千克</t>
        </is>
      </c>
      <c r="G375" s="11">
        <f>LEFT(D375,FIND("|",D375,1)-1)</f>
        <v/>
      </c>
      <c r="H375" s="11">
        <f>MID(D375,FIND("|",D375,FIND("|",D375,1))+1,FIND("|",D375,FIND("|",D375,1)+1)-FIND("|",D375,FIND("|",D375,1))-1)</f>
        <v/>
      </c>
      <c r="J375" s="11">
        <f>MID(D375,FIND(";",SUBSTITUTE(D375,"|",REPT(";",LEN(D375)),2))+1,FIND(";",SUBSTITUTE(D375,"|",REPT(";",LEN(D375)),3))-FIND(";",SUBSTITUTE(D375,"|",REPT(";",LEN(D375)),2))-1)</f>
        <v/>
      </c>
      <c r="K375" s="11">
        <f>MID(D375,FIND(";",SUBSTITUTE(D375,"|",REPT(";",LEN(D375)),3))+1,FIND(";",SUBSTITUTE(D375,"|",REPT(";",LEN(D375)),4))-FIND(";",SUBSTITUTE(D375,"|",REPT(";",LEN(D375)),3))-1)</f>
        <v/>
      </c>
      <c r="M375" s="11">
        <f>MID(D375,FIND(";",SUBSTITUTE(D375,"|",REPT(";",LEN(D375)),4))+1,FIND(";",SUBSTITUTE(D375,"|",REPT(";",LEN(D375)),5))-FIND(";",SUBSTITUTE(D375,"|",REPT(";",LEN(D375)),4))-1)</f>
        <v/>
      </c>
      <c r="N375" s="11">
        <f>MID(D375,FIND(";",SUBSTITUTE(D375,"|",REPT(";",LEN(D375)),6))+1,LEN(D375))</f>
        <v/>
      </c>
      <c r="O375" s="11">
        <f>MID(D375,FIND(";",SUBSTITUTE(D375,"|",REPT(";",LEN(D375)),5))+1,FIND(";",SUBSTITUTE(D375,"|",REPT(";",LEN(D375)),6))-FIND(";",SUBSTITUTE(D375,"|",REPT(";",LEN(D375)),5))-1)</f>
        <v/>
      </c>
    </row>
    <row r="376" ht="140" customHeight="1" s="21">
      <c r="A376" s="13" t="inlineStr">
        <is>
          <t>100201</t>
        </is>
      </c>
      <c r="B376" s="13" t="inlineStr">
        <is>
          <t>圆钢</t>
        </is>
      </c>
      <c r="C376" s="13" t="inlineStr">
        <is>
          <t>600623600</t>
        </is>
      </c>
      <c r="D376" s="13" t="inlineStr">
        <is>
          <t>热轧不锈圆钢|圆钢|1Cr18Ni9Ti|Φ35|GB 1220-1992|热轧|GB/T 702-2008</t>
        </is>
      </c>
      <c r="E376" s="13" t="inlineStr">
        <is>
          <t>物资名称 热轧不锈圆钢;物资简称 圆钢;牌号 1Cr18Ni9Ti;直径 Φ35;技术标准号 GB 1220-1992;加工工艺 热轧;热处理工艺 ;特殊要求 ;规格标准号 GB/T 702-2008</t>
        </is>
      </c>
      <c r="F376" s="12" t="inlineStr">
        <is>
          <t>千克</t>
        </is>
      </c>
      <c r="G376" s="11">
        <f>LEFT(D376,FIND("|",D376,1)-1)</f>
        <v/>
      </c>
      <c r="H376" s="11">
        <f>MID(D376,FIND("|",D376,FIND("|",D376,1))+1,FIND("|",D376,FIND("|",D376,1)+1)-FIND("|",D376,FIND("|",D376,1))-1)</f>
        <v/>
      </c>
      <c r="J376" s="11">
        <f>MID(D376,FIND(";",SUBSTITUTE(D376,"|",REPT(";",LEN(D376)),2))+1,FIND(";",SUBSTITUTE(D376,"|",REPT(";",LEN(D376)),3))-FIND(";",SUBSTITUTE(D376,"|",REPT(";",LEN(D376)),2))-1)</f>
        <v/>
      </c>
      <c r="K376" s="11">
        <f>MID(D376,FIND(";",SUBSTITUTE(D376,"|",REPT(";",LEN(D376)),3))+1,FIND(";",SUBSTITUTE(D376,"|",REPT(";",LEN(D376)),4))-FIND(";",SUBSTITUTE(D376,"|",REPT(";",LEN(D376)),3))-1)</f>
        <v/>
      </c>
      <c r="M376" s="11">
        <f>MID(D376,FIND(";",SUBSTITUTE(D376,"|",REPT(";",LEN(D376)),4))+1,FIND(";",SUBSTITUTE(D376,"|",REPT(";",LEN(D376)),5))-FIND(";",SUBSTITUTE(D376,"|",REPT(";",LEN(D376)),4))-1)</f>
        <v/>
      </c>
      <c r="N376" s="11">
        <f>MID(D376,FIND(";",SUBSTITUTE(D376,"|",REPT(";",LEN(D376)),6))+1,LEN(D376))</f>
        <v/>
      </c>
      <c r="O376" s="11">
        <f>MID(D376,FIND(";",SUBSTITUTE(D376,"|",REPT(";",LEN(D376)),5))+1,FIND(";",SUBSTITUTE(D376,"|",REPT(";",LEN(D376)),6))-FIND(";",SUBSTITUTE(D376,"|",REPT(";",LEN(D376)),5))-1)</f>
        <v/>
      </c>
    </row>
    <row r="377" ht="140" customHeight="1" s="21">
      <c r="A377" s="13" t="inlineStr">
        <is>
          <t>100201</t>
        </is>
      </c>
      <c r="B377" s="13" t="inlineStr">
        <is>
          <t>圆钢</t>
        </is>
      </c>
      <c r="C377" s="13" t="inlineStr">
        <is>
          <t>600623500</t>
        </is>
      </c>
      <c r="D377" s="13" t="inlineStr">
        <is>
          <t>热轧不锈圆钢|圆钢|1Cr18Ni9Ti|Φ38|GB 1220-1992|热轧|GB/T 702-2008</t>
        </is>
      </c>
      <c r="E377" s="13" t="inlineStr">
        <is>
          <t>物资名称 热轧不锈圆钢;物资简称 圆钢;牌号 1Cr18Ni9Ti;直径 Φ38;技术标准号 GB 1220-1992;加工工艺 热轧;热处理工艺 ;特殊要求 ;规格标准号 GB/T 702-2008</t>
        </is>
      </c>
      <c r="F377" s="12" t="inlineStr">
        <is>
          <t>千克</t>
        </is>
      </c>
      <c r="G377" s="11">
        <f>LEFT(D377,FIND("|",D377,1)-1)</f>
        <v/>
      </c>
      <c r="H377" s="11">
        <f>MID(D377,FIND("|",D377,FIND("|",D377,1))+1,FIND("|",D377,FIND("|",D377,1)+1)-FIND("|",D377,FIND("|",D377,1))-1)</f>
        <v/>
      </c>
      <c r="J377" s="11">
        <f>MID(D377,FIND(";",SUBSTITUTE(D377,"|",REPT(";",LEN(D377)),2))+1,FIND(";",SUBSTITUTE(D377,"|",REPT(";",LEN(D377)),3))-FIND(";",SUBSTITUTE(D377,"|",REPT(";",LEN(D377)),2))-1)</f>
        <v/>
      </c>
      <c r="K377" s="11">
        <f>MID(D377,FIND(";",SUBSTITUTE(D377,"|",REPT(";",LEN(D377)),3))+1,FIND(";",SUBSTITUTE(D377,"|",REPT(";",LEN(D377)),4))-FIND(";",SUBSTITUTE(D377,"|",REPT(";",LEN(D377)),3))-1)</f>
        <v/>
      </c>
      <c r="M377" s="11">
        <f>MID(D377,FIND(";",SUBSTITUTE(D377,"|",REPT(";",LEN(D377)),4))+1,FIND(";",SUBSTITUTE(D377,"|",REPT(";",LEN(D377)),5))-FIND(";",SUBSTITUTE(D377,"|",REPT(";",LEN(D377)),4))-1)</f>
        <v/>
      </c>
      <c r="N377" s="11">
        <f>MID(D377,FIND(";",SUBSTITUTE(D377,"|",REPT(";",LEN(D377)),6))+1,LEN(D377))</f>
        <v/>
      </c>
      <c r="O377" s="11">
        <f>MID(D377,FIND(";",SUBSTITUTE(D377,"|",REPT(";",LEN(D377)),5))+1,FIND(";",SUBSTITUTE(D377,"|",REPT(";",LEN(D377)),6))-FIND(";",SUBSTITUTE(D377,"|",REPT(";",LEN(D377)),5))-1)</f>
        <v/>
      </c>
    </row>
    <row r="378" ht="140" customHeight="1" s="21">
      <c r="A378" s="13" t="inlineStr">
        <is>
          <t>100201</t>
        </is>
      </c>
      <c r="B378" s="13" t="inlineStr">
        <is>
          <t>圆钢</t>
        </is>
      </c>
      <c r="C378" s="13" t="inlineStr">
        <is>
          <t>600623400</t>
        </is>
      </c>
      <c r="D378" s="13" t="inlineStr">
        <is>
          <t>热轧不锈圆钢|圆钢|1Cr18Ni9Ti|Φ40|GB 1220-1992|热轧|GB/T 702-2008</t>
        </is>
      </c>
      <c r="E378" s="13" t="inlineStr">
        <is>
          <t>物资名称 热轧不锈圆钢;物资简称 圆钢;牌号 1Cr18Ni9Ti;直径 Φ40;技术标准号 GB 1220-1992;加工工艺 热轧;热处理工艺 ;特殊要求 ;规格标准号 GB/T 702-2008</t>
        </is>
      </c>
      <c r="F378" s="12" t="inlineStr">
        <is>
          <t>千克</t>
        </is>
      </c>
      <c r="G378" s="11">
        <f>LEFT(D378,FIND("|",D378,1)-1)</f>
        <v/>
      </c>
      <c r="H378" s="11">
        <f>MID(D378,FIND("|",D378,FIND("|",D378,1))+1,FIND("|",D378,FIND("|",D378,1)+1)-FIND("|",D378,FIND("|",D378,1))-1)</f>
        <v/>
      </c>
      <c r="J378" s="11">
        <f>MID(D378,FIND(";",SUBSTITUTE(D378,"|",REPT(";",LEN(D378)),2))+1,FIND(";",SUBSTITUTE(D378,"|",REPT(";",LEN(D378)),3))-FIND(";",SUBSTITUTE(D378,"|",REPT(";",LEN(D378)),2))-1)</f>
        <v/>
      </c>
      <c r="K378" s="11">
        <f>MID(D378,FIND(";",SUBSTITUTE(D378,"|",REPT(";",LEN(D378)),3))+1,FIND(";",SUBSTITUTE(D378,"|",REPT(";",LEN(D378)),4))-FIND(";",SUBSTITUTE(D378,"|",REPT(";",LEN(D378)),3))-1)</f>
        <v/>
      </c>
      <c r="M378" s="11">
        <f>MID(D378,FIND(";",SUBSTITUTE(D378,"|",REPT(";",LEN(D378)),4))+1,FIND(";",SUBSTITUTE(D378,"|",REPT(";",LEN(D378)),5))-FIND(";",SUBSTITUTE(D378,"|",REPT(";",LEN(D378)),4))-1)</f>
        <v/>
      </c>
      <c r="N378" s="11">
        <f>MID(D378,FIND(";",SUBSTITUTE(D378,"|",REPT(";",LEN(D378)),6))+1,LEN(D378))</f>
        <v/>
      </c>
      <c r="O378" s="11">
        <f>MID(D378,FIND(";",SUBSTITUTE(D378,"|",REPT(";",LEN(D378)),5))+1,FIND(";",SUBSTITUTE(D378,"|",REPT(";",LEN(D378)),6))-FIND(";",SUBSTITUTE(D378,"|",REPT(";",LEN(D378)),5))-1)</f>
        <v/>
      </c>
    </row>
    <row r="379" ht="140" customHeight="1" s="21">
      <c r="A379" s="13" t="inlineStr">
        <is>
          <t>100201</t>
        </is>
      </c>
      <c r="B379" s="13" t="inlineStr">
        <is>
          <t>圆钢</t>
        </is>
      </c>
      <c r="C379" s="13" t="inlineStr">
        <is>
          <t>600623300</t>
        </is>
      </c>
      <c r="D379" s="13" t="inlineStr">
        <is>
          <t>热轧不锈圆钢|圆钢|1Cr18Ni9Ti|Φ50|GB 1220-1992|热轧|GB/T 702-2008</t>
        </is>
      </c>
      <c r="E379" s="13" t="inlineStr">
        <is>
          <t>物资名称 热轧不锈圆钢;物资简称 圆钢;牌号 1Cr18Ni9Ti;直径 Φ50;技术标准号 GB 1220-1992;加工工艺 热轧;热处理工艺 ;特殊要求 ;规格标准号 GB/T 702-2008</t>
        </is>
      </c>
      <c r="F379" s="12" t="inlineStr">
        <is>
          <t>千克</t>
        </is>
      </c>
      <c r="G379" s="11">
        <f>LEFT(D379,FIND("|",D379,1)-1)</f>
        <v/>
      </c>
      <c r="H379" s="11">
        <f>MID(D379,FIND("|",D379,FIND("|",D379,1))+1,FIND("|",D379,FIND("|",D379,1)+1)-FIND("|",D379,FIND("|",D379,1))-1)</f>
        <v/>
      </c>
      <c r="J379" s="11">
        <f>MID(D379,FIND(";",SUBSTITUTE(D379,"|",REPT(";",LEN(D379)),2))+1,FIND(";",SUBSTITUTE(D379,"|",REPT(";",LEN(D379)),3))-FIND(";",SUBSTITUTE(D379,"|",REPT(";",LEN(D379)),2))-1)</f>
        <v/>
      </c>
      <c r="K379" s="11">
        <f>MID(D379,FIND(";",SUBSTITUTE(D379,"|",REPT(";",LEN(D379)),3))+1,FIND(";",SUBSTITUTE(D379,"|",REPT(";",LEN(D379)),4))-FIND(";",SUBSTITUTE(D379,"|",REPT(";",LEN(D379)),3))-1)</f>
        <v/>
      </c>
      <c r="M379" s="11">
        <f>MID(D379,FIND(";",SUBSTITUTE(D379,"|",REPT(";",LEN(D379)),4))+1,FIND(";",SUBSTITUTE(D379,"|",REPT(";",LEN(D379)),5))-FIND(";",SUBSTITUTE(D379,"|",REPT(";",LEN(D379)),4))-1)</f>
        <v/>
      </c>
      <c r="N379" s="11">
        <f>MID(D379,FIND(";",SUBSTITUTE(D379,"|",REPT(";",LEN(D379)),6))+1,LEN(D379))</f>
        <v/>
      </c>
      <c r="O379" s="11">
        <f>MID(D379,FIND(";",SUBSTITUTE(D379,"|",REPT(";",LEN(D379)),5))+1,FIND(";",SUBSTITUTE(D379,"|",REPT(";",LEN(D379)),6))-FIND(";",SUBSTITUTE(D379,"|",REPT(";",LEN(D379)),5))-1)</f>
        <v/>
      </c>
    </row>
    <row r="380" ht="140" customHeight="1" s="21">
      <c r="A380" s="13" t="inlineStr">
        <is>
          <t>100201</t>
        </is>
      </c>
      <c r="B380" s="13" t="inlineStr">
        <is>
          <t>圆钢</t>
        </is>
      </c>
      <c r="C380" s="13" t="inlineStr">
        <is>
          <t>600623200</t>
        </is>
      </c>
      <c r="D380" s="13" t="inlineStr">
        <is>
          <t>热轧不锈圆钢|圆钢|1Cr18Ni9Ti|Φ55|GB 1220-1992|热轧|GB/T 702-2008</t>
        </is>
      </c>
      <c r="E380" s="13" t="inlineStr">
        <is>
          <t>物资名称 热轧不锈圆钢;物资简称 圆钢;牌号 1Cr18Ni9Ti;直径 Φ55;技术标准号 GB 1220-1992;加工工艺 热轧;热处理工艺 ;特殊要求 ;规格标准号 GB/T 702-2008</t>
        </is>
      </c>
      <c r="F380" s="12" t="inlineStr">
        <is>
          <t>千克</t>
        </is>
      </c>
      <c r="G380" s="11">
        <f>LEFT(D380,FIND("|",D380,1)-1)</f>
        <v/>
      </c>
      <c r="H380" s="11">
        <f>MID(D380,FIND("|",D380,FIND("|",D380,1))+1,FIND("|",D380,FIND("|",D380,1)+1)-FIND("|",D380,FIND("|",D380,1))-1)</f>
        <v/>
      </c>
      <c r="J380" s="11">
        <f>MID(D380,FIND(";",SUBSTITUTE(D380,"|",REPT(";",LEN(D380)),2))+1,FIND(";",SUBSTITUTE(D380,"|",REPT(";",LEN(D380)),3))-FIND(";",SUBSTITUTE(D380,"|",REPT(";",LEN(D380)),2))-1)</f>
        <v/>
      </c>
      <c r="K380" s="11">
        <f>MID(D380,FIND(";",SUBSTITUTE(D380,"|",REPT(";",LEN(D380)),3))+1,FIND(";",SUBSTITUTE(D380,"|",REPT(";",LEN(D380)),4))-FIND(";",SUBSTITUTE(D380,"|",REPT(";",LEN(D380)),3))-1)</f>
        <v/>
      </c>
      <c r="M380" s="11">
        <f>MID(D380,FIND(";",SUBSTITUTE(D380,"|",REPT(";",LEN(D380)),4))+1,FIND(";",SUBSTITUTE(D380,"|",REPT(";",LEN(D380)),5))-FIND(";",SUBSTITUTE(D380,"|",REPT(";",LEN(D380)),4))-1)</f>
        <v/>
      </c>
      <c r="N380" s="11">
        <f>MID(D380,FIND(";",SUBSTITUTE(D380,"|",REPT(";",LEN(D380)),6))+1,LEN(D380))</f>
        <v/>
      </c>
      <c r="O380" s="11">
        <f>MID(D380,FIND(";",SUBSTITUTE(D380,"|",REPT(";",LEN(D380)),5))+1,FIND(";",SUBSTITUTE(D380,"|",REPT(";",LEN(D380)),6))-FIND(";",SUBSTITUTE(D380,"|",REPT(";",LEN(D380)),5))-1)</f>
        <v/>
      </c>
    </row>
    <row r="381" ht="140" customHeight="1" s="21">
      <c r="A381" s="13" t="inlineStr">
        <is>
          <t>100201</t>
        </is>
      </c>
      <c r="B381" s="13" t="inlineStr">
        <is>
          <t>圆钢</t>
        </is>
      </c>
      <c r="C381" s="13" t="inlineStr">
        <is>
          <t>600623100</t>
        </is>
      </c>
      <c r="D381" s="13" t="inlineStr">
        <is>
          <t>热轧不锈圆钢|圆钢|1Cr18Ni9Ti|Φ60|GB 1220-1992|热轧|GB/T 702-2008</t>
        </is>
      </c>
      <c r="E381" s="13" t="inlineStr">
        <is>
          <t>物资名称 热轧不锈圆钢;物资简称 圆钢;牌号 1Cr18Ni9Ti;直径 Φ60;技术标准号 GB 1220-1992;加工工艺 热轧;热处理工艺 ;特殊要求 ;规格标准号 GB/T 702-2008</t>
        </is>
      </c>
      <c r="F381" s="12" t="inlineStr">
        <is>
          <t>千克</t>
        </is>
      </c>
      <c r="G381" s="11">
        <f>LEFT(D381,FIND("|",D381,1)-1)</f>
        <v/>
      </c>
      <c r="H381" s="11">
        <f>MID(D381,FIND("|",D381,FIND("|",D381,1))+1,FIND("|",D381,FIND("|",D381,1)+1)-FIND("|",D381,FIND("|",D381,1))-1)</f>
        <v/>
      </c>
      <c r="J381" s="11">
        <f>MID(D381,FIND(";",SUBSTITUTE(D381,"|",REPT(";",LEN(D381)),2))+1,FIND(";",SUBSTITUTE(D381,"|",REPT(";",LEN(D381)),3))-FIND(";",SUBSTITUTE(D381,"|",REPT(";",LEN(D381)),2))-1)</f>
        <v/>
      </c>
      <c r="K381" s="11">
        <f>MID(D381,FIND(";",SUBSTITUTE(D381,"|",REPT(";",LEN(D381)),3))+1,FIND(";",SUBSTITUTE(D381,"|",REPT(";",LEN(D381)),4))-FIND(";",SUBSTITUTE(D381,"|",REPT(";",LEN(D381)),3))-1)</f>
        <v/>
      </c>
      <c r="M381" s="11">
        <f>MID(D381,FIND(";",SUBSTITUTE(D381,"|",REPT(";",LEN(D381)),4))+1,FIND(";",SUBSTITUTE(D381,"|",REPT(";",LEN(D381)),5))-FIND(";",SUBSTITUTE(D381,"|",REPT(";",LEN(D381)),4))-1)</f>
        <v/>
      </c>
      <c r="N381" s="11">
        <f>MID(D381,FIND(";",SUBSTITUTE(D381,"|",REPT(";",LEN(D381)),6))+1,LEN(D381))</f>
        <v/>
      </c>
      <c r="O381" s="11">
        <f>MID(D381,FIND(";",SUBSTITUTE(D381,"|",REPT(";",LEN(D381)),5))+1,FIND(";",SUBSTITUTE(D381,"|",REPT(";",LEN(D381)),6))-FIND(";",SUBSTITUTE(D381,"|",REPT(";",LEN(D381)),5))-1)</f>
        <v/>
      </c>
    </row>
    <row r="382" ht="140" customHeight="1" s="21">
      <c r="A382" s="13" t="inlineStr">
        <is>
          <t>100201</t>
        </is>
      </c>
      <c r="B382" s="13" t="inlineStr">
        <is>
          <t>圆钢</t>
        </is>
      </c>
      <c r="C382" s="13" t="inlineStr">
        <is>
          <t>600623000</t>
        </is>
      </c>
      <c r="D382" s="13" t="inlineStr">
        <is>
          <t>热轧不锈圆钢|圆钢|1Cr18Ni9Ti|Φ70|GB 1220-1992|热轧|GB/T 702-2008</t>
        </is>
      </c>
      <c r="E382" s="13" t="inlineStr">
        <is>
          <t>物资名称 热轧不锈圆钢;物资简称 圆钢;牌号 1Cr18Ni9Ti;直径 Φ70;技术标准号 GB 1220-1992;加工工艺 热轧;热处理工艺 ;特殊要求 ;规格标准号 GB/T 702-2008</t>
        </is>
      </c>
      <c r="F382" s="12" t="inlineStr">
        <is>
          <t>千克</t>
        </is>
      </c>
      <c r="G382" s="11">
        <f>LEFT(D382,FIND("|",D382,1)-1)</f>
        <v/>
      </c>
      <c r="H382" s="11">
        <f>MID(D382,FIND("|",D382,FIND("|",D382,1))+1,FIND("|",D382,FIND("|",D382,1)+1)-FIND("|",D382,FIND("|",D382,1))-1)</f>
        <v/>
      </c>
      <c r="J382" s="11">
        <f>MID(D382,FIND(";",SUBSTITUTE(D382,"|",REPT(";",LEN(D382)),2))+1,FIND(";",SUBSTITUTE(D382,"|",REPT(";",LEN(D382)),3))-FIND(";",SUBSTITUTE(D382,"|",REPT(";",LEN(D382)),2))-1)</f>
        <v/>
      </c>
      <c r="K382" s="11">
        <f>MID(D382,FIND(";",SUBSTITUTE(D382,"|",REPT(";",LEN(D382)),3))+1,FIND(";",SUBSTITUTE(D382,"|",REPT(";",LEN(D382)),4))-FIND(";",SUBSTITUTE(D382,"|",REPT(";",LEN(D382)),3))-1)</f>
        <v/>
      </c>
      <c r="M382" s="11">
        <f>MID(D382,FIND(";",SUBSTITUTE(D382,"|",REPT(";",LEN(D382)),4))+1,FIND(";",SUBSTITUTE(D382,"|",REPT(";",LEN(D382)),5))-FIND(";",SUBSTITUTE(D382,"|",REPT(";",LEN(D382)),4))-1)</f>
        <v/>
      </c>
      <c r="N382" s="11">
        <f>MID(D382,FIND(";",SUBSTITUTE(D382,"|",REPT(";",LEN(D382)),6))+1,LEN(D382))</f>
        <v/>
      </c>
      <c r="O382" s="11">
        <f>MID(D382,FIND(";",SUBSTITUTE(D382,"|",REPT(";",LEN(D382)),5))+1,FIND(";",SUBSTITUTE(D382,"|",REPT(";",LEN(D382)),6))-FIND(";",SUBSTITUTE(D382,"|",REPT(";",LEN(D382)),5))-1)</f>
        <v/>
      </c>
    </row>
    <row r="383" ht="140" customHeight="1" s="21">
      <c r="A383" s="13" t="inlineStr">
        <is>
          <t>100201</t>
        </is>
      </c>
      <c r="B383" s="13" t="inlineStr">
        <is>
          <t>圆钢</t>
        </is>
      </c>
      <c r="C383" s="13" t="inlineStr">
        <is>
          <t>600622900</t>
        </is>
      </c>
      <c r="D383" s="13" t="inlineStr">
        <is>
          <t>热轧不锈圆钢|圆钢|1Cr18Ni9Ti|Φ75|GB 1220-1992|热轧|GB/T 702-2008</t>
        </is>
      </c>
      <c r="E383" s="13" t="inlineStr">
        <is>
          <t>物资名称 热轧不锈圆钢;物资简称 圆钢;牌号 1Cr18Ni9Ti;直径 Φ75;技术标准号 GB 1220-1992;加工工艺 热轧;热处理工艺 ;特殊要求 ;规格标准号 GB/T 702-2008</t>
        </is>
      </c>
      <c r="F383" s="12" t="inlineStr">
        <is>
          <t>千克</t>
        </is>
      </c>
      <c r="G383" s="11">
        <f>LEFT(D383,FIND("|",D383,1)-1)</f>
        <v/>
      </c>
      <c r="H383" s="11">
        <f>MID(D383,FIND("|",D383,FIND("|",D383,1))+1,FIND("|",D383,FIND("|",D383,1)+1)-FIND("|",D383,FIND("|",D383,1))-1)</f>
        <v/>
      </c>
      <c r="J383" s="11">
        <f>MID(D383,FIND(";",SUBSTITUTE(D383,"|",REPT(";",LEN(D383)),2))+1,FIND(";",SUBSTITUTE(D383,"|",REPT(";",LEN(D383)),3))-FIND(";",SUBSTITUTE(D383,"|",REPT(";",LEN(D383)),2))-1)</f>
        <v/>
      </c>
      <c r="K383" s="11">
        <f>MID(D383,FIND(";",SUBSTITUTE(D383,"|",REPT(";",LEN(D383)),3))+1,FIND(";",SUBSTITUTE(D383,"|",REPT(";",LEN(D383)),4))-FIND(";",SUBSTITUTE(D383,"|",REPT(";",LEN(D383)),3))-1)</f>
        <v/>
      </c>
      <c r="M383" s="11">
        <f>MID(D383,FIND(";",SUBSTITUTE(D383,"|",REPT(";",LEN(D383)),4))+1,FIND(";",SUBSTITUTE(D383,"|",REPT(";",LEN(D383)),5))-FIND(";",SUBSTITUTE(D383,"|",REPT(";",LEN(D383)),4))-1)</f>
        <v/>
      </c>
      <c r="N383" s="11">
        <f>MID(D383,FIND(";",SUBSTITUTE(D383,"|",REPT(";",LEN(D383)),6))+1,LEN(D383))</f>
        <v/>
      </c>
      <c r="O383" s="11">
        <f>MID(D383,FIND(";",SUBSTITUTE(D383,"|",REPT(";",LEN(D383)),5))+1,FIND(";",SUBSTITUTE(D383,"|",REPT(";",LEN(D383)),6))-FIND(";",SUBSTITUTE(D383,"|",REPT(";",LEN(D383)),5))-1)</f>
        <v/>
      </c>
    </row>
    <row r="384" ht="140" customHeight="1" s="21">
      <c r="A384" s="13" t="inlineStr">
        <is>
          <t>100201</t>
        </is>
      </c>
      <c r="B384" s="13" t="inlineStr">
        <is>
          <t>圆钢</t>
        </is>
      </c>
      <c r="C384" s="13" t="inlineStr">
        <is>
          <t>600622800</t>
        </is>
      </c>
      <c r="D384" s="13" t="inlineStr">
        <is>
          <t>热轧不锈圆钢|圆钢|1Cr18Ni9Ti|Φ80|GB 1220-1992|热轧|GB/T 702-2008</t>
        </is>
      </c>
      <c r="E384" s="13" t="inlineStr">
        <is>
          <t>物资名称 热轧不锈圆钢;物资简称 圆钢;牌号 1Cr18Ni9Ti;直径 Φ80;技术标准号 GB 1220-1992;加工工艺 热轧;热处理工艺 ;特殊要求 ;规格标准号 GB/T 702-2008</t>
        </is>
      </c>
      <c r="F384" s="12" t="inlineStr">
        <is>
          <t>千克</t>
        </is>
      </c>
      <c r="G384" s="11">
        <f>LEFT(D384,FIND("|",D384,1)-1)</f>
        <v/>
      </c>
      <c r="H384" s="11">
        <f>MID(D384,FIND("|",D384,FIND("|",D384,1))+1,FIND("|",D384,FIND("|",D384,1)+1)-FIND("|",D384,FIND("|",D384,1))-1)</f>
        <v/>
      </c>
      <c r="J384" s="11">
        <f>MID(D384,FIND(";",SUBSTITUTE(D384,"|",REPT(";",LEN(D384)),2))+1,FIND(";",SUBSTITUTE(D384,"|",REPT(";",LEN(D384)),3))-FIND(";",SUBSTITUTE(D384,"|",REPT(";",LEN(D384)),2))-1)</f>
        <v/>
      </c>
      <c r="K384" s="11">
        <f>MID(D384,FIND(";",SUBSTITUTE(D384,"|",REPT(";",LEN(D384)),3))+1,FIND(";",SUBSTITUTE(D384,"|",REPT(";",LEN(D384)),4))-FIND(";",SUBSTITUTE(D384,"|",REPT(";",LEN(D384)),3))-1)</f>
        <v/>
      </c>
      <c r="M384" s="11">
        <f>MID(D384,FIND(";",SUBSTITUTE(D384,"|",REPT(";",LEN(D384)),4))+1,FIND(";",SUBSTITUTE(D384,"|",REPT(";",LEN(D384)),5))-FIND(";",SUBSTITUTE(D384,"|",REPT(";",LEN(D384)),4))-1)</f>
        <v/>
      </c>
      <c r="N384" s="11">
        <f>MID(D384,FIND(";",SUBSTITUTE(D384,"|",REPT(";",LEN(D384)),6))+1,LEN(D384))</f>
        <v/>
      </c>
      <c r="O384" s="11">
        <f>MID(D384,FIND(";",SUBSTITUTE(D384,"|",REPT(";",LEN(D384)),5))+1,FIND(";",SUBSTITUTE(D384,"|",REPT(";",LEN(D384)),6))-FIND(";",SUBSTITUTE(D384,"|",REPT(";",LEN(D384)),5))-1)</f>
        <v/>
      </c>
    </row>
    <row r="385" ht="140" customHeight="1" s="21">
      <c r="A385" s="13" t="inlineStr">
        <is>
          <t>100201</t>
        </is>
      </c>
      <c r="B385" s="13" t="inlineStr">
        <is>
          <t>圆钢</t>
        </is>
      </c>
      <c r="C385" s="13" t="inlineStr">
        <is>
          <t>600622700</t>
        </is>
      </c>
      <c r="D385" s="13" t="inlineStr">
        <is>
          <t>热轧不锈圆钢|圆钢|1Cr18Ni9Ti|Φ85|GB 1220-1992|热轧|GB/T 702-2008</t>
        </is>
      </c>
      <c r="E385" s="13" t="inlineStr">
        <is>
          <t>物资名称 热轧不锈圆钢;物资简称 圆钢;牌号 1Cr18Ni9Ti;直径 Φ85;技术标准号 GB 1220-1992;加工工艺 热轧;热处理工艺 ;特殊要求 ;规格标准号 GB/T 702-2008</t>
        </is>
      </c>
      <c r="F385" s="12" t="inlineStr">
        <is>
          <t>千克</t>
        </is>
      </c>
      <c r="G385" s="11">
        <f>LEFT(D385,FIND("|",D385,1)-1)</f>
        <v/>
      </c>
      <c r="H385" s="11">
        <f>MID(D385,FIND("|",D385,FIND("|",D385,1))+1,FIND("|",D385,FIND("|",D385,1)+1)-FIND("|",D385,FIND("|",D385,1))-1)</f>
        <v/>
      </c>
      <c r="J385" s="11">
        <f>MID(D385,FIND(";",SUBSTITUTE(D385,"|",REPT(";",LEN(D385)),2))+1,FIND(";",SUBSTITUTE(D385,"|",REPT(";",LEN(D385)),3))-FIND(";",SUBSTITUTE(D385,"|",REPT(";",LEN(D385)),2))-1)</f>
        <v/>
      </c>
      <c r="K385" s="11">
        <f>MID(D385,FIND(";",SUBSTITUTE(D385,"|",REPT(";",LEN(D385)),3))+1,FIND(";",SUBSTITUTE(D385,"|",REPT(";",LEN(D385)),4))-FIND(";",SUBSTITUTE(D385,"|",REPT(";",LEN(D385)),3))-1)</f>
        <v/>
      </c>
      <c r="M385" s="11">
        <f>MID(D385,FIND(";",SUBSTITUTE(D385,"|",REPT(";",LEN(D385)),4))+1,FIND(";",SUBSTITUTE(D385,"|",REPT(";",LEN(D385)),5))-FIND(";",SUBSTITUTE(D385,"|",REPT(";",LEN(D385)),4))-1)</f>
        <v/>
      </c>
      <c r="N385" s="11">
        <f>MID(D385,FIND(";",SUBSTITUTE(D385,"|",REPT(";",LEN(D385)),6))+1,LEN(D385))</f>
        <v/>
      </c>
      <c r="O385" s="11">
        <f>MID(D385,FIND(";",SUBSTITUTE(D385,"|",REPT(";",LEN(D385)),5))+1,FIND(";",SUBSTITUTE(D385,"|",REPT(";",LEN(D385)),6))-FIND(";",SUBSTITUTE(D385,"|",REPT(";",LEN(D385)),5))-1)</f>
        <v/>
      </c>
    </row>
    <row r="386" ht="140" customHeight="1" s="21">
      <c r="A386" s="13" t="inlineStr">
        <is>
          <t>100201</t>
        </is>
      </c>
      <c r="B386" s="13" t="inlineStr">
        <is>
          <t>圆钢</t>
        </is>
      </c>
      <c r="C386" s="13" t="inlineStr">
        <is>
          <t>600622600</t>
        </is>
      </c>
      <c r="D386" s="13" t="inlineStr">
        <is>
          <t>热轧不锈圆钢|圆钢|1Cr18Ni9Ti|Φ90|GB 1220-1992|热轧|GB/T 702-2008</t>
        </is>
      </c>
      <c r="E386" s="13" t="inlineStr">
        <is>
          <t>物资名称 热轧不锈圆钢;物资简称 圆钢;牌号 1Cr18Ni9Ti;直径 Φ90;技术标准号 GB 1220-1992;加工工艺 热轧;热处理工艺 ;特殊要求 ;规格标准号 GB/T 702-2008</t>
        </is>
      </c>
      <c r="F386" s="12" t="inlineStr">
        <is>
          <t>千克</t>
        </is>
      </c>
      <c r="G386" s="11">
        <f>LEFT(D386,FIND("|",D386,1)-1)</f>
        <v/>
      </c>
      <c r="H386" s="11">
        <f>MID(D386,FIND("|",D386,FIND("|",D386,1))+1,FIND("|",D386,FIND("|",D386,1)+1)-FIND("|",D386,FIND("|",D386,1))-1)</f>
        <v/>
      </c>
      <c r="J386" s="11">
        <f>MID(D386,FIND(";",SUBSTITUTE(D386,"|",REPT(";",LEN(D386)),2))+1,FIND(";",SUBSTITUTE(D386,"|",REPT(";",LEN(D386)),3))-FIND(";",SUBSTITUTE(D386,"|",REPT(";",LEN(D386)),2))-1)</f>
        <v/>
      </c>
      <c r="K386" s="11">
        <f>MID(D386,FIND(";",SUBSTITUTE(D386,"|",REPT(";",LEN(D386)),3))+1,FIND(";",SUBSTITUTE(D386,"|",REPT(";",LEN(D386)),4))-FIND(";",SUBSTITUTE(D386,"|",REPT(";",LEN(D386)),3))-1)</f>
        <v/>
      </c>
      <c r="M386" s="11">
        <f>MID(D386,FIND(";",SUBSTITUTE(D386,"|",REPT(";",LEN(D386)),4))+1,FIND(";",SUBSTITUTE(D386,"|",REPT(";",LEN(D386)),5))-FIND(";",SUBSTITUTE(D386,"|",REPT(";",LEN(D386)),4))-1)</f>
        <v/>
      </c>
      <c r="N386" s="11">
        <f>MID(D386,FIND(";",SUBSTITUTE(D386,"|",REPT(";",LEN(D386)),6))+1,LEN(D386))</f>
        <v/>
      </c>
      <c r="O386" s="11">
        <f>MID(D386,FIND(";",SUBSTITUTE(D386,"|",REPT(";",LEN(D386)),5))+1,FIND(";",SUBSTITUTE(D386,"|",REPT(";",LEN(D386)),6))-FIND(";",SUBSTITUTE(D386,"|",REPT(";",LEN(D386)),5))-1)</f>
        <v/>
      </c>
    </row>
    <row r="387" ht="140" customHeight="1" s="21">
      <c r="A387" s="13" t="inlineStr">
        <is>
          <t>100201</t>
        </is>
      </c>
      <c r="B387" s="13" t="inlineStr">
        <is>
          <t>圆钢</t>
        </is>
      </c>
      <c r="C387" s="13" t="inlineStr">
        <is>
          <t>600622500</t>
        </is>
      </c>
      <c r="D387" s="13" t="inlineStr">
        <is>
          <t>热轧不锈圆钢|圆钢|1Cr18Ni9Ti|Φ100|GB 1220-1992|热轧|GB/T 702-2008</t>
        </is>
      </c>
      <c r="E387" s="13" t="inlineStr">
        <is>
          <t>物资名称 热轧不锈圆钢;物资简称 圆钢;牌号 1Cr18Ni9Ti;直径 Φ100;技术标准号 GB 1220-1992;加工工艺 热轧;热处理工艺 ;特殊要求 ;规格标准号 GB/T 702-2008</t>
        </is>
      </c>
      <c r="F387" s="12" t="inlineStr">
        <is>
          <t>千克</t>
        </is>
      </c>
      <c r="G387" s="11">
        <f>LEFT(D387,FIND("|",D387,1)-1)</f>
        <v/>
      </c>
      <c r="H387" s="11">
        <f>MID(D387,FIND("|",D387,FIND("|",D387,1))+1,FIND("|",D387,FIND("|",D387,1)+1)-FIND("|",D387,FIND("|",D387,1))-1)</f>
        <v/>
      </c>
      <c r="J387" s="11">
        <f>MID(D387,FIND(";",SUBSTITUTE(D387,"|",REPT(";",LEN(D387)),2))+1,FIND(";",SUBSTITUTE(D387,"|",REPT(";",LEN(D387)),3))-FIND(";",SUBSTITUTE(D387,"|",REPT(";",LEN(D387)),2))-1)</f>
        <v/>
      </c>
      <c r="K387" s="11">
        <f>MID(D387,FIND(";",SUBSTITUTE(D387,"|",REPT(";",LEN(D387)),3))+1,FIND(";",SUBSTITUTE(D387,"|",REPT(";",LEN(D387)),4))-FIND(";",SUBSTITUTE(D387,"|",REPT(";",LEN(D387)),3))-1)</f>
        <v/>
      </c>
      <c r="M387" s="11">
        <f>MID(D387,FIND(";",SUBSTITUTE(D387,"|",REPT(";",LEN(D387)),4))+1,FIND(";",SUBSTITUTE(D387,"|",REPT(";",LEN(D387)),5))-FIND(";",SUBSTITUTE(D387,"|",REPT(";",LEN(D387)),4))-1)</f>
        <v/>
      </c>
      <c r="N387" s="11">
        <f>MID(D387,FIND(";",SUBSTITUTE(D387,"|",REPT(";",LEN(D387)),6))+1,LEN(D387))</f>
        <v/>
      </c>
      <c r="O387" s="11">
        <f>MID(D387,FIND(";",SUBSTITUTE(D387,"|",REPT(";",LEN(D387)),5))+1,FIND(";",SUBSTITUTE(D387,"|",REPT(";",LEN(D387)),6))-FIND(";",SUBSTITUTE(D387,"|",REPT(";",LEN(D387)),5))-1)</f>
        <v/>
      </c>
    </row>
    <row r="388" ht="140" customHeight="1" s="21">
      <c r="A388" s="13" t="inlineStr">
        <is>
          <t>100201</t>
        </is>
      </c>
      <c r="B388" s="13" t="inlineStr">
        <is>
          <t>圆钢</t>
        </is>
      </c>
      <c r="C388" s="13" t="inlineStr">
        <is>
          <t>600622400</t>
        </is>
      </c>
      <c r="D388" s="13" t="inlineStr">
        <is>
          <t>热轧不锈圆钢|圆钢|1Cr18Ni9Ti|Φ130|GB 1220-1992|热轧|GB/T 702-2008</t>
        </is>
      </c>
      <c r="E388" s="13" t="inlineStr">
        <is>
          <t>物资名称 热轧不锈圆钢;物资简称 圆钢;牌号 1Cr18Ni9Ti;直径 Φ130;技术标准号 GB 1220-1992;加工工艺 热轧;热处理工艺 ;特殊要求 ;规格标准号 GB/T 702-2008</t>
        </is>
      </c>
      <c r="F388" s="12" t="inlineStr">
        <is>
          <t>千克</t>
        </is>
      </c>
      <c r="G388" s="11">
        <f>LEFT(D388,FIND("|",D388,1)-1)</f>
        <v/>
      </c>
      <c r="H388" s="11">
        <f>MID(D388,FIND("|",D388,FIND("|",D388,1))+1,FIND("|",D388,FIND("|",D388,1)+1)-FIND("|",D388,FIND("|",D388,1))-1)</f>
        <v/>
      </c>
      <c r="J388" s="11">
        <f>MID(D388,FIND(";",SUBSTITUTE(D388,"|",REPT(";",LEN(D388)),2))+1,FIND(";",SUBSTITUTE(D388,"|",REPT(";",LEN(D388)),3))-FIND(";",SUBSTITUTE(D388,"|",REPT(";",LEN(D388)),2))-1)</f>
        <v/>
      </c>
      <c r="K388" s="11">
        <f>MID(D388,FIND(";",SUBSTITUTE(D388,"|",REPT(";",LEN(D388)),3))+1,FIND(";",SUBSTITUTE(D388,"|",REPT(";",LEN(D388)),4))-FIND(";",SUBSTITUTE(D388,"|",REPT(";",LEN(D388)),3))-1)</f>
        <v/>
      </c>
      <c r="M388" s="11">
        <f>MID(D388,FIND(";",SUBSTITUTE(D388,"|",REPT(";",LEN(D388)),4))+1,FIND(";",SUBSTITUTE(D388,"|",REPT(";",LEN(D388)),5))-FIND(";",SUBSTITUTE(D388,"|",REPT(";",LEN(D388)),4))-1)</f>
        <v/>
      </c>
      <c r="N388" s="11">
        <f>MID(D388,FIND(";",SUBSTITUTE(D388,"|",REPT(";",LEN(D388)),6))+1,LEN(D388))</f>
        <v/>
      </c>
      <c r="O388" s="11">
        <f>MID(D388,FIND(";",SUBSTITUTE(D388,"|",REPT(";",LEN(D388)),5))+1,FIND(";",SUBSTITUTE(D388,"|",REPT(";",LEN(D388)),6))-FIND(";",SUBSTITUTE(D388,"|",REPT(";",LEN(D388)),5))-1)</f>
        <v/>
      </c>
    </row>
    <row r="389" ht="140" customHeight="1" s="21">
      <c r="A389" s="13" t="inlineStr">
        <is>
          <t>100201</t>
        </is>
      </c>
      <c r="B389" s="13" t="inlineStr">
        <is>
          <t>圆钢</t>
        </is>
      </c>
      <c r="C389" s="13" t="inlineStr">
        <is>
          <t>600622300</t>
        </is>
      </c>
      <c r="D389" s="13" t="inlineStr">
        <is>
          <t>热轧不锈圆钢|圆钢|1Cr18Ni9Ti|Φ170|GB 1220-1992|热轧|GB/T 702-2008</t>
        </is>
      </c>
      <c r="E389" s="13" t="inlineStr">
        <is>
          <t>物资名称 热轧不锈圆钢;物资简称 圆钢;牌号 1Cr18Ni9Ti;直径 Φ170;技术标准号 GB 1220-1992;加工工艺 热轧;热处理工艺 ;特殊要求 ;规格标准号 GB/T 702-2008</t>
        </is>
      </c>
      <c r="F389" s="12" t="inlineStr">
        <is>
          <t>千克</t>
        </is>
      </c>
      <c r="G389" s="11">
        <f>LEFT(D389,FIND("|",D389,1)-1)</f>
        <v/>
      </c>
      <c r="H389" s="11">
        <f>MID(D389,FIND("|",D389,FIND("|",D389,1))+1,FIND("|",D389,FIND("|",D389,1)+1)-FIND("|",D389,FIND("|",D389,1))-1)</f>
        <v/>
      </c>
      <c r="J389" s="11">
        <f>MID(D389,FIND(";",SUBSTITUTE(D389,"|",REPT(";",LEN(D389)),2))+1,FIND(";",SUBSTITUTE(D389,"|",REPT(";",LEN(D389)),3))-FIND(";",SUBSTITUTE(D389,"|",REPT(";",LEN(D389)),2))-1)</f>
        <v/>
      </c>
      <c r="K389" s="11">
        <f>MID(D389,FIND(";",SUBSTITUTE(D389,"|",REPT(";",LEN(D389)),3))+1,FIND(";",SUBSTITUTE(D389,"|",REPT(";",LEN(D389)),4))-FIND(";",SUBSTITUTE(D389,"|",REPT(";",LEN(D389)),3))-1)</f>
        <v/>
      </c>
      <c r="M389" s="11">
        <f>MID(D389,FIND(";",SUBSTITUTE(D389,"|",REPT(";",LEN(D389)),4))+1,FIND(";",SUBSTITUTE(D389,"|",REPT(";",LEN(D389)),5))-FIND(";",SUBSTITUTE(D389,"|",REPT(";",LEN(D389)),4))-1)</f>
        <v/>
      </c>
      <c r="N389" s="11">
        <f>MID(D389,FIND(";",SUBSTITUTE(D389,"|",REPT(";",LEN(D389)),6))+1,LEN(D389))</f>
        <v/>
      </c>
      <c r="O389" s="11">
        <f>MID(D389,FIND(";",SUBSTITUTE(D389,"|",REPT(";",LEN(D389)),5))+1,FIND(";",SUBSTITUTE(D389,"|",REPT(";",LEN(D389)),6))-FIND(";",SUBSTITUTE(D389,"|",REPT(";",LEN(D389)),5))-1)</f>
        <v/>
      </c>
    </row>
    <row r="390" ht="140" customHeight="1" s="21">
      <c r="A390" s="13" t="inlineStr">
        <is>
          <t>100201</t>
        </is>
      </c>
      <c r="B390" s="13" t="inlineStr">
        <is>
          <t>圆钢</t>
        </is>
      </c>
      <c r="C390" s="13" t="inlineStr">
        <is>
          <t>600622200</t>
        </is>
      </c>
      <c r="D390" s="13" t="inlineStr">
        <is>
          <t>锻制不锈圆钢|圆钢|1Cr18Ni9Ti|Φ220|GB 1220-1992|锻造|GB/T 908-2008</t>
        </is>
      </c>
      <c r="E390" s="13" t="inlineStr">
        <is>
          <t>物资名称 锻制不锈圆钢;物资简称 圆钢;牌号 1Cr18Ni9Ti;直径 Φ220;技术标准号 GB 1220-1992;加工工艺 锻造;热处理工艺 ;特殊要求 ;规格标准号 GB/T 908-2008</t>
        </is>
      </c>
      <c r="F390" s="12" t="inlineStr">
        <is>
          <t>千克</t>
        </is>
      </c>
      <c r="G390" s="11">
        <f>LEFT(D390,FIND("|",D390,1)-1)</f>
        <v/>
      </c>
      <c r="H390" s="11">
        <f>MID(D390,FIND("|",D390,FIND("|",D390,1))+1,FIND("|",D390,FIND("|",D390,1)+1)-FIND("|",D390,FIND("|",D390,1))-1)</f>
        <v/>
      </c>
      <c r="J390" s="11">
        <f>MID(D390,FIND(";",SUBSTITUTE(D390,"|",REPT(";",LEN(D390)),2))+1,FIND(";",SUBSTITUTE(D390,"|",REPT(";",LEN(D390)),3))-FIND(";",SUBSTITUTE(D390,"|",REPT(";",LEN(D390)),2))-1)</f>
        <v/>
      </c>
      <c r="K390" s="11">
        <f>MID(D390,FIND(";",SUBSTITUTE(D390,"|",REPT(";",LEN(D390)),3))+1,FIND(";",SUBSTITUTE(D390,"|",REPT(";",LEN(D390)),4))-FIND(";",SUBSTITUTE(D390,"|",REPT(";",LEN(D390)),3))-1)</f>
        <v/>
      </c>
      <c r="M390" s="11">
        <f>MID(D390,FIND(";",SUBSTITUTE(D390,"|",REPT(";",LEN(D390)),4))+1,FIND(";",SUBSTITUTE(D390,"|",REPT(";",LEN(D390)),5))-FIND(";",SUBSTITUTE(D390,"|",REPT(";",LEN(D390)),4))-1)</f>
        <v/>
      </c>
      <c r="N390" s="11">
        <f>MID(D390,FIND(";",SUBSTITUTE(D390,"|",REPT(";",LEN(D390)),6))+1,LEN(D390))</f>
        <v/>
      </c>
      <c r="O390" s="11">
        <f>MID(D390,FIND(";",SUBSTITUTE(D390,"|",REPT(";",LEN(D390)),5))+1,FIND(";",SUBSTITUTE(D390,"|",REPT(";",LEN(D390)),6))-FIND(";",SUBSTITUTE(D390,"|",REPT(";",LEN(D390)),5))-1)</f>
        <v/>
      </c>
    </row>
    <row r="391" ht="112" customHeight="1" s="21">
      <c r="A391" s="13" t="inlineStr">
        <is>
          <t>100201</t>
        </is>
      </c>
      <c r="B391" s="13" t="inlineStr">
        <is>
          <t>圆钢</t>
        </is>
      </c>
      <c r="C391" s="13" t="inlineStr">
        <is>
          <t>600622100</t>
        </is>
      </c>
      <c r="D391" s="13" t="inlineStr">
        <is>
          <t>不锈钢棒|钢棒|14Cr17Ni2|GB/T 1220-2007</t>
        </is>
      </c>
      <c r="E391" s="13" t="inlineStr">
        <is>
          <t xml:space="preserve">物资名称 不锈钢棒;物资简称 钢棒;牌号 14Cr17Ni2;直径 Φ;技术标准号 GB/T 1220-2007;加工工艺 ;热处理工艺 ;特殊要求 ;规格标准号 </t>
        </is>
      </c>
      <c r="F391" s="12" t="inlineStr">
        <is>
          <t>千克</t>
        </is>
      </c>
      <c r="G391" s="11">
        <f>LEFT(D391,FIND("|",D391,1)-1)</f>
        <v/>
      </c>
      <c r="H391" s="11">
        <f>MID(D391,FIND("|",D391,FIND("|",D391,1))+1,FIND("|",D391,FIND("|",D391,1)+1)-FIND("|",D391,FIND("|",D391,1))-1)</f>
        <v/>
      </c>
      <c r="J391" s="11">
        <f>MID(D391,FIND(";",SUBSTITUTE(D391,"|",REPT(";",LEN(D391)),2))+1,FIND(";",SUBSTITUTE(D391,"|",REPT(";",LEN(D391)),3))-FIND(";",SUBSTITUTE(D391,"|",REPT(";",LEN(D391)),2))-1)</f>
        <v/>
      </c>
      <c r="M391" s="11">
        <f>MID(D391,FIND(";",SUBSTITUTE(D391,"|",REPT(";",LEN(D391)),3))+1,LEN(D391))</f>
        <v/>
      </c>
    </row>
    <row r="392" ht="140" customHeight="1" s="21">
      <c r="A392" s="13" t="inlineStr">
        <is>
          <t>100201</t>
        </is>
      </c>
      <c r="B392" s="13" t="inlineStr">
        <is>
          <t>圆钢</t>
        </is>
      </c>
      <c r="C392" s="13" t="inlineStr">
        <is>
          <t>600622000</t>
        </is>
      </c>
      <c r="D392" s="13" t="inlineStr">
        <is>
          <t>热轧不锈圆钢|圆钢|14Cr17Ni2|GB/T 1220-2007|热轧|GB/T 702-2008</t>
        </is>
      </c>
      <c r="E392" s="13" t="inlineStr">
        <is>
          <t>物资名称 热轧不锈圆钢;物资简称 圆钢;牌号 14Cr17Ni2;直径 Φ;技术标准号 GB/T 1220-2007;加工工艺 热轧;热处理工艺 ;特殊要求 ;规格标准号 GB/T 702-2008</t>
        </is>
      </c>
      <c r="F392" s="12" t="inlineStr">
        <is>
          <t>千克</t>
        </is>
      </c>
      <c r="G392" s="11">
        <f>LEFT(D392,FIND("|",D392,1)-1)</f>
        <v/>
      </c>
      <c r="H392" s="11">
        <f>MID(D392,FIND("|",D392,FIND("|",D392,1))+1,FIND("|",D392,FIND("|",D392,1)+1)-FIND("|",D392,FIND("|",D392,1))-1)</f>
        <v/>
      </c>
      <c r="J392" s="11">
        <f>MID(D392,FIND(";",SUBSTITUTE(D392,"|",REPT(";",LEN(D392)),2))+1,FIND(";",SUBSTITUTE(D392,"|",REPT(";",LEN(D392)),3))-FIND(";",SUBSTITUTE(D392,"|",REPT(";",LEN(D392)),2))-1)</f>
        <v/>
      </c>
      <c r="M392" s="11">
        <f>MID(D392,FIND(";",SUBSTITUTE(D392,"|",REPT(";",LEN(D392)),3))+1,FIND(";",SUBSTITUTE(D392,"|",REPT(";",LEN(D392)),4))-FIND(";",SUBSTITUTE(D392,"|",REPT(";",LEN(D392)),3))-1)</f>
        <v/>
      </c>
      <c r="N392" s="11">
        <f>MID(D392,FIND(";",SUBSTITUTE(D392,"|",REPT(";",LEN(D392)),5))+1,LEN(D392))</f>
        <v/>
      </c>
      <c r="O392" s="11">
        <f>MID(D392,FIND(";",SUBSTITUTE(D392,"|",REPT(";",LEN(D392)),4))+1,FIND(";",SUBSTITUTE(D392,"|",REPT(";",LEN(D392)),5))-FIND(";",SUBSTITUTE(D392,"|",REPT(";",LEN(D392)),4))-1)</f>
        <v/>
      </c>
    </row>
    <row r="393" ht="140" customHeight="1" s="21">
      <c r="A393" s="13" t="inlineStr">
        <is>
          <t>100201</t>
        </is>
      </c>
      <c r="B393" s="13" t="inlineStr">
        <is>
          <t>圆钢</t>
        </is>
      </c>
      <c r="C393" s="13" t="inlineStr">
        <is>
          <t>600621900</t>
        </is>
      </c>
      <c r="D393" s="13" t="inlineStr">
        <is>
          <t>热轧不锈圆钢|圆钢|14Cr17Ni2|Φ8|GB/T 1220-2007|热轧|GB/T 702-2008</t>
        </is>
      </c>
      <c r="E393" s="13" t="inlineStr">
        <is>
          <t>物资名称 热轧不锈圆钢;物资简称 圆钢;牌号 14Cr17Ni2;直径 Φ8;技术标准号 GB/T 1220-2007;加工工艺 热轧;热处理工艺 ;特殊要求 ;规格标准号 GB/T 702-2008</t>
        </is>
      </c>
      <c r="F393" s="12" t="inlineStr">
        <is>
          <t>千克</t>
        </is>
      </c>
      <c r="G393" s="11">
        <f>LEFT(D393,FIND("|",D393,1)-1)</f>
        <v/>
      </c>
      <c r="H393" s="11">
        <f>MID(D393,FIND("|",D393,FIND("|",D393,1))+1,FIND("|",D393,FIND("|",D393,1)+1)-FIND("|",D393,FIND("|",D393,1))-1)</f>
        <v/>
      </c>
      <c r="J393" s="11">
        <f>MID(D393,FIND(";",SUBSTITUTE(D393,"|",REPT(";",LEN(D393)),2))+1,FIND(";",SUBSTITUTE(D393,"|",REPT(";",LEN(D393)),3))-FIND(";",SUBSTITUTE(D393,"|",REPT(";",LEN(D393)),2))-1)</f>
        <v/>
      </c>
      <c r="K393" s="11">
        <f>MID(D393,FIND(";",SUBSTITUTE(D393,"|",REPT(";",LEN(D393)),3))+1,FIND(";",SUBSTITUTE(D393,"|",REPT(";",LEN(D393)),4))-FIND(";",SUBSTITUTE(D393,"|",REPT(";",LEN(D393)),3))-1)</f>
        <v/>
      </c>
      <c r="M393" s="11">
        <f>MID(D393,FIND(";",SUBSTITUTE(D393,"|",REPT(";",LEN(D393)),4))+1,FIND(";",SUBSTITUTE(D393,"|",REPT(";",LEN(D393)),5))-FIND(";",SUBSTITUTE(D393,"|",REPT(";",LEN(D393)),4))-1)</f>
        <v/>
      </c>
      <c r="N393" s="11">
        <f>MID(D393,FIND(";",SUBSTITUTE(D393,"|",REPT(";",LEN(D393)),6))+1,LEN(D393))</f>
        <v/>
      </c>
      <c r="O393" s="11">
        <f>MID(D393,FIND(";",SUBSTITUTE(D393,"|",REPT(";",LEN(D393)),5))+1,FIND(";",SUBSTITUTE(D393,"|",REPT(";",LEN(D393)),6))-FIND(";",SUBSTITUTE(D393,"|",REPT(";",LEN(D393)),5))-1)</f>
        <v/>
      </c>
    </row>
    <row r="394" ht="140" customHeight="1" s="21">
      <c r="A394" s="13" t="inlineStr">
        <is>
          <t>100201</t>
        </is>
      </c>
      <c r="B394" s="13" t="inlineStr">
        <is>
          <t>圆钢</t>
        </is>
      </c>
      <c r="C394" s="13" t="inlineStr">
        <is>
          <t>600621800</t>
        </is>
      </c>
      <c r="D394" s="13" t="inlineStr">
        <is>
          <t>热轧不锈圆钢|圆钢|14Cr17Ni2|Φ14|GB/T 1220-2007|热轧|GB/T 702-2008</t>
        </is>
      </c>
      <c r="E394" s="13" t="inlineStr">
        <is>
          <t>物资名称 热轧不锈圆钢;物资简称 圆钢;牌号 14Cr17Ni2;直径 Φ14;技术标准号 GB/T 1220-2007;加工工艺 热轧;热处理工艺 ;特殊要求 ;规格标准号 GB/T 702-2008</t>
        </is>
      </c>
      <c r="F394" s="12" t="inlineStr">
        <is>
          <t>千克</t>
        </is>
      </c>
      <c r="G394" s="11">
        <f>LEFT(D394,FIND("|",D394,1)-1)</f>
        <v/>
      </c>
      <c r="H394" s="11">
        <f>MID(D394,FIND("|",D394,FIND("|",D394,1))+1,FIND("|",D394,FIND("|",D394,1)+1)-FIND("|",D394,FIND("|",D394,1))-1)</f>
        <v/>
      </c>
      <c r="J394" s="11">
        <f>MID(D394,FIND(";",SUBSTITUTE(D394,"|",REPT(";",LEN(D394)),2))+1,FIND(";",SUBSTITUTE(D394,"|",REPT(";",LEN(D394)),3))-FIND(";",SUBSTITUTE(D394,"|",REPT(";",LEN(D394)),2))-1)</f>
        <v/>
      </c>
      <c r="K394" s="11">
        <f>MID(D394,FIND(";",SUBSTITUTE(D394,"|",REPT(";",LEN(D394)),3))+1,FIND(";",SUBSTITUTE(D394,"|",REPT(";",LEN(D394)),4))-FIND(";",SUBSTITUTE(D394,"|",REPT(";",LEN(D394)),3))-1)</f>
        <v/>
      </c>
      <c r="M394" s="11">
        <f>MID(D394,FIND(";",SUBSTITUTE(D394,"|",REPT(";",LEN(D394)),4))+1,FIND(";",SUBSTITUTE(D394,"|",REPT(";",LEN(D394)),5))-FIND(";",SUBSTITUTE(D394,"|",REPT(";",LEN(D394)),4))-1)</f>
        <v/>
      </c>
      <c r="N394" s="11">
        <f>MID(D394,FIND(";",SUBSTITUTE(D394,"|",REPT(";",LEN(D394)),6))+1,LEN(D394))</f>
        <v/>
      </c>
      <c r="O394" s="11">
        <f>MID(D394,FIND(";",SUBSTITUTE(D394,"|",REPT(";",LEN(D394)),5))+1,FIND(";",SUBSTITUTE(D394,"|",REPT(";",LEN(D394)),6))-FIND(";",SUBSTITUTE(D394,"|",REPT(";",LEN(D394)),5))-1)</f>
        <v/>
      </c>
    </row>
    <row r="395" ht="140" customHeight="1" s="21">
      <c r="A395" s="13" t="inlineStr">
        <is>
          <t>100201</t>
        </is>
      </c>
      <c r="B395" s="13" t="inlineStr">
        <is>
          <t>圆钢</t>
        </is>
      </c>
      <c r="C395" s="13" t="inlineStr">
        <is>
          <t>600621700</t>
        </is>
      </c>
      <c r="D395" s="13" t="inlineStr">
        <is>
          <t>热轧不锈圆钢|圆钢|14Cr17Ni2|Φ16|GB/T 1220-2007|热轧|GB/T 702-2008</t>
        </is>
      </c>
      <c r="E395" s="13" t="inlineStr">
        <is>
          <t>物资名称 热轧不锈圆钢;物资简称 圆钢;牌号 14Cr17Ni2;直径 Φ16;技术标准号 GB/T 1220-2007;加工工艺 热轧;热处理工艺 ;特殊要求 ;规格标准号 GB/T 702-2008</t>
        </is>
      </c>
      <c r="F395" s="12" t="inlineStr">
        <is>
          <t>千克</t>
        </is>
      </c>
      <c r="G395" s="11">
        <f>LEFT(D395,FIND("|",D395,1)-1)</f>
        <v/>
      </c>
      <c r="H395" s="11">
        <f>MID(D395,FIND("|",D395,FIND("|",D395,1))+1,FIND("|",D395,FIND("|",D395,1)+1)-FIND("|",D395,FIND("|",D395,1))-1)</f>
        <v/>
      </c>
      <c r="J395" s="11">
        <f>MID(D395,FIND(";",SUBSTITUTE(D395,"|",REPT(";",LEN(D395)),2))+1,FIND(";",SUBSTITUTE(D395,"|",REPT(";",LEN(D395)),3))-FIND(";",SUBSTITUTE(D395,"|",REPT(";",LEN(D395)),2))-1)</f>
        <v/>
      </c>
      <c r="K395" s="11">
        <f>MID(D395,FIND(";",SUBSTITUTE(D395,"|",REPT(";",LEN(D395)),3))+1,FIND(";",SUBSTITUTE(D395,"|",REPT(";",LEN(D395)),4))-FIND(";",SUBSTITUTE(D395,"|",REPT(";",LEN(D395)),3))-1)</f>
        <v/>
      </c>
      <c r="M395" s="11">
        <f>MID(D395,FIND(";",SUBSTITUTE(D395,"|",REPT(";",LEN(D395)),4))+1,FIND(";",SUBSTITUTE(D395,"|",REPT(";",LEN(D395)),5))-FIND(";",SUBSTITUTE(D395,"|",REPT(";",LEN(D395)),4))-1)</f>
        <v/>
      </c>
      <c r="N395" s="11">
        <f>MID(D395,FIND(";",SUBSTITUTE(D395,"|",REPT(";",LEN(D395)),6))+1,LEN(D395))</f>
        <v/>
      </c>
      <c r="O395" s="11">
        <f>MID(D395,FIND(";",SUBSTITUTE(D395,"|",REPT(";",LEN(D395)),5))+1,FIND(";",SUBSTITUTE(D395,"|",REPT(";",LEN(D395)),6))-FIND(";",SUBSTITUTE(D395,"|",REPT(";",LEN(D395)),5))-1)</f>
        <v/>
      </c>
    </row>
    <row r="396" ht="140" customHeight="1" s="21">
      <c r="A396" s="13" t="inlineStr">
        <is>
          <t>100201</t>
        </is>
      </c>
      <c r="B396" s="13" t="inlineStr">
        <is>
          <t>圆钢</t>
        </is>
      </c>
      <c r="C396" s="13" t="inlineStr">
        <is>
          <t>600621600</t>
        </is>
      </c>
      <c r="D396" s="13" t="inlineStr">
        <is>
          <t>热轧不锈圆钢|圆钢|14Cr17Ni2|Φ18|GB/T 1220-2007|热轧|GB/T 702-2008</t>
        </is>
      </c>
      <c r="E396" s="13" t="inlineStr">
        <is>
          <t>物资名称 热轧不锈圆钢;物资简称 圆钢;牌号 14Cr17Ni2;直径 Φ18;技术标准号 GB/T 1220-2007;加工工艺 热轧;热处理工艺 ;特殊要求 ;规格标准号 GB/T 702-2008</t>
        </is>
      </c>
      <c r="F396" s="12" t="inlineStr">
        <is>
          <t>千克</t>
        </is>
      </c>
      <c r="G396" s="11">
        <f>LEFT(D396,FIND("|",D396,1)-1)</f>
        <v/>
      </c>
      <c r="H396" s="11">
        <f>MID(D396,FIND("|",D396,FIND("|",D396,1))+1,FIND("|",D396,FIND("|",D396,1)+1)-FIND("|",D396,FIND("|",D396,1))-1)</f>
        <v/>
      </c>
      <c r="J396" s="11">
        <f>MID(D396,FIND(";",SUBSTITUTE(D396,"|",REPT(";",LEN(D396)),2))+1,FIND(";",SUBSTITUTE(D396,"|",REPT(";",LEN(D396)),3))-FIND(";",SUBSTITUTE(D396,"|",REPT(";",LEN(D396)),2))-1)</f>
        <v/>
      </c>
      <c r="K396" s="11">
        <f>MID(D396,FIND(";",SUBSTITUTE(D396,"|",REPT(";",LEN(D396)),3))+1,FIND(";",SUBSTITUTE(D396,"|",REPT(";",LEN(D396)),4))-FIND(";",SUBSTITUTE(D396,"|",REPT(";",LEN(D396)),3))-1)</f>
        <v/>
      </c>
      <c r="M396" s="11">
        <f>MID(D396,FIND(";",SUBSTITUTE(D396,"|",REPT(";",LEN(D396)),4))+1,FIND(";",SUBSTITUTE(D396,"|",REPT(";",LEN(D396)),5))-FIND(";",SUBSTITUTE(D396,"|",REPT(";",LEN(D396)),4))-1)</f>
        <v/>
      </c>
      <c r="N396" s="11">
        <f>MID(D396,FIND(";",SUBSTITUTE(D396,"|",REPT(";",LEN(D396)),6))+1,LEN(D396))</f>
        <v/>
      </c>
      <c r="O396" s="11">
        <f>MID(D396,FIND(";",SUBSTITUTE(D396,"|",REPT(";",LEN(D396)),5))+1,FIND(";",SUBSTITUTE(D396,"|",REPT(";",LEN(D396)),6))-FIND(";",SUBSTITUTE(D396,"|",REPT(";",LEN(D396)),5))-1)</f>
        <v/>
      </c>
    </row>
    <row r="397" ht="140" customHeight="1" s="21">
      <c r="A397" s="13" t="inlineStr">
        <is>
          <t>100201</t>
        </is>
      </c>
      <c r="B397" s="13" t="inlineStr">
        <is>
          <t>圆钢</t>
        </is>
      </c>
      <c r="C397" s="13" t="inlineStr">
        <is>
          <t>600621500</t>
        </is>
      </c>
      <c r="D397" s="13" t="inlineStr">
        <is>
          <t>热轧不锈圆钢|圆钢|14Cr17Ni2|Φ20|GB/T 1220-2007|热轧|GB/T 702-2008</t>
        </is>
      </c>
      <c r="E397" s="13" t="inlineStr">
        <is>
          <t>物资名称 热轧不锈圆钢;物资简称 圆钢;牌号 14Cr17Ni2;直径 Φ20;技术标准号 GB/T 1220-2007;加工工艺 热轧;热处理工艺 ;特殊要求 ;规格标准号 GB/T 702-2008</t>
        </is>
      </c>
      <c r="F397" s="12" t="inlineStr">
        <is>
          <t>千克</t>
        </is>
      </c>
      <c r="G397" s="11">
        <f>LEFT(D397,FIND("|",D397,1)-1)</f>
        <v/>
      </c>
      <c r="H397" s="11">
        <f>MID(D397,FIND("|",D397,FIND("|",D397,1))+1,FIND("|",D397,FIND("|",D397,1)+1)-FIND("|",D397,FIND("|",D397,1))-1)</f>
        <v/>
      </c>
      <c r="J397" s="11">
        <f>MID(D397,FIND(";",SUBSTITUTE(D397,"|",REPT(";",LEN(D397)),2))+1,FIND(";",SUBSTITUTE(D397,"|",REPT(";",LEN(D397)),3))-FIND(";",SUBSTITUTE(D397,"|",REPT(";",LEN(D397)),2))-1)</f>
        <v/>
      </c>
      <c r="K397" s="11">
        <f>MID(D397,FIND(";",SUBSTITUTE(D397,"|",REPT(";",LEN(D397)),3))+1,FIND(";",SUBSTITUTE(D397,"|",REPT(";",LEN(D397)),4))-FIND(";",SUBSTITUTE(D397,"|",REPT(";",LEN(D397)),3))-1)</f>
        <v/>
      </c>
      <c r="M397" s="11">
        <f>MID(D397,FIND(";",SUBSTITUTE(D397,"|",REPT(";",LEN(D397)),4))+1,FIND(";",SUBSTITUTE(D397,"|",REPT(";",LEN(D397)),5))-FIND(";",SUBSTITUTE(D397,"|",REPT(";",LEN(D397)),4))-1)</f>
        <v/>
      </c>
      <c r="N397" s="11">
        <f>MID(D397,FIND(";",SUBSTITUTE(D397,"|",REPT(";",LEN(D397)),6))+1,LEN(D397))</f>
        <v/>
      </c>
      <c r="O397" s="11">
        <f>MID(D397,FIND(";",SUBSTITUTE(D397,"|",REPT(";",LEN(D397)),5))+1,FIND(";",SUBSTITUTE(D397,"|",REPT(";",LEN(D397)),6))-FIND(";",SUBSTITUTE(D397,"|",REPT(";",LEN(D397)),5))-1)</f>
        <v/>
      </c>
    </row>
    <row r="398" ht="140" customHeight="1" s="21">
      <c r="A398" s="13" t="inlineStr">
        <is>
          <t>100201</t>
        </is>
      </c>
      <c r="B398" s="13" t="inlineStr">
        <is>
          <t>圆钢</t>
        </is>
      </c>
      <c r="C398" s="13" t="inlineStr">
        <is>
          <t>600621400</t>
        </is>
      </c>
      <c r="D398" s="13" t="inlineStr">
        <is>
          <t>热轧不锈圆钢|圆钢|14Cr17Ni2|Φ22|GB/T 1220-2007|热轧|GB/T 702-2008</t>
        </is>
      </c>
      <c r="E398" s="13" t="inlineStr">
        <is>
          <t>物资名称 热轧不锈圆钢;物资简称 圆钢;牌号 14Cr17Ni2;直径 Φ22;技术标准号 GB/T 1220-2007;加工工艺 热轧;热处理工艺 ;特殊要求 ;规格标准号 GB/T 702-2008</t>
        </is>
      </c>
      <c r="F398" s="12" t="inlineStr">
        <is>
          <t>千克</t>
        </is>
      </c>
      <c r="G398" s="11">
        <f>LEFT(D398,FIND("|",D398,1)-1)</f>
        <v/>
      </c>
      <c r="H398" s="11">
        <f>MID(D398,FIND("|",D398,FIND("|",D398,1))+1,FIND("|",D398,FIND("|",D398,1)+1)-FIND("|",D398,FIND("|",D398,1))-1)</f>
        <v/>
      </c>
      <c r="J398" s="11">
        <f>MID(D398,FIND(";",SUBSTITUTE(D398,"|",REPT(";",LEN(D398)),2))+1,FIND(";",SUBSTITUTE(D398,"|",REPT(";",LEN(D398)),3))-FIND(";",SUBSTITUTE(D398,"|",REPT(";",LEN(D398)),2))-1)</f>
        <v/>
      </c>
      <c r="K398" s="11">
        <f>MID(D398,FIND(";",SUBSTITUTE(D398,"|",REPT(";",LEN(D398)),3))+1,FIND(";",SUBSTITUTE(D398,"|",REPT(";",LEN(D398)),4))-FIND(";",SUBSTITUTE(D398,"|",REPT(";",LEN(D398)),3))-1)</f>
        <v/>
      </c>
      <c r="M398" s="11">
        <f>MID(D398,FIND(";",SUBSTITUTE(D398,"|",REPT(";",LEN(D398)),4))+1,FIND(";",SUBSTITUTE(D398,"|",REPT(";",LEN(D398)),5))-FIND(";",SUBSTITUTE(D398,"|",REPT(";",LEN(D398)),4))-1)</f>
        <v/>
      </c>
      <c r="N398" s="11">
        <f>MID(D398,FIND(";",SUBSTITUTE(D398,"|",REPT(";",LEN(D398)),6))+1,LEN(D398))</f>
        <v/>
      </c>
      <c r="O398" s="11">
        <f>MID(D398,FIND(";",SUBSTITUTE(D398,"|",REPT(";",LEN(D398)),5))+1,FIND(";",SUBSTITUTE(D398,"|",REPT(";",LEN(D398)),6))-FIND(";",SUBSTITUTE(D398,"|",REPT(";",LEN(D398)),5))-1)</f>
        <v/>
      </c>
    </row>
    <row r="399" ht="140" customHeight="1" s="21">
      <c r="A399" s="13" t="inlineStr">
        <is>
          <t>100201</t>
        </is>
      </c>
      <c r="B399" s="13" t="inlineStr">
        <is>
          <t>圆钢</t>
        </is>
      </c>
      <c r="C399" s="13" t="inlineStr">
        <is>
          <t>600621300</t>
        </is>
      </c>
      <c r="D399" s="13" t="inlineStr">
        <is>
          <t>热轧不锈圆钢|圆钢|14Cr17Ni2|Φ30|GB/T 1220-2007|热轧|GB/T 702-2008</t>
        </is>
      </c>
      <c r="E399" s="13" t="inlineStr">
        <is>
          <t>物资名称 热轧不锈圆钢;物资简称 圆钢;牌号 14Cr17Ni2;直径 Φ30;技术标准号 GB/T 1220-2007;加工工艺 热轧;热处理工艺 ;特殊要求 ;规格标准号 GB/T 702-2008</t>
        </is>
      </c>
      <c r="F399" s="12" t="inlineStr">
        <is>
          <t>千克</t>
        </is>
      </c>
      <c r="G399" s="11">
        <f>LEFT(D399,FIND("|",D399,1)-1)</f>
        <v/>
      </c>
      <c r="H399" s="11">
        <f>MID(D399,FIND("|",D399,FIND("|",D399,1))+1,FIND("|",D399,FIND("|",D399,1)+1)-FIND("|",D399,FIND("|",D399,1))-1)</f>
        <v/>
      </c>
      <c r="J399" s="11">
        <f>MID(D399,FIND(";",SUBSTITUTE(D399,"|",REPT(";",LEN(D399)),2))+1,FIND(";",SUBSTITUTE(D399,"|",REPT(";",LEN(D399)),3))-FIND(";",SUBSTITUTE(D399,"|",REPT(";",LEN(D399)),2))-1)</f>
        <v/>
      </c>
      <c r="K399" s="11">
        <f>MID(D399,FIND(";",SUBSTITUTE(D399,"|",REPT(";",LEN(D399)),3))+1,FIND(";",SUBSTITUTE(D399,"|",REPT(";",LEN(D399)),4))-FIND(";",SUBSTITUTE(D399,"|",REPT(";",LEN(D399)),3))-1)</f>
        <v/>
      </c>
      <c r="M399" s="11">
        <f>MID(D399,FIND(";",SUBSTITUTE(D399,"|",REPT(";",LEN(D399)),4))+1,FIND(";",SUBSTITUTE(D399,"|",REPT(";",LEN(D399)),5))-FIND(";",SUBSTITUTE(D399,"|",REPT(";",LEN(D399)),4))-1)</f>
        <v/>
      </c>
      <c r="N399" s="11">
        <f>MID(D399,FIND(";",SUBSTITUTE(D399,"|",REPT(";",LEN(D399)),6))+1,LEN(D399))</f>
        <v/>
      </c>
      <c r="O399" s="11">
        <f>MID(D399,FIND(";",SUBSTITUTE(D399,"|",REPT(";",LEN(D399)),5))+1,FIND(";",SUBSTITUTE(D399,"|",REPT(";",LEN(D399)),6))-FIND(";",SUBSTITUTE(D399,"|",REPT(";",LEN(D399)),5))-1)</f>
        <v/>
      </c>
    </row>
    <row r="400" ht="140" customHeight="1" s="21">
      <c r="A400" s="13" t="inlineStr">
        <is>
          <t>100201</t>
        </is>
      </c>
      <c r="B400" s="13" t="inlineStr">
        <is>
          <t>圆钢</t>
        </is>
      </c>
      <c r="C400" s="13" t="inlineStr">
        <is>
          <t>600621200</t>
        </is>
      </c>
      <c r="D400" s="13" t="inlineStr">
        <is>
          <t>热轧不锈圆钢|圆钢|14Cr17Ni2|Φ35|GB/T 1220-2007|热轧|GB/T 702-2008</t>
        </is>
      </c>
      <c r="E400" s="13" t="inlineStr">
        <is>
          <t>物资名称 热轧不锈圆钢;物资简称 圆钢;牌号 14Cr17Ni2;直径 Φ35;技术标准号 GB/T 1220-2007;加工工艺 热轧;热处理工艺 ;特殊要求 ;规格标准号 GB/T 702-2008</t>
        </is>
      </c>
      <c r="F400" s="12" t="inlineStr">
        <is>
          <t>千克</t>
        </is>
      </c>
      <c r="G400" s="11">
        <f>LEFT(D400,FIND("|",D400,1)-1)</f>
        <v/>
      </c>
      <c r="H400" s="11">
        <f>MID(D400,FIND("|",D400,FIND("|",D400,1))+1,FIND("|",D400,FIND("|",D400,1)+1)-FIND("|",D400,FIND("|",D400,1))-1)</f>
        <v/>
      </c>
      <c r="J400" s="11">
        <f>MID(D400,FIND(";",SUBSTITUTE(D400,"|",REPT(";",LEN(D400)),2))+1,FIND(";",SUBSTITUTE(D400,"|",REPT(";",LEN(D400)),3))-FIND(";",SUBSTITUTE(D400,"|",REPT(";",LEN(D400)),2))-1)</f>
        <v/>
      </c>
      <c r="K400" s="11">
        <f>MID(D400,FIND(";",SUBSTITUTE(D400,"|",REPT(";",LEN(D400)),3))+1,FIND(";",SUBSTITUTE(D400,"|",REPT(";",LEN(D400)),4))-FIND(";",SUBSTITUTE(D400,"|",REPT(";",LEN(D400)),3))-1)</f>
        <v/>
      </c>
      <c r="M400" s="11">
        <f>MID(D400,FIND(";",SUBSTITUTE(D400,"|",REPT(";",LEN(D400)),4))+1,FIND(";",SUBSTITUTE(D400,"|",REPT(";",LEN(D400)),5))-FIND(";",SUBSTITUTE(D400,"|",REPT(";",LEN(D400)),4))-1)</f>
        <v/>
      </c>
      <c r="N400" s="11">
        <f>MID(D400,FIND(";",SUBSTITUTE(D400,"|",REPT(";",LEN(D400)),6))+1,LEN(D400))</f>
        <v/>
      </c>
      <c r="O400" s="11">
        <f>MID(D400,FIND(";",SUBSTITUTE(D400,"|",REPT(";",LEN(D400)),5))+1,FIND(";",SUBSTITUTE(D400,"|",REPT(";",LEN(D400)),6))-FIND(";",SUBSTITUTE(D400,"|",REPT(";",LEN(D400)),5))-1)</f>
        <v/>
      </c>
    </row>
    <row r="401" ht="140" customHeight="1" s="21">
      <c r="A401" s="13" t="inlineStr">
        <is>
          <t>100201</t>
        </is>
      </c>
      <c r="B401" s="13" t="inlineStr">
        <is>
          <t>圆钢</t>
        </is>
      </c>
      <c r="C401" s="13" t="inlineStr">
        <is>
          <t>600621100</t>
        </is>
      </c>
      <c r="D401" s="13" t="inlineStr">
        <is>
          <t>热轧不锈圆钢|圆钢|14Cr17Ni2|Φ40|GB/T 1220-2007|热轧|GB/T 702-2008</t>
        </is>
      </c>
      <c r="E401" s="13" t="inlineStr">
        <is>
          <t>物资名称 热轧不锈圆钢;物资简称 圆钢;牌号 14Cr17Ni2;直径 Φ40;技术标准号 GB/T 1220-2007;加工工艺 热轧;热处理工艺 ;特殊要求 ;规格标准号 GB/T 702-2008</t>
        </is>
      </c>
      <c r="F401" s="12" t="inlineStr">
        <is>
          <t>千克</t>
        </is>
      </c>
      <c r="G401" s="11">
        <f>LEFT(D401,FIND("|",D401,1)-1)</f>
        <v/>
      </c>
      <c r="H401" s="11">
        <f>MID(D401,FIND("|",D401,FIND("|",D401,1))+1,FIND("|",D401,FIND("|",D401,1)+1)-FIND("|",D401,FIND("|",D401,1))-1)</f>
        <v/>
      </c>
      <c r="J401" s="11">
        <f>MID(D401,FIND(";",SUBSTITUTE(D401,"|",REPT(";",LEN(D401)),2))+1,FIND(";",SUBSTITUTE(D401,"|",REPT(";",LEN(D401)),3))-FIND(";",SUBSTITUTE(D401,"|",REPT(";",LEN(D401)),2))-1)</f>
        <v/>
      </c>
      <c r="K401" s="11">
        <f>MID(D401,FIND(";",SUBSTITUTE(D401,"|",REPT(";",LEN(D401)),3))+1,FIND(";",SUBSTITUTE(D401,"|",REPT(";",LEN(D401)),4))-FIND(";",SUBSTITUTE(D401,"|",REPT(";",LEN(D401)),3))-1)</f>
        <v/>
      </c>
      <c r="M401" s="11">
        <f>MID(D401,FIND(";",SUBSTITUTE(D401,"|",REPT(";",LEN(D401)),4))+1,FIND(";",SUBSTITUTE(D401,"|",REPT(";",LEN(D401)),5))-FIND(";",SUBSTITUTE(D401,"|",REPT(";",LEN(D401)),4))-1)</f>
        <v/>
      </c>
      <c r="N401" s="11">
        <f>MID(D401,FIND(";",SUBSTITUTE(D401,"|",REPT(";",LEN(D401)),6))+1,LEN(D401))</f>
        <v/>
      </c>
      <c r="O401" s="11">
        <f>MID(D401,FIND(";",SUBSTITUTE(D401,"|",REPT(";",LEN(D401)),5))+1,FIND(";",SUBSTITUTE(D401,"|",REPT(";",LEN(D401)),6))-FIND(";",SUBSTITUTE(D401,"|",REPT(";",LEN(D401)),5))-1)</f>
        <v/>
      </c>
    </row>
    <row r="402" ht="140" customHeight="1" s="21">
      <c r="A402" s="13" t="inlineStr">
        <is>
          <t>100201</t>
        </is>
      </c>
      <c r="B402" s="13" t="inlineStr">
        <is>
          <t>圆钢</t>
        </is>
      </c>
      <c r="C402" s="13" t="inlineStr">
        <is>
          <t>600621000</t>
        </is>
      </c>
      <c r="D402" s="13" t="inlineStr">
        <is>
          <t>热轧不锈圆钢|圆钢|14Cr17Ni2|Φ45|GB/T 1220-2007|热轧|GB/T 702-2008</t>
        </is>
      </c>
      <c r="E402" s="13" t="inlineStr">
        <is>
          <t>物资名称 热轧不锈圆钢;物资简称 圆钢;牌号 14Cr17Ni2;直径 Φ45;技术标准号 GB/T 1220-2007;加工工艺 热轧;热处理工艺 ;特殊要求 ;规格标准号 GB/T 702-2008</t>
        </is>
      </c>
      <c r="F402" s="12" t="inlineStr">
        <is>
          <t>千克</t>
        </is>
      </c>
      <c r="G402" s="11">
        <f>LEFT(D402,FIND("|",D402,1)-1)</f>
        <v/>
      </c>
      <c r="H402" s="11">
        <f>MID(D402,FIND("|",D402,FIND("|",D402,1))+1,FIND("|",D402,FIND("|",D402,1)+1)-FIND("|",D402,FIND("|",D402,1))-1)</f>
        <v/>
      </c>
      <c r="J402" s="11">
        <f>MID(D402,FIND(";",SUBSTITUTE(D402,"|",REPT(";",LEN(D402)),2))+1,FIND(";",SUBSTITUTE(D402,"|",REPT(";",LEN(D402)),3))-FIND(";",SUBSTITUTE(D402,"|",REPT(";",LEN(D402)),2))-1)</f>
        <v/>
      </c>
      <c r="K402" s="11">
        <f>MID(D402,FIND(";",SUBSTITUTE(D402,"|",REPT(";",LEN(D402)),3))+1,FIND(";",SUBSTITUTE(D402,"|",REPT(";",LEN(D402)),4))-FIND(";",SUBSTITUTE(D402,"|",REPT(";",LEN(D402)),3))-1)</f>
        <v/>
      </c>
      <c r="M402" s="11">
        <f>MID(D402,FIND(";",SUBSTITUTE(D402,"|",REPT(";",LEN(D402)),4))+1,FIND(";",SUBSTITUTE(D402,"|",REPT(";",LEN(D402)),5))-FIND(";",SUBSTITUTE(D402,"|",REPT(";",LEN(D402)),4))-1)</f>
        <v/>
      </c>
      <c r="N402" s="11">
        <f>MID(D402,FIND(";",SUBSTITUTE(D402,"|",REPT(";",LEN(D402)),6))+1,LEN(D402))</f>
        <v/>
      </c>
      <c r="O402" s="11">
        <f>MID(D402,FIND(";",SUBSTITUTE(D402,"|",REPT(";",LEN(D402)),5))+1,FIND(";",SUBSTITUTE(D402,"|",REPT(";",LEN(D402)),6))-FIND(";",SUBSTITUTE(D402,"|",REPT(";",LEN(D402)),5))-1)</f>
        <v/>
      </c>
    </row>
    <row r="403" ht="112" customHeight="1" s="21">
      <c r="A403" s="13" t="inlineStr">
        <is>
          <t>100201</t>
        </is>
      </c>
      <c r="B403" s="13" t="inlineStr">
        <is>
          <t>圆钢</t>
        </is>
      </c>
      <c r="C403" s="13" t="inlineStr">
        <is>
          <t>600620900</t>
        </is>
      </c>
      <c r="D403" s="13" t="inlineStr">
        <is>
          <t>不锈钢棒|钢棒|20Cr13|GB/T 1220-2007</t>
        </is>
      </c>
      <c r="E403" s="13" t="inlineStr">
        <is>
          <t xml:space="preserve">物资名称 不锈钢棒;物资简称 钢棒;牌号 20Cr13;直径 Φ;技术标准号 GB/T 1220-2007;加工工艺 ;热处理工艺 ;特殊要求 ;规格标准号 </t>
        </is>
      </c>
      <c r="F403" s="12" t="inlineStr">
        <is>
          <t>千克</t>
        </is>
      </c>
      <c r="G403" s="11">
        <f>LEFT(D403,FIND("|",D403,1)-1)</f>
        <v/>
      </c>
      <c r="H403" s="11">
        <f>MID(D403,FIND("|",D403,FIND("|",D403,1))+1,FIND("|",D403,FIND("|",D403,1)+1)-FIND("|",D403,FIND("|",D403,1))-1)</f>
        <v/>
      </c>
      <c r="J403" s="11">
        <f>MID(D403,FIND(";",SUBSTITUTE(D403,"|",REPT(";",LEN(D403)),2))+1,FIND(";",SUBSTITUTE(D403,"|",REPT(";",LEN(D403)),3))-FIND(";",SUBSTITUTE(D403,"|",REPT(";",LEN(D403)),2))-1)</f>
        <v/>
      </c>
      <c r="M403" s="11">
        <f>MID(D403,FIND(";",SUBSTITUTE(D403,"|",REPT(";",LEN(D403)),3))+1,LEN(D403))</f>
        <v/>
      </c>
    </row>
    <row r="404" ht="126" customHeight="1" s="21">
      <c r="A404" s="13" t="inlineStr">
        <is>
          <t>100201</t>
        </is>
      </c>
      <c r="B404" s="13" t="inlineStr">
        <is>
          <t>圆钢</t>
        </is>
      </c>
      <c r="C404" s="13" t="inlineStr">
        <is>
          <t>600620800</t>
        </is>
      </c>
      <c r="D404" s="13" t="inlineStr">
        <is>
          <t>热轧不锈圆钢|圆钢|20Cr13|GB/T 1220-2007|GB/T 702-2008</t>
        </is>
      </c>
      <c r="E404" s="13" t="inlineStr">
        <is>
          <t>物资名称 热轧不锈圆钢;物资简称 圆钢;牌号 20Cr13;直径 Φ;技术标准号 GB/T 1220-2007;加工工艺 ;热处理工艺 ;特殊要求 ;规格标准号 GB/T 702-2008</t>
        </is>
      </c>
      <c r="F404" s="12" t="inlineStr">
        <is>
          <t>千克</t>
        </is>
      </c>
      <c r="G404" s="11">
        <f>LEFT(D404,FIND("|",D404,1)-1)</f>
        <v/>
      </c>
      <c r="H404" s="11">
        <f>MID(D404,FIND("|",D404,FIND("|",D404,1))+1,FIND("|",D404,FIND("|",D404,1)+1)-FIND("|",D404,FIND("|",D404,1))-1)</f>
        <v/>
      </c>
      <c r="J404" s="11">
        <f>MID(D404,FIND(";",SUBSTITUTE(D404,"|",REPT(";",LEN(D404)),2))+1,FIND(";",SUBSTITUTE(D404,"|",REPT(";",LEN(D404)),3))-FIND(";",SUBSTITUTE(D404,"|",REPT(";",LEN(D404)),2))-1)</f>
        <v/>
      </c>
      <c r="M404" s="11">
        <f>MID(D404,FIND(";",SUBSTITUTE(D404,"|",REPT(";",LEN(D404)),3))+1,FIND(";",SUBSTITUTE(D404,"|",REPT(";",LEN(D404)),4))-FIND(";",SUBSTITUTE(D404,"|",REPT(";",LEN(D404)),3))-1)</f>
        <v/>
      </c>
      <c r="N404" s="11">
        <f>MID(D404,FIND(";",SUBSTITUTE(D404,"|",REPT(";",LEN(D404)),4))+1,LEN(D404))</f>
        <v/>
      </c>
    </row>
    <row r="405" ht="126" customHeight="1" s="21">
      <c r="A405" s="13" t="inlineStr">
        <is>
          <t>100201</t>
        </is>
      </c>
      <c r="B405" s="13" t="inlineStr">
        <is>
          <t>圆钢</t>
        </is>
      </c>
      <c r="C405" s="13" t="inlineStr">
        <is>
          <t>600620700</t>
        </is>
      </c>
      <c r="D405" s="13" t="inlineStr">
        <is>
          <t>热轧不锈圆钢|圆钢|20Cr13|Φ9|GB/T 1220-2007|热轧|GB/T 702-2008</t>
        </is>
      </c>
      <c r="E405" s="13" t="inlineStr">
        <is>
          <t>物资名称 热轧不锈圆钢;物资简称 圆钢;牌号 20Cr13;直径 Φ9;技术标准号 GB/T 1220-2007;加工工艺 热轧;热处理工艺 ;特殊要求 ;规格标准号 GB/T 702-2008</t>
        </is>
      </c>
      <c r="F405" s="12" t="inlineStr">
        <is>
          <t>千克</t>
        </is>
      </c>
      <c r="G405" s="11">
        <f>LEFT(D405,FIND("|",D405,1)-1)</f>
        <v/>
      </c>
      <c r="H405" s="11">
        <f>MID(D405,FIND("|",D405,FIND("|",D405,1))+1,FIND("|",D405,FIND("|",D405,1)+1)-FIND("|",D405,FIND("|",D405,1))-1)</f>
        <v/>
      </c>
      <c r="J405" s="11">
        <f>MID(D405,FIND(";",SUBSTITUTE(D405,"|",REPT(";",LEN(D405)),2))+1,FIND(";",SUBSTITUTE(D405,"|",REPT(";",LEN(D405)),3))-FIND(";",SUBSTITUTE(D405,"|",REPT(";",LEN(D405)),2))-1)</f>
        <v/>
      </c>
      <c r="K405" s="11">
        <f>MID(D405,FIND(";",SUBSTITUTE(D405,"|",REPT(";",LEN(D405)),3))+1,FIND(";",SUBSTITUTE(D405,"|",REPT(";",LEN(D405)),4))-FIND(";",SUBSTITUTE(D405,"|",REPT(";",LEN(D405)),3))-1)</f>
        <v/>
      </c>
      <c r="M405" s="11">
        <f>MID(D405,FIND(";",SUBSTITUTE(D405,"|",REPT(";",LEN(D405)),4))+1,FIND(";",SUBSTITUTE(D405,"|",REPT(";",LEN(D405)),5))-FIND(";",SUBSTITUTE(D405,"|",REPT(";",LEN(D405)),4))-1)</f>
        <v/>
      </c>
      <c r="N405" s="11">
        <f>MID(D405,FIND(";",SUBSTITUTE(D405,"|",REPT(";",LEN(D405)),6))+1,LEN(D405))</f>
        <v/>
      </c>
      <c r="O405" s="11">
        <f>MID(D405,FIND(";",SUBSTITUTE(D405,"|",REPT(";",LEN(D405)),5))+1,FIND(";",SUBSTITUTE(D405,"|",REPT(";",LEN(D405)),6))-FIND(";",SUBSTITUTE(D405,"|",REPT(";",LEN(D405)),5))-1)</f>
        <v/>
      </c>
    </row>
    <row r="406" ht="126" customHeight="1" s="21">
      <c r="A406" s="13" t="inlineStr">
        <is>
          <t>100201</t>
        </is>
      </c>
      <c r="B406" s="13" t="inlineStr">
        <is>
          <t>圆钢</t>
        </is>
      </c>
      <c r="C406" s="13" t="inlineStr">
        <is>
          <t>600620600</t>
        </is>
      </c>
      <c r="D406" s="13" t="inlineStr">
        <is>
          <t>热轧不锈圆钢|圆钢|20Cr13|Φ10|GB/T 1220-2007|热轧|GB/T 702-2008</t>
        </is>
      </c>
      <c r="E406" s="13" t="inlineStr">
        <is>
          <t>物资名称 热轧不锈圆钢;物资简称 圆钢;牌号 20Cr13;直径 Φ10;技术标准号 GB/T 1220-2007;加工工艺 热轧;热处理工艺 ;特殊要求 ;规格标准号 GB/T 702-2008</t>
        </is>
      </c>
      <c r="F406" s="12" t="inlineStr">
        <is>
          <t>千克</t>
        </is>
      </c>
      <c r="G406" s="11">
        <f>LEFT(D406,FIND("|",D406,1)-1)</f>
        <v/>
      </c>
      <c r="H406" s="11">
        <f>MID(D406,FIND("|",D406,FIND("|",D406,1))+1,FIND("|",D406,FIND("|",D406,1)+1)-FIND("|",D406,FIND("|",D406,1))-1)</f>
        <v/>
      </c>
      <c r="J406" s="11">
        <f>MID(D406,FIND(";",SUBSTITUTE(D406,"|",REPT(";",LEN(D406)),2))+1,FIND(";",SUBSTITUTE(D406,"|",REPT(";",LEN(D406)),3))-FIND(";",SUBSTITUTE(D406,"|",REPT(";",LEN(D406)),2))-1)</f>
        <v/>
      </c>
      <c r="K406" s="11">
        <f>MID(D406,FIND(";",SUBSTITUTE(D406,"|",REPT(";",LEN(D406)),3))+1,FIND(";",SUBSTITUTE(D406,"|",REPT(";",LEN(D406)),4))-FIND(";",SUBSTITUTE(D406,"|",REPT(";",LEN(D406)),3))-1)</f>
        <v/>
      </c>
      <c r="M406" s="11">
        <f>MID(D406,FIND(";",SUBSTITUTE(D406,"|",REPT(";",LEN(D406)),4))+1,FIND(";",SUBSTITUTE(D406,"|",REPT(";",LEN(D406)),5))-FIND(";",SUBSTITUTE(D406,"|",REPT(";",LEN(D406)),4))-1)</f>
        <v/>
      </c>
      <c r="N406" s="11">
        <f>MID(D406,FIND(";",SUBSTITUTE(D406,"|",REPT(";",LEN(D406)),6))+1,LEN(D406))</f>
        <v/>
      </c>
      <c r="O406" s="11">
        <f>MID(D406,FIND(";",SUBSTITUTE(D406,"|",REPT(";",LEN(D406)),5))+1,FIND(";",SUBSTITUTE(D406,"|",REPT(";",LEN(D406)),6))-FIND(";",SUBSTITUTE(D406,"|",REPT(";",LEN(D406)),5))-1)</f>
        <v/>
      </c>
    </row>
    <row r="407" ht="126" customHeight="1" s="21">
      <c r="A407" s="13" t="inlineStr">
        <is>
          <t>100201</t>
        </is>
      </c>
      <c r="B407" s="13" t="inlineStr">
        <is>
          <t>圆钢</t>
        </is>
      </c>
      <c r="C407" s="13" t="inlineStr">
        <is>
          <t>600620500</t>
        </is>
      </c>
      <c r="D407" s="13" t="inlineStr">
        <is>
          <t>热轧不锈圆钢|圆钢|20Cr13|Φ12|GB/T 1220-2007|热轧|GB/T 702-2008</t>
        </is>
      </c>
      <c r="E407" s="13" t="inlineStr">
        <is>
          <t>物资名称 热轧不锈圆钢;物资简称 圆钢;牌号 20Cr13;直径 Φ12;技术标准号 GB/T 1220-2007;加工工艺 热轧;热处理工艺 ;特殊要求 ;规格标准号 GB/T 702-2008</t>
        </is>
      </c>
      <c r="F407" s="12" t="inlineStr">
        <is>
          <t>千克</t>
        </is>
      </c>
      <c r="G407" s="11">
        <f>LEFT(D407,FIND("|",D407,1)-1)</f>
        <v/>
      </c>
      <c r="H407" s="11">
        <f>MID(D407,FIND("|",D407,FIND("|",D407,1))+1,FIND("|",D407,FIND("|",D407,1)+1)-FIND("|",D407,FIND("|",D407,1))-1)</f>
        <v/>
      </c>
      <c r="J407" s="11">
        <f>MID(D407,FIND(";",SUBSTITUTE(D407,"|",REPT(";",LEN(D407)),2))+1,FIND(";",SUBSTITUTE(D407,"|",REPT(";",LEN(D407)),3))-FIND(";",SUBSTITUTE(D407,"|",REPT(";",LEN(D407)),2))-1)</f>
        <v/>
      </c>
      <c r="K407" s="11">
        <f>MID(D407,FIND(";",SUBSTITUTE(D407,"|",REPT(";",LEN(D407)),3))+1,FIND(";",SUBSTITUTE(D407,"|",REPT(";",LEN(D407)),4))-FIND(";",SUBSTITUTE(D407,"|",REPT(";",LEN(D407)),3))-1)</f>
        <v/>
      </c>
      <c r="M407" s="11">
        <f>MID(D407,FIND(";",SUBSTITUTE(D407,"|",REPT(";",LEN(D407)),4))+1,FIND(";",SUBSTITUTE(D407,"|",REPT(";",LEN(D407)),5))-FIND(";",SUBSTITUTE(D407,"|",REPT(";",LEN(D407)),4))-1)</f>
        <v/>
      </c>
      <c r="N407" s="11">
        <f>MID(D407,FIND(";",SUBSTITUTE(D407,"|",REPT(";",LEN(D407)),6))+1,LEN(D407))</f>
        <v/>
      </c>
      <c r="O407" s="11">
        <f>MID(D407,FIND(";",SUBSTITUTE(D407,"|",REPT(";",LEN(D407)),5))+1,FIND(";",SUBSTITUTE(D407,"|",REPT(";",LEN(D407)),6))-FIND(";",SUBSTITUTE(D407,"|",REPT(";",LEN(D407)),5))-1)</f>
        <v/>
      </c>
    </row>
    <row r="408" ht="126" customHeight="1" s="21">
      <c r="A408" s="13" t="inlineStr">
        <is>
          <t>100201</t>
        </is>
      </c>
      <c r="B408" s="13" t="inlineStr">
        <is>
          <t>圆钢</t>
        </is>
      </c>
      <c r="C408" s="13" t="inlineStr">
        <is>
          <t>600620400</t>
        </is>
      </c>
      <c r="D408" s="13" t="inlineStr">
        <is>
          <t>热轧不锈圆钢|圆钢|20Cr13|Φ14|GB/T 1220-2007|热轧|GB/T 702-2008</t>
        </is>
      </c>
      <c r="E408" s="13" t="inlineStr">
        <is>
          <t>物资名称 热轧不锈圆钢;物资简称 圆钢;牌号 20Cr13;直径 Φ14;技术标准号 GB/T 1220-2007;加工工艺 热轧;热处理工艺 ;特殊要求 ;规格标准号 GB/T 702-2008</t>
        </is>
      </c>
      <c r="F408" s="12" t="inlineStr">
        <is>
          <t>千克</t>
        </is>
      </c>
      <c r="G408" s="11">
        <f>LEFT(D408,FIND("|",D408,1)-1)</f>
        <v/>
      </c>
      <c r="H408" s="11">
        <f>MID(D408,FIND("|",D408,FIND("|",D408,1))+1,FIND("|",D408,FIND("|",D408,1)+1)-FIND("|",D408,FIND("|",D408,1))-1)</f>
        <v/>
      </c>
      <c r="J408" s="11">
        <f>MID(D408,FIND(";",SUBSTITUTE(D408,"|",REPT(";",LEN(D408)),2))+1,FIND(";",SUBSTITUTE(D408,"|",REPT(";",LEN(D408)),3))-FIND(";",SUBSTITUTE(D408,"|",REPT(";",LEN(D408)),2))-1)</f>
        <v/>
      </c>
      <c r="K408" s="11">
        <f>MID(D408,FIND(";",SUBSTITUTE(D408,"|",REPT(";",LEN(D408)),3))+1,FIND(";",SUBSTITUTE(D408,"|",REPT(";",LEN(D408)),4))-FIND(";",SUBSTITUTE(D408,"|",REPT(";",LEN(D408)),3))-1)</f>
        <v/>
      </c>
      <c r="M408" s="11">
        <f>MID(D408,FIND(";",SUBSTITUTE(D408,"|",REPT(";",LEN(D408)),4))+1,FIND(";",SUBSTITUTE(D408,"|",REPT(";",LEN(D408)),5))-FIND(";",SUBSTITUTE(D408,"|",REPT(";",LEN(D408)),4))-1)</f>
        <v/>
      </c>
      <c r="N408" s="11">
        <f>MID(D408,FIND(";",SUBSTITUTE(D408,"|",REPT(";",LEN(D408)),6))+1,LEN(D408))</f>
        <v/>
      </c>
      <c r="O408" s="11">
        <f>MID(D408,FIND(";",SUBSTITUTE(D408,"|",REPT(";",LEN(D408)),5))+1,FIND(";",SUBSTITUTE(D408,"|",REPT(";",LEN(D408)),6))-FIND(";",SUBSTITUTE(D408,"|",REPT(";",LEN(D408)),5))-1)</f>
        <v/>
      </c>
    </row>
    <row r="409" ht="126" customHeight="1" s="21">
      <c r="A409" s="13" t="inlineStr">
        <is>
          <t>100201</t>
        </is>
      </c>
      <c r="B409" s="13" t="inlineStr">
        <is>
          <t>圆钢</t>
        </is>
      </c>
      <c r="C409" s="13" t="inlineStr">
        <is>
          <t>600620300</t>
        </is>
      </c>
      <c r="D409" s="13" t="inlineStr">
        <is>
          <t>热轧不锈圆钢|圆钢|20Cr13|Φ16|GB/T 1220-2007|热轧|GB/T 702-2008</t>
        </is>
      </c>
      <c r="E409" s="13" t="inlineStr">
        <is>
          <t>物资名称 热轧不锈圆钢;物资简称 圆钢;牌号 20Cr13;直径 Φ16;技术标准号 GB/T 1220-2007;加工工艺 热轧;热处理工艺 ;特殊要求 ;规格标准号 GB/T 702-2008</t>
        </is>
      </c>
      <c r="F409" s="12" t="inlineStr">
        <is>
          <t>千克</t>
        </is>
      </c>
      <c r="G409" s="11">
        <f>LEFT(D409,FIND("|",D409,1)-1)</f>
        <v/>
      </c>
      <c r="H409" s="11">
        <f>MID(D409,FIND("|",D409,FIND("|",D409,1))+1,FIND("|",D409,FIND("|",D409,1)+1)-FIND("|",D409,FIND("|",D409,1))-1)</f>
        <v/>
      </c>
      <c r="J409" s="11">
        <f>MID(D409,FIND(";",SUBSTITUTE(D409,"|",REPT(";",LEN(D409)),2))+1,FIND(";",SUBSTITUTE(D409,"|",REPT(";",LEN(D409)),3))-FIND(";",SUBSTITUTE(D409,"|",REPT(";",LEN(D409)),2))-1)</f>
        <v/>
      </c>
      <c r="K409" s="11">
        <f>MID(D409,FIND(";",SUBSTITUTE(D409,"|",REPT(";",LEN(D409)),3))+1,FIND(";",SUBSTITUTE(D409,"|",REPT(";",LEN(D409)),4))-FIND(";",SUBSTITUTE(D409,"|",REPT(";",LEN(D409)),3))-1)</f>
        <v/>
      </c>
      <c r="M409" s="11">
        <f>MID(D409,FIND(";",SUBSTITUTE(D409,"|",REPT(";",LEN(D409)),4))+1,FIND(";",SUBSTITUTE(D409,"|",REPT(";",LEN(D409)),5))-FIND(";",SUBSTITUTE(D409,"|",REPT(";",LEN(D409)),4))-1)</f>
        <v/>
      </c>
      <c r="N409" s="11">
        <f>MID(D409,FIND(";",SUBSTITUTE(D409,"|",REPT(";",LEN(D409)),6))+1,LEN(D409))</f>
        <v/>
      </c>
      <c r="O409" s="11">
        <f>MID(D409,FIND(";",SUBSTITUTE(D409,"|",REPT(";",LEN(D409)),5))+1,FIND(";",SUBSTITUTE(D409,"|",REPT(";",LEN(D409)),6))-FIND(";",SUBSTITUTE(D409,"|",REPT(";",LEN(D409)),5))-1)</f>
        <v/>
      </c>
    </row>
    <row r="410" ht="126" customHeight="1" s="21">
      <c r="A410" s="13" t="inlineStr">
        <is>
          <t>100201</t>
        </is>
      </c>
      <c r="B410" s="13" t="inlineStr">
        <is>
          <t>圆钢</t>
        </is>
      </c>
      <c r="C410" s="13" t="inlineStr">
        <is>
          <t>600620200</t>
        </is>
      </c>
      <c r="D410" s="13" t="inlineStr">
        <is>
          <t>热轧不锈圆钢|圆钢|20Cr13|Φ18|GB/T 1220-2007|热轧|GB/T 702-2008</t>
        </is>
      </c>
      <c r="E410" s="13" t="inlineStr">
        <is>
          <t>物资名称 热轧不锈圆钢;物资简称 圆钢;牌号 20Cr13;直径 Φ18;技术标准号 GB/T 1220-2007;加工工艺 热轧;热处理工艺 ;特殊要求 ;规格标准号 GB/T 702-2008</t>
        </is>
      </c>
      <c r="F410" s="12" t="inlineStr">
        <is>
          <t>千克</t>
        </is>
      </c>
      <c r="G410" s="11">
        <f>LEFT(D410,FIND("|",D410,1)-1)</f>
        <v/>
      </c>
      <c r="H410" s="11">
        <f>MID(D410,FIND("|",D410,FIND("|",D410,1))+1,FIND("|",D410,FIND("|",D410,1)+1)-FIND("|",D410,FIND("|",D410,1))-1)</f>
        <v/>
      </c>
      <c r="J410" s="11">
        <f>MID(D410,FIND(";",SUBSTITUTE(D410,"|",REPT(";",LEN(D410)),2))+1,FIND(";",SUBSTITUTE(D410,"|",REPT(";",LEN(D410)),3))-FIND(";",SUBSTITUTE(D410,"|",REPT(";",LEN(D410)),2))-1)</f>
        <v/>
      </c>
      <c r="K410" s="11">
        <f>MID(D410,FIND(";",SUBSTITUTE(D410,"|",REPT(";",LEN(D410)),3))+1,FIND(";",SUBSTITUTE(D410,"|",REPT(";",LEN(D410)),4))-FIND(";",SUBSTITUTE(D410,"|",REPT(";",LEN(D410)),3))-1)</f>
        <v/>
      </c>
      <c r="M410" s="11">
        <f>MID(D410,FIND(";",SUBSTITUTE(D410,"|",REPT(";",LEN(D410)),4))+1,FIND(";",SUBSTITUTE(D410,"|",REPT(";",LEN(D410)),5))-FIND(";",SUBSTITUTE(D410,"|",REPT(";",LEN(D410)),4))-1)</f>
        <v/>
      </c>
      <c r="N410" s="11">
        <f>MID(D410,FIND(";",SUBSTITUTE(D410,"|",REPT(";",LEN(D410)),6))+1,LEN(D410))</f>
        <v/>
      </c>
      <c r="O410" s="11">
        <f>MID(D410,FIND(";",SUBSTITUTE(D410,"|",REPT(";",LEN(D410)),5))+1,FIND(";",SUBSTITUTE(D410,"|",REPT(";",LEN(D410)),6))-FIND(";",SUBSTITUTE(D410,"|",REPT(";",LEN(D410)),5))-1)</f>
        <v/>
      </c>
    </row>
    <row r="411" ht="126" customHeight="1" s="21">
      <c r="A411" s="13" t="inlineStr">
        <is>
          <t>100201</t>
        </is>
      </c>
      <c r="B411" s="13" t="inlineStr">
        <is>
          <t>圆钢</t>
        </is>
      </c>
      <c r="C411" s="13" t="inlineStr">
        <is>
          <t>600620100</t>
        </is>
      </c>
      <c r="D411" s="13" t="inlineStr">
        <is>
          <t>热轧不锈圆钢|圆钢|20Cr13|Φ20|GB/T 1220-2007|热轧|GB/T 702-2008</t>
        </is>
      </c>
      <c r="E411" s="13" t="inlineStr">
        <is>
          <t>物资名称 热轧不锈圆钢;物资简称 圆钢;牌号 20Cr13;直径 Φ20;技术标准号 GB/T 1220-2007;加工工艺 热轧;热处理工艺 ;特殊要求 ;规格标准号 GB/T 702-2008</t>
        </is>
      </c>
      <c r="F411" s="12" t="inlineStr">
        <is>
          <t>千克</t>
        </is>
      </c>
      <c r="G411" s="11">
        <f>LEFT(D411,FIND("|",D411,1)-1)</f>
        <v/>
      </c>
      <c r="H411" s="11">
        <f>MID(D411,FIND("|",D411,FIND("|",D411,1))+1,FIND("|",D411,FIND("|",D411,1)+1)-FIND("|",D411,FIND("|",D411,1))-1)</f>
        <v/>
      </c>
      <c r="J411" s="11">
        <f>MID(D411,FIND(";",SUBSTITUTE(D411,"|",REPT(";",LEN(D411)),2))+1,FIND(";",SUBSTITUTE(D411,"|",REPT(";",LEN(D411)),3))-FIND(";",SUBSTITUTE(D411,"|",REPT(";",LEN(D411)),2))-1)</f>
        <v/>
      </c>
      <c r="K411" s="11">
        <f>MID(D411,FIND(";",SUBSTITUTE(D411,"|",REPT(";",LEN(D411)),3))+1,FIND(";",SUBSTITUTE(D411,"|",REPT(";",LEN(D411)),4))-FIND(";",SUBSTITUTE(D411,"|",REPT(";",LEN(D411)),3))-1)</f>
        <v/>
      </c>
      <c r="M411" s="11">
        <f>MID(D411,FIND(";",SUBSTITUTE(D411,"|",REPT(";",LEN(D411)),4))+1,FIND(";",SUBSTITUTE(D411,"|",REPT(";",LEN(D411)),5))-FIND(";",SUBSTITUTE(D411,"|",REPT(";",LEN(D411)),4))-1)</f>
        <v/>
      </c>
      <c r="N411" s="11">
        <f>MID(D411,FIND(";",SUBSTITUTE(D411,"|",REPT(";",LEN(D411)),6))+1,LEN(D411))</f>
        <v/>
      </c>
      <c r="O411" s="11">
        <f>MID(D411,FIND(";",SUBSTITUTE(D411,"|",REPT(";",LEN(D411)),5))+1,FIND(";",SUBSTITUTE(D411,"|",REPT(";",LEN(D411)),6))-FIND(";",SUBSTITUTE(D411,"|",REPT(";",LEN(D411)),5))-1)</f>
        <v/>
      </c>
    </row>
    <row r="412" ht="126" customHeight="1" s="21">
      <c r="A412" s="13" t="inlineStr">
        <is>
          <t>100201</t>
        </is>
      </c>
      <c r="B412" s="13" t="inlineStr">
        <is>
          <t>圆钢</t>
        </is>
      </c>
      <c r="C412" s="13" t="inlineStr">
        <is>
          <t>600620000</t>
        </is>
      </c>
      <c r="D412" s="13" t="inlineStr">
        <is>
          <t>热轧不锈圆钢|圆钢|20Cr13|Φ22|GB/T 1220-2007|热轧|GB/T 702-2008</t>
        </is>
      </c>
      <c r="E412" s="13" t="inlineStr">
        <is>
          <t>物资名称 热轧不锈圆钢;物资简称 圆钢;牌号 20Cr13;直径 Φ22;技术标准号 GB/T 1220-2007;加工工艺 热轧;热处理工艺 ;特殊要求 ;规格标准号 GB/T 702-2008</t>
        </is>
      </c>
      <c r="F412" s="12" t="inlineStr">
        <is>
          <t>千克</t>
        </is>
      </c>
      <c r="G412" s="11">
        <f>LEFT(D412,FIND("|",D412,1)-1)</f>
        <v/>
      </c>
      <c r="H412" s="11">
        <f>MID(D412,FIND("|",D412,FIND("|",D412,1))+1,FIND("|",D412,FIND("|",D412,1)+1)-FIND("|",D412,FIND("|",D412,1))-1)</f>
        <v/>
      </c>
      <c r="J412" s="11">
        <f>MID(D412,FIND(";",SUBSTITUTE(D412,"|",REPT(";",LEN(D412)),2))+1,FIND(";",SUBSTITUTE(D412,"|",REPT(";",LEN(D412)),3))-FIND(";",SUBSTITUTE(D412,"|",REPT(";",LEN(D412)),2))-1)</f>
        <v/>
      </c>
      <c r="K412" s="11">
        <f>MID(D412,FIND(";",SUBSTITUTE(D412,"|",REPT(";",LEN(D412)),3))+1,FIND(";",SUBSTITUTE(D412,"|",REPT(";",LEN(D412)),4))-FIND(";",SUBSTITUTE(D412,"|",REPT(";",LEN(D412)),3))-1)</f>
        <v/>
      </c>
      <c r="M412" s="11">
        <f>MID(D412,FIND(";",SUBSTITUTE(D412,"|",REPT(";",LEN(D412)),4))+1,FIND(";",SUBSTITUTE(D412,"|",REPT(";",LEN(D412)),5))-FIND(";",SUBSTITUTE(D412,"|",REPT(";",LEN(D412)),4))-1)</f>
        <v/>
      </c>
      <c r="N412" s="11">
        <f>MID(D412,FIND(";",SUBSTITUTE(D412,"|",REPT(";",LEN(D412)),6))+1,LEN(D412))</f>
        <v/>
      </c>
      <c r="O412" s="11">
        <f>MID(D412,FIND(";",SUBSTITUTE(D412,"|",REPT(";",LEN(D412)),5))+1,FIND(";",SUBSTITUTE(D412,"|",REPT(";",LEN(D412)),6))-FIND(";",SUBSTITUTE(D412,"|",REPT(";",LEN(D412)),5))-1)</f>
        <v/>
      </c>
    </row>
    <row r="413" ht="126" customHeight="1" s="21">
      <c r="A413" s="13" t="inlineStr">
        <is>
          <t>100201</t>
        </is>
      </c>
      <c r="B413" s="13" t="inlineStr">
        <is>
          <t>圆钢</t>
        </is>
      </c>
      <c r="C413" s="13" t="inlineStr">
        <is>
          <t>600619900</t>
        </is>
      </c>
      <c r="D413" s="13" t="inlineStr">
        <is>
          <t>热轧不锈圆钢|圆钢|20Cr13|Φ25|GB/T 1220-2007|热轧|GB/T 702-2008</t>
        </is>
      </c>
      <c r="E413" s="13" t="inlineStr">
        <is>
          <t>物资名称 热轧不锈圆钢;物资简称 圆钢;牌号 20Cr13;直径 Φ25;技术标准号 GB/T 1220-2007;加工工艺 热轧;热处理工艺 ;特殊要求 ;规格标准号 GB/T 702-2008</t>
        </is>
      </c>
      <c r="F413" s="12" t="inlineStr">
        <is>
          <t>千克</t>
        </is>
      </c>
      <c r="G413" s="11">
        <f>LEFT(D413,FIND("|",D413,1)-1)</f>
        <v/>
      </c>
      <c r="H413" s="11">
        <f>MID(D413,FIND("|",D413,FIND("|",D413,1))+1,FIND("|",D413,FIND("|",D413,1)+1)-FIND("|",D413,FIND("|",D413,1))-1)</f>
        <v/>
      </c>
      <c r="J413" s="11">
        <f>MID(D413,FIND(";",SUBSTITUTE(D413,"|",REPT(";",LEN(D413)),2))+1,FIND(";",SUBSTITUTE(D413,"|",REPT(";",LEN(D413)),3))-FIND(";",SUBSTITUTE(D413,"|",REPT(";",LEN(D413)),2))-1)</f>
        <v/>
      </c>
      <c r="K413" s="11">
        <f>MID(D413,FIND(";",SUBSTITUTE(D413,"|",REPT(";",LEN(D413)),3))+1,FIND(";",SUBSTITUTE(D413,"|",REPT(";",LEN(D413)),4))-FIND(";",SUBSTITUTE(D413,"|",REPT(";",LEN(D413)),3))-1)</f>
        <v/>
      </c>
      <c r="M413" s="11">
        <f>MID(D413,FIND(";",SUBSTITUTE(D413,"|",REPT(";",LEN(D413)),4))+1,FIND(";",SUBSTITUTE(D413,"|",REPT(";",LEN(D413)),5))-FIND(";",SUBSTITUTE(D413,"|",REPT(";",LEN(D413)),4))-1)</f>
        <v/>
      </c>
      <c r="N413" s="11">
        <f>MID(D413,FIND(";",SUBSTITUTE(D413,"|",REPT(";",LEN(D413)),6))+1,LEN(D413))</f>
        <v/>
      </c>
      <c r="O413" s="11">
        <f>MID(D413,FIND(";",SUBSTITUTE(D413,"|",REPT(";",LEN(D413)),5))+1,FIND(";",SUBSTITUTE(D413,"|",REPT(";",LEN(D413)),6))-FIND(";",SUBSTITUTE(D413,"|",REPT(";",LEN(D413)),5))-1)</f>
        <v/>
      </c>
    </row>
    <row r="414" ht="126" customHeight="1" s="21">
      <c r="A414" s="13" t="inlineStr">
        <is>
          <t>100201</t>
        </is>
      </c>
      <c r="B414" s="13" t="inlineStr">
        <is>
          <t>圆钢</t>
        </is>
      </c>
      <c r="C414" s="13" t="inlineStr">
        <is>
          <t>600619800</t>
        </is>
      </c>
      <c r="D414" s="13" t="inlineStr">
        <is>
          <t>热轧不锈圆钢|圆钢|20Cr13|Φ28|GB/T 1220-2007|热轧|GB/T 702-2008</t>
        </is>
      </c>
      <c r="E414" s="13" t="inlineStr">
        <is>
          <t>物资名称 热轧不锈圆钢;物资简称 圆钢;牌号 20Cr13;直径 Φ28;技术标准号 GB/T 1220-2007;加工工艺 热轧;热处理工艺 ;特殊要求 ;规格标准号 GB/T 702-2008</t>
        </is>
      </c>
      <c r="F414" s="12" t="inlineStr">
        <is>
          <t>千克</t>
        </is>
      </c>
      <c r="G414" s="11">
        <f>LEFT(D414,FIND("|",D414,1)-1)</f>
        <v/>
      </c>
      <c r="H414" s="11">
        <f>MID(D414,FIND("|",D414,FIND("|",D414,1))+1,FIND("|",D414,FIND("|",D414,1)+1)-FIND("|",D414,FIND("|",D414,1))-1)</f>
        <v/>
      </c>
      <c r="J414" s="11">
        <f>MID(D414,FIND(";",SUBSTITUTE(D414,"|",REPT(";",LEN(D414)),2))+1,FIND(";",SUBSTITUTE(D414,"|",REPT(";",LEN(D414)),3))-FIND(";",SUBSTITUTE(D414,"|",REPT(";",LEN(D414)),2))-1)</f>
        <v/>
      </c>
      <c r="K414" s="11">
        <f>MID(D414,FIND(";",SUBSTITUTE(D414,"|",REPT(";",LEN(D414)),3))+1,FIND(";",SUBSTITUTE(D414,"|",REPT(";",LEN(D414)),4))-FIND(";",SUBSTITUTE(D414,"|",REPT(";",LEN(D414)),3))-1)</f>
        <v/>
      </c>
      <c r="M414" s="11">
        <f>MID(D414,FIND(";",SUBSTITUTE(D414,"|",REPT(";",LEN(D414)),4))+1,FIND(";",SUBSTITUTE(D414,"|",REPT(";",LEN(D414)),5))-FIND(";",SUBSTITUTE(D414,"|",REPT(";",LEN(D414)),4))-1)</f>
        <v/>
      </c>
      <c r="N414" s="11">
        <f>MID(D414,FIND(";",SUBSTITUTE(D414,"|",REPT(";",LEN(D414)),6))+1,LEN(D414))</f>
        <v/>
      </c>
      <c r="O414" s="11">
        <f>MID(D414,FIND(";",SUBSTITUTE(D414,"|",REPT(";",LEN(D414)),5))+1,FIND(";",SUBSTITUTE(D414,"|",REPT(";",LEN(D414)),6))-FIND(";",SUBSTITUTE(D414,"|",REPT(";",LEN(D414)),5))-1)</f>
        <v/>
      </c>
    </row>
    <row r="415" ht="126" customHeight="1" s="21">
      <c r="A415" s="13" t="inlineStr">
        <is>
          <t>100201</t>
        </is>
      </c>
      <c r="B415" s="13" t="inlineStr">
        <is>
          <t>圆钢</t>
        </is>
      </c>
      <c r="C415" s="13" t="inlineStr">
        <is>
          <t>600619700</t>
        </is>
      </c>
      <c r="D415" s="13" t="inlineStr">
        <is>
          <t>热轧不锈圆钢|圆钢|20Cr13|Φ32|GB/T 1220-2007|热轧|GB/T 702-2008</t>
        </is>
      </c>
      <c r="E415" s="13" t="inlineStr">
        <is>
          <t>物资名称 热轧不锈圆钢;物资简称 圆钢;牌号 20Cr13;直径 Φ32;技术标准号 GB/T 1220-2007;加工工艺 热轧;热处理工艺 ;特殊要求 ;规格标准号 GB/T 702-2008</t>
        </is>
      </c>
      <c r="F415" s="12" t="inlineStr">
        <is>
          <t>千克</t>
        </is>
      </c>
      <c r="G415" s="11">
        <f>LEFT(D415,FIND("|",D415,1)-1)</f>
        <v/>
      </c>
      <c r="H415" s="11">
        <f>MID(D415,FIND("|",D415,FIND("|",D415,1))+1,FIND("|",D415,FIND("|",D415,1)+1)-FIND("|",D415,FIND("|",D415,1))-1)</f>
        <v/>
      </c>
      <c r="J415" s="11">
        <f>MID(D415,FIND(";",SUBSTITUTE(D415,"|",REPT(";",LEN(D415)),2))+1,FIND(";",SUBSTITUTE(D415,"|",REPT(";",LEN(D415)),3))-FIND(";",SUBSTITUTE(D415,"|",REPT(";",LEN(D415)),2))-1)</f>
        <v/>
      </c>
      <c r="K415" s="11">
        <f>MID(D415,FIND(";",SUBSTITUTE(D415,"|",REPT(";",LEN(D415)),3))+1,FIND(";",SUBSTITUTE(D415,"|",REPT(";",LEN(D415)),4))-FIND(";",SUBSTITUTE(D415,"|",REPT(";",LEN(D415)),3))-1)</f>
        <v/>
      </c>
      <c r="M415" s="11">
        <f>MID(D415,FIND(";",SUBSTITUTE(D415,"|",REPT(";",LEN(D415)),4))+1,FIND(";",SUBSTITUTE(D415,"|",REPT(";",LEN(D415)),5))-FIND(";",SUBSTITUTE(D415,"|",REPT(";",LEN(D415)),4))-1)</f>
        <v/>
      </c>
      <c r="N415" s="11">
        <f>MID(D415,FIND(";",SUBSTITUTE(D415,"|",REPT(";",LEN(D415)),6))+1,LEN(D415))</f>
        <v/>
      </c>
      <c r="O415" s="11">
        <f>MID(D415,FIND(";",SUBSTITUTE(D415,"|",REPT(";",LEN(D415)),5))+1,FIND(";",SUBSTITUTE(D415,"|",REPT(";",LEN(D415)),6))-FIND(";",SUBSTITUTE(D415,"|",REPT(";",LEN(D415)),5))-1)</f>
        <v/>
      </c>
    </row>
    <row r="416" ht="126" customHeight="1" s="21">
      <c r="A416" s="13" t="inlineStr">
        <is>
          <t>100201</t>
        </is>
      </c>
      <c r="B416" s="13" t="inlineStr">
        <is>
          <t>圆钢</t>
        </is>
      </c>
      <c r="C416" s="13" t="inlineStr">
        <is>
          <t>600619600</t>
        </is>
      </c>
      <c r="D416" s="13" t="inlineStr">
        <is>
          <t>热轧不锈圆钢|圆钢|20Cr13|Φ35|GB/T 1220-2007|热轧|GB/T 702-2008</t>
        </is>
      </c>
      <c r="E416" s="13" t="inlineStr">
        <is>
          <t>物资名称 热轧不锈圆钢;物资简称 圆钢;牌号 20Cr13;直径 Φ35;技术标准号 GB/T 1220-2007;加工工艺 热轧;热处理工艺 ;特殊要求 ;规格标准号 GB/T 702-2008</t>
        </is>
      </c>
      <c r="F416" s="12" t="inlineStr">
        <is>
          <t>千克</t>
        </is>
      </c>
      <c r="G416" s="11">
        <f>LEFT(D416,FIND("|",D416,1)-1)</f>
        <v/>
      </c>
      <c r="H416" s="11">
        <f>MID(D416,FIND("|",D416,FIND("|",D416,1))+1,FIND("|",D416,FIND("|",D416,1)+1)-FIND("|",D416,FIND("|",D416,1))-1)</f>
        <v/>
      </c>
      <c r="J416" s="11">
        <f>MID(D416,FIND(";",SUBSTITUTE(D416,"|",REPT(";",LEN(D416)),2))+1,FIND(";",SUBSTITUTE(D416,"|",REPT(";",LEN(D416)),3))-FIND(";",SUBSTITUTE(D416,"|",REPT(";",LEN(D416)),2))-1)</f>
        <v/>
      </c>
      <c r="K416" s="11">
        <f>MID(D416,FIND(";",SUBSTITUTE(D416,"|",REPT(";",LEN(D416)),3))+1,FIND(";",SUBSTITUTE(D416,"|",REPT(";",LEN(D416)),4))-FIND(";",SUBSTITUTE(D416,"|",REPT(";",LEN(D416)),3))-1)</f>
        <v/>
      </c>
      <c r="M416" s="11">
        <f>MID(D416,FIND(";",SUBSTITUTE(D416,"|",REPT(";",LEN(D416)),4))+1,FIND(";",SUBSTITUTE(D416,"|",REPT(";",LEN(D416)),5))-FIND(";",SUBSTITUTE(D416,"|",REPT(";",LEN(D416)),4))-1)</f>
        <v/>
      </c>
      <c r="N416" s="11">
        <f>MID(D416,FIND(";",SUBSTITUTE(D416,"|",REPT(";",LEN(D416)),6))+1,LEN(D416))</f>
        <v/>
      </c>
      <c r="O416" s="11">
        <f>MID(D416,FIND(";",SUBSTITUTE(D416,"|",REPT(";",LEN(D416)),5))+1,FIND(";",SUBSTITUTE(D416,"|",REPT(";",LEN(D416)),6))-FIND(";",SUBSTITUTE(D416,"|",REPT(";",LEN(D416)),5))-1)</f>
        <v/>
      </c>
    </row>
    <row r="417" ht="126" customHeight="1" s="21">
      <c r="A417" s="13" t="inlineStr">
        <is>
          <t>100201</t>
        </is>
      </c>
      <c r="B417" s="13" t="inlineStr">
        <is>
          <t>圆钢</t>
        </is>
      </c>
      <c r="C417" s="13" t="inlineStr">
        <is>
          <t>600619500</t>
        </is>
      </c>
      <c r="D417" s="13" t="inlineStr">
        <is>
          <t>热轧不锈圆钢|圆钢|20Cr13|Φ36|GB/T 1220-2007|热轧|GB/T 702-2008</t>
        </is>
      </c>
      <c r="E417" s="13" t="inlineStr">
        <is>
          <t>物资名称 热轧不锈圆钢;物资简称 圆钢;牌号 20Cr13;直径 Φ36;技术标准号 GB/T 1220-2007;加工工艺 热轧;热处理工艺 ;特殊要求 ;规格标准号 GB/T 702-2008</t>
        </is>
      </c>
      <c r="F417" s="12" t="inlineStr">
        <is>
          <t>千克</t>
        </is>
      </c>
      <c r="G417" s="11">
        <f>LEFT(D417,FIND("|",D417,1)-1)</f>
        <v/>
      </c>
      <c r="H417" s="11">
        <f>MID(D417,FIND("|",D417,FIND("|",D417,1))+1,FIND("|",D417,FIND("|",D417,1)+1)-FIND("|",D417,FIND("|",D417,1))-1)</f>
        <v/>
      </c>
      <c r="J417" s="11">
        <f>MID(D417,FIND(";",SUBSTITUTE(D417,"|",REPT(";",LEN(D417)),2))+1,FIND(";",SUBSTITUTE(D417,"|",REPT(";",LEN(D417)),3))-FIND(";",SUBSTITUTE(D417,"|",REPT(";",LEN(D417)),2))-1)</f>
        <v/>
      </c>
      <c r="K417" s="11">
        <f>MID(D417,FIND(";",SUBSTITUTE(D417,"|",REPT(";",LEN(D417)),3))+1,FIND(";",SUBSTITUTE(D417,"|",REPT(";",LEN(D417)),4))-FIND(";",SUBSTITUTE(D417,"|",REPT(";",LEN(D417)),3))-1)</f>
        <v/>
      </c>
      <c r="M417" s="11">
        <f>MID(D417,FIND(";",SUBSTITUTE(D417,"|",REPT(";",LEN(D417)),4))+1,FIND(";",SUBSTITUTE(D417,"|",REPT(";",LEN(D417)),5))-FIND(";",SUBSTITUTE(D417,"|",REPT(";",LEN(D417)),4))-1)</f>
        <v/>
      </c>
      <c r="N417" s="11">
        <f>MID(D417,FIND(";",SUBSTITUTE(D417,"|",REPT(";",LEN(D417)),6))+1,LEN(D417))</f>
        <v/>
      </c>
      <c r="O417" s="11">
        <f>MID(D417,FIND(";",SUBSTITUTE(D417,"|",REPT(";",LEN(D417)),5))+1,FIND(";",SUBSTITUTE(D417,"|",REPT(";",LEN(D417)),6))-FIND(";",SUBSTITUTE(D417,"|",REPT(";",LEN(D417)),5))-1)</f>
        <v/>
      </c>
    </row>
    <row r="418" ht="126" customHeight="1" s="21">
      <c r="A418" s="13" t="inlineStr">
        <is>
          <t>100201</t>
        </is>
      </c>
      <c r="B418" s="13" t="inlineStr">
        <is>
          <t>圆钢</t>
        </is>
      </c>
      <c r="C418" s="13" t="inlineStr">
        <is>
          <t>600619400</t>
        </is>
      </c>
      <c r="D418" s="13" t="inlineStr">
        <is>
          <t>热轧不锈圆钢|圆钢|20Cr13|Φ42|GB/T 1220-2007|热轧|GB/T 702-2008</t>
        </is>
      </c>
      <c r="E418" s="13" t="inlineStr">
        <is>
          <t>物资名称 热轧不锈圆钢;物资简称 圆钢;牌号 20Cr13;直径 Φ42;技术标准号 GB/T 1220-2007;加工工艺 热轧;热处理工艺 ;特殊要求 ;规格标准号 GB/T 702-2008</t>
        </is>
      </c>
      <c r="F418" s="12" t="inlineStr">
        <is>
          <t>千克</t>
        </is>
      </c>
      <c r="G418" s="11">
        <f>LEFT(D418,FIND("|",D418,1)-1)</f>
        <v/>
      </c>
      <c r="H418" s="11">
        <f>MID(D418,FIND("|",D418,FIND("|",D418,1))+1,FIND("|",D418,FIND("|",D418,1)+1)-FIND("|",D418,FIND("|",D418,1))-1)</f>
        <v/>
      </c>
      <c r="J418" s="11">
        <f>MID(D418,FIND(";",SUBSTITUTE(D418,"|",REPT(";",LEN(D418)),2))+1,FIND(";",SUBSTITUTE(D418,"|",REPT(";",LEN(D418)),3))-FIND(";",SUBSTITUTE(D418,"|",REPT(";",LEN(D418)),2))-1)</f>
        <v/>
      </c>
      <c r="K418" s="11">
        <f>MID(D418,FIND(";",SUBSTITUTE(D418,"|",REPT(";",LEN(D418)),3))+1,FIND(";",SUBSTITUTE(D418,"|",REPT(";",LEN(D418)),4))-FIND(";",SUBSTITUTE(D418,"|",REPT(";",LEN(D418)),3))-1)</f>
        <v/>
      </c>
      <c r="M418" s="11">
        <f>MID(D418,FIND(";",SUBSTITUTE(D418,"|",REPT(";",LEN(D418)),4))+1,FIND(";",SUBSTITUTE(D418,"|",REPT(";",LEN(D418)),5))-FIND(";",SUBSTITUTE(D418,"|",REPT(";",LEN(D418)),4))-1)</f>
        <v/>
      </c>
      <c r="N418" s="11">
        <f>MID(D418,FIND(";",SUBSTITUTE(D418,"|",REPT(";",LEN(D418)),6))+1,LEN(D418))</f>
        <v/>
      </c>
      <c r="O418" s="11">
        <f>MID(D418,FIND(";",SUBSTITUTE(D418,"|",REPT(";",LEN(D418)),5))+1,FIND(";",SUBSTITUTE(D418,"|",REPT(";",LEN(D418)),6))-FIND(";",SUBSTITUTE(D418,"|",REPT(";",LEN(D418)),5))-1)</f>
        <v/>
      </c>
    </row>
    <row r="419" ht="126" customHeight="1" s="21">
      <c r="A419" s="13" t="inlineStr">
        <is>
          <t>100201</t>
        </is>
      </c>
      <c r="B419" s="13" t="inlineStr">
        <is>
          <t>圆钢</t>
        </is>
      </c>
      <c r="C419" s="13" t="inlineStr">
        <is>
          <t>600619300</t>
        </is>
      </c>
      <c r="D419" s="13" t="inlineStr">
        <is>
          <t>热轧不锈圆钢|圆钢|20Cr13|Φ45|GB/T 1220-2007|热轧|GB/T 702-2008</t>
        </is>
      </c>
      <c r="E419" s="13" t="inlineStr">
        <is>
          <t>物资名称 热轧不锈圆钢;物资简称 圆钢;牌号 20Cr13;直径 Φ45;技术标准号 GB/T 1220-2007;加工工艺 热轧;热处理工艺 ;特殊要求 ;规格标准号 GB/T 702-2008</t>
        </is>
      </c>
      <c r="F419" s="12" t="inlineStr">
        <is>
          <t>千克</t>
        </is>
      </c>
      <c r="G419" s="11">
        <f>LEFT(D419,FIND("|",D419,1)-1)</f>
        <v/>
      </c>
      <c r="H419" s="11">
        <f>MID(D419,FIND("|",D419,FIND("|",D419,1))+1,FIND("|",D419,FIND("|",D419,1)+1)-FIND("|",D419,FIND("|",D419,1))-1)</f>
        <v/>
      </c>
      <c r="J419" s="11">
        <f>MID(D419,FIND(";",SUBSTITUTE(D419,"|",REPT(";",LEN(D419)),2))+1,FIND(";",SUBSTITUTE(D419,"|",REPT(";",LEN(D419)),3))-FIND(";",SUBSTITUTE(D419,"|",REPT(";",LEN(D419)),2))-1)</f>
        <v/>
      </c>
      <c r="K419" s="11">
        <f>MID(D419,FIND(";",SUBSTITUTE(D419,"|",REPT(";",LEN(D419)),3))+1,FIND(";",SUBSTITUTE(D419,"|",REPT(";",LEN(D419)),4))-FIND(";",SUBSTITUTE(D419,"|",REPT(";",LEN(D419)),3))-1)</f>
        <v/>
      </c>
      <c r="M419" s="11">
        <f>MID(D419,FIND(";",SUBSTITUTE(D419,"|",REPT(";",LEN(D419)),4))+1,FIND(";",SUBSTITUTE(D419,"|",REPT(";",LEN(D419)),5))-FIND(";",SUBSTITUTE(D419,"|",REPT(";",LEN(D419)),4))-1)</f>
        <v/>
      </c>
      <c r="N419" s="11">
        <f>MID(D419,FIND(";",SUBSTITUTE(D419,"|",REPT(";",LEN(D419)),6))+1,LEN(D419))</f>
        <v/>
      </c>
      <c r="O419" s="11">
        <f>MID(D419,FIND(";",SUBSTITUTE(D419,"|",REPT(";",LEN(D419)),5))+1,FIND(";",SUBSTITUTE(D419,"|",REPT(";",LEN(D419)),6))-FIND(";",SUBSTITUTE(D419,"|",REPT(";",LEN(D419)),5))-1)</f>
        <v/>
      </c>
    </row>
    <row r="420" ht="126" customHeight="1" s="21">
      <c r="A420" s="13" t="inlineStr">
        <is>
          <t>100201</t>
        </is>
      </c>
      <c r="B420" s="13" t="inlineStr">
        <is>
          <t>圆钢</t>
        </is>
      </c>
      <c r="C420" s="13" t="inlineStr">
        <is>
          <t>600619200</t>
        </is>
      </c>
      <c r="D420" s="13" t="inlineStr">
        <is>
          <t>热轧不锈圆钢|圆钢|20Cr13|Φ50|GB/T 1220-2007|热轧|GB/T 702-2008</t>
        </is>
      </c>
      <c r="E420" s="13" t="inlineStr">
        <is>
          <t>物资名称 热轧不锈圆钢;物资简称 圆钢;牌号 20Cr13;直径 Φ50;技术标准号 GB/T 1220-2007;加工工艺 热轧;热处理工艺 ;特殊要求 ;规格标准号 GB/T 702-2008</t>
        </is>
      </c>
      <c r="F420" s="12" t="inlineStr">
        <is>
          <t>千克</t>
        </is>
      </c>
      <c r="G420" s="11">
        <f>LEFT(D420,FIND("|",D420,1)-1)</f>
        <v/>
      </c>
      <c r="H420" s="11">
        <f>MID(D420,FIND("|",D420,FIND("|",D420,1))+1,FIND("|",D420,FIND("|",D420,1)+1)-FIND("|",D420,FIND("|",D420,1))-1)</f>
        <v/>
      </c>
      <c r="J420" s="11">
        <f>MID(D420,FIND(";",SUBSTITUTE(D420,"|",REPT(";",LEN(D420)),2))+1,FIND(";",SUBSTITUTE(D420,"|",REPT(";",LEN(D420)),3))-FIND(";",SUBSTITUTE(D420,"|",REPT(";",LEN(D420)),2))-1)</f>
        <v/>
      </c>
      <c r="K420" s="11">
        <f>MID(D420,FIND(";",SUBSTITUTE(D420,"|",REPT(";",LEN(D420)),3))+1,FIND(";",SUBSTITUTE(D420,"|",REPT(";",LEN(D420)),4))-FIND(";",SUBSTITUTE(D420,"|",REPT(";",LEN(D420)),3))-1)</f>
        <v/>
      </c>
      <c r="M420" s="11">
        <f>MID(D420,FIND(";",SUBSTITUTE(D420,"|",REPT(";",LEN(D420)),4))+1,FIND(";",SUBSTITUTE(D420,"|",REPT(";",LEN(D420)),5))-FIND(";",SUBSTITUTE(D420,"|",REPT(";",LEN(D420)),4))-1)</f>
        <v/>
      </c>
      <c r="N420" s="11">
        <f>MID(D420,FIND(";",SUBSTITUTE(D420,"|",REPT(";",LEN(D420)),6))+1,LEN(D420))</f>
        <v/>
      </c>
      <c r="O420" s="11">
        <f>MID(D420,FIND(";",SUBSTITUTE(D420,"|",REPT(";",LEN(D420)),5))+1,FIND(";",SUBSTITUTE(D420,"|",REPT(";",LEN(D420)),6))-FIND(";",SUBSTITUTE(D420,"|",REPT(";",LEN(D420)),5))-1)</f>
        <v/>
      </c>
    </row>
    <row r="421" ht="126" customHeight="1" s="21">
      <c r="A421" s="13" t="inlineStr">
        <is>
          <t>100201</t>
        </is>
      </c>
      <c r="B421" s="13" t="inlineStr">
        <is>
          <t>圆钢</t>
        </is>
      </c>
      <c r="C421" s="13" t="inlineStr">
        <is>
          <t>600619100</t>
        </is>
      </c>
      <c r="D421" s="13" t="inlineStr">
        <is>
          <t>热轧不锈圆钢|圆钢|20Cr13|Φ55|GB/T 1220-2007|热轧|GB/T 702-2008</t>
        </is>
      </c>
      <c r="E421" s="13" t="inlineStr">
        <is>
          <t>物资名称 热轧不锈圆钢;物资简称 圆钢;牌号 20Cr13;直径 Φ55;技术标准号 GB/T 1220-2007;加工工艺 热轧;热处理工艺 ;特殊要求 ;规格标准号 GB/T 702-2008</t>
        </is>
      </c>
      <c r="F421" s="12" t="inlineStr">
        <is>
          <t>千克</t>
        </is>
      </c>
      <c r="G421" s="11">
        <f>LEFT(D421,FIND("|",D421,1)-1)</f>
        <v/>
      </c>
      <c r="H421" s="11">
        <f>MID(D421,FIND("|",D421,FIND("|",D421,1))+1,FIND("|",D421,FIND("|",D421,1)+1)-FIND("|",D421,FIND("|",D421,1))-1)</f>
        <v/>
      </c>
      <c r="J421" s="11">
        <f>MID(D421,FIND(";",SUBSTITUTE(D421,"|",REPT(";",LEN(D421)),2))+1,FIND(";",SUBSTITUTE(D421,"|",REPT(";",LEN(D421)),3))-FIND(";",SUBSTITUTE(D421,"|",REPT(";",LEN(D421)),2))-1)</f>
        <v/>
      </c>
      <c r="K421" s="11">
        <f>MID(D421,FIND(";",SUBSTITUTE(D421,"|",REPT(";",LEN(D421)),3))+1,FIND(";",SUBSTITUTE(D421,"|",REPT(";",LEN(D421)),4))-FIND(";",SUBSTITUTE(D421,"|",REPT(";",LEN(D421)),3))-1)</f>
        <v/>
      </c>
      <c r="M421" s="11">
        <f>MID(D421,FIND(";",SUBSTITUTE(D421,"|",REPT(";",LEN(D421)),4))+1,FIND(";",SUBSTITUTE(D421,"|",REPT(";",LEN(D421)),5))-FIND(";",SUBSTITUTE(D421,"|",REPT(";",LEN(D421)),4))-1)</f>
        <v/>
      </c>
      <c r="N421" s="11">
        <f>MID(D421,FIND(";",SUBSTITUTE(D421,"|",REPT(";",LEN(D421)),6))+1,LEN(D421))</f>
        <v/>
      </c>
      <c r="O421" s="11">
        <f>MID(D421,FIND(";",SUBSTITUTE(D421,"|",REPT(";",LEN(D421)),5))+1,FIND(";",SUBSTITUTE(D421,"|",REPT(";",LEN(D421)),6))-FIND(";",SUBSTITUTE(D421,"|",REPT(";",LEN(D421)),5))-1)</f>
        <v/>
      </c>
    </row>
    <row r="422" ht="126" customHeight="1" s="21">
      <c r="A422" s="13" t="inlineStr">
        <is>
          <t>100201</t>
        </is>
      </c>
      <c r="B422" s="13" t="inlineStr">
        <is>
          <t>圆钢</t>
        </is>
      </c>
      <c r="C422" s="13" t="inlineStr">
        <is>
          <t>600619000</t>
        </is>
      </c>
      <c r="D422" s="13" t="inlineStr">
        <is>
          <t>热轧不锈圆钢|圆钢|20Cr13|Φ60|GB/T 1220-2007|热轧|GB/T 702-2008</t>
        </is>
      </c>
      <c r="E422" s="13" t="inlineStr">
        <is>
          <t>物资名称 热轧不锈圆钢;物资简称 圆钢;牌号 20Cr13;直径 Φ60;技术标准号 GB/T 1220-2007;加工工艺 热轧;热处理工艺 ;特殊要求 ;规格标准号 GB/T 702-2008</t>
        </is>
      </c>
      <c r="F422" s="12" t="inlineStr">
        <is>
          <t>千克</t>
        </is>
      </c>
      <c r="G422" s="11">
        <f>LEFT(D422,FIND("|",D422,1)-1)</f>
        <v/>
      </c>
      <c r="H422" s="11">
        <f>MID(D422,FIND("|",D422,FIND("|",D422,1))+1,FIND("|",D422,FIND("|",D422,1)+1)-FIND("|",D422,FIND("|",D422,1))-1)</f>
        <v/>
      </c>
      <c r="J422" s="11">
        <f>MID(D422,FIND(";",SUBSTITUTE(D422,"|",REPT(";",LEN(D422)),2))+1,FIND(";",SUBSTITUTE(D422,"|",REPT(";",LEN(D422)),3))-FIND(";",SUBSTITUTE(D422,"|",REPT(";",LEN(D422)),2))-1)</f>
        <v/>
      </c>
      <c r="K422" s="11">
        <f>MID(D422,FIND(";",SUBSTITUTE(D422,"|",REPT(";",LEN(D422)),3))+1,FIND(";",SUBSTITUTE(D422,"|",REPT(";",LEN(D422)),4))-FIND(";",SUBSTITUTE(D422,"|",REPT(";",LEN(D422)),3))-1)</f>
        <v/>
      </c>
      <c r="M422" s="11">
        <f>MID(D422,FIND(";",SUBSTITUTE(D422,"|",REPT(";",LEN(D422)),4))+1,FIND(";",SUBSTITUTE(D422,"|",REPT(";",LEN(D422)),5))-FIND(";",SUBSTITUTE(D422,"|",REPT(";",LEN(D422)),4))-1)</f>
        <v/>
      </c>
      <c r="N422" s="11">
        <f>MID(D422,FIND(";",SUBSTITUTE(D422,"|",REPT(";",LEN(D422)),6))+1,LEN(D422))</f>
        <v/>
      </c>
      <c r="O422" s="11">
        <f>MID(D422,FIND(";",SUBSTITUTE(D422,"|",REPT(";",LEN(D422)),5))+1,FIND(";",SUBSTITUTE(D422,"|",REPT(";",LEN(D422)),6))-FIND(";",SUBSTITUTE(D422,"|",REPT(";",LEN(D422)),5))-1)</f>
        <v/>
      </c>
    </row>
    <row r="423" ht="126" customHeight="1" s="21">
      <c r="A423" s="13" t="inlineStr">
        <is>
          <t>100201</t>
        </is>
      </c>
      <c r="B423" s="13" t="inlineStr">
        <is>
          <t>圆钢</t>
        </is>
      </c>
      <c r="C423" s="13" t="inlineStr">
        <is>
          <t>600618900</t>
        </is>
      </c>
      <c r="D423" s="13" t="inlineStr">
        <is>
          <t>热轧不锈圆钢|圆钢|20Cr13|Φ65|GB/T 1220-2007|热轧|GB/T 702-2008</t>
        </is>
      </c>
      <c r="E423" s="13" t="inlineStr">
        <is>
          <t>物资名称 热轧不锈圆钢;物资简称 圆钢;牌号 20Cr13;直径 Φ65;技术标准号 GB/T 1220-2007;加工工艺 热轧;热处理工艺 ;特殊要求 ;规格标准号 GB/T 702-2008</t>
        </is>
      </c>
      <c r="F423" s="12" t="inlineStr">
        <is>
          <t>千克</t>
        </is>
      </c>
      <c r="G423" s="11">
        <f>LEFT(D423,FIND("|",D423,1)-1)</f>
        <v/>
      </c>
      <c r="H423" s="11">
        <f>MID(D423,FIND("|",D423,FIND("|",D423,1))+1,FIND("|",D423,FIND("|",D423,1)+1)-FIND("|",D423,FIND("|",D423,1))-1)</f>
        <v/>
      </c>
      <c r="J423" s="11">
        <f>MID(D423,FIND(";",SUBSTITUTE(D423,"|",REPT(";",LEN(D423)),2))+1,FIND(";",SUBSTITUTE(D423,"|",REPT(";",LEN(D423)),3))-FIND(";",SUBSTITUTE(D423,"|",REPT(";",LEN(D423)),2))-1)</f>
        <v/>
      </c>
      <c r="K423" s="11">
        <f>MID(D423,FIND(";",SUBSTITUTE(D423,"|",REPT(";",LEN(D423)),3))+1,FIND(";",SUBSTITUTE(D423,"|",REPT(";",LEN(D423)),4))-FIND(";",SUBSTITUTE(D423,"|",REPT(";",LEN(D423)),3))-1)</f>
        <v/>
      </c>
      <c r="M423" s="11">
        <f>MID(D423,FIND(";",SUBSTITUTE(D423,"|",REPT(";",LEN(D423)),4))+1,FIND(";",SUBSTITUTE(D423,"|",REPT(";",LEN(D423)),5))-FIND(";",SUBSTITUTE(D423,"|",REPT(";",LEN(D423)),4))-1)</f>
        <v/>
      </c>
      <c r="N423" s="11">
        <f>MID(D423,FIND(";",SUBSTITUTE(D423,"|",REPT(";",LEN(D423)),6))+1,LEN(D423))</f>
        <v/>
      </c>
      <c r="O423" s="11">
        <f>MID(D423,FIND(";",SUBSTITUTE(D423,"|",REPT(";",LEN(D423)),5))+1,FIND(";",SUBSTITUTE(D423,"|",REPT(";",LEN(D423)),6))-FIND(";",SUBSTITUTE(D423,"|",REPT(";",LEN(D423)),5))-1)</f>
        <v/>
      </c>
    </row>
    <row r="424" ht="126" customHeight="1" s="21">
      <c r="A424" s="13" t="inlineStr">
        <is>
          <t>100201</t>
        </is>
      </c>
      <c r="B424" s="13" t="inlineStr">
        <is>
          <t>圆钢</t>
        </is>
      </c>
      <c r="C424" s="13" t="inlineStr">
        <is>
          <t>600618800</t>
        </is>
      </c>
      <c r="D424" s="13" t="inlineStr">
        <is>
          <t>热轧不锈圆钢|圆钢|20Cr13|Φ70|GB/T 1220-2007|热轧|GB/T 702-2008</t>
        </is>
      </c>
      <c r="E424" s="13" t="inlineStr">
        <is>
          <t>物资名称 热轧不锈圆钢;物资简称 圆钢;牌号 20Cr13;直径 Φ70;技术标准号 GB/T 1220-2007;加工工艺 热轧;热处理工艺 ;特殊要求 ;规格标准号 GB/T 702-2008</t>
        </is>
      </c>
      <c r="F424" s="12" t="inlineStr">
        <is>
          <t>千克</t>
        </is>
      </c>
      <c r="G424" s="11">
        <f>LEFT(D424,FIND("|",D424,1)-1)</f>
        <v/>
      </c>
      <c r="H424" s="11">
        <f>MID(D424,FIND("|",D424,FIND("|",D424,1))+1,FIND("|",D424,FIND("|",D424,1)+1)-FIND("|",D424,FIND("|",D424,1))-1)</f>
        <v/>
      </c>
      <c r="J424" s="11">
        <f>MID(D424,FIND(";",SUBSTITUTE(D424,"|",REPT(";",LEN(D424)),2))+1,FIND(";",SUBSTITUTE(D424,"|",REPT(";",LEN(D424)),3))-FIND(";",SUBSTITUTE(D424,"|",REPT(";",LEN(D424)),2))-1)</f>
        <v/>
      </c>
      <c r="K424" s="11">
        <f>MID(D424,FIND(";",SUBSTITUTE(D424,"|",REPT(";",LEN(D424)),3))+1,FIND(";",SUBSTITUTE(D424,"|",REPT(";",LEN(D424)),4))-FIND(";",SUBSTITUTE(D424,"|",REPT(";",LEN(D424)),3))-1)</f>
        <v/>
      </c>
      <c r="M424" s="11">
        <f>MID(D424,FIND(";",SUBSTITUTE(D424,"|",REPT(";",LEN(D424)),4))+1,FIND(";",SUBSTITUTE(D424,"|",REPT(";",LEN(D424)),5))-FIND(";",SUBSTITUTE(D424,"|",REPT(";",LEN(D424)),4))-1)</f>
        <v/>
      </c>
      <c r="N424" s="11">
        <f>MID(D424,FIND(";",SUBSTITUTE(D424,"|",REPT(";",LEN(D424)),6))+1,LEN(D424))</f>
        <v/>
      </c>
      <c r="O424" s="11">
        <f>MID(D424,FIND(";",SUBSTITUTE(D424,"|",REPT(";",LEN(D424)),5))+1,FIND(";",SUBSTITUTE(D424,"|",REPT(";",LEN(D424)),6))-FIND(";",SUBSTITUTE(D424,"|",REPT(";",LEN(D424)),5))-1)</f>
        <v/>
      </c>
    </row>
    <row r="425" ht="126" customHeight="1" s="21">
      <c r="A425" s="13" t="inlineStr">
        <is>
          <t>100201</t>
        </is>
      </c>
      <c r="B425" s="13" t="inlineStr">
        <is>
          <t>圆钢</t>
        </is>
      </c>
      <c r="C425" s="13" t="inlineStr">
        <is>
          <t>600618700</t>
        </is>
      </c>
      <c r="D425" s="13" t="inlineStr">
        <is>
          <t>热轧不锈圆钢|圆钢|20Cr13|Φ75|GB/T 1220-2007|热轧|GB/T 702-2008</t>
        </is>
      </c>
      <c r="E425" s="13" t="inlineStr">
        <is>
          <t>物资名称 热轧不锈圆钢;物资简称 圆钢;牌号 20Cr13;直径 Φ75;技术标准号 GB/T 1220-2007;加工工艺 热轧;热处理工艺 ;特殊要求 ;规格标准号 GB/T 702-2008</t>
        </is>
      </c>
      <c r="F425" s="12" t="inlineStr">
        <is>
          <t>千克</t>
        </is>
      </c>
      <c r="G425" s="11">
        <f>LEFT(D425,FIND("|",D425,1)-1)</f>
        <v/>
      </c>
      <c r="H425" s="11">
        <f>MID(D425,FIND("|",D425,FIND("|",D425,1))+1,FIND("|",D425,FIND("|",D425,1)+1)-FIND("|",D425,FIND("|",D425,1))-1)</f>
        <v/>
      </c>
      <c r="J425" s="11">
        <f>MID(D425,FIND(";",SUBSTITUTE(D425,"|",REPT(";",LEN(D425)),2))+1,FIND(";",SUBSTITUTE(D425,"|",REPT(";",LEN(D425)),3))-FIND(";",SUBSTITUTE(D425,"|",REPT(";",LEN(D425)),2))-1)</f>
        <v/>
      </c>
      <c r="K425" s="11">
        <f>MID(D425,FIND(";",SUBSTITUTE(D425,"|",REPT(";",LEN(D425)),3))+1,FIND(";",SUBSTITUTE(D425,"|",REPT(";",LEN(D425)),4))-FIND(";",SUBSTITUTE(D425,"|",REPT(";",LEN(D425)),3))-1)</f>
        <v/>
      </c>
      <c r="M425" s="11">
        <f>MID(D425,FIND(";",SUBSTITUTE(D425,"|",REPT(";",LEN(D425)),4))+1,FIND(";",SUBSTITUTE(D425,"|",REPT(";",LEN(D425)),5))-FIND(";",SUBSTITUTE(D425,"|",REPT(";",LEN(D425)),4))-1)</f>
        <v/>
      </c>
      <c r="N425" s="11">
        <f>MID(D425,FIND(";",SUBSTITUTE(D425,"|",REPT(";",LEN(D425)),6))+1,LEN(D425))</f>
        <v/>
      </c>
      <c r="O425" s="11">
        <f>MID(D425,FIND(";",SUBSTITUTE(D425,"|",REPT(";",LEN(D425)),5))+1,FIND(";",SUBSTITUTE(D425,"|",REPT(";",LEN(D425)),6))-FIND(";",SUBSTITUTE(D425,"|",REPT(";",LEN(D425)),5))-1)</f>
        <v/>
      </c>
    </row>
    <row r="426" ht="126" customHeight="1" s="21">
      <c r="A426" s="13" t="inlineStr">
        <is>
          <t>100201</t>
        </is>
      </c>
      <c r="B426" s="13" t="inlineStr">
        <is>
          <t>圆钢</t>
        </is>
      </c>
      <c r="C426" s="13" t="inlineStr">
        <is>
          <t>600618600</t>
        </is>
      </c>
      <c r="D426" s="13" t="inlineStr">
        <is>
          <t>热轧不锈圆钢|圆钢|20Cr13|Φ110|GB/T 1220-2007|热轧|GB/T 702-2008</t>
        </is>
      </c>
      <c r="E426" s="13" t="inlineStr">
        <is>
          <t>物资名称 热轧不锈圆钢;物资简称 圆钢;牌号 20Cr13;直径 Φ110;技术标准号 GB/T 1220-2007;加工工艺 热轧;热处理工艺 ;特殊要求 ;规格标准号 GB/T 702-2008</t>
        </is>
      </c>
      <c r="F426" s="12" t="inlineStr">
        <is>
          <t>千克</t>
        </is>
      </c>
      <c r="G426" s="11">
        <f>LEFT(D426,FIND("|",D426,1)-1)</f>
        <v/>
      </c>
      <c r="H426" s="11">
        <f>MID(D426,FIND("|",D426,FIND("|",D426,1))+1,FIND("|",D426,FIND("|",D426,1)+1)-FIND("|",D426,FIND("|",D426,1))-1)</f>
        <v/>
      </c>
      <c r="J426" s="11">
        <f>MID(D426,FIND(";",SUBSTITUTE(D426,"|",REPT(";",LEN(D426)),2))+1,FIND(";",SUBSTITUTE(D426,"|",REPT(";",LEN(D426)),3))-FIND(";",SUBSTITUTE(D426,"|",REPT(";",LEN(D426)),2))-1)</f>
        <v/>
      </c>
      <c r="K426" s="11">
        <f>MID(D426,FIND(";",SUBSTITUTE(D426,"|",REPT(";",LEN(D426)),3))+1,FIND(";",SUBSTITUTE(D426,"|",REPT(";",LEN(D426)),4))-FIND(";",SUBSTITUTE(D426,"|",REPT(";",LEN(D426)),3))-1)</f>
        <v/>
      </c>
      <c r="M426" s="11">
        <f>MID(D426,FIND(";",SUBSTITUTE(D426,"|",REPT(";",LEN(D426)),4))+1,FIND(";",SUBSTITUTE(D426,"|",REPT(";",LEN(D426)),5))-FIND(";",SUBSTITUTE(D426,"|",REPT(";",LEN(D426)),4))-1)</f>
        <v/>
      </c>
      <c r="N426" s="11">
        <f>MID(D426,FIND(";",SUBSTITUTE(D426,"|",REPT(";",LEN(D426)),6))+1,LEN(D426))</f>
        <v/>
      </c>
      <c r="O426" s="11">
        <f>MID(D426,FIND(";",SUBSTITUTE(D426,"|",REPT(";",LEN(D426)),5))+1,FIND(";",SUBSTITUTE(D426,"|",REPT(";",LEN(D426)),6))-FIND(";",SUBSTITUTE(D426,"|",REPT(";",LEN(D426)),5))-1)</f>
        <v/>
      </c>
    </row>
    <row r="427" ht="126" customHeight="1" s="21">
      <c r="A427" s="13" t="inlineStr">
        <is>
          <t>100201</t>
        </is>
      </c>
      <c r="B427" s="13" t="inlineStr">
        <is>
          <t>圆钢</t>
        </is>
      </c>
      <c r="C427" s="13" t="inlineStr">
        <is>
          <t>600618500</t>
        </is>
      </c>
      <c r="D427" s="13" t="inlineStr">
        <is>
          <t>热轧不锈圆钢|圆钢|20Cr13|Φ150|GB/T 1220-2007|热轧|GB/T 702-2008</t>
        </is>
      </c>
      <c r="E427" s="13" t="inlineStr">
        <is>
          <t>物资名称 热轧不锈圆钢;物资简称 圆钢;牌号 20Cr13;直径 Φ150;技术标准号 GB/T 1220-2007;加工工艺 热轧;热处理工艺 ;特殊要求 ;规格标准号 GB/T 702-2008</t>
        </is>
      </c>
      <c r="F427" s="12" t="inlineStr">
        <is>
          <t>千克</t>
        </is>
      </c>
      <c r="G427" s="11">
        <f>LEFT(D427,FIND("|",D427,1)-1)</f>
        <v/>
      </c>
      <c r="H427" s="11">
        <f>MID(D427,FIND("|",D427,FIND("|",D427,1))+1,FIND("|",D427,FIND("|",D427,1)+1)-FIND("|",D427,FIND("|",D427,1))-1)</f>
        <v/>
      </c>
      <c r="J427" s="11">
        <f>MID(D427,FIND(";",SUBSTITUTE(D427,"|",REPT(";",LEN(D427)),2))+1,FIND(";",SUBSTITUTE(D427,"|",REPT(";",LEN(D427)),3))-FIND(";",SUBSTITUTE(D427,"|",REPT(";",LEN(D427)),2))-1)</f>
        <v/>
      </c>
      <c r="K427" s="11">
        <f>MID(D427,FIND(";",SUBSTITUTE(D427,"|",REPT(";",LEN(D427)),3))+1,FIND(";",SUBSTITUTE(D427,"|",REPT(";",LEN(D427)),4))-FIND(";",SUBSTITUTE(D427,"|",REPT(";",LEN(D427)),3))-1)</f>
        <v/>
      </c>
    </row>
    <row r="428" ht="126" customHeight="1" s="21">
      <c r="A428" s="13" t="inlineStr">
        <is>
          <t>100201</t>
        </is>
      </c>
      <c r="B428" s="13" t="inlineStr">
        <is>
          <t>圆钢</t>
        </is>
      </c>
      <c r="C428" s="13" t="inlineStr">
        <is>
          <t>600618400</t>
        </is>
      </c>
      <c r="D428" s="13" t="inlineStr">
        <is>
          <t>热轧不锈圆钢|圆钢|20Cr13|Φ180|GB/T 1220-2007|热轧|GB/T 702-2008</t>
        </is>
      </c>
      <c r="E428" s="13" t="inlineStr">
        <is>
          <t>物资名称 热轧不锈圆钢;物资简称 圆钢;牌号 20Cr13;直径 Φ180;技术标准号 GB/T 1220-2007;加工工艺 热轧;热处理工艺 ;特殊要求 ;规格标准号 GB/T 702-2008</t>
        </is>
      </c>
      <c r="F428" s="12" t="inlineStr">
        <is>
          <t>千克</t>
        </is>
      </c>
      <c r="G428" s="11">
        <f>LEFT(D428,FIND("|",D428,1)-1)</f>
        <v/>
      </c>
      <c r="H428" s="11">
        <f>MID(D428,FIND("|",D428,FIND("|",D428,1))+1,FIND("|",D428,FIND("|",D428,1)+1)-FIND("|",D428,FIND("|",D428,1))-1)</f>
        <v/>
      </c>
      <c r="J428" s="11">
        <f>MID(D428,FIND(";",SUBSTITUTE(D428,"|",REPT(";",LEN(D428)),2))+1,FIND(";",SUBSTITUTE(D428,"|",REPT(";",LEN(D428)),3))-FIND(";",SUBSTITUTE(D428,"|",REPT(";",LEN(D428)),2))-1)</f>
        <v/>
      </c>
      <c r="K428" s="11">
        <f>MID(D428,FIND(";",SUBSTITUTE(D428,"|",REPT(";",LEN(D428)),3))+1,FIND(";",SUBSTITUTE(D428,"|",REPT(";",LEN(D428)),4))-FIND(";",SUBSTITUTE(D428,"|",REPT(";",LEN(D428)),3))-1)</f>
        <v/>
      </c>
    </row>
    <row r="429" ht="112" customHeight="1" s="21">
      <c r="A429" s="13" t="inlineStr">
        <is>
          <t>100201</t>
        </is>
      </c>
      <c r="B429" s="13" t="inlineStr">
        <is>
          <t>圆钢</t>
        </is>
      </c>
      <c r="C429" s="13" t="inlineStr">
        <is>
          <t>600618300</t>
        </is>
      </c>
      <c r="D429" s="13" t="inlineStr">
        <is>
          <t>不锈钢棒|钢棒|40Cr13|GB/T 1220-2007</t>
        </is>
      </c>
      <c r="E429" s="13" t="inlineStr">
        <is>
          <t xml:space="preserve">物资名称 不锈钢棒;物资简称 钢棒;牌号 40Cr13;直径 Φ;技术标准号 GB/T 1220-2007;加工工艺 ;热处理工艺 ;特殊要求 ;规格标准号 </t>
        </is>
      </c>
      <c r="F429" s="12" t="inlineStr">
        <is>
          <t>千克</t>
        </is>
      </c>
      <c r="G429" s="11">
        <f>LEFT(D429,FIND("|",D429,1)-1)</f>
        <v/>
      </c>
      <c r="H429" s="11">
        <f>MID(D429,FIND("|",D429,FIND("|",D429,1))+1,FIND("|",D429,FIND("|",D429,1)+1)-FIND("|",D429,FIND("|",D429,1))-1)</f>
        <v/>
      </c>
      <c r="J429" s="11">
        <f>MID(D429,FIND(";",SUBSTITUTE(D429,"|",REPT(";",LEN(D429)),2))+1,FIND(";",SUBSTITUTE(D429,"|",REPT(";",LEN(D429)),3))-FIND(";",SUBSTITUTE(D429,"|",REPT(";",LEN(D429)),2))-1)</f>
        <v/>
      </c>
      <c r="M429" s="11">
        <f>MID(D429,FIND(";",SUBSTITUTE(D429,"|",REPT(";",LEN(D429)),3))+1,LEN(D429))</f>
        <v/>
      </c>
    </row>
    <row r="430" ht="126" customHeight="1" s="21">
      <c r="A430" s="13" t="inlineStr">
        <is>
          <t>100201</t>
        </is>
      </c>
      <c r="B430" s="13" t="inlineStr">
        <is>
          <t>圆钢</t>
        </is>
      </c>
      <c r="C430" s="13" t="inlineStr">
        <is>
          <t>600618200</t>
        </is>
      </c>
      <c r="D430" s="13" t="inlineStr">
        <is>
          <t>热轧不锈圆钢|圆钢|40Cr13|GB/T 1220-2007|GB/T 702-2008</t>
        </is>
      </c>
      <c r="E430" s="13" t="inlineStr">
        <is>
          <t>物资名称 热轧不锈圆钢;物资简称 圆钢;牌号 40Cr13;直径 Φ;技术标准号 GB/T 1220-2007;加工工艺 ;热处理工艺 ;特殊要求 ;规格标准号 GB/T 702-2008</t>
        </is>
      </c>
      <c r="F430" s="12" t="inlineStr">
        <is>
          <t>千克</t>
        </is>
      </c>
      <c r="G430" s="11">
        <f>LEFT(D430,FIND("|",D430,1)-1)</f>
        <v/>
      </c>
      <c r="H430" s="11">
        <f>MID(D430,FIND("|",D430,FIND("|",D430,1))+1,FIND("|",D430,FIND("|",D430,1)+1)-FIND("|",D430,FIND("|",D430,1))-1)</f>
        <v/>
      </c>
      <c r="J430" s="11">
        <f>MID(D430,FIND(";",SUBSTITUTE(D430,"|",REPT(";",LEN(D430)),2))+1,FIND(";",SUBSTITUTE(D430,"|",REPT(";",LEN(D430)),3))-FIND(";",SUBSTITUTE(D430,"|",REPT(";",LEN(D430)),2))-1)</f>
        <v/>
      </c>
      <c r="M430" s="11">
        <f>MID(D430,FIND(";",SUBSTITUTE(D430,"|",REPT(";",LEN(D430)),3))+1,FIND(";",SUBSTITUTE(D430,"|",REPT(";",LEN(D430)),4))-FIND(";",SUBSTITUTE(D430,"|",REPT(";",LEN(D430)),3))-1)</f>
        <v/>
      </c>
      <c r="N430" s="11">
        <f>MID(D430,FIND(";",SUBSTITUTE(D430,"|",REPT(";",LEN(D430)),4))+1,LEN(D430))</f>
        <v/>
      </c>
    </row>
    <row r="431" ht="126" customHeight="1" s="21">
      <c r="A431" s="13" t="inlineStr">
        <is>
          <t>100201</t>
        </is>
      </c>
      <c r="B431" s="13" t="inlineStr">
        <is>
          <t>圆钢</t>
        </is>
      </c>
      <c r="C431" s="13" t="inlineStr">
        <is>
          <t>600618100</t>
        </is>
      </c>
      <c r="D431" s="13" t="inlineStr">
        <is>
          <t>热轧不锈圆钢|圆钢|40Cr13|Φ35|GB/T 1220-2007|热轧|GB/T 702-2008</t>
        </is>
      </c>
      <c r="E431" s="13" t="inlineStr">
        <is>
          <t>物资名称 热轧不锈圆钢;物资简称 圆钢;牌号 40Cr13;直径 Φ35;技术标准号 GB/T 1220-2007;加工工艺 热轧;热处理工艺 ;特殊要求 ;规格标准号 GB/T 702-2008</t>
        </is>
      </c>
      <c r="F431" s="12" t="inlineStr">
        <is>
          <t>千克</t>
        </is>
      </c>
      <c r="G431" s="11">
        <f>LEFT(D431,FIND("|",D431,1)-1)</f>
        <v/>
      </c>
      <c r="H431" s="11">
        <f>MID(D431,FIND("|",D431,FIND("|",D431,1))+1,FIND("|",D431,FIND("|",D431,1)+1)-FIND("|",D431,FIND("|",D431,1))-1)</f>
        <v/>
      </c>
      <c r="J431" s="11">
        <f>MID(D431,FIND(";",SUBSTITUTE(D431,"|",REPT(";",LEN(D431)),2))+1,FIND(";",SUBSTITUTE(D431,"|",REPT(";",LEN(D431)),3))-FIND(";",SUBSTITUTE(D431,"|",REPT(";",LEN(D431)),2))-1)</f>
        <v/>
      </c>
      <c r="K431" s="11">
        <f>MID(D431,FIND(";",SUBSTITUTE(D431,"|",REPT(";",LEN(D431)),3))+1,FIND(";",SUBSTITUTE(D431,"|",REPT(";",LEN(D431)),4))-FIND(";",SUBSTITUTE(D431,"|",REPT(";",LEN(D431)),3))-1)</f>
        <v/>
      </c>
      <c r="M431" s="11">
        <f>MID(D431,FIND(";",SUBSTITUTE(D431,"|",REPT(";",LEN(D431)),4))+1,FIND(";",SUBSTITUTE(D431,"|",REPT(";",LEN(D431)),5))-FIND(";",SUBSTITUTE(D431,"|",REPT(";",LEN(D431)),4))-1)</f>
        <v/>
      </c>
      <c r="N431" s="11">
        <f>MID(D431,FIND(";",SUBSTITUTE(D431,"|",REPT(";",LEN(D431)),6))+1,LEN(D431))</f>
        <v/>
      </c>
      <c r="O431" s="11">
        <f>MID(D431,FIND(";",SUBSTITUTE(D431,"|",REPT(";",LEN(D431)),5))+1,FIND(";",SUBSTITUTE(D431,"|",REPT(";",LEN(D431)),6))-FIND(";",SUBSTITUTE(D431,"|",REPT(";",LEN(D431)),5))-1)</f>
        <v/>
      </c>
    </row>
    <row r="432" ht="126" customHeight="1" s="21">
      <c r="A432" s="13" t="inlineStr">
        <is>
          <t>100201</t>
        </is>
      </c>
      <c r="B432" s="13" t="inlineStr">
        <is>
          <t>圆钢</t>
        </is>
      </c>
      <c r="C432" s="13" t="inlineStr">
        <is>
          <t>600618000</t>
        </is>
      </c>
      <c r="D432" s="13" t="inlineStr">
        <is>
          <t>热轧不锈圆钢|圆钢|40Cr13|Φ100|GB/T 1220-2007|热轧|GB/T 702-2008</t>
        </is>
      </c>
      <c r="E432" s="13" t="inlineStr">
        <is>
          <t>物资名称 热轧不锈圆钢;物资简称 圆钢;牌号 40Cr13;直径 Φ100;技术标准号 GB/T 1220-2007;加工工艺 热轧;热处理工艺 ;特殊要求 ;规格标准号 GB/T 702-2008</t>
        </is>
      </c>
      <c r="F432" s="12" t="inlineStr">
        <is>
          <t>千克</t>
        </is>
      </c>
      <c r="G432" s="11">
        <f>LEFT(D432,FIND("|",D432,1)-1)</f>
        <v/>
      </c>
      <c r="H432" s="11">
        <f>MID(D432,FIND("|",D432,FIND("|",D432,1))+1,FIND("|",D432,FIND("|",D432,1)+1)-FIND("|",D432,FIND("|",D432,1))-1)</f>
        <v/>
      </c>
      <c r="J432" s="11">
        <f>MID(D432,FIND(";",SUBSTITUTE(D432,"|",REPT(";",LEN(D432)),2))+1,FIND(";",SUBSTITUTE(D432,"|",REPT(";",LEN(D432)),3))-FIND(";",SUBSTITUTE(D432,"|",REPT(";",LEN(D432)),2))-1)</f>
        <v/>
      </c>
      <c r="K432" s="11">
        <f>MID(D432,FIND(";",SUBSTITUTE(D432,"|",REPT(";",LEN(D432)),3))+1,FIND(";",SUBSTITUTE(D432,"|",REPT(";",LEN(D432)),4))-FIND(";",SUBSTITUTE(D432,"|",REPT(";",LEN(D432)),3))-1)</f>
        <v/>
      </c>
      <c r="M432" s="11">
        <f>MID(D432,FIND(";",SUBSTITUTE(D432,"|",REPT(";",LEN(D432)),4))+1,FIND(";",SUBSTITUTE(D432,"|",REPT(";",LEN(D432)),5))-FIND(";",SUBSTITUTE(D432,"|",REPT(";",LEN(D432)),4))-1)</f>
        <v/>
      </c>
      <c r="N432" s="11">
        <f>MID(D432,FIND(";",SUBSTITUTE(D432,"|",REPT(";",LEN(D432)),6))+1,LEN(D432))</f>
        <v/>
      </c>
      <c r="O432" s="11">
        <f>MID(D432,FIND(";",SUBSTITUTE(D432,"|",REPT(";",LEN(D432)),5))+1,FIND(";",SUBSTITUTE(D432,"|",REPT(";",LEN(D432)),6))-FIND(";",SUBSTITUTE(D432,"|",REPT(";",LEN(D432)),5))-1)</f>
        <v/>
      </c>
    </row>
    <row r="433" ht="126" customHeight="1" s="21">
      <c r="A433" s="13" t="inlineStr">
        <is>
          <t>100201</t>
        </is>
      </c>
      <c r="B433" s="13" t="inlineStr">
        <is>
          <t>圆钢</t>
        </is>
      </c>
      <c r="C433" s="13" t="inlineStr">
        <is>
          <t>600617900</t>
        </is>
      </c>
      <c r="D433" s="13" t="inlineStr">
        <is>
          <t>热轧弹簧圆钢|圆钢|65Mn|GB/T 1222-2007|GB/T 702-2008</t>
        </is>
      </c>
      <c r="E433" s="13" t="inlineStr">
        <is>
          <t>物资名称 热轧弹簧圆钢;物资简称 圆钢;牌号 65Mn;直径 Φ;技术标准号 GB/T 1222-2007;加工工艺 ;热处理工艺 ;特殊要求 ;规格标准号 GB/T 702-2008</t>
        </is>
      </c>
      <c r="F433" s="12" t="inlineStr">
        <is>
          <t>千克</t>
        </is>
      </c>
      <c r="G433" s="11">
        <f>LEFT(D433,FIND("|",D433,1)-1)</f>
        <v/>
      </c>
      <c r="H433" s="11">
        <f>MID(D433,FIND("|",D433,FIND("|",D433,1))+1,FIND("|",D433,FIND("|",D433,1)+1)-FIND("|",D433,FIND("|",D433,1))-1)</f>
        <v/>
      </c>
      <c r="J433" s="11">
        <f>MID(D433,FIND(";",SUBSTITUTE(D433,"|",REPT(";",LEN(D433)),2))+1,FIND(";",SUBSTITUTE(D433,"|",REPT(";",LEN(D433)),3))-FIND(";",SUBSTITUTE(D433,"|",REPT(";",LEN(D433)),2))-1)</f>
        <v/>
      </c>
      <c r="M433" s="11">
        <f>MID(D433,FIND(";",SUBSTITUTE(D433,"|",REPT(";",LEN(D433)),3))+1,FIND(";",SUBSTITUTE(D433,"|",REPT(";",LEN(D433)),4))-FIND(";",SUBSTITUTE(D433,"|",REPT(";",LEN(D433)),3))-1)</f>
        <v/>
      </c>
      <c r="N433" s="11">
        <f>MID(D433,FIND(";",SUBSTITUTE(D433,"|",REPT(";",LEN(D433)),4))+1,LEN(D433))</f>
        <v/>
      </c>
    </row>
    <row r="434" ht="126" customHeight="1" s="21">
      <c r="A434" s="13" t="inlineStr">
        <is>
          <t>100201</t>
        </is>
      </c>
      <c r="B434" s="13" t="inlineStr">
        <is>
          <t>圆钢</t>
        </is>
      </c>
      <c r="C434" s="13" t="inlineStr">
        <is>
          <t>600617800</t>
        </is>
      </c>
      <c r="D434" s="13" t="inlineStr">
        <is>
          <t>热轧弹簧圆钢|圆钢|65Mn|Φ25|GB/T 1222-2007|热轧|GB/T 702-2008</t>
        </is>
      </c>
      <c r="E434" s="13" t="inlineStr">
        <is>
          <t>物资名称 热轧弹簧圆钢;物资简称 圆钢;牌号 65Mn;直径 Φ25;技术标准号 GB/T 1222-2007;加工工艺 热轧;热处理工艺 ;特殊要求 ;规格标准号 GB/T 702-2008</t>
        </is>
      </c>
      <c r="F434" s="12" t="inlineStr">
        <is>
          <t>千克</t>
        </is>
      </c>
      <c r="G434" s="11">
        <f>LEFT(D434,FIND("|",D434,1)-1)</f>
        <v/>
      </c>
      <c r="H434" s="11">
        <f>MID(D434,FIND("|",D434,FIND("|",D434,1))+1,FIND("|",D434,FIND("|",D434,1)+1)-FIND("|",D434,FIND("|",D434,1))-1)</f>
        <v/>
      </c>
      <c r="J434" s="11">
        <f>MID(D434,FIND(";",SUBSTITUTE(D434,"|",REPT(";",LEN(D434)),2))+1,FIND(";",SUBSTITUTE(D434,"|",REPT(";",LEN(D434)),3))-FIND(";",SUBSTITUTE(D434,"|",REPT(";",LEN(D434)),2))-1)</f>
        <v/>
      </c>
      <c r="K434" s="11">
        <f>MID(D434,FIND(";",SUBSTITUTE(D434,"|",REPT(";",LEN(D434)),3))+1,FIND(";",SUBSTITUTE(D434,"|",REPT(";",LEN(D434)),4))-FIND(";",SUBSTITUTE(D434,"|",REPT(";",LEN(D434)),3))-1)</f>
        <v/>
      </c>
      <c r="M434" s="11">
        <f>MID(D434,FIND(";",SUBSTITUTE(D434,"|",REPT(";",LEN(D434)),4))+1,FIND(";",SUBSTITUTE(D434,"|",REPT(";",LEN(D434)),5))-FIND(";",SUBSTITUTE(D434,"|",REPT(";",LEN(D434)),4))-1)</f>
        <v/>
      </c>
      <c r="N434" s="11">
        <f>MID(D434,FIND(";",SUBSTITUTE(D434,"|",REPT(";",LEN(D434)),6))+1,LEN(D434))</f>
        <v/>
      </c>
      <c r="O434" s="11">
        <f>MID(D434,FIND(";",SUBSTITUTE(D434,"|",REPT(";",LEN(D434)),5))+1,FIND(";",SUBSTITUTE(D434,"|",REPT(";",LEN(D434)),6))-FIND(";",SUBSTITUTE(D434,"|",REPT(";",LEN(D434)),5))-1)</f>
        <v/>
      </c>
    </row>
    <row r="435" ht="126" customHeight="1" s="21">
      <c r="A435" s="13" t="inlineStr">
        <is>
          <t>100201</t>
        </is>
      </c>
      <c r="B435" s="13" t="inlineStr">
        <is>
          <t>圆钢</t>
        </is>
      </c>
      <c r="C435" s="13" t="inlineStr">
        <is>
          <t>600617700</t>
        </is>
      </c>
      <c r="D435" s="13" t="inlineStr">
        <is>
          <t>热轧弹簧圆钢|圆钢|65Mn|Φ60|GB/T 1222-2007|热轧|GB/T 702-2008</t>
        </is>
      </c>
      <c r="E435" s="13" t="inlineStr">
        <is>
          <t>物资名称 热轧弹簧圆钢;物资简称 圆钢;牌号 65Mn;直径 Φ60;技术标准号 GB/T 1222-2007;加工工艺 热轧;热处理工艺 ;特殊要求 ;规格标准号 GB/T 702-2008</t>
        </is>
      </c>
      <c r="F435" s="12" t="inlineStr">
        <is>
          <t>千克</t>
        </is>
      </c>
      <c r="G435" s="11">
        <f>LEFT(D435,FIND("|",D435,1)-1)</f>
        <v/>
      </c>
      <c r="H435" s="11">
        <f>MID(D435,FIND("|",D435,FIND("|",D435,1))+1,FIND("|",D435,FIND("|",D435,1)+1)-FIND("|",D435,FIND("|",D435,1))-1)</f>
        <v/>
      </c>
      <c r="J435" s="11">
        <f>MID(D435,FIND(";",SUBSTITUTE(D435,"|",REPT(";",LEN(D435)),2))+1,FIND(";",SUBSTITUTE(D435,"|",REPT(";",LEN(D435)),3))-FIND(";",SUBSTITUTE(D435,"|",REPT(";",LEN(D435)),2))-1)</f>
        <v/>
      </c>
      <c r="K435" s="11">
        <f>MID(D435,FIND(";",SUBSTITUTE(D435,"|",REPT(";",LEN(D435)),3))+1,FIND(";",SUBSTITUTE(D435,"|",REPT(";",LEN(D435)),4))-FIND(";",SUBSTITUTE(D435,"|",REPT(";",LEN(D435)),3))-1)</f>
        <v/>
      </c>
      <c r="M435" s="11">
        <f>MID(D435,FIND(";",SUBSTITUTE(D435,"|",REPT(";",LEN(D435)),4))+1,FIND(";",SUBSTITUTE(D435,"|",REPT(";",LEN(D435)),5))-FIND(";",SUBSTITUTE(D435,"|",REPT(";",LEN(D435)),4))-1)</f>
        <v/>
      </c>
      <c r="N435" s="11">
        <f>MID(D435,FIND(";",SUBSTITUTE(D435,"|",REPT(";",LEN(D435)),6))+1,LEN(D435))</f>
        <v/>
      </c>
      <c r="O435" s="11">
        <f>MID(D435,FIND(";",SUBSTITUTE(D435,"|",REPT(";",LEN(D435)),5))+1,FIND(";",SUBSTITUTE(D435,"|",REPT(";",LEN(D435)),6))-FIND(";",SUBSTITUTE(D435,"|",REPT(";",LEN(D435)),5))-1)</f>
        <v/>
      </c>
    </row>
    <row r="436" ht="126" customHeight="1" s="21">
      <c r="A436" s="13" t="inlineStr">
        <is>
          <t>100201</t>
        </is>
      </c>
      <c r="B436" s="13" t="inlineStr">
        <is>
          <t>圆钢</t>
        </is>
      </c>
      <c r="C436" s="13" t="inlineStr">
        <is>
          <t>600617600</t>
        </is>
      </c>
      <c r="D436" s="13" t="inlineStr">
        <is>
          <t>热轧弹簧圆钢|圆钢|65Mn|Φ80|GB/T 1222-2007|热轧|GB/T 702-2008</t>
        </is>
      </c>
      <c r="E436" s="13" t="inlineStr">
        <is>
          <t>物资名称 热轧弹簧圆钢;物资简称 圆钢;牌号 65Mn;直径 Φ80;技术标准号 GB/T 1222-2007;加工工艺 热轧;热处理工艺 ;特殊要求 ;规格标准号 GB/T 702-2008</t>
        </is>
      </c>
      <c r="F436" s="12" t="inlineStr">
        <is>
          <t>千克</t>
        </is>
      </c>
      <c r="G436" s="11">
        <f>LEFT(D436,FIND("|",D436,1)-1)</f>
        <v/>
      </c>
      <c r="H436" s="11">
        <f>MID(D436,FIND("|",D436,FIND("|",D436,1))+1,FIND("|",D436,FIND("|",D436,1)+1)-FIND("|",D436,FIND("|",D436,1))-1)</f>
        <v/>
      </c>
      <c r="J436" s="11">
        <f>MID(D436,FIND(";",SUBSTITUTE(D436,"|",REPT(";",LEN(D436)),2))+1,FIND(";",SUBSTITUTE(D436,"|",REPT(";",LEN(D436)),3))-FIND(";",SUBSTITUTE(D436,"|",REPT(";",LEN(D436)),2))-1)</f>
        <v/>
      </c>
      <c r="K436" s="11">
        <f>MID(D436,FIND(";",SUBSTITUTE(D436,"|",REPT(";",LEN(D436)),3))+1,FIND(";",SUBSTITUTE(D436,"|",REPT(";",LEN(D436)),4))-FIND(";",SUBSTITUTE(D436,"|",REPT(";",LEN(D436)),3))-1)</f>
        <v/>
      </c>
      <c r="M436" s="11">
        <f>MID(D436,FIND(";",SUBSTITUTE(D436,"|",REPT(";",LEN(D436)),4))+1,FIND(";",SUBSTITUTE(D436,"|",REPT(";",LEN(D436)),5))-FIND(";",SUBSTITUTE(D436,"|",REPT(";",LEN(D436)),4))-1)</f>
        <v/>
      </c>
      <c r="N436" s="11">
        <f>MID(D436,FIND(";",SUBSTITUTE(D436,"|",REPT(";",LEN(D436)),6))+1,LEN(D436))</f>
        <v/>
      </c>
      <c r="O436" s="11">
        <f>MID(D436,FIND(";",SUBSTITUTE(D436,"|",REPT(";",LEN(D436)),5))+1,FIND(";",SUBSTITUTE(D436,"|",REPT(";",LEN(D436)),6))-FIND(";",SUBSTITUTE(D436,"|",REPT(";",LEN(D436)),5))-1)</f>
        <v/>
      </c>
    </row>
    <row r="437" ht="112" customHeight="1" s="21">
      <c r="A437" s="13" t="inlineStr">
        <is>
          <t>100201</t>
        </is>
      </c>
      <c r="B437" s="13" t="inlineStr">
        <is>
          <t>圆钢</t>
        </is>
      </c>
      <c r="C437" s="13" t="inlineStr">
        <is>
          <t>600617500</t>
        </is>
      </c>
      <c r="D437" s="13" t="inlineStr">
        <is>
          <t>高碳铬轴承钢棒|钢棒|GCr15|GB/T 18254-2002</t>
        </is>
      </c>
      <c r="E437" s="13" t="inlineStr">
        <is>
          <t xml:space="preserve">物资名称 高碳铬轴承钢棒;物资简称 钢棒;牌号 GCr15;直径 Φ;技术标准号 GB/T 18254-2002;加工工艺 ;热处理工艺 ;特殊要求 ;规格标准号 </t>
        </is>
      </c>
      <c r="F437" s="12" t="inlineStr">
        <is>
          <t>千克</t>
        </is>
      </c>
      <c r="G437" s="11">
        <f>LEFT(D437,FIND("|",D437,1)-1)</f>
        <v/>
      </c>
      <c r="H437" s="11">
        <f>MID(D437,FIND("|",D437,FIND("|",D437,1))+1,FIND("|",D437,FIND("|",D437,1)+1)-FIND("|",D437,FIND("|",D437,1))-1)</f>
        <v/>
      </c>
      <c r="J437" s="11">
        <f>MID(D437,FIND(";",SUBSTITUTE(D437,"|",REPT(";",LEN(D437)),2))+1,FIND(";",SUBSTITUTE(D437,"|",REPT(";",LEN(D437)),3))-FIND(";",SUBSTITUTE(D437,"|",REPT(";",LEN(D437)),2))-1)</f>
        <v/>
      </c>
      <c r="M437" s="11">
        <f>MID(D437,FIND(";",SUBSTITUTE(D437,"|",REPT(";",LEN(D437)),3))+1,LEN(D437))</f>
        <v/>
      </c>
    </row>
    <row r="438" ht="140" customHeight="1" s="21">
      <c r="A438" s="13" t="inlineStr">
        <is>
          <t>100201</t>
        </is>
      </c>
      <c r="B438" s="13" t="inlineStr">
        <is>
          <t>圆钢</t>
        </is>
      </c>
      <c r="C438" s="13" t="inlineStr">
        <is>
          <t>600617400</t>
        </is>
      </c>
      <c r="D438" s="13" t="inlineStr">
        <is>
          <t>热轧高碳铬轴承圆钢|圆钢|GCr15|GB/T 18254-2002|热轧|GB/T 702-2008</t>
        </is>
      </c>
      <c r="E438" s="13" t="inlineStr">
        <is>
          <t>物资名称 热轧高碳铬轴承圆钢;物资简称 圆钢;牌号 GCr15;直径 Φ;技术标准号 GB/T 18254-2002;加工工艺 热轧;热处理工艺 ;特殊要求 ;规格标准号 GB/T 702-2008</t>
        </is>
      </c>
      <c r="F438" s="12" t="inlineStr">
        <is>
          <t>千克</t>
        </is>
      </c>
      <c r="G438" s="11">
        <f>LEFT(D438,FIND("|",D438,1)-1)</f>
        <v/>
      </c>
      <c r="H438" s="11">
        <f>MID(D438,FIND("|",D438,FIND("|",D438,1))+1,FIND("|",D438,FIND("|",D438,1)+1)-FIND("|",D438,FIND("|",D438,1))-1)</f>
        <v/>
      </c>
      <c r="J438" s="11">
        <f>MID(D438,FIND(";",SUBSTITUTE(D438,"|",REPT(";",LEN(D438)),2))+1,FIND(";",SUBSTITUTE(D438,"|",REPT(";",LEN(D438)),3))-FIND(";",SUBSTITUTE(D438,"|",REPT(";",LEN(D438)),2))-1)</f>
        <v/>
      </c>
      <c r="M438" s="11">
        <f>MID(D438,FIND(";",SUBSTITUTE(D438,"|",REPT(";",LEN(D438)),3))+1,FIND(";",SUBSTITUTE(D438,"|",REPT(";",LEN(D438)),4))-FIND(";",SUBSTITUTE(D438,"|",REPT(";",LEN(D438)),3))-1)</f>
        <v/>
      </c>
      <c r="N438" s="11">
        <f>MID(D438,FIND(";",SUBSTITUTE(D438,"|",REPT(";",LEN(D438)),5))+1,LEN(D438))</f>
        <v/>
      </c>
      <c r="O438" s="11">
        <f>MID(D438,FIND(";",SUBSTITUTE(D438,"|",REPT(";",LEN(D438)),4))+1,FIND(";",SUBSTITUTE(D438,"|",REPT(";",LEN(D438)),5))-FIND(";",SUBSTITUTE(D438,"|",REPT(";",LEN(D438)),4))-1)</f>
        <v/>
      </c>
    </row>
    <row r="439" ht="140" customHeight="1" s="21">
      <c r="A439" s="13" t="inlineStr">
        <is>
          <t>100201</t>
        </is>
      </c>
      <c r="B439" s="13" t="inlineStr">
        <is>
          <t>圆钢</t>
        </is>
      </c>
      <c r="C439" s="13" t="inlineStr">
        <is>
          <t>600617300</t>
        </is>
      </c>
      <c r="D439" s="13" t="inlineStr">
        <is>
          <t>热轧高碳铬轴承圆钢|圆钢|GCr15|Φ14|GB/T 18254-2002|热轧|GB/T 702-2008</t>
        </is>
      </c>
      <c r="E439" s="13" t="inlineStr">
        <is>
          <t>物资名称 热轧高碳铬轴承圆钢;物资简称 圆钢;牌号 GCr15;直径 Φ14;技术标准号 GB/T 18254-2002;加工工艺 热轧;热处理工艺 ;特殊要求 ;规格标准号 GB/T 702-2008</t>
        </is>
      </c>
      <c r="F439" s="12" t="inlineStr">
        <is>
          <t>千克</t>
        </is>
      </c>
      <c r="G439" s="11">
        <f>LEFT(D439,FIND("|",D439,1)-1)</f>
        <v/>
      </c>
      <c r="H439" s="11">
        <f>MID(D439,FIND("|",D439,FIND("|",D439,1))+1,FIND("|",D439,FIND("|",D439,1)+1)-FIND("|",D439,FIND("|",D439,1))-1)</f>
        <v/>
      </c>
      <c r="J439" s="11">
        <f>MID(D439,FIND(";",SUBSTITUTE(D439,"|",REPT(";",LEN(D439)),2))+1,FIND(";",SUBSTITUTE(D439,"|",REPT(";",LEN(D439)),3))-FIND(";",SUBSTITUTE(D439,"|",REPT(";",LEN(D439)),2))-1)</f>
        <v/>
      </c>
      <c r="K439" s="11">
        <f>MID(D439,FIND(";",SUBSTITUTE(D439,"|",REPT(";",LEN(D439)),3))+1,FIND(";",SUBSTITUTE(D439,"|",REPT(";",LEN(D439)),4))-FIND(";",SUBSTITUTE(D439,"|",REPT(";",LEN(D439)),3))-1)</f>
        <v/>
      </c>
      <c r="M439" s="11">
        <f>MID(D439,FIND(";",SUBSTITUTE(D439,"|",REPT(";",LEN(D439)),4))+1,FIND(";",SUBSTITUTE(D439,"|",REPT(";",LEN(D439)),5))-FIND(";",SUBSTITUTE(D439,"|",REPT(";",LEN(D439)),4))-1)</f>
        <v/>
      </c>
      <c r="N439" s="11">
        <f>MID(D439,FIND(";",SUBSTITUTE(D439,"|",REPT(";",LEN(D439)),6))+1,LEN(D439))</f>
        <v/>
      </c>
      <c r="O439" s="11">
        <f>MID(D439,FIND(";",SUBSTITUTE(D439,"|",REPT(";",LEN(D439)),5))+1,FIND(";",SUBSTITUTE(D439,"|",REPT(";",LEN(D439)),6))-FIND(";",SUBSTITUTE(D439,"|",REPT(";",LEN(D439)),5))-1)</f>
        <v/>
      </c>
    </row>
    <row r="440" ht="140" customHeight="1" s="21">
      <c r="A440" s="13" t="inlineStr">
        <is>
          <t>100201</t>
        </is>
      </c>
      <c r="B440" s="13" t="inlineStr">
        <is>
          <t>圆钢</t>
        </is>
      </c>
      <c r="C440" s="13" t="inlineStr">
        <is>
          <t>600617200</t>
        </is>
      </c>
      <c r="D440" s="13" t="inlineStr">
        <is>
          <t>热轧高碳铬轴承圆钢|圆钢|GCr15|Φ15|GB/T 18254-2002|热轧|GB/T 702-2008</t>
        </is>
      </c>
      <c r="E440" s="13" t="inlineStr">
        <is>
          <t>物资名称 热轧高碳铬轴承圆钢;物资简称 圆钢;牌号 GCr15;直径 Φ15;技术标准号 GB/T 18254-2002;加工工艺 热轧;热处理工艺 ;特殊要求 ;规格标准号 GB/T 702-2008</t>
        </is>
      </c>
      <c r="F440" s="12" t="inlineStr">
        <is>
          <t>千克</t>
        </is>
      </c>
      <c r="G440" s="11">
        <f>LEFT(D440,FIND("|",D440,1)-1)</f>
        <v/>
      </c>
      <c r="H440" s="11">
        <f>MID(D440,FIND("|",D440,FIND("|",D440,1))+1,FIND("|",D440,FIND("|",D440,1)+1)-FIND("|",D440,FIND("|",D440,1))-1)</f>
        <v/>
      </c>
      <c r="J440" s="11">
        <f>MID(D440,FIND(";",SUBSTITUTE(D440,"|",REPT(";",LEN(D440)),2))+1,FIND(";",SUBSTITUTE(D440,"|",REPT(";",LEN(D440)),3))-FIND(";",SUBSTITUTE(D440,"|",REPT(";",LEN(D440)),2))-1)</f>
        <v/>
      </c>
      <c r="K440" s="11">
        <f>MID(D440,FIND(";",SUBSTITUTE(D440,"|",REPT(";",LEN(D440)),3))+1,FIND(";",SUBSTITUTE(D440,"|",REPT(";",LEN(D440)),4))-FIND(";",SUBSTITUTE(D440,"|",REPT(";",LEN(D440)),3))-1)</f>
        <v/>
      </c>
      <c r="M440" s="11">
        <f>MID(D440,FIND(";",SUBSTITUTE(D440,"|",REPT(";",LEN(D440)),4))+1,FIND(";",SUBSTITUTE(D440,"|",REPT(";",LEN(D440)),5))-FIND(";",SUBSTITUTE(D440,"|",REPT(";",LEN(D440)),4))-1)</f>
        <v/>
      </c>
      <c r="N440" s="11">
        <f>MID(D440,FIND(";",SUBSTITUTE(D440,"|",REPT(";",LEN(D440)),6))+1,LEN(D440))</f>
        <v/>
      </c>
      <c r="O440" s="11">
        <f>MID(D440,FIND(";",SUBSTITUTE(D440,"|",REPT(";",LEN(D440)),5))+1,FIND(";",SUBSTITUTE(D440,"|",REPT(";",LEN(D440)),6))-FIND(";",SUBSTITUTE(D440,"|",REPT(";",LEN(D440)),5))-1)</f>
        <v/>
      </c>
    </row>
    <row r="441" ht="140" customHeight="1" s="21">
      <c r="A441" s="13" t="inlineStr">
        <is>
          <t>100201</t>
        </is>
      </c>
      <c r="B441" s="13" t="inlineStr">
        <is>
          <t>圆钢</t>
        </is>
      </c>
      <c r="C441" s="13" t="inlineStr">
        <is>
          <t>600617100</t>
        </is>
      </c>
      <c r="D441" s="13" t="inlineStr">
        <is>
          <t>热轧高碳铬轴承圆钢|圆钢|GCr15|Φ25|GB/T 18254-2002|热轧|GB/T 702-2008</t>
        </is>
      </c>
      <c r="E441" s="13" t="inlineStr">
        <is>
          <t>物资名称 热轧高碳铬轴承圆钢;物资简称 圆钢;牌号 GCr15;直径 Φ25;技术标准号 GB/T 18254-2002;加工工艺 热轧;热处理工艺 ;特殊要求 ;规格标准号 GB/T 702-2008</t>
        </is>
      </c>
      <c r="F441" s="12" t="inlineStr">
        <is>
          <t>千克</t>
        </is>
      </c>
      <c r="G441" s="11">
        <f>LEFT(D441,FIND("|",D441,1)-1)</f>
        <v/>
      </c>
      <c r="H441" s="11">
        <f>MID(D441,FIND("|",D441,FIND("|",D441,1))+1,FIND("|",D441,FIND("|",D441,1)+1)-FIND("|",D441,FIND("|",D441,1))-1)</f>
        <v/>
      </c>
      <c r="J441" s="11">
        <f>MID(D441,FIND(";",SUBSTITUTE(D441,"|",REPT(";",LEN(D441)),2))+1,FIND(";",SUBSTITUTE(D441,"|",REPT(";",LEN(D441)),3))-FIND(";",SUBSTITUTE(D441,"|",REPT(";",LEN(D441)),2))-1)</f>
        <v/>
      </c>
      <c r="K441" s="11">
        <f>MID(D441,FIND(";",SUBSTITUTE(D441,"|",REPT(";",LEN(D441)),3))+1,FIND(";",SUBSTITUTE(D441,"|",REPT(";",LEN(D441)),4))-FIND(";",SUBSTITUTE(D441,"|",REPT(";",LEN(D441)),3))-1)</f>
        <v/>
      </c>
      <c r="M441" s="11">
        <f>MID(D441,FIND(";",SUBSTITUTE(D441,"|",REPT(";",LEN(D441)),4))+1,FIND(";",SUBSTITUTE(D441,"|",REPT(";",LEN(D441)),5))-FIND(";",SUBSTITUTE(D441,"|",REPT(";",LEN(D441)),4))-1)</f>
        <v/>
      </c>
      <c r="N441" s="11">
        <f>MID(D441,FIND(";",SUBSTITUTE(D441,"|",REPT(";",LEN(D441)),6))+1,LEN(D441))</f>
        <v/>
      </c>
      <c r="O441" s="11">
        <f>MID(D441,FIND(";",SUBSTITUTE(D441,"|",REPT(";",LEN(D441)),5))+1,FIND(";",SUBSTITUTE(D441,"|",REPT(";",LEN(D441)),6))-FIND(";",SUBSTITUTE(D441,"|",REPT(";",LEN(D441)),5))-1)</f>
        <v/>
      </c>
    </row>
    <row r="442" ht="140" customHeight="1" s="21">
      <c r="A442" s="13" t="inlineStr">
        <is>
          <t>100201</t>
        </is>
      </c>
      <c r="B442" s="13" t="inlineStr">
        <is>
          <t>圆钢</t>
        </is>
      </c>
      <c r="C442" s="13" t="inlineStr">
        <is>
          <t>600617000</t>
        </is>
      </c>
      <c r="D442" s="13" t="inlineStr">
        <is>
          <t>热轧高碳铬轴承圆钢|圆钢|GCr15|Φ30|GB/T 18254-2002|热轧|GB/T 702-2008</t>
        </is>
      </c>
      <c r="E442" s="13" t="inlineStr">
        <is>
          <t>物资名称 热轧高碳铬轴承圆钢;物资简称 圆钢;牌号 GCr15;直径 Φ30;技术标准号 GB/T 18254-2002;加工工艺 热轧;热处理工艺 ;特殊要求 ;规格标准号 GB/T 702-2008</t>
        </is>
      </c>
      <c r="F442" s="12" t="inlineStr">
        <is>
          <t>千克</t>
        </is>
      </c>
      <c r="G442" s="11">
        <f>LEFT(D442,FIND("|",D442,1)-1)</f>
        <v/>
      </c>
      <c r="H442" s="11">
        <f>MID(D442,FIND("|",D442,FIND("|",D442,1))+1,FIND("|",D442,FIND("|",D442,1)+1)-FIND("|",D442,FIND("|",D442,1))-1)</f>
        <v/>
      </c>
      <c r="J442" s="11">
        <f>MID(D442,FIND(";",SUBSTITUTE(D442,"|",REPT(";",LEN(D442)),2))+1,FIND(";",SUBSTITUTE(D442,"|",REPT(";",LEN(D442)),3))-FIND(";",SUBSTITUTE(D442,"|",REPT(";",LEN(D442)),2))-1)</f>
        <v/>
      </c>
      <c r="K442" s="11">
        <f>MID(D442,FIND(";",SUBSTITUTE(D442,"|",REPT(";",LEN(D442)),3))+1,FIND(";",SUBSTITUTE(D442,"|",REPT(";",LEN(D442)),4))-FIND(";",SUBSTITUTE(D442,"|",REPT(";",LEN(D442)),3))-1)</f>
        <v/>
      </c>
      <c r="M442" s="11">
        <f>MID(D442,FIND(";",SUBSTITUTE(D442,"|",REPT(";",LEN(D442)),4))+1,FIND(";",SUBSTITUTE(D442,"|",REPT(";",LEN(D442)),5))-FIND(";",SUBSTITUTE(D442,"|",REPT(";",LEN(D442)),4))-1)</f>
        <v/>
      </c>
      <c r="N442" s="11">
        <f>MID(D442,FIND(";",SUBSTITUTE(D442,"|",REPT(";",LEN(D442)),6))+1,LEN(D442))</f>
        <v/>
      </c>
      <c r="O442" s="11">
        <f>MID(D442,FIND(";",SUBSTITUTE(D442,"|",REPT(";",LEN(D442)),5))+1,FIND(";",SUBSTITUTE(D442,"|",REPT(";",LEN(D442)),6))-FIND(";",SUBSTITUTE(D442,"|",REPT(";",LEN(D442)),5))-1)</f>
        <v/>
      </c>
    </row>
    <row r="443" ht="140" customHeight="1" s="21">
      <c r="A443" s="13" t="inlineStr">
        <is>
          <t>100201</t>
        </is>
      </c>
      <c r="B443" s="13" t="inlineStr">
        <is>
          <t>圆钢</t>
        </is>
      </c>
      <c r="C443" s="13" t="inlineStr">
        <is>
          <t>600616900</t>
        </is>
      </c>
      <c r="D443" s="13" t="inlineStr">
        <is>
          <t>热轧高碳铬轴承圆钢|圆钢|GCr15|Φ35|GB/T 18254-2002|热轧|GB/T 702-2008</t>
        </is>
      </c>
      <c r="E443" s="13" t="inlineStr">
        <is>
          <t>物资名称 热轧高碳铬轴承圆钢;物资简称 圆钢;牌号 GCr15;直径 Φ35;技术标准号 GB/T 18254-2002;加工工艺 热轧;热处理工艺 ;特殊要求 ;规格标准号 GB/T 702-2008</t>
        </is>
      </c>
      <c r="F443" s="12" t="inlineStr">
        <is>
          <t>千克</t>
        </is>
      </c>
      <c r="G443" s="11">
        <f>LEFT(D443,FIND("|",D443,1)-1)</f>
        <v/>
      </c>
      <c r="H443" s="11">
        <f>MID(D443,FIND("|",D443,FIND("|",D443,1))+1,FIND("|",D443,FIND("|",D443,1)+1)-FIND("|",D443,FIND("|",D443,1))-1)</f>
        <v/>
      </c>
      <c r="J443" s="11">
        <f>MID(D443,FIND(";",SUBSTITUTE(D443,"|",REPT(";",LEN(D443)),2))+1,FIND(";",SUBSTITUTE(D443,"|",REPT(";",LEN(D443)),3))-FIND(";",SUBSTITUTE(D443,"|",REPT(";",LEN(D443)),2))-1)</f>
        <v/>
      </c>
      <c r="K443" s="11">
        <f>MID(D443,FIND(";",SUBSTITUTE(D443,"|",REPT(";",LEN(D443)),3))+1,FIND(";",SUBSTITUTE(D443,"|",REPT(";",LEN(D443)),4))-FIND(";",SUBSTITUTE(D443,"|",REPT(";",LEN(D443)),3))-1)</f>
        <v/>
      </c>
      <c r="M443" s="11">
        <f>MID(D443,FIND(";",SUBSTITUTE(D443,"|",REPT(";",LEN(D443)),4))+1,FIND(";",SUBSTITUTE(D443,"|",REPT(";",LEN(D443)),5))-FIND(";",SUBSTITUTE(D443,"|",REPT(";",LEN(D443)),4))-1)</f>
        <v/>
      </c>
      <c r="N443" s="11">
        <f>MID(D443,FIND(";",SUBSTITUTE(D443,"|",REPT(";",LEN(D443)),6))+1,LEN(D443))</f>
        <v/>
      </c>
      <c r="O443" s="11">
        <f>MID(D443,FIND(";",SUBSTITUTE(D443,"|",REPT(";",LEN(D443)),5))+1,FIND(";",SUBSTITUTE(D443,"|",REPT(";",LEN(D443)),6))-FIND(";",SUBSTITUTE(D443,"|",REPT(";",LEN(D443)),5))-1)</f>
        <v/>
      </c>
    </row>
    <row r="444" ht="140" customHeight="1" s="21">
      <c r="A444" s="13" t="inlineStr">
        <is>
          <t>100201</t>
        </is>
      </c>
      <c r="B444" s="13" t="inlineStr">
        <is>
          <t>圆钢</t>
        </is>
      </c>
      <c r="C444" s="13" t="inlineStr">
        <is>
          <t>600616800</t>
        </is>
      </c>
      <c r="D444" s="13" t="inlineStr">
        <is>
          <t>热轧高碳铬轴承圆钢|圆钢|GCr15|Φ40|GB/T 18254-2002|热轧|GB/T 702-2008</t>
        </is>
      </c>
      <c r="E444" s="13" t="inlineStr">
        <is>
          <t>物资名称 热轧高碳铬轴承圆钢;物资简称 圆钢;牌号 GCr15;直径 Φ40;技术标准号 GB/T 18254-2002;加工工艺 热轧;热处理工艺 ;特殊要求 ;规格标准号 GB/T 702-2008</t>
        </is>
      </c>
      <c r="F444" s="12" t="inlineStr">
        <is>
          <t>千克</t>
        </is>
      </c>
      <c r="G444" s="11">
        <f>LEFT(D444,FIND("|",D444,1)-1)</f>
        <v/>
      </c>
      <c r="H444" s="11">
        <f>MID(D444,FIND("|",D444,FIND("|",D444,1))+1,FIND("|",D444,FIND("|",D444,1)+1)-FIND("|",D444,FIND("|",D444,1))-1)</f>
        <v/>
      </c>
      <c r="J444" s="11">
        <f>MID(D444,FIND(";",SUBSTITUTE(D444,"|",REPT(";",LEN(D444)),2))+1,FIND(";",SUBSTITUTE(D444,"|",REPT(";",LEN(D444)),3))-FIND(";",SUBSTITUTE(D444,"|",REPT(";",LEN(D444)),2))-1)</f>
        <v/>
      </c>
      <c r="K444" s="11">
        <f>MID(D444,FIND(";",SUBSTITUTE(D444,"|",REPT(";",LEN(D444)),3))+1,FIND(";",SUBSTITUTE(D444,"|",REPT(";",LEN(D444)),4))-FIND(";",SUBSTITUTE(D444,"|",REPT(";",LEN(D444)),3))-1)</f>
        <v/>
      </c>
      <c r="M444" s="11">
        <f>MID(D444,FIND(";",SUBSTITUTE(D444,"|",REPT(";",LEN(D444)),4))+1,FIND(";",SUBSTITUTE(D444,"|",REPT(";",LEN(D444)),5))-FIND(";",SUBSTITUTE(D444,"|",REPT(";",LEN(D444)),4))-1)</f>
        <v/>
      </c>
      <c r="N444" s="11">
        <f>MID(D444,FIND(";",SUBSTITUTE(D444,"|",REPT(";",LEN(D444)),6))+1,LEN(D444))</f>
        <v/>
      </c>
      <c r="O444" s="11">
        <f>MID(D444,FIND(";",SUBSTITUTE(D444,"|",REPT(";",LEN(D444)),5))+1,FIND(";",SUBSTITUTE(D444,"|",REPT(";",LEN(D444)),6))-FIND(";",SUBSTITUTE(D444,"|",REPT(";",LEN(D444)),5))-1)</f>
        <v/>
      </c>
    </row>
    <row r="445" ht="140" customHeight="1" s="21">
      <c r="A445" s="13" t="inlineStr">
        <is>
          <t>100201</t>
        </is>
      </c>
      <c r="B445" s="13" t="inlineStr">
        <is>
          <t>圆钢</t>
        </is>
      </c>
      <c r="C445" s="13" t="inlineStr">
        <is>
          <t>600616700</t>
        </is>
      </c>
      <c r="D445" s="13" t="inlineStr">
        <is>
          <t>热轧高碳铬轴承圆钢|圆钢|GCr15|Φ50|GB/T 18254-2002|热轧|GB/T 702-2008</t>
        </is>
      </c>
      <c r="E445" s="13" t="inlineStr">
        <is>
          <t>物资名称 热轧高碳铬轴承圆钢;物资简称 圆钢;牌号 GCr15;直径 Φ50;技术标准号 GB/T 18254-2002;加工工艺 热轧;热处理工艺 ;特殊要求 ;规格标准号 GB/T 702-2008</t>
        </is>
      </c>
      <c r="F445" s="12" t="inlineStr">
        <is>
          <t>千克</t>
        </is>
      </c>
      <c r="G445" s="11">
        <f>LEFT(D445,FIND("|",D445,1)-1)</f>
        <v/>
      </c>
      <c r="H445" s="11">
        <f>MID(D445,FIND("|",D445,FIND("|",D445,1))+1,FIND("|",D445,FIND("|",D445,1)+1)-FIND("|",D445,FIND("|",D445,1))-1)</f>
        <v/>
      </c>
      <c r="J445" s="11">
        <f>MID(D445,FIND(";",SUBSTITUTE(D445,"|",REPT(";",LEN(D445)),2))+1,FIND(";",SUBSTITUTE(D445,"|",REPT(";",LEN(D445)),3))-FIND(";",SUBSTITUTE(D445,"|",REPT(";",LEN(D445)),2))-1)</f>
        <v/>
      </c>
      <c r="K445" s="11">
        <f>MID(D445,FIND(";",SUBSTITUTE(D445,"|",REPT(";",LEN(D445)),3))+1,FIND(";",SUBSTITUTE(D445,"|",REPT(";",LEN(D445)),4))-FIND(";",SUBSTITUTE(D445,"|",REPT(";",LEN(D445)),3))-1)</f>
        <v/>
      </c>
      <c r="M445" s="11">
        <f>MID(D445,FIND(";",SUBSTITUTE(D445,"|",REPT(";",LEN(D445)),4))+1,FIND(";",SUBSTITUTE(D445,"|",REPT(";",LEN(D445)),5))-FIND(";",SUBSTITUTE(D445,"|",REPT(";",LEN(D445)),4))-1)</f>
        <v/>
      </c>
      <c r="N445" s="11">
        <f>MID(D445,FIND(";",SUBSTITUTE(D445,"|",REPT(";",LEN(D445)),6))+1,LEN(D445))</f>
        <v/>
      </c>
      <c r="O445" s="11">
        <f>MID(D445,FIND(";",SUBSTITUTE(D445,"|",REPT(";",LEN(D445)),5))+1,FIND(";",SUBSTITUTE(D445,"|",REPT(";",LEN(D445)),6))-FIND(";",SUBSTITUTE(D445,"|",REPT(";",LEN(D445)),5))-1)</f>
        <v/>
      </c>
    </row>
    <row r="446" ht="140" customHeight="1" s="21">
      <c r="A446" s="13" t="inlineStr">
        <is>
          <t>100201</t>
        </is>
      </c>
      <c r="B446" s="13" t="inlineStr">
        <is>
          <t>圆钢</t>
        </is>
      </c>
      <c r="C446" s="13" t="inlineStr">
        <is>
          <t>600616600</t>
        </is>
      </c>
      <c r="D446" s="13" t="inlineStr">
        <is>
          <t>热轧高碳铬轴承圆钢|圆钢|GCr15|Φ70|GB/T 18254-2002|热轧|GB/T 702-2008</t>
        </is>
      </c>
      <c r="E446" s="13" t="inlineStr">
        <is>
          <t>物资名称 热轧高碳铬轴承圆钢;物资简称 圆钢;牌号 GCr15;直径 Φ70;技术标准号 GB/T 18254-2002;加工工艺 热轧;热处理工艺 ;特殊要求 ;规格标准号 GB/T 702-2008</t>
        </is>
      </c>
      <c r="F446" s="12" t="inlineStr">
        <is>
          <t>千克</t>
        </is>
      </c>
      <c r="G446" s="11">
        <f>LEFT(D446,FIND("|",D446,1)-1)</f>
        <v/>
      </c>
      <c r="H446" s="11">
        <f>MID(D446,FIND("|",D446,FIND("|",D446,1))+1,FIND("|",D446,FIND("|",D446,1)+1)-FIND("|",D446,FIND("|",D446,1))-1)</f>
        <v/>
      </c>
      <c r="J446" s="11">
        <f>MID(D446,FIND(";",SUBSTITUTE(D446,"|",REPT(";",LEN(D446)),2))+1,FIND(";",SUBSTITUTE(D446,"|",REPT(";",LEN(D446)),3))-FIND(";",SUBSTITUTE(D446,"|",REPT(";",LEN(D446)),2))-1)</f>
        <v/>
      </c>
      <c r="K446" s="11">
        <f>MID(D446,FIND(";",SUBSTITUTE(D446,"|",REPT(";",LEN(D446)),3))+1,FIND(";",SUBSTITUTE(D446,"|",REPT(";",LEN(D446)),4))-FIND(";",SUBSTITUTE(D446,"|",REPT(";",LEN(D446)),3))-1)</f>
        <v/>
      </c>
      <c r="M446" s="11">
        <f>MID(D446,FIND(";",SUBSTITUTE(D446,"|",REPT(";",LEN(D446)),4))+1,FIND(";",SUBSTITUTE(D446,"|",REPT(";",LEN(D446)),5))-FIND(";",SUBSTITUTE(D446,"|",REPT(";",LEN(D446)),4))-1)</f>
        <v/>
      </c>
      <c r="N446" s="11">
        <f>MID(D446,FIND(";",SUBSTITUTE(D446,"|",REPT(";",LEN(D446)),6))+1,LEN(D446))</f>
        <v/>
      </c>
      <c r="O446" s="11">
        <f>MID(D446,FIND(";",SUBSTITUTE(D446,"|",REPT(";",LEN(D446)),5))+1,FIND(";",SUBSTITUTE(D446,"|",REPT(";",LEN(D446)),6))-FIND(";",SUBSTITUTE(D446,"|",REPT(";",LEN(D446)),5))-1)</f>
        <v/>
      </c>
    </row>
    <row r="447" ht="140" customHeight="1" s="21">
      <c r="A447" s="13" t="inlineStr">
        <is>
          <t>100201</t>
        </is>
      </c>
      <c r="B447" s="13" t="inlineStr">
        <is>
          <t>圆钢</t>
        </is>
      </c>
      <c r="C447" s="13" t="inlineStr">
        <is>
          <t>600616500</t>
        </is>
      </c>
      <c r="D447" s="13" t="inlineStr">
        <is>
          <t>热轧高碳铬轴承圆钢|圆钢|GCr15|Φ80|GB/T 18254-2002|热轧|GB/T 702-2008</t>
        </is>
      </c>
      <c r="E447" s="13" t="inlineStr">
        <is>
          <t>物资名称 热轧高碳铬轴承圆钢;物资简称 圆钢;牌号 GCr15;直径 Φ80;技术标准号 GB/T 18254-2002;加工工艺 热轧;热处理工艺 ;特殊要求 ;规格标准号 GB/T 702-2008</t>
        </is>
      </c>
      <c r="F447" s="12" t="inlineStr">
        <is>
          <t>千克</t>
        </is>
      </c>
      <c r="G447" s="11">
        <f>LEFT(D447,FIND("|",D447,1)-1)</f>
        <v/>
      </c>
      <c r="H447" s="11">
        <f>MID(D447,FIND("|",D447,FIND("|",D447,1))+1,FIND("|",D447,FIND("|",D447,1)+1)-FIND("|",D447,FIND("|",D447,1))-1)</f>
        <v/>
      </c>
      <c r="J447" s="11">
        <f>MID(D447,FIND(";",SUBSTITUTE(D447,"|",REPT(";",LEN(D447)),2))+1,FIND(";",SUBSTITUTE(D447,"|",REPT(";",LEN(D447)),3))-FIND(";",SUBSTITUTE(D447,"|",REPT(";",LEN(D447)),2))-1)</f>
        <v/>
      </c>
      <c r="K447" s="11">
        <f>MID(D447,FIND(";",SUBSTITUTE(D447,"|",REPT(";",LEN(D447)),3))+1,FIND(";",SUBSTITUTE(D447,"|",REPT(";",LEN(D447)),4))-FIND(";",SUBSTITUTE(D447,"|",REPT(";",LEN(D447)),3))-1)</f>
        <v/>
      </c>
      <c r="M447" s="11">
        <f>MID(D447,FIND(";",SUBSTITUTE(D447,"|",REPT(";",LEN(D447)),4))+1,FIND(";",SUBSTITUTE(D447,"|",REPT(";",LEN(D447)),5))-FIND(";",SUBSTITUTE(D447,"|",REPT(";",LEN(D447)),4))-1)</f>
        <v/>
      </c>
      <c r="N447" s="11">
        <f>MID(D447,FIND(";",SUBSTITUTE(D447,"|",REPT(";",LEN(D447)),6))+1,LEN(D447))</f>
        <v/>
      </c>
      <c r="O447" s="11">
        <f>MID(D447,FIND(";",SUBSTITUTE(D447,"|",REPT(";",LEN(D447)),5))+1,FIND(";",SUBSTITUTE(D447,"|",REPT(";",LEN(D447)),6))-FIND(";",SUBSTITUTE(D447,"|",REPT(";",LEN(D447)),5))-1)</f>
        <v/>
      </c>
    </row>
    <row r="448" ht="140" customHeight="1" s="21">
      <c r="A448" s="13" t="inlineStr">
        <is>
          <t>100201</t>
        </is>
      </c>
      <c r="B448" s="13" t="inlineStr">
        <is>
          <t>圆钢</t>
        </is>
      </c>
      <c r="C448" s="13" t="inlineStr">
        <is>
          <t>600616400</t>
        </is>
      </c>
      <c r="D448" s="13" t="inlineStr">
        <is>
          <t>热轧高碳铬轴承圆钢|圆钢|GCr15|Φ90|GB/T 18254-2002|热轧|GB/T 702-2008</t>
        </is>
      </c>
      <c r="E448" s="13" t="inlineStr">
        <is>
          <t>物资名称 热轧高碳铬轴承圆钢;物资简称 圆钢;牌号 GCr15;直径 Φ90;技术标准号 GB/T 18254-2002;加工工艺 热轧;热处理工艺 ;特殊要求 ;规格标准号 GB/T 702-2008</t>
        </is>
      </c>
      <c r="F448" s="12" t="inlineStr">
        <is>
          <t>千克</t>
        </is>
      </c>
      <c r="G448" s="11">
        <f>LEFT(D448,FIND("|",D448,1)-1)</f>
        <v/>
      </c>
      <c r="H448" s="11">
        <f>MID(D448,FIND("|",D448,FIND("|",D448,1))+1,FIND("|",D448,FIND("|",D448,1)+1)-FIND("|",D448,FIND("|",D448,1))-1)</f>
        <v/>
      </c>
      <c r="J448" s="11">
        <f>MID(D448,FIND(";",SUBSTITUTE(D448,"|",REPT(";",LEN(D448)),2))+1,FIND(";",SUBSTITUTE(D448,"|",REPT(";",LEN(D448)),3))-FIND(";",SUBSTITUTE(D448,"|",REPT(";",LEN(D448)),2))-1)</f>
        <v/>
      </c>
      <c r="K448" s="11">
        <f>MID(D448,FIND(";",SUBSTITUTE(D448,"|",REPT(";",LEN(D448)),3))+1,FIND(";",SUBSTITUTE(D448,"|",REPT(";",LEN(D448)),4))-FIND(";",SUBSTITUTE(D448,"|",REPT(";",LEN(D448)),3))-1)</f>
        <v/>
      </c>
      <c r="M448" s="11">
        <f>MID(D448,FIND(";",SUBSTITUTE(D448,"|",REPT(";",LEN(D448)),4))+1,FIND(";",SUBSTITUTE(D448,"|",REPT(";",LEN(D448)),5))-FIND(";",SUBSTITUTE(D448,"|",REPT(";",LEN(D448)),4))-1)</f>
        <v/>
      </c>
      <c r="N448" s="11">
        <f>MID(D448,FIND(";",SUBSTITUTE(D448,"|",REPT(";",LEN(D448)),6))+1,LEN(D448))</f>
        <v/>
      </c>
      <c r="O448" s="11">
        <f>MID(D448,FIND(";",SUBSTITUTE(D448,"|",REPT(";",LEN(D448)),5))+1,FIND(";",SUBSTITUTE(D448,"|",REPT(";",LEN(D448)),6))-FIND(";",SUBSTITUTE(D448,"|",REPT(";",LEN(D448)),5))-1)</f>
        <v/>
      </c>
    </row>
    <row r="449" ht="140" customHeight="1" s="21">
      <c r="A449" s="13" t="inlineStr">
        <is>
          <t>100201</t>
        </is>
      </c>
      <c r="B449" s="13" t="inlineStr">
        <is>
          <t>圆钢</t>
        </is>
      </c>
      <c r="C449" s="13" t="inlineStr">
        <is>
          <t>600616300</t>
        </is>
      </c>
      <c r="D449" s="13" t="inlineStr">
        <is>
          <t>热轧高碳铬轴承圆钢|圆钢|GCr15|Φ120|GB/T 18254-2002|热轧|GB/T 702-2008</t>
        </is>
      </c>
      <c r="E449" s="13" t="inlineStr">
        <is>
          <t>物资名称 热轧高碳铬轴承圆钢;物资简称 圆钢;牌号 GCr15;直径 Φ120;技术标准号 GB/T 18254-2002;加工工艺 热轧;热处理工艺 ;特殊要求 ;规格标准号 GB/T 702-2008</t>
        </is>
      </c>
      <c r="F449" s="12" t="inlineStr">
        <is>
          <t>千克</t>
        </is>
      </c>
      <c r="G449" s="11">
        <f>LEFT(D449,FIND("|",D449,1)-1)</f>
        <v/>
      </c>
      <c r="H449" s="11">
        <f>MID(D449,FIND("|",D449,FIND("|",D449,1))+1,FIND("|",D449,FIND("|",D449,1)+1)-FIND("|",D449,FIND("|",D449,1))-1)</f>
        <v/>
      </c>
      <c r="J449" s="11">
        <f>MID(D449,FIND(";",SUBSTITUTE(D449,"|",REPT(";",LEN(D449)),2))+1,FIND(";",SUBSTITUTE(D449,"|",REPT(";",LEN(D449)),3))-FIND(";",SUBSTITUTE(D449,"|",REPT(";",LEN(D449)),2))-1)</f>
        <v/>
      </c>
      <c r="K449" s="11">
        <f>MID(D449,FIND(";",SUBSTITUTE(D449,"|",REPT(";",LEN(D449)),3))+1,FIND(";",SUBSTITUTE(D449,"|",REPT(";",LEN(D449)),4))-FIND(";",SUBSTITUTE(D449,"|",REPT(";",LEN(D449)),3))-1)</f>
        <v/>
      </c>
      <c r="M449" s="11">
        <f>MID(D449,FIND(";",SUBSTITUTE(D449,"|",REPT(";",LEN(D449)),4))+1,FIND(";",SUBSTITUTE(D449,"|",REPT(";",LEN(D449)),5))-FIND(";",SUBSTITUTE(D449,"|",REPT(";",LEN(D449)),4))-1)</f>
        <v/>
      </c>
      <c r="N449" s="11">
        <f>MID(D449,FIND(";",SUBSTITUTE(D449,"|",REPT(";",LEN(D449)),6))+1,LEN(D449))</f>
        <v/>
      </c>
      <c r="O449" s="11">
        <f>MID(D449,FIND(";",SUBSTITUTE(D449,"|",REPT(";",LEN(D449)),5))+1,FIND(";",SUBSTITUTE(D449,"|",REPT(";",LEN(D449)),6))-FIND(";",SUBSTITUTE(D449,"|",REPT(";",LEN(D449)),5))-1)</f>
        <v/>
      </c>
    </row>
    <row r="450" ht="140" customHeight="1" s="21">
      <c r="A450" s="13" t="inlineStr">
        <is>
          <t>100201</t>
        </is>
      </c>
      <c r="B450" s="13" t="inlineStr">
        <is>
          <t>圆钢</t>
        </is>
      </c>
      <c r="C450" s="13" t="inlineStr">
        <is>
          <t>600616200</t>
        </is>
      </c>
      <c r="D450" s="13" t="inlineStr">
        <is>
          <t>热轧合金结构圆钢|圆钢|30CrMnSiA|GB/T 3077-1999|GB/T 702-2008</t>
        </is>
      </c>
      <c r="E450" s="13" t="inlineStr">
        <is>
          <t>物资名称 热轧合金结构圆钢;物资简称 圆钢;牌号 30CrMnSiA;直径 Φ;技术标准号 GB/T 3077-1999;加工工艺 ;热处理工艺 ;特殊要求 ;规格标准号 GB/T 702-2008</t>
        </is>
      </c>
      <c r="F450" s="12" t="inlineStr">
        <is>
          <t>千克</t>
        </is>
      </c>
      <c r="G450" s="11">
        <f>LEFT(D450,FIND("|",D450,1)-1)</f>
        <v/>
      </c>
      <c r="H450" s="11">
        <f>MID(D450,FIND("|",D450,FIND("|",D450,1))+1,FIND("|",D450,FIND("|",D450,1)+1)-FIND("|",D450,FIND("|",D450,1))-1)</f>
        <v/>
      </c>
      <c r="J450" s="11">
        <f>MID(D450,FIND(";",SUBSTITUTE(D450,"|",REPT(";",LEN(D450)),2))+1,FIND(";",SUBSTITUTE(D450,"|",REPT(";",LEN(D450)),3))-FIND(";",SUBSTITUTE(D450,"|",REPT(";",LEN(D450)),2))-1)</f>
        <v/>
      </c>
      <c r="M450" s="11">
        <f>MID(D450,FIND(";",SUBSTITUTE(D450,"|",REPT(";",LEN(D450)),3))+1,FIND(";",SUBSTITUTE(D450,"|",REPT(";",LEN(D450)),4))-FIND(";",SUBSTITUTE(D450,"|",REPT(";",LEN(D450)),3))-1)</f>
        <v/>
      </c>
      <c r="N450" s="11">
        <f>MID(D450,FIND(";",SUBSTITUTE(D450,"|",REPT(";",LEN(D450)),4))+1,LEN(D450))</f>
        <v/>
      </c>
    </row>
    <row r="451" ht="140" customHeight="1" s="21">
      <c r="A451" s="13" t="inlineStr">
        <is>
          <t>100201</t>
        </is>
      </c>
      <c r="B451" s="13" t="inlineStr">
        <is>
          <t>圆钢</t>
        </is>
      </c>
      <c r="C451" s="13" t="inlineStr">
        <is>
          <t>600616100</t>
        </is>
      </c>
      <c r="D451" s="13" t="inlineStr">
        <is>
          <t>锻造合金结构圆钢|圆钢|30CrMnSiA|Φ190|GB/T 3077-1999|锻造|退火|GB/T 908-2008</t>
        </is>
      </c>
      <c r="E451" s="13" t="inlineStr">
        <is>
          <t>物资名称 锻造合金结构圆钢;物资简称 圆钢;牌号 30CrMnSiA;直径 Φ190;技术标准号 GB/T 3077-1999;加工工艺 锻造;热处理工艺 退火;特殊要求 ;规格标准号 GB/T 908-2008</t>
        </is>
      </c>
      <c r="F451" s="12" t="inlineStr">
        <is>
          <t>千克</t>
        </is>
      </c>
      <c r="G451" s="11">
        <f>LEFT(D451,FIND("|",D451,1)-1)</f>
        <v/>
      </c>
      <c r="H451" s="11">
        <f>MID(D451,FIND("|",D451,FIND("|",D451,1))+1,FIND("|",D451,FIND("|",D451,1)+1)-FIND("|",D451,FIND("|",D451,1))-1)</f>
        <v/>
      </c>
      <c r="J451" s="11">
        <f>MID(D451,FIND(";",SUBSTITUTE(D451,"|",REPT(";",LEN(D451)),2))+1,FIND(";",SUBSTITUTE(D451,"|",REPT(";",LEN(D451)),3))-FIND(";",SUBSTITUTE(D451,"|",REPT(";",LEN(D451)),2))-1)</f>
        <v/>
      </c>
      <c r="K451" s="11">
        <f>MID(D451,FIND(";",SUBSTITUTE(D451,"|",REPT(";",LEN(D451)),3))+1,FIND(";",SUBSTITUTE(D451,"|",REPT(";",LEN(D451)),4))-FIND(";",SUBSTITUTE(D451,"|",REPT(";",LEN(D451)),3))-1)</f>
        <v/>
      </c>
      <c r="M451" s="11">
        <f>MID(D451,FIND(";",SUBSTITUTE(D451,"|",REPT(";",LEN(D451)),4))+1,FIND(";",SUBSTITUTE(D451,"|",REPT(";",LEN(D451)),5))-FIND(";",SUBSTITUTE(D451,"|",REPT(";",LEN(D451)),4))-1)</f>
        <v/>
      </c>
      <c r="N451" s="11">
        <f>MID(D451,FIND(";",SUBSTITUTE(D451,"|",REPT(";",LEN(D451)),7))+1,LEN(D451))</f>
        <v/>
      </c>
      <c r="O451" s="11">
        <f>MID(D451,FIND(";",SUBSTITUTE(D451,"|",REPT(";",LEN(D451)),5))+1,FIND(";",SUBSTITUTE(D451,"|",REPT(";",LEN(D451)),6))-FIND(";",SUBSTITUTE(D451,"|",REPT(";",LEN(D451)),5))-1)</f>
        <v/>
      </c>
      <c r="P451" s="11">
        <f>MID(D451,FIND(";",SUBSTITUTE(D451,"|",REPT(";",LEN(D451)),6))+1,FIND(";",SUBSTITUTE(D451,"|",REPT(";",LEN(D451)),7))-FIND(";",SUBSTITUTE(D451,"|",REPT(";",LEN(D451)),6))-1)</f>
        <v/>
      </c>
    </row>
    <row r="452" ht="140" customHeight="1" s="21">
      <c r="A452" s="13" t="inlineStr">
        <is>
          <t>100201</t>
        </is>
      </c>
      <c r="B452" s="13" t="inlineStr">
        <is>
          <t>圆钢</t>
        </is>
      </c>
      <c r="C452" s="13" t="inlineStr">
        <is>
          <t>600616000</t>
        </is>
      </c>
      <c r="D452" s="13" t="inlineStr">
        <is>
          <t>热轧合金结构圆钢|圆钢|30CrMnSiA|Φ12|GB/T 3077-1999|热轧|GB/T 702-2008</t>
        </is>
      </c>
      <c r="E452" s="13" t="inlineStr">
        <is>
          <t>物资名称 热轧合金结构圆钢;物资简称 圆钢;牌号 30CrMnSiA;直径 Φ12;技术标准号 GB/T 3077-1999;加工工艺 热轧;热处理工艺 ;特殊要求 ;规格标准号 GB/T 702-2008</t>
        </is>
      </c>
      <c r="F452" s="12" t="inlineStr">
        <is>
          <t>千克</t>
        </is>
      </c>
      <c r="G452" s="11">
        <f>LEFT(D452,FIND("|",D452,1)-1)</f>
        <v/>
      </c>
      <c r="H452" s="11">
        <f>MID(D452,FIND("|",D452,FIND("|",D452,1))+1,FIND("|",D452,FIND("|",D452,1)+1)-FIND("|",D452,FIND("|",D452,1))-1)</f>
        <v/>
      </c>
      <c r="J452" s="11">
        <f>MID(D452,FIND(";",SUBSTITUTE(D452,"|",REPT(";",LEN(D452)),2))+1,FIND(";",SUBSTITUTE(D452,"|",REPT(";",LEN(D452)),3))-FIND(";",SUBSTITUTE(D452,"|",REPT(";",LEN(D452)),2))-1)</f>
        <v/>
      </c>
      <c r="K452" s="11">
        <f>MID(D452,FIND(";",SUBSTITUTE(D452,"|",REPT(";",LEN(D452)),3))+1,FIND(";",SUBSTITUTE(D452,"|",REPT(";",LEN(D452)),4))-FIND(";",SUBSTITUTE(D452,"|",REPT(";",LEN(D452)),3))-1)</f>
        <v/>
      </c>
      <c r="M452" s="11">
        <f>MID(D452,FIND(";",SUBSTITUTE(D452,"|",REPT(";",LEN(D452)),4))+1,FIND(";",SUBSTITUTE(D452,"|",REPT(";",LEN(D452)),5))-FIND(";",SUBSTITUTE(D452,"|",REPT(";",LEN(D452)),4))-1)</f>
        <v/>
      </c>
      <c r="N452" s="11">
        <f>MID(D452,FIND(";",SUBSTITUTE(D452,"|",REPT(";",LEN(D452)),6))+1,LEN(D452))</f>
        <v/>
      </c>
      <c r="O452" s="11">
        <f>MID(D452,FIND(";",SUBSTITUTE(D452,"|",REPT(";",LEN(D452)),5))+1,FIND(";",SUBSTITUTE(D452,"|",REPT(";",LEN(D452)),6))-FIND(";",SUBSTITUTE(D452,"|",REPT(";",LEN(D452)),5))-1)</f>
        <v/>
      </c>
    </row>
    <row r="453" ht="140" customHeight="1" s="21">
      <c r="A453" s="13" t="inlineStr">
        <is>
          <t>100201</t>
        </is>
      </c>
      <c r="B453" s="13" t="inlineStr">
        <is>
          <t>圆钢</t>
        </is>
      </c>
      <c r="C453" s="13" t="inlineStr">
        <is>
          <t>600615900</t>
        </is>
      </c>
      <c r="D453" s="13" t="inlineStr">
        <is>
          <t>热轧合金结构圆钢|圆钢|30CrMnSiA|Φ14|GB/T 3077-1999|热轧|GB/T 702-2008</t>
        </is>
      </c>
      <c r="E453" s="13" t="inlineStr">
        <is>
          <t>物资名称 热轧合金结构圆钢;物资简称 圆钢;牌号 30CrMnSiA;直径 Φ14;技术标准号 GB/T 3077-1999;加工工艺 热轧;热处理工艺 ;特殊要求 ;规格标准号 GB/T 702-2008</t>
        </is>
      </c>
      <c r="F453" s="12" t="inlineStr">
        <is>
          <t>千克</t>
        </is>
      </c>
      <c r="G453" s="11">
        <f>LEFT(D453,FIND("|",D453,1)-1)</f>
        <v/>
      </c>
      <c r="H453" s="11">
        <f>MID(D453,FIND("|",D453,FIND("|",D453,1))+1,FIND("|",D453,FIND("|",D453,1)+1)-FIND("|",D453,FIND("|",D453,1))-1)</f>
        <v/>
      </c>
      <c r="J453" s="11">
        <f>MID(D453,FIND(";",SUBSTITUTE(D453,"|",REPT(";",LEN(D453)),2))+1,FIND(";",SUBSTITUTE(D453,"|",REPT(";",LEN(D453)),3))-FIND(";",SUBSTITUTE(D453,"|",REPT(";",LEN(D453)),2))-1)</f>
        <v/>
      </c>
      <c r="K453" s="11">
        <f>MID(D453,FIND(";",SUBSTITUTE(D453,"|",REPT(";",LEN(D453)),3))+1,FIND(";",SUBSTITUTE(D453,"|",REPT(";",LEN(D453)),4))-FIND(";",SUBSTITUTE(D453,"|",REPT(";",LEN(D453)),3))-1)</f>
        <v/>
      </c>
      <c r="M453" s="11">
        <f>MID(D453,FIND(";",SUBSTITUTE(D453,"|",REPT(";",LEN(D453)),4))+1,FIND(";",SUBSTITUTE(D453,"|",REPT(";",LEN(D453)),5))-FIND(";",SUBSTITUTE(D453,"|",REPT(";",LEN(D453)),4))-1)</f>
        <v/>
      </c>
      <c r="N453" s="11">
        <f>MID(D453,FIND(";",SUBSTITUTE(D453,"|",REPT(";",LEN(D453)),6))+1,LEN(D453))</f>
        <v/>
      </c>
      <c r="O453" s="11">
        <f>MID(D453,FIND(";",SUBSTITUTE(D453,"|",REPT(";",LEN(D453)),5))+1,FIND(";",SUBSTITUTE(D453,"|",REPT(";",LEN(D453)),6))-FIND(";",SUBSTITUTE(D453,"|",REPT(";",LEN(D453)),5))-1)</f>
        <v/>
      </c>
    </row>
    <row r="454" ht="140" customHeight="1" s="21">
      <c r="A454" s="13" t="inlineStr">
        <is>
          <t>100201</t>
        </is>
      </c>
      <c r="B454" s="13" t="inlineStr">
        <is>
          <t>圆钢</t>
        </is>
      </c>
      <c r="C454" s="13" t="inlineStr">
        <is>
          <t>600615800</t>
        </is>
      </c>
      <c r="D454" s="13" t="inlineStr">
        <is>
          <t>热轧合金结构圆钢|圆钢|30CrMnSiA|Φ18|GB/T 3077-1999|热轧|GB/T 702-2008</t>
        </is>
      </c>
      <c r="E454" s="13" t="inlineStr">
        <is>
          <t>物资名称 热轧合金结构圆钢;物资简称 圆钢;牌号 30CrMnSiA;直径 Φ18;技术标准号 GB/T 3077-1999;加工工艺 热轧;热处理工艺 ;特殊要求 ;规格标准号 GB/T 702-2008</t>
        </is>
      </c>
      <c r="F454" s="12" t="inlineStr">
        <is>
          <t>千克</t>
        </is>
      </c>
      <c r="G454" s="11">
        <f>LEFT(D454,FIND("|",D454,1)-1)</f>
        <v/>
      </c>
      <c r="H454" s="11">
        <f>MID(D454,FIND("|",D454,FIND("|",D454,1))+1,FIND("|",D454,FIND("|",D454,1)+1)-FIND("|",D454,FIND("|",D454,1))-1)</f>
        <v/>
      </c>
      <c r="J454" s="11">
        <f>MID(D454,FIND(";",SUBSTITUTE(D454,"|",REPT(";",LEN(D454)),2))+1,FIND(";",SUBSTITUTE(D454,"|",REPT(";",LEN(D454)),3))-FIND(";",SUBSTITUTE(D454,"|",REPT(";",LEN(D454)),2))-1)</f>
        <v/>
      </c>
      <c r="K454" s="11">
        <f>MID(D454,FIND(";",SUBSTITUTE(D454,"|",REPT(";",LEN(D454)),3))+1,FIND(";",SUBSTITUTE(D454,"|",REPT(";",LEN(D454)),4))-FIND(";",SUBSTITUTE(D454,"|",REPT(";",LEN(D454)),3))-1)</f>
        <v/>
      </c>
      <c r="M454" s="11">
        <f>MID(D454,FIND(";",SUBSTITUTE(D454,"|",REPT(";",LEN(D454)),4))+1,FIND(";",SUBSTITUTE(D454,"|",REPT(";",LEN(D454)),5))-FIND(";",SUBSTITUTE(D454,"|",REPT(";",LEN(D454)),4))-1)</f>
        <v/>
      </c>
      <c r="N454" s="11">
        <f>MID(D454,FIND(";",SUBSTITUTE(D454,"|",REPT(";",LEN(D454)),6))+1,LEN(D454))</f>
        <v/>
      </c>
      <c r="O454" s="11">
        <f>MID(D454,FIND(";",SUBSTITUTE(D454,"|",REPT(";",LEN(D454)),5))+1,FIND(";",SUBSTITUTE(D454,"|",REPT(";",LEN(D454)),6))-FIND(";",SUBSTITUTE(D454,"|",REPT(";",LEN(D454)),5))-1)</f>
        <v/>
      </c>
    </row>
    <row r="455" ht="140" customHeight="1" s="21">
      <c r="A455" s="13" t="inlineStr">
        <is>
          <t>100201</t>
        </is>
      </c>
      <c r="B455" s="13" t="inlineStr">
        <is>
          <t>圆钢</t>
        </is>
      </c>
      <c r="C455" s="13" t="inlineStr">
        <is>
          <t>600615700</t>
        </is>
      </c>
      <c r="D455" s="13" t="inlineStr">
        <is>
          <t>热轧合金结构圆钢|圆钢|30CrMnSiA|Φ20|GB/T 3077-1999|热轧|GB/T 702-2008</t>
        </is>
      </c>
      <c r="E455" s="13" t="inlineStr">
        <is>
          <t>物资名称 热轧合金结构圆钢;物资简称 圆钢;牌号 30CrMnSiA;直径 Φ20;技术标准号 GB/T 3077-1999;加工工艺 热轧;热处理工艺 ;特殊要求 ;规格标准号 GB/T 702-2008</t>
        </is>
      </c>
      <c r="F455" s="12" t="inlineStr">
        <is>
          <t>千克</t>
        </is>
      </c>
      <c r="G455" s="11">
        <f>LEFT(D455,FIND("|",D455,1)-1)</f>
        <v/>
      </c>
      <c r="H455" s="11">
        <f>MID(D455,FIND("|",D455,FIND("|",D455,1))+1,FIND("|",D455,FIND("|",D455,1)+1)-FIND("|",D455,FIND("|",D455,1))-1)</f>
        <v/>
      </c>
      <c r="J455" s="11">
        <f>MID(D455,FIND(";",SUBSTITUTE(D455,"|",REPT(";",LEN(D455)),2))+1,FIND(";",SUBSTITUTE(D455,"|",REPT(";",LEN(D455)),3))-FIND(";",SUBSTITUTE(D455,"|",REPT(";",LEN(D455)),2))-1)</f>
        <v/>
      </c>
      <c r="K455" s="11">
        <f>MID(D455,FIND(";",SUBSTITUTE(D455,"|",REPT(";",LEN(D455)),3))+1,FIND(";",SUBSTITUTE(D455,"|",REPT(";",LEN(D455)),4))-FIND(";",SUBSTITUTE(D455,"|",REPT(";",LEN(D455)),3))-1)</f>
        <v/>
      </c>
      <c r="M455" s="11">
        <f>MID(D455,FIND(";",SUBSTITUTE(D455,"|",REPT(";",LEN(D455)),4))+1,FIND(";",SUBSTITUTE(D455,"|",REPT(";",LEN(D455)),5))-FIND(";",SUBSTITUTE(D455,"|",REPT(";",LEN(D455)),4))-1)</f>
        <v/>
      </c>
      <c r="N455" s="11">
        <f>MID(D455,FIND(";",SUBSTITUTE(D455,"|",REPT(";",LEN(D455)),6))+1,LEN(D455))</f>
        <v/>
      </c>
      <c r="O455" s="11">
        <f>MID(D455,FIND(";",SUBSTITUTE(D455,"|",REPT(";",LEN(D455)),5))+1,FIND(";",SUBSTITUTE(D455,"|",REPT(";",LEN(D455)),6))-FIND(";",SUBSTITUTE(D455,"|",REPT(";",LEN(D455)),5))-1)</f>
        <v/>
      </c>
    </row>
    <row r="456" ht="140" customHeight="1" s="21">
      <c r="A456" s="13" t="inlineStr">
        <is>
          <t>100201</t>
        </is>
      </c>
      <c r="B456" s="13" t="inlineStr">
        <is>
          <t>圆钢</t>
        </is>
      </c>
      <c r="C456" s="13" t="inlineStr">
        <is>
          <t>600615600</t>
        </is>
      </c>
      <c r="D456" s="13" t="inlineStr">
        <is>
          <t>热轧合金结构圆钢|圆钢|30CrMnSiA|Φ22|GB/T 3077-1999|热轧|GB/T 702-2008</t>
        </is>
      </c>
      <c r="E456" s="13" t="inlineStr">
        <is>
          <t>物资名称 热轧合金结构圆钢;物资简称 圆钢;牌号 30CrMnSiA;直径 Φ22;技术标准号 GB/T 3077-1999;加工工艺 热轧;热处理工艺 ;特殊要求 ;规格标准号 GB/T 702-2008</t>
        </is>
      </c>
      <c r="F456" s="12" t="inlineStr">
        <is>
          <t>千克</t>
        </is>
      </c>
      <c r="G456" s="11">
        <f>LEFT(D456,FIND("|",D456,1)-1)</f>
        <v/>
      </c>
      <c r="H456" s="11">
        <f>MID(D456,FIND("|",D456,FIND("|",D456,1))+1,FIND("|",D456,FIND("|",D456,1)+1)-FIND("|",D456,FIND("|",D456,1))-1)</f>
        <v/>
      </c>
      <c r="J456" s="11">
        <f>MID(D456,FIND(";",SUBSTITUTE(D456,"|",REPT(";",LEN(D456)),2))+1,FIND(";",SUBSTITUTE(D456,"|",REPT(";",LEN(D456)),3))-FIND(";",SUBSTITUTE(D456,"|",REPT(";",LEN(D456)),2))-1)</f>
        <v/>
      </c>
      <c r="K456" s="11">
        <f>MID(D456,FIND(";",SUBSTITUTE(D456,"|",REPT(";",LEN(D456)),3))+1,FIND(";",SUBSTITUTE(D456,"|",REPT(";",LEN(D456)),4))-FIND(";",SUBSTITUTE(D456,"|",REPT(";",LEN(D456)),3))-1)</f>
        <v/>
      </c>
      <c r="M456" s="11">
        <f>MID(D456,FIND(";",SUBSTITUTE(D456,"|",REPT(";",LEN(D456)),4))+1,FIND(";",SUBSTITUTE(D456,"|",REPT(";",LEN(D456)),5))-FIND(";",SUBSTITUTE(D456,"|",REPT(";",LEN(D456)),4))-1)</f>
        <v/>
      </c>
      <c r="N456" s="11">
        <f>MID(D456,FIND(";",SUBSTITUTE(D456,"|",REPT(";",LEN(D456)),6))+1,LEN(D456))</f>
        <v/>
      </c>
      <c r="O456" s="11">
        <f>MID(D456,FIND(";",SUBSTITUTE(D456,"|",REPT(";",LEN(D456)),5))+1,FIND(";",SUBSTITUTE(D456,"|",REPT(";",LEN(D456)),6))-FIND(";",SUBSTITUTE(D456,"|",REPT(";",LEN(D456)),5))-1)</f>
        <v/>
      </c>
    </row>
    <row r="457" ht="140" customHeight="1" s="21">
      <c r="A457" s="13" t="inlineStr">
        <is>
          <t>100201</t>
        </is>
      </c>
      <c r="B457" s="13" t="inlineStr">
        <is>
          <t>圆钢</t>
        </is>
      </c>
      <c r="C457" s="13" t="inlineStr">
        <is>
          <t>600615500</t>
        </is>
      </c>
      <c r="D457" s="13" t="inlineStr">
        <is>
          <t>热轧合金结构圆钢|圆钢|30CrMnSiA|Φ32|GB/T 3077-1999|热轧|GB/T 702-2008</t>
        </is>
      </c>
      <c r="E457" s="13" t="inlineStr">
        <is>
          <t>物资名称 热轧合金结构圆钢;物资简称 圆钢;牌号 30CrMnSiA;直径 Φ32;技术标准号 GB/T 3077-1999;加工工艺 热轧;热处理工艺 ;特殊要求 ;规格标准号 GB/T 702-2008</t>
        </is>
      </c>
      <c r="F457" s="12" t="inlineStr">
        <is>
          <t>千克</t>
        </is>
      </c>
      <c r="G457" s="11">
        <f>LEFT(D457,FIND("|",D457,1)-1)</f>
        <v/>
      </c>
      <c r="H457" s="11">
        <f>MID(D457,FIND("|",D457,FIND("|",D457,1))+1,FIND("|",D457,FIND("|",D457,1)+1)-FIND("|",D457,FIND("|",D457,1))-1)</f>
        <v/>
      </c>
      <c r="J457" s="11">
        <f>MID(D457,FIND(";",SUBSTITUTE(D457,"|",REPT(";",LEN(D457)),2))+1,FIND(";",SUBSTITUTE(D457,"|",REPT(";",LEN(D457)),3))-FIND(";",SUBSTITUTE(D457,"|",REPT(";",LEN(D457)),2))-1)</f>
        <v/>
      </c>
      <c r="K457" s="11">
        <f>MID(D457,FIND(";",SUBSTITUTE(D457,"|",REPT(";",LEN(D457)),3))+1,FIND(";",SUBSTITUTE(D457,"|",REPT(";",LEN(D457)),4))-FIND(";",SUBSTITUTE(D457,"|",REPT(";",LEN(D457)),3))-1)</f>
        <v/>
      </c>
      <c r="M457" s="11">
        <f>MID(D457,FIND(";",SUBSTITUTE(D457,"|",REPT(";",LEN(D457)),4))+1,FIND(";",SUBSTITUTE(D457,"|",REPT(";",LEN(D457)),5))-FIND(";",SUBSTITUTE(D457,"|",REPT(";",LEN(D457)),4))-1)</f>
        <v/>
      </c>
      <c r="N457" s="11">
        <f>MID(D457,FIND(";",SUBSTITUTE(D457,"|",REPT(";",LEN(D457)),6))+1,LEN(D457))</f>
        <v/>
      </c>
      <c r="O457" s="11">
        <f>MID(D457,FIND(";",SUBSTITUTE(D457,"|",REPT(";",LEN(D457)),5))+1,FIND(";",SUBSTITUTE(D457,"|",REPT(";",LEN(D457)),6))-FIND(";",SUBSTITUTE(D457,"|",REPT(";",LEN(D457)),5))-1)</f>
        <v/>
      </c>
    </row>
    <row r="458" ht="140" customHeight="1" s="21">
      <c r="A458" s="13" t="inlineStr">
        <is>
          <t>100201</t>
        </is>
      </c>
      <c r="B458" s="13" t="inlineStr">
        <is>
          <t>圆钢</t>
        </is>
      </c>
      <c r="C458" s="13" t="inlineStr">
        <is>
          <t>600615400</t>
        </is>
      </c>
      <c r="D458" s="13" t="inlineStr">
        <is>
          <t>热轧合金结构圆钢|圆钢|30CrMnSiA|Φ34|GB/T 3077-1999|热轧|GB/T 702-2008</t>
        </is>
      </c>
      <c r="E458" s="13" t="inlineStr">
        <is>
          <t>物资名称 热轧合金结构圆钢;物资简称 圆钢;牌号 30CrMnSiA;直径 Φ34;技术标准号 GB/T 3077-1999;加工工艺 热轧;热处理工艺 ;特殊要求 ;规格标准号 GB/T 702-2008</t>
        </is>
      </c>
      <c r="F458" s="12" t="inlineStr">
        <is>
          <t>千克</t>
        </is>
      </c>
      <c r="G458" s="11">
        <f>LEFT(D458,FIND("|",D458,1)-1)</f>
        <v/>
      </c>
      <c r="H458" s="11">
        <f>MID(D458,FIND("|",D458,FIND("|",D458,1))+1,FIND("|",D458,FIND("|",D458,1)+1)-FIND("|",D458,FIND("|",D458,1))-1)</f>
        <v/>
      </c>
      <c r="J458" s="11">
        <f>MID(D458,FIND(";",SUBSTITUTE(D458,"|",REPT(";",LEN(D458)),2))+1,FIND(";",SUBSTITUTE(D458,"|",REPT(";",LEN(D458)),3))-FIND(";",SUBSTITUTE(D458,"|",REPT(";",LEN(D458)),2))-1)</f>
        <v/>
      </c>
      <c r="K458" s="11">
        <f>MID(D458,FIND(";",SUBSTITUTE(D458,"|",REPT(";",LEN(D458)),3))+1,FIND(";",SUBSTITUTE(D458,"|",REPT(";",LEN(D458)),4))-FIND(";",SUBSTITUTE(D458,"|",REPT(";",LEN(D458)),3))-1)</f>
        <v/>
      </c>
      <c r="M458" s="11">
        <f>MID(D458,FIND(";",SUBSTITUTE(D458,"|",REPT(";",LEN(D458)),4))+1,FIND(";",SUBSTITUTE(D458,"|",REPT(";",LEN(D458)),5))-FIND(";",SUBSTITUTE(D458,"|",REPT(";",LEN(D458)),4))-1)</f>
        <v/>
      </c>
      <c r="N458" s="11">
        <f>MID(D458,FIND(";",SUBSTITUTE(D458,"|",REPT(";",LEN(D458)),6))+1,LEN(D458))</f>
        <v/>
      </c>
      <c r="O458" s="11">
        <f>MID(D458,FIND(";",SUBSTITUTE(D458,"|",REPT(";",LEN(D458)),5))+1,FIND(";",SUBSTITUTE(D458,"|",REPT(";",LEN(D458)),6))-FIND(";",SUBSTITUTE(D458,"|",REPT(";",LEN(D458)),5))-1)</f>
        <v/>
      </c>
    </row>
    <row r="459" ht="140" customHeight="1" s="21">
      <c r="A459" s="13" t="inlineStr">
        <is>
          <t>100201</t>
        </is>
      </c>
      <c r="B459" s="13" t="inlineStr">
        <is>
          <t>圆钢</t>
        </is>
      </c>
      <c r="C459" s="13" t="inlineStr">
        <is>
          <t>600615300</t>
        </is>
      </c>
      <c r="D459" s="13" t="inlineStr">
        <is>
          <t>热轧合金结构圆钢|圆钢|30CrMnSiA|Φ40|GB/T 3077-1999|热轧|GB/T 702-2008</t>
        </is>
      </c>
      <c r="E459" s="13" t="inlineStr">
        <is>
          <t>物资名称 热轧合金结构圆钢;物资简称 圆钢;牌号 30CrMnSiA;直径 Φ40;技术标准号 GB/T 3077-1999;加工工艺 热轧;热处理工艺 ;特殊要求 ;规格标准号 GB/T 702-2008</t>
        </is>
      </c>
      <c r="F459" s="12" t="inlineStr">
        <is>
          <t>千克</t>
        </is>
      </c>
      <c r="G459" s="11">
        <f>LEFT(D459,FIND("|",D459,1)-1)</f>
        <v/>
      </c>
      <c r="H459" s="11">
        <f>MID(D459,FIND("|",D459,FIND("|",D459,1))+1,FIND("|",D459,FIND("|",D459,1)+1)-FIND("|",D459,FIND("|",D459,1))-1)</f>
        <v/>
      </c>
      <c r="J459" s="11">
        <f>MID(D459,FIND(";",SUBSTITUTE(D459,"|",REPT(";",LEN(D459)),2))+1,FIND(";",SUBSTITUTE(D459,"|",REPT(";",LEN(D459)),3))-FIND(";",SUBSTITUTE(D459,"|",REPT(";",LEN(D459)),2))-1)</f>
        <v/>
      </c>
      <c r="K459" s="11">
        <f>MID(D459,FIND(";",SUBSTITUTE(D459,"|",REPT(";",LEN(D459)),3))+1,FIND(";",SUBSTITUTE(D459,"|",REPT(";",LEN(D459)),4))-FIND(";",SUBSTITUTE(D459,"|",REPT(";",LEN(D459)),3))-1)</f>
        <v/>
      </c>
      <c r="M459" s="11">
        <f>MID(D459,FIND(";",SUBSTITUTE(D459,"|",REPT(";",LEN(D459)),4))+1,FIND(";",SUBSTITUTE(D459,"|",REPT(";",LEN(D459)),5))-FIND(";",SUBSTITUTE(D459,"|",REPT(";",LEN(D459)),4))-1)</f>
        <v/>
      </c>
      <c r="N459" s="11">
        <f>MID(D459,FIND(";",SUBSTITUTE(D459,"|",REPT(";",LEN(D459)),6))+1,LEN(D459))</f>
        <v/>
      </c>
      <c r="O459" s="11">
        <f>MID(D459,FIND(";",SUBSTITUTE(D459,"|",REPT(";",LEN(D459)),5))+1,FIND(";",SUBSTITUTE(D459,"|",REPT(";",LEN(D459)),6))-FIND(";",SUBSTITUTE(D459,"|",REPT(";",LEN(D459)),5))-1)</f>
        <v/>
      </c>
    </row>
    <row r="460" ht="140" customHeight="1" s="21">
      <c r="A460" s="13" t="inlineStr">
        <is>
          <t>100201</t>
        </is>
      </c>
      <c r="B460" s="13" t="inlineStr">
        <is>
          <t>圆钢</t>
        </is>
      </c>
      <c r="C460" s="13" t="inlineStr">
        <is>
          <t>600615200</t>
        </is>
      </c>
      <c r="D460" s="13" t="inlineStr">
        <is>
          <t>热轧合金结构圆钢|圆钢|30CrMnSiA|Φ45|GB/T 3077-1999|热轧|GB/T 702-2008</t>
        </is>
      </c>
      <c r="E460" s="13" t="inlineStr">
        <is>
          <t>物资名称 热轧合金结构圆钢;物资简称 圆钢;牌号 30CrMnSiA;直径 Φ45;技术标准号 GB/T 3077-1999;加工工艺 热轧;热处理工艺 ;特殊要求 ;规格标准号 GB/T 702-2008</t>
        </is>
      </c>
      <c r="F460" s="12" t="inlineStr">
        <is>
          <t>千克</t>
        </is>
      </c>
      <c r="G460" s="11">
        <f>LEFT(D460,FIND("|",D460,1)-1)</f>
        <v/>
      </c>
      <c r="H460" s="11">
        <f>MID(D460,FIND("|",D460,FIND("|",D460,1))+1,FIND("|",D460,FIND("|",D460,1)+1)-FIND("|",D460,FIND("|",D460,1))-1)</f>
        <v/>
      </c>
      <c r="J460" s="11">
        <f>MID(D460,FIND(";",SUBSTITUTE(D460,"|",REPT(";",LEN(D460)),2))+1,FIND(";",SUBSTITUTE(D460,"|",REPT(";",LEN(D460)),3))-FIND(";",SUBSTITUTE(D460,"|",REPT(";",LEN(D460)),2))-1)</f>
        <v/>
      </c>
      <c r="K460" s="11">
        <f>MID(D460,FIND(";",SUBSTITUTE(D460,"|",REPT(";",LEN(D460)),3))+1,FIND(";",SUBSTITUTE(D460,"|",REPT(";",LEN(D460)),4))-FIND(";",SUBSTITUTE(D460,"|",REPT(";",LEN(D460)),3))-1)</f>
        <v/>
      </c>
      <c r="M460" s="11">
        <f>MID(D460,FIND(";",SUBSTITUTE(D460,"|",REPT(";",LEN(D460)),4))+1,FIND(";",SUBSTITUTE(D460,"|",REPT(";",LEN(D460)),5))-FIND(";",SUBSTITUTE(D460,"|",REPT(";",LEN(D460)),4))-1)</f>
        <v/>
      </c>
      <c r="N460" s="11">
        <f>MID(D460,FIND(";",SUBSTITUTE(D460,"|",REPT(";",LEN(D460)),6))+1,LEN(D460))</f>
        <v/>
      </c>
      <c r="O460" s="11">
        <f>MID(D460,FIND(";",SUBSTITUTE(D460,"|",REPT(";",LEN(D460)),5))+1,FIND(";",SUBSTITUTE(D460,"|",REPT(";",LEN(D460)),6))-FIND(";",SUBSTITUTE(D460,"|",REPT(";",LEN(D460)),5))-1)</f>
        <v/>
      </c>
    </row>
    <row r="461" ht="140" customHeight="1" s="21">
      <c r="A461" s="13" t="inlineStr">
        <is>
          <t>100201</t>
        </is>
      </c>
      <c r="B461" s="13" t="inlineStr">
        <is>
          <t>圆钢</t>
        </is>
      </c>
      <c r="C461" s="13" t="inlineStr">
        <is>
          <t>600615100</t>
        </is>
      </c>
      <c r="D461" s="13" t="inlineStr">
        <is>
          <t>热轧合金结构圆钢|圆钢|30CrMnSiA|Φ50|GB/T 3077-1999|热轧|GB/T 702-2008</t>
        </is>
      </c>
      <c r="E461" s="13" t="inlineStr">
        <is>
          <t>物资名称 热轧合金结构圆钢;物资简称 圆钢;牌号 30CrMnSiA;直径 Φ50;技术标准号 GB/T 3077-1999;加工工艺 热轧;热处理工艺 ;特殊要求 ;规格标准号 GB/T 702-2008</t>
        </is>
      </c>
      <c r="F461" s="12" t="inlineStr">
        <is>
          <t>千克</t>
        </is>
      </c>
      <c r="G461" s="11">
        <f>LEFT(D461,FIND("|",D461,1)-1)</f>
        <v/>
      </c>
      <c r="H461" s="11">
        <f>MID(D461,FIND("|",D461,FIND("|",D461,1))+1,FIND("|",D461,FIND("|",D461,1)+1)-FIND("|",D461,FIND("|",D461,1))-1)</f>
        <v/>
      </c>
      <c r="J461" s="11">
        <f>MID(D461,FIND(";",SUBSTITUTE(D461,"|",REPT(";",LEN(D461)),2))+1,FIND(";",SUBSTITUTE(D461,"|",REPT(";",LEN(D461)),3))-FIND(";",SUBSTITUTE(D461,"|",REPT(";",LEN(D461)),2))-1)</f>
        <v/>
      </c>
      <c r="K461" s="11">
        <f>MID(D461,FIND(";",SUBSTITUTE(D461,"|",REPT(";",LEN(D461)),3))+1,FIND(";",SUBSTITUTE(D461,"|",REPT(";",LEN(D461)),4))-FIND(";",SUBSTITUTE(D461,"|",REPT(";",LEN(D461)),3))-1)</f>
        <v/>
      </c>
      <c r="M461" s="11">
        <f>MID(D461,FIND(";",SUBSTITUTE(D461,"|",REPT(";",LEN(D461)),4))+1,FIND(";",SUBSTITUTE(D461,"|",REPT(";",LEN(D461)),5))-FIND(";",SUBSTITUTE(D461,"|",REPT(";",LEN(D461)),4))-1)</f>
        <v/>
      </c>
      <c r="N461" s="11">
        <f>MID(D461,FIND(";",SUBSTITUTE(D461,"|",REPT(";",LEN(D461)),6))+1,LEN(D461))</f>
        <v/>
      </c>
      <c r="O461" s="11">
        <f>MID(D461,FIND(";",SUBSTITUTE(D461,"|",REPT(";",LEN(D461)),5))+1,FIND(";",SUBSTITUTE(D461,"|",REPT(";",LEN(D461)),6))-FIND(";",SUBSTITUTE(D461,"|",REPT(";",LEN(D461)),5))-1)</f>
        <v/>
      </c>
    </row>
    <row r="462" ht="140" customHeight="1" s="21">
      <c r="A462" s="13" t="inlineStr">
        <is>
          <t>100201</t>
        </is>
      </c>
      <c r="B462" s="13" t="inlineStr">
        <is>
          <t>圆钢</t>
        </is>
      </c>
      <c r="C462" s="13" t="inlineStr">
        <is>
          <t>600615000</t>
        </is>
      </c>
      <c r="D462" s="13" t="inlineStr">
        <is>
          <t>热轧合金结构圆钢|圆钢|30CrMnSiA|Φ60|GB/T 3077-1999|热轧|GB/T 702-2008</t>
        </is>
      </c>
      <c r="E462" s="13" t="inlineStr">
        <is>
          <t>物资名称 热轧合金结构圆钢;物资简称 圆钢;牌号 30CrMnSiA;直径 Φ60;技术标准号 GB/T 3077-1999;加工工艺 热轧;热处理工艺 ;特殊要求 ;规格标准号 GB/T 702-2008</t>
        </is>
      </c>
      <c r="F462" s="12" t="inlineStr">
        <is>
          <t>千克</t>
        </is>
      </c>
      <c r="G462" s="11">
        <f>LEFT(D462,FIND("|",D462,1)-1)</f>
        <v/>
      </c>
      <c r="H462" s="11">
        <f>MID(D462,FIND("|",D462,FIND("|",D462,1))+1,FIND("|",D462,FIND("|",D462,1)+1)-FIND("|",D462,FIND("|",D462,1))-1)</f>
        <v/>
      </c>
      <c r="J462" s="11">
        <f>MID(D462,FIND(";",SUBSTITUTE(D462,"|",REPT(";",LEN(D462)),2))+1,FIND(";",SUBSTITUTE(D462,"|",REPT(";",LEN(D462)),3))-FIND(";",SUBSTITUTE(D462,"|",REPT(";",LEN(D462)),2))-1)</f>
        <v/>
      </c>
      <c r="K462" s="11">
        <f>MID(D462,FIND(";",SUBSTITUTE(D462,"|",REPT(";",LEN(D462)),3))+1,FIND(";",SUBSTITUTE(D462,"|",REPT(";",LEN(D462)),4))-FIND(";",SUBSTITUTE(D462,"|",REPT(";",LEN(D462)),3))-1)</f>
        <v/>
      </c>
      <c r="M462" s="11">
        <f>MID(D462,FIND(";",SUBSTITUTE(D462,"|",REPT(";",LEN(D462)),4))+1,FIND(";",SUBSTITUTE(D462,"|",REPT(";",LEN(D462)),5))-FIND(";",SUBSTITUTE(D462,"|",REPT(";",LEN(D462)),4))-1)</f>
        <v/>
      </c>
      <c r="N462" s="11">
        <f>MID(D462,FIND(";",SUBSTITUTE(D462,"|",REPT(";",LEN(D462)),6))+1,LEN(D462))</f>
        <v/>
      </c>
      <c r="O462" s="11">
        <f>MID(D462,FIND(";",SUBSTITUTE(D462,"|",REPT(";",LEN(D462)),5))+1,FIND(";",SUBSTITUTE(D462,"|",REPT(";",LEN(D462)),6))-FIND(";",SUBSTITUTE(D462,"|",REPT(";",LEN(D462)),5))-1)</f>
        <v/>
      </c>
    </row>
    <row r="463" ht="140" customHeight="1" s="21">
      <c r="A463" s="13" t="inlineStr">
        <is>
          <t>100201</t>
        </is>
      </c>
      <c r="B463" s="13" t="inlineStr">
        <is>
          <t>圆钢</t>
        </is>
      </c>
      <c r="C463" s="13" t="inlineStr">
        <is>
          <t>600614900</t>
        </is>
      </c>
      <c r="D463" s="13" t="inlineStr">
        <is>
          <t>热轧合金结构圆钢|圆钢|30CrMnSiA|Φ80|GB/T 3077-1999|热轧|GB/T 702-2008</t>
        </is>
      </c>
      <c r="E463" s="13" t="inlineStr">
        <is>
          <t>物资名称 热轧合金结构圆钢;物资简称 圆钢;牌号 30CrMnSiA;直径 Φ80;技术标准号 GB/T 3077-1999;加工工艺 热轧;热处理工艺 ;特殊要求 ;规格标准号 GB/T 702-2008</t>
        </is>
      </c>
      <c r="F463" s="12" t="inlineStr">
        <is>
          <t>千克</t>
        </is>
      </c>
      <c r="G463" s="11">
        <f>LEFT(D463,FIND("|",D463,1)-1)</f>
        <v/>
      </c>
      <c r="H463" s="11">
        <f>MID(D463,FIND("|",D463,FIND("|",D463,1))+1,FIND("|",D463,FIND("|",D463,1)+1)-FIND("|",D463,FIND("|",D463,1))-1)</f>
        <v/>
      </c>
      <c r="J463" s="11">
        <f>MID(D463,FIND(";",SUBSTITUTE(D463,"|",REPT(";",LEN(D463)),2))+1,FIND(";",SUBSTITUTE(D463,"|",REPT(";",LEN(D463)),3))-FIND(";",SUBSTITUTE(D463,"|",REPT(";",LEN(D463)),2))-1)</f>
        <v/>
      </c>
      <c r="K463" s="11">
        <f>MID(D463,FIND(";",SUBSTITUTE(D463,"|",REPT(";",LEN(D463)),3))+1,FIND(";",SUBSTITUTE(D463,"|",REPT(";",LEN(D463)),4))-FIND(";",SUBSTITUTE(D463,"|",REPT(";",LEN(D463)),3))-1)</f>
        <v/>
      </c>
      <c r="M463" s="11">
        <f>MID(D463,FIND(";",SUBSTITUTE(D463,"|",REPT(";",LEN(D463)),4))+1,FIND(";",SUBSTITUTE(D463,"|",REPT(";",LEN(D463)),5))-FIND(";",SUBSTITUTE(D463,"|",REPT(";",LEN(D463)),4))-1)</f>
        <v/>
      </c>
      <c r="N463" s="11">
        <f>MID(D463,FIND(";",SUBSTITUTE(D463,"|",REPT(";",LEN(D463)),6))+1,LEN(D463))</f>
        <v/>
      </c>
      <c r="O463" s="11">
        <f>MID(D463,FIND(";",SUBSTITUTE(D463,"|",REPT(";",LEN(D463)),5))+1,FIND(";",SUBSTITUTE(D463,"|",REPT(";",LEN(D463)),6))-FIND(";",SUBSTITUTE(D463,"|",REPT(";",LEN(D463)),5))-1)</f>
        <v/>
      </c>
    </row>
    <row r="464" ht="140" customHeight="1" s="21">
      <c r="A464" s="13" t="inlineStr">
        <is>
          <t>100201</t>
        </is>
      </c>
      <c r="B464" s="13" t="inlineStr">
        <is>
          <t>圆钢</t>
        </is>
      </c>
      <c r="C464" s="13" t="inlineStr">
        <is>
          <t>600614800</t>
        </is>
      </c>
      <c r="D464" s="13" t="inlineStr">
        <is>
          <t>热轧合金结构圆钢|圆钢|30CrMnSiA|Φ95|GB/T 3077-1999|热轧|GB/T 702-2008</t>
        </is>
      </c>
      <c r="E464" s="13" t="inlineStr">
        <is>
          <t>物资名称 热轧合金结构圆钢;物资简称 圆钢;牌号 30CrMnSiA;直径 Φ95;技术标准号 GB/T 3077-1999;加工工艺 热轧;热处理工艺 ;特殊要求 ;规格标准号 GB/T 702-2008</t>
        </is>
      </c>
      <c r="F464" s="12" t="inlineStr">
        <is>
          <t>千克</t>
        </is>
      </c>
      <c r="G464" s="11">
        <f>LEFT(D464,FIND("|",D464,1)-1)</f>
        <v/>
      </c>
      <c r="H464" s="11">
        <f>MID(D464,FIND("|",D464,FIND("|",D464,1))+1,FIND("|",D464,FIND("|",D464,1)+1)-FIND("|",D464,FIND("|",D464,1))-1)</f>
        <v/>
      </c>
      <c r="J464" s="11">
        <f>MID(D464,FIND(";",SUBSTITUTE(D464,"|",REPT(";",LEN(D464)),2))+1,FIND(";",SUBSTITUTE(D464,"|",REPT(";",LEN(D464)),3))-FIND(";",SUBSTITUTE(D464,"|",REPT(";",LEN(D464)),2))-1)</f>
        <v/>
      </c>
      <c r="K464" s="11">
        <f>MID(D464,FIND(";",SUBSTITUTE(D464,"|",REPT(";",LEN(D464)),3))+1,FIND(";",SUBSTITUTE(D464,"|",REPT(";",LEN(D464)),4))-FIND(";",SUBSTITUTE(D464,"|",REPT(";",LEN(D464)),3))-1)</f>
        <v/>
      </c>
      <c r="M464" s="11">
        <f>MID(D464,FIND(";",SUBSTITUTE(D464,"|",REPT(";",LEN(D464)),4))+1,FIND(";",SUBSTITUTE(D464,"|",REPT(";",LEN(D464)),5))-FIND(";",SUBSTITUTE(D464,"|",REPT(";",LEN(D464)),4))-1)</f>
        <v/>
      </c>
      <c r="N464" s="11">
        <f>MID(D464,FIND(";",SUBSTITUTE(D464,"|",REPT(";",LEN(D464)),6))+1,LEN(D464))</f>
        <v/>
      </c>
      <c r="O464" s="11">
        <f>MID(D464,FIND(";",SUBSTITUTE(D464,"|",REPT(";",LEN(D464)),5))+1,FIND(";",SUBSTITUTE(D464,"|",REPT(";",LEN(D464)),6))-FIND(";",SUBSTITUTE(D464,"|",REPT(";",LEN(D464)),5))-1)</f>
        <v/>
      </c>
    </row>
    <row r="465" ht="140" customHeight="1" s="21">
      <c r="A465" s="13" t="inlineStr">
        <is>
          <t>100201</t>
        </is>
      </c>
      <c r="B465" s="13" t="inlineStr">
        <is>
          <t>圆钢</t>
        </is>
      </c>
      <c r="C465" s="13" t="inlineStr">
        <is>
          <t>600614700</t>
        </is>
      </c>
      <c r="D465" s="13" t="inlineStr">
        <is>
          <t>热轧合金结构圆钢|圆钢|30CrMnSiA|Φ130|GB/T 3077-1999|热轧|GB/T 702-2008</t>
        </is>
      </c>
      <c r="E465" s="13" t="inlineStr">
        <is>
          <t>物资名称 热轧合金结构圆钢;物资简称 圆钢;牌号 30CrMnSiA;直径 Φ130;技术标准号 GB/T 3077-1999;加工工艺 热轧;热处理工艺 ;特殊要求 ;规格标准号 GB/T 702-2008</t>
        </is>
      </c>
      <c r="F465" s="12" t="inlineStr">
        <is>
          <t>千克</t>
        </is>
      </c>
      <c r="G465" s="11">
        <f>LEFT(D465,FIND("|",D465,1)-1)</f>
        <v/>
      </c>
      <c r="H465" s="11">
        <f>MID(D465,FIND("|",D465,FIND("|",D465,1))+1,FIND("|",D465,FIND("|",D465,1)+1)-FIND("|",D465,FIND("|",D465,1))-1)</f>
        <v/>
      </c>
      <c r="J465" s="11">
        <f>MID(D465,FIND(";",SUBSTITUTE(D465,"|",REPT(";",LEN(D465)),2))+1,FIND(";",SUBSTITUTE(D465,"|",REPT(";",LEN(D465)),3))-FIND(";",SUBSTITUTE(D465,"|",REPT(";",LEN(D465)),2))-1)</f>
        <v/>
      </c>
      <c r="K465" s="11">
        <f>MID(D465,FIND(";",SUBSTITUTE(D465,"|",REPT(";",LEN(D465)),3))+1,FIND(";",SUBSTITUTE(D465,"|",REPT(";",LEN(D465)),4))-FIND(";",SUBSTITUTE(D465,"|",REPT(";",LEN(D465)),3))-1)</f>
        <v/>
      </c>
      <c r="M465" s="11">
        <f>MID(D465,FIND(";",SUBSTITUTE(D465,"|",REPT(";",LEN(D465)),4))+1,FIND(";",SUBSTITUTE(D465,"|",REPT(";",LEN(D465)),5))-FIND(";",SUBSTITUTE(D465,"|",REPT(";",LEN(D465)),4))-1)</f>
        <v/>
      </c>
      <c r="N465" s="11">
        <f>MID(D465,FIND(";",SUBSTITUTE(D465,"|",REPT(";",LEN(D465)),6))+1,LEN(D465))</f>
        <v/>
      </c>
      <c r="O465" s="11">
        <f>MID(D465,FIND(";",SUBSTITUTE(D465,"|",REPT(";",LEN(D465)),5))+1,FIND(";",SUBSTITUTE(D465,"|",REPT(";",LEN(D465)),6))-FIND(";",SUBSTITUTE(D465,"|",REPT(";",LEN(D465)),5))-1)</f>
        <v/>
      </c>
    </row>
    <row r="466" ht="140" customHeight="1" s="21">
      <c r="A466" s="13" t="inlineStr">
        <is>
          <t>100201</t>
        </is>
      </c>
      <c r="B466" s="13" t="inlineStr">
        <is>
          <t>圆钢</t>
        </is>
      </c>
      <c r="C466" s="13" t="inlineStr">
        <is>
          <t>600614600</t>
        </is>
      </c>
      <c r="D466" s="13" t="inlineStr">
        <is>
          <t>热轧合金结构圆钢|圆钢|30CrMnSiA|Φ190|GB/T 3077-1999|热轧|GB/T 702-2008</t>
        </is>
      </c>
      <c r="E466" s="13" t="inlineStr">
        <is>
          <t>物资名称 热轧合金结构圆钢;物资简称 圆钢;牌号 30CrMnSiA;直径 Φ190;技术标准号 GB/T 3077-1999;加工工艺 热轧;热处理工艺 ;特殊要求 ;规格标准号 GB/T 702-2008</t>
        </is>
      </c>
      <c r="F466" s="12" t="inlineStr">
        <is>
          <t>千克</t>
        </is>
      </c>
      <c r="G466" s="11">
        <f>LEFT(D466,FIND("|",D466,1)-1)</f>
        <v/>
      </c>
      <c r="H466" s="11">
        <f>MID(D466,FIND("|",D466,FIND("|",D466,1))+1,FIND("|",D466,FIND("|",D466,1)+1)-FIND("|",D466,FIND("|",D466,1))-1)</f>
        <v/>
      </c>
      <c r="J466" s="11">
        <f>MID(D466,FIND(";",SUBSTITUTE(D466,"|",REPT(";",LEN(D466)),2))+1,FIND(";",SUBSTITUTE(D466,"|",REPT(";",LEN(D466)),3))-FIND(";",SUBSTITUTE(D466,"|",REPT(";",LEN(D466)),2))-1)</f>
        <v/>
      </c>
      <c r="K466" s="11">
        <f>MID(D466,FIND(";",SUBSTITUTE(D466,"|",REPT(";",LEN(D466)),3))+1,FIND(";",SUBSTITUTE(D466,"|",REPT(";",LEN(D466)),4))-FIND(";",SUBSTITUTE(D466,"|",REPT(";",LEN(D466)),3))-1)</f>
        <v/>
      </c>
      <c r="M466" s="11">
        <f>MID(D466,FIND(";",SUBSTITUTE(D466,"|",REPT(";",LEN(D466)),4))+1,FIND(";",SUBSTITUTE(D466,"|",REPT(";",LEN(D466)),5))-FIND(";",SUBSTITUTE(D466,"|",REPT(";",LEN(D466)),4))-1)</f>
        <v/>
      </c>
      <c r="N466" s="11">
        <f>MID(D466,FIND(";",SUBSTITUTE(D466,"|",REPT(";",LEN(D466)),6))+1,LEN(D466))</f>
        <v/>
      </c>
      <c r="O466" s="11">
        <f>MID(D466,FIND(";",SUBSTITUTE(D466,"|",REPT(";",LEN(D466)),5))+1,FIND(";",SUBSTITUTE(D466,"|",REPT(";",LEN(D466)),6))-FIND(";",SUBSTITUTE(D466,"|",REPT(";",LEN(D466)),5))-1)</f>
        <v/>
      </c>
    </row>
    <row r="467" ht="140" customHeight="1" s="21">
      <c r="A467" s="13" t="inlineStr">
        <is>
          <t>100201</t>
        </is>
      </c>
      <c r="B467" s="13" t="inlineStr">
        <is>
          <t>圆钢</t>
        </is>
      </c>
      <c r="C467" s="13" t="inlineStr">
        <is>
          <t>600614500</t>
        </is>
      </c>
      <c r="D467" s="13" t="inlineStr">
        <is>
          <t>热轧合金结构圆钢|圆钢|38CrMoAl|GB/T 3077-1999|GB/T 702-2008</t>
        </is>
      </c>
      <c r="E467" s="13" t="inlineStr">
        <is>
          <t>物资名称 热轧合金结构圆钢;物资简称 圆钢;牌号 38CrMoAl;直径 Φ;技术标准号 GB/T 3077-1999;加工工艺 ;热处理工艺 ;特殊要求 ;规格标准号 GB/T 702-2008</t>
        </is>
      </c>
      <c r="F467" s="12" t="inlineStr">
        <is>
          <t>千克</t>
        </is>
      </c>
      <c r="G467" s="11">
        <f>LEFT(D467,FIND("|",D467,1)-1)</f>
        <v/>
      </c>
      <c r="H467" s="11">
        <f>MID(D467,FIND("|",D467,FIND("|",D467,1))+1,FIND("|",D467,FIND("|",D467,1)+1)-FIND("|",D467,FIND("|",D467,1))-1)</f>
        <v/>
      </c>
      <c r="J467" s="11">
        <f>MID(D467,FIND(";",SUBSTITUTE(D467,"|",REPT(";",LEN(D467)),2))+1,FIND(";",SUBSTITUTE(D467,"|",REPT(";",LEN(D467)),3))-FIND(";",SUBSTITUTE(D467,"|",REPT(";",LEN(D467)),2))-1)</f>
        <v/>
      </c>
      <c r="M467" s="11">
        <f>MID(D467,FIND(";",SUBSTITUTE(D467,"|",REPT(";",LEN(D467)),3))+1,FIND(";",SUBSTITUTE(D467,"|",REPT(";",LEN(D467)),4))-FIND(";",SUBSTITUTE(D467,"|",REPT(";",LEN(D467)),3))-1)</f>
        <v/>
      </c>
      <c r="N467" s="11">
        <f>MID(D467,FIND(";",SUBSTITUTE(D467,"|",REPT(";",LEN(D467)),4))+1,LEN(D467))</f>
        <v/>
      </c>
    </row>
    <row r="468" ht="140" customHeight="1" s="21">
      <c r="A468" s="13" t="inlineStr">
        <is>
          <t>100201</t>
        </is>
      </c>
      <c r="B468" s="13" t="inlineStr">
        <is>
          <t>圆钢</t>
        </is>
      </c>
      <c r="C468" s="13" t="inlineStr">
        <is>
          <t>600614400</t>
        </is>
      </c>
      <c r="D468" s="13" t="inlineStr">
        <is>
          <t>热轧合金结构圆钢|圆钢|38CrMoAl|Φ40|GB/T 3077-1999|热轧|GB/T 702-2008</t>
        </is>
      </c>
      <c r="E468" s="13" t="inlineStr">
        <is>
          <t>物资名称 热轧合金结构圆钢;物资简称 圆钢;牌号 38CrMoAl;直径 Φ40;技术标准号 GB/T 3077-1999;加工工艺 热轧;热处理工艺 ;特殊要求 ;规格标准号 GB/T 702-2008</t>
        </is>
      </c>
      <c r="F468" s="12" t="inlineStr">
        <is>
          <t>千克</t>
        </is>
      </c>
      <c r="G468" s="11">
        <f>LEFT(D468,FIND("|",D468,1)-1)</f>
        <v/>
      </c>
      <c r="H468" s="11">
        <f>MID(D468,FIND("|",D468,FIND("|",D468,1))+1,FIND("|",D468,FIND("|",D468,1)+1)-FIND("|",D468,FIND("|",D468,1))-1)</f>
        <v/>
      </c>
      <c r="J468" s="11">
        <f>MID(D468,FIND(";",SUBSTITUTE(D468,"|",REPT(";",LEN(D468)),2))+1,FIND(";",SUBSTITUTE(D468,"|",REPT(";",LEN(D468)),3))-FIND(";",SUBSTITUTE(D468,"|",REPT(";",LEN(D468)),2))-1)</f>
        <v/>
      </c>
      <c r="K468" s="11">
        <f>MID(D468,FIND(";",SUBSTITUTE(D468,"|",REPT(";",LEN(D468)),3))+1,FIND(";",SUBSTITUTE(D468,"|",REPT(";",LEN(D468)),4))-FIND(";",SUBSTITUTE(D468,"|",REPT(";",LEN(D468)),3))-1)</f>
        <v/>
      </c>
      <c r="M468" s="11">
        <f>MID(D468,FIND(";",SUBSTITUTE(D468,"|",REPT(";",LEN(D468)),4))+1,FIND(";",SUBSTITUTE(D468,"|",REPT(";",LEN(D468)),5))-FIND(";",SUBSTITUTE(D468,"|",REPT(";",LEN(D468)),4))-1)</f>
        <v/>
      </c>
      <c r="N468" s="11">
        <f>MID(D468,FIND(";",SUBSTITUTE(D468,"|",REPT(";",LEN(D468)),6))+1,LEN(D468))</f>
        <v/>
      </c>
      <c r="O468" s="11">
        <f>MID(D468,FIND(";",SUBSTITUTE(D468,"|",REPT(";",LEN(D468)),5))+1,FIND(";",SUBSTITUTE(D468,"|",REPT(";",LEN(D468)),6))-FIND(";",SUBSTITUTE(D468,"|",REPT(";",LEN(D468)),5))-1)</f>
        <v/>
      </c>
    </row>
    <row r="469" ht="140" customHeight="1" s="21">
      <c r="A469" s="13" t="inlineStr">
        <is>
          <t>100201</t>
        </is>
      </c>
      <c r="B469" s="13" t="inlineStr">
        <is>
          <t>圆钢</t>
        </is>
      </c>
      <c r="C469" s="13" t="inlineStr">
        <is>
          <t>600614300</t>
        </is>
      </c>
      <c r="D469" s="13" t="inlineStr">
        <is>
          <t>热轧合金结构圆钢|圆钢|38CrMoAl|Φ50|GB/T 3077-1999|热轧|退火|GB/T 702-2008</t>
        </is>
      </c>
      <c r="E469" s="13" t="inlineStr">
        <is>
          <t>物资名称 热轧合金结构圆钢;物资简称 圆钢;牌号 38CrMoAl;直径 Φ50;技术标准号 GB/T 3077-1999;加工工艺 热轧;热处理工艺 退火;特殊要求 ;规格标准号 GB/T 702-2008</t>
        </is>
      </c>
      <c r="F469" s="12" t="inlineStr">
        <is>
          <t>千克</t>
        </is>
      </c>
      <c r="G469" s="11">
        <f>LEFT(D469,FIND("|",D469,1)-1)</f>
        <v/>
      </c>
      <c r="H469" s="11">
        <f>MID(D469,FIND("|",D469,FIND("|",D469,1))+1,FIND("|",D469,FIND("|",D469,1)+1)-FIND("|",D469,FIND("|",D469,1))-1)</f>
        <v/>
      </c>
      <c r="J469" s="11">
        <f>MID(D469,FIND(";",SUBSTITUTE(D469,"|",REPT(";",LEN(D469)),2))+1,FIND(";",SUBSTITUTE(D469,"|",REPT(";",LEN(D469)),3))-FIND(";",SUBSTITUTE(D469,"|",REPT(";",LEN(D469)),2))-1)</f>
        <v/>
      </c>
      <c r="K469" s="11">
        <f>MID(D469,FIND(";",SUBSTITUTE(D469,"|",REPT(";",LEN(D469)),3))+1,FIND(";",SUBSTITUTE(D469,"|",REPT(";",LEN(D469)),4))-FIND(";",SUBSTITUTE(D469,"|",REPT(";",LEN(D469)),3))-1)</f>
        <v/>
      </c>
      <c r="M469" s="11">
        <f>MID(D469,FIND(";",SUBSTITUTE(D469,"|",REPT(";",LEN(D469)),4))+1,FIND(";",SUBSTITUTE(D469,"|",REPT(";",LEN(D469)),5))-FIND(";",SUBSTITUTE(D469,"|",REPT(";",LEN(D469)),4))-1)</f>
        <v/>
      </c>
      <c r="N469" s="11">
        <f>MID(D469,FIND(";",SUBSTITUTE(D469,"|",REPT(";",LEN(D469)),7))+1,LEN(D469))</f>
        <v/>
      </c>
      <c r="O469" s="11">
        <f>MID(D469,FIND(";",SUBSTITUTE(D469,"|",REPT(";",LEN(D469)),5))+1,FIND(";",SUBSTITUTE(D469,"|",REPT(";",LEN(D469)),6))-FIND(";",SUBSTITUTE(D469,"|",REPT(";",LEN(D469)),5))-1)</f>
        <v/>
      </c>
      <c r="P469" s="11">
        <f>MID(D469,FIND(";",SUBSTITUTE(D469,"|",REPT(";",LEN(D469)),6))+1,FIND(";",SUBSTITUTE(D469,"|",REPT(";",LEN(D469)),7))-FIND(";",SUBSTITUTE(D469,"|",REPT(";",LEN(D469)),6))-1)</f>
        <v/>
      </c>
    </row>
    <row r="470" ht="140" customHeight="1" s="21">
      <c r="A470" s="13" t="inlineStr">
        <is>
          <t>100201</t>
        </is>
      </c>
      <c r="B470" s="13" t="inlineStr">
        <is>
          <t>圆钢</t>
        </is>
      </c>
      <c r="C470" s="13" t="inlineStr">
        <is>
          <t>600614200</t>
        </is>
      </c>
      <c r="D470" s="13" t="inlineStr">
        <is>
          <t>热轧合金结构圆钢|圆钢|38CrMoAl|Φ75|GB/T 3077-1999|热轧|GB/T 702-2008</t>
        </is>
      </c>
      <c r="E470" s="13" t="inlineStr">
        <is>
          <t>物资名称 热轧合金结构圆钢;物资简称 圆钢;牌号 38CrMoAl;直径 Φ75;技术标准号 GB/T 3077-1999;加工工艺 热轧;热处理工艺 ;特殊要求 ;规格标准号 GB/T 702-2008</t>
        </is>
      </c>
      <c r="F470" s="12" t="inlineStr">
        <is>
          <t>千克</t>
        </is>
      </c>
      <c r="G470" s="11">
        <f>LEFT(D470,FIND("|",D470,1)-1)</f>
        <v/>
      </c>
      <c r="H470" s="11">
        <f>MID(D470,FIND("|",D470,FIND("|",D470,1))+1,FIND("|",D470,FIND("|",D470,1)+1)-FIND("|",D470,FIND("|",D470,1))-1)</f>
        <v/>
      </c>
      <c r="J470" s="11">
        <f>MID(D470,FIND(";",SUBSTITUTE(D470,"|",REPT(";",LEN(D470)),2))+1,FIND(";",SUBSTITUTE(D470,"|",REPT(";",LEN(D470)),3))-FIND(";",SUBSTITUTE(D470,"|",REPT(";",LEN(D470)),2))-1)</f>
        <v/>
      </c>
      <c r="K470" s="11">
        <f>MID(D470,FIND(";",SUBSTITUTE(D470,"|",REPT(";",LEN(D470)),3))+1,FIND(";",SUBSTITUTE(D470,"|",REPT(";",LEN(D470)),4))-FIND(";",SUBSTITUTE(D470,"|",REPT(";",LEN(D470)),3))-1)</f>
        <v/>
      </c>
      <c r="M470" s="11">
        <f>MID(D470,FIND(";",SUBSTITUTE(D470,"|",REPT(";",LEN(D470)),4))+1,FIND(";",SUBSTITUTE(D470,"|",REPT(";",LEN(D470)),5))-FIND(";",SUBSTITUTE(D470,"|",REPT(";",LEN(D470)),4))-1)</f>
        <v/>
      </c>
      <c r="N470" s="11">
        <f>MID(D470,FIND(";",SUBSTITUTE(D470,"|",REPT(";",LEN(D470)),6))+1,LEN(D470))</f>
        <v/>
      </c>
      <c r="O470" s="11">
        <f>MID(D470,FIND(";",SUBSTITUTE(D470,"|",REPT(";",LEN(D470)),5))+1,FIND(";",SUBSTITUTE(D470,"|",REPT(";",LEN(D470)),6))-FIND(";",SUBSTITUTE(D470,"|",REPT(";",LEN(D470)),5))-1)</f>
        <v/>
      </c>
    </row>
    <row r="471" ht="112" customHeight="1" s="21">
      <c r="A471" s="13" t="inlineStr">
        <is>
          <t>100201</t>
        </is>
      </c>
      <c r="B471" s="13" t="inlineStr">
        <is>
          <t>圆钢</t>
        </is>
      </c>
      <c r="C471" s="13" t="inlineStr">
        <is>
          <t>600614100</t>
        </is>
      </c>
      <c r="D471" s="13" t="inlineStr">
        <is>
          <t>合金结构圆钢|圆钢|40Cr|GB/T 3077-1999</t>
        </is>
      </c>
      <c r="E471" s="13" t="inlineStr">
        <is>
          <t xml:space="preserve">物资名称 合金结构圆钢;物资简称 圆钢;牌号 40Cr;直径 Φ;技术标准号 GB/T 3077-1999;加工工艺 ;热处理工艺 ;特殊要求 ;规格标准号 </t>
        </is>
      </c>
      <c r="F471" s="12" t="inlineStr">
        <is>
          <t>千克</t>
        </is>
      </c>
      <c r="G471" s="11">
        <f>LEFT(D471,FIND("|",D471,1)-1)</f>
        <v/>
      </c>
      <c r="H471" s="11">
        <f>MID(D471,FIND("|",D471,FIND("|",D471,1))+1,FIND("|",D471,FIND("|",D471,1)+1)-FIND("|",D471,FIND("|",D471,1))-1)</f>
        <v/>
      </c>
      <c r="J471" s="11">
        <f>MID(D471,FIND(";",SUBSTITUTE(D471,"|",REPT(";",LEN(D471)),2))+1,FIND(";",SUBSTITUTE(D471,"|",REPT(";",LEN(D471)),3))-FIND(";",SUBSTITUTE(D471,"|",REPT(";",LEN(D471)),2))-1)</f>
        <v/>
      </c>
      <c r="M471" s="11">
        <f>MID(D471,FIND(";",SUBSTITUTE(D471,"|",REPT(";",LEN(D471)),3))+1,LEN(D471))</f>
        <v/>
      </c>
    </row>
    <row r="472" ht="126" customHeight="1" s="21">
      <c r="A472" s="13" t="inlineStr">
        <is>
          <t>100201</t>
        </is>
      </c>
      <c r="B472" s="13" t="inlineStr">
        <is>
          <t>圆钢</t>
        </is>
      </c>
      <c r="C472" s="13" t="inlineStr">
        <is>
          <t>600614000</t>
        </is>
      </c>
      <c r="D472" s="13" t="inlineStr">
        <is>
          <t>锻造合金结构圆钢|圆钢|40Cr|Φ260|GB/T 3077-1999|锻造|GB/T 908-2008</t>
        </is>
      </c>
      <c r="E472" s="13" t="inlineStr">
        <is>
          <t>物资名称 锻造合金结构圆钢;物资简称 圆钢;牌号 40Cr;直径 Φ260;技术标准号 GB/T 3077-1999;加工工艺 锻造;热处理工艺 ;特殊要求 ;规格标准号 GB/T 908-2008</t>
        </is>
      </c>
      <c r="F472" s="12" t="inlineStr">
        <is>
          <t>千克</t>
        </is>
      </c>
      <c r="G472" s="11">
        <f>LEFT(D472,FIND("|",D472,1)-1)</f>
        <v/>
      </c>
      <c r="H472" s="11">
        <f>MID(D472,FIND("|",D472,FIND("|",D472,1))+1,FIND("|",D472,FIND("|",D472,1)+1)-FIND("|",D472,FIND("|",D472,1))-1)</f>
        <v/>
      </c>
      <c r="J472" s="11">
        <f>MID(D472,FIND(";",SUBSTITUTE(D472,"|",REPT(";",LEN(D472)),2))+1,FIND(";",SUBSTITUTE(D472,"|",REPT(";",LEN(D472)),3))-FIND(";",SUBSTITUTE(D472,"|",REPT(";",LEN(D472)),2))-1)</f>
        <v/>
      </c>
      <c r="K472" s="11">
        <f>MID(D472,FIND(";",SUBSTITUTE(D472,"|",REPT(";",LEN(D472)),3))+1,FIND(";",SUBSTITUTE(D472,"|",REPT(";",LEN(D472)),4))-FIND(";",SUBSTITUTE(D472,"|",REPT(";",LEN(D472)),3))-1)</f>
        <v/>
      </c>
      <c r="M472" s="11">
        <f>MID(D472,FIND(";",SUBSTITUTE(D472,"|",REPT(";",LEN(D472)),4))+1,FIND(";",SUBSTITUTE(D472,"|",REPT(";",LEN(D472)),5))-FIND(";",SUBSTITUTE(D472,"|",REPT(";",LEN(D472)),4))-1)</f>
        <v/>
      </c>
      <c r="N472" s="11">
        <f>MID(D472,FIND(";",SUBSTITUTE(D472,"|",REPT(";",LEN(D472)),6))+1,LEN(D472))</f>
        <v/>
      </c>
      <c r="O472" s="11">
        <f>MID(D472,FIND(";",SUBSTITUTE(D472,"|",REPT(";",LEN(D472)),5))+1,FIND(";",SUBSTITUTE(D472,"|",REPT(";",LEN(D472)),6))-FIND(";",SUBSTITUTE(D472,"|",REPT(";",LEN(D472)),5))-1)</f>
        <v/>
      </c>
    </row>
    <row r="473" ht="126" customHeight="1" s="21">
      <c r="A473" s="13" t="inlineStr">
        <is>
          <t>100201</t>
        </is>
      </c>
      <c r="B473" s="13" t="inlineStr">
        <is>
          <t>圆钢</t>
        </is>
      </c>
      <c r="C473" s="13" t="inlineStr">
        <is>
          <t>600613900</t>
        </is>
      </c>
      <c r="D473" s="13" t="inlineStr">
        <is>
          <t>热轧合金结构圆钢|圆钢|40Cr|Φ6|GB/T 3077-1999|热轧|GB/T 702-2008</t>
        </is>
      </c>
      <c r="E473" s="13" t="inlineStr">
        <is>
          <t>物资名称 热轧合金结构圆钢;物资简称 圆钢;牌号 40Cr;直径 Φ6;技术标准号 GB/T 3077-1999;加工工艺 热轧;热处理工艺 ;特殊要求 ;规格标准号 GB/T 702-2008</t>
        </is>
      </c>
      <c r="F473" s="12" t="inlineStr">
        <is>
          <t>千克</t>
        </is>
      </c>
      <c r="G473" s="11">
        <f>LEFT(D473,FIND("|",D473,1)-1)</f>
        <v/>
      </c>
      <c r="H473" s="11">
        <f>MID(D473,FIND("|",D473,FIND("|",D473,1))+1,FIND("|",D473,FIND("|",D473,1)+1)-FIND("|",D473,FIND("|",D473,1))-1)</f>
        <v/>
      </c>
      <c r="J473" s="11">
        <f>MID(D473,FIND(";",SUBSTITUTE(D473,"|",REPT(";",LEN(D473)),2))+1,FIND(";",SUBSTITUTE(D473,"|",REPT(";",LEN(D473)),3))-FIND(";",SUBSTITUTE(D473,"|",REPT(";",LEN(D473)),2))-1)</f>
        <v/>
      </c>
      <c r="K473" s="11">
        <f>MID(D473,FIND(";",SUBSTITUTE(D473,"|",REPT(";",LEN(D473)),3))+1,FIND(";",SUBSTITUTE(D473,"|",REPT(";",LEN(D473)),4))-FIND(";",SUBSTITUTE(D473,"|",REPT(";",LEN(D473)),3))-1)</f>
        <v/>
      </c>
      <c r="M473" s="11">
        <f>MID(D473,FIND(";",SUBSTITUTE(D473,"|",REPT(";",LEN(D473)),4))+1,FIND(";",SUBSTITUTE(D473,"|",REPT(";",LEN(D473)),5))-FIND(";",SUBSTITUTE(D473,"|",REPT(";",LEN(D473)),4))-1)</f>
        <v/>
      </c>
      <c r="N473" s="11">
        <f>MID(D473,FIND(";",SUBSTITUTE(D473,"|",REPT(";",LEN(D473)),6))+1,LEN(D473))</f>
        <v/>
      </c>
      <c r="O473" s="11">
        <f>MID(D473,FIND(";",SUBSTITUTE(D473,"|",REPT(";",LEN(D473)),5))+1,FIND(";",SUBSTITUTE(D473,"|",REPT(";",LEN(D473)),6))-FIND(";",SUBSTITUTE(D473,"|",REPT(";",LEN(D473)),5))-1)</f>
        <v/>
      </c>
    </row>
    <row r="474" ht="126" customHeight="1" s="21">
      <c r="A474" s="13" t="inlineStr">
        <is>
          <t>100201</t>
        </is>
      </c>
      <c r="B474" s="13" t="inlineStr">
        <is>
          <t>圆钢</t>
        </is>
      </c>
      <c r="C474" s="13" t="inlineStr">
        <is>
          <t>600613800</t>
        </is>
      </c>
      <c r="D474" s="13" t="inlineStr">
        <is>
          <t>热轧合金结构圆钢|圆钢|40Cr|Φ8|GB/T 3077-1999|热轧|GB/T 702-2008</t>
        </is>
      </c>
      <c r="E474" s="13" t="inlineStr">
        <is>
          <t>物资名称 热轧合金结构圆钢;物资简称 圆钢;牌号 40Cr;直径 Φ8;技术标准号 GB/T 3077-1999;加工工艺 热轧;热处理工艺 ;特殊要求 ;规格标准号 GB/T 702-2008</t>
        </is>
      </c>
      <c r="F474" s="12" t="inlineStr">
        <is>
          <t>千克</t>
        </is>
      </c>
      <c r="G474" s="11">
        <f>LEFT(D474,FIND("|",D474,1)-1)</f>
        <v/>
      </c>
      <c r="H474" s="11">
        <f>MID(D474,FIND("|",D474,FIND("|",D474,1))+1,FIND("|",D474,FIND("|",D474,1)+1)-FIND("|",D474,FIND("|",D474,1))-1)</f>
        <v/>
      </c>
      <c r="J474" s="11">
        <f>MID(D474,FIND(";",SUBSTITUTE(D474,"|",REPT(";",LEN(D474)),2))+1,FIND(";",SUBSTITUTE(D474,"|",REPT(";",LEN(D474)),3))-FIND(";",SUBSTITUTE(D474,"|",REPT(";",LEN(D474)),2))-1)</f>
        <v/>
      </c>
      <c r="K474" s="11">
        <f>MID(D474,FIND(";",SUBSTITUTE(D474,"|",REPT(";",LEN(D474)),3))+1,FIND(";",SUBSTITUTE(D474,"|",REPT(";",LEN(D474)),4))-FIND(";",SUBSTITUTE(D474,"|",REPT(";",LEN(D474)),3))-1)</f>
        <v/>
      </c>
      <c r="M474" s="11">
        <f>MID(D474,FIND(";",SUBSTITUTE(D474,"|",REPT(";",LEN(D474)),4))+1,FIND(";",SUBSTITUTE(D474,"|",REPT(";",LEN(D474)),5))-FIND(";",SUBSTITUTE(D474,"|",REPT(";",LEN(D474)),4))-1)</f>
        <v/>
      </c>
      <c r="N474" s="11">
        <f>MID(D474,FIND(";",SUBSTITUTE(D474,"|",REPT(";",LEN(D474)),6))+1,LEN(D474))</f>
        <v/>
      </c>
      <c r="O474" s="11">
        <f>MID(D474,FIND(";",SUBSTITUTE(D474,"|",REPT(";",LEN(D474)),5))+1,FIND(";",SUBSTITUTE(D474,"|",REPT(";",LEN(D474)),6))-FIND(";",SUBSTITUTE(D474,"|",REPT(";",LEN(D474)),5))-1)</f>
        <v/>
      </c>
    </row>
    <row r="475" ht="126" customHeight="1" s="21">
      <c r="A475" s="13" t="inlineStr">
        <is>
          <t>100201</t>
        </is>
      </c>
      <c r="B475" s="13" t="inlineStr">
        <is>
          <t>圆钢</t>
        </is>
      </c>
      <c r="C475" s="13" t="inlineStr">
        <is>
          <t>600613700</t>
        </is>
      </c>
      <c r="D475" s="13" t="inlineStr">
        <is>
          <t>热轧合金结构圆钢|圆钢|40Cr|Φ10|GB/T 3077-1999|热轧|GB/T 702-2008</t>
        </is>
      </c>
      <c r="E475" s="13" t="inlineStr">
        <is>
          <t>物资名称 热轧合金结构圆钢;物资简称 圆钢;牌号 40Cr;直径 Φ10;技术标准号 GB/T 3077-1999;加工工艺 热轧;热处理工艺 ;特殊要求 ;规格标准号 GB/T 702-2008</t>
        </is>
      </c>
      <c r="F475" s="12" t="inlineStr">
        <is>
          <t>千克</t>
        </is>
      </c>
      <c r="G475" s="11">
        <f>LEFT(D475,FIND("|",D475,1)-1)</f>
        <v/>
      </c>
      <c r="H475" s="11">
        <f>MID(D475,FIND("|",D475,FIND("|",D475,1))+1,FIND("|",D475,FIND("|",D475,1)+1)-FIND("|",D475,FIND("|",D475,1))-1)</f>
        <v/>
      </c>
      <c r="J475" s="11">
        <f>MID(D475,FIND(";",SUBSTITUTE(D475,"|",REPT(";",LEN(D475)),2))+1,FIND(";",SUBSTITUTE(D475,"|",REPT(";",LEN(D475)),3))-FIND(";",SUBSTITUTE(D475,"|",REPT(";",LEN(D475)),2))-1)</f>
        <v/>
      </c>
      <c r="K475" s="11">
        <f>MID(D475,FIND(";",SUBSTITUTE(D475,"|",REPT(";",LEN(D475)),3))+1,FIND(";",SUBSTITUTE(D475,"|",REPT(";",LEN(D475)),4))-FIND(";",SUBSTITUTE(D475,"|",REPT(";",LEN(D475)),3))-1)</f>
        <v/>
      </c>
      <c r="M475" s="11">
        <f>MID(D475,FIND(";",SUBSTITUTE(D475,"|",REPT(";",LEN(D475)),4))+1,FIND(";",SUBSTITUTE(D475,"|",REPT(";",LEN(D475)),5))-FIND(";",SUBSTITUTE(D475,"|",REPT(";",LEN(D475)),4))-1)</f>
        <v/>
      </c>
      <c r="N475" s="11">
        <f>MID(D475,FIND(";",SUBSTITUTE(D475,"|",REPT(";",LEN(D475)),6))+1,LEN(D475))</f>
        <v/>
      </c>
      <c r="O475" s="11">
        <f>MID(D475,FIND(";",SUBSTITUTE(D475,"|",REPT(";",LEN(D475)),5))+1,FIND(";",SUBSTITUTE(D475,"|",REPT(";",LEN(D475)),6))-FIND(";",SUBSTITUTE(D475,"|",REPT(";",LEN(D475)),5))-1)</f>
        <v/>
      </c>
    </row>
    <row r="476" ht="126" customHeight="1" s="21">
      <c r="A476" s="13" t="inlineStr">
        <is>
          <t>100201</t>
        </is>
      </c>
      <c r="B476" s="13" t="inlineStr">
        <is>
          <t>圆钢</t>
        </is>
      </c>
      <c r="C476" s="13" t="inlineStr">
        <is>
          <t>600613600</t>
        </is>
      </c>
      <c r="D476" s="13" t="inlineStr">
        <is>
          <t>热轧合金结构圆钢|圆钢|40Cr|Φ14|GB/T 3077-1999|热轧|GB/T 702-2008</t>
        </is>
      </c>
      <c r="E476" s="13" t="inlineStr">
        <is>
          <t>物资名称 热轧合金结构圆钢;物资简称 圆钢;牌号 40Cr;直径 Φ14;技术标准号 GB/T 3077-1999;加工工艺 热轧;热处理工艺 ;特殊要求 ;规格标准号 GB/T 702-2008</t>
        </is>
      </c>
      <c r="F476" s="12" t="inlineStr">
        <is>
          <t>千克</t>
        </is>
      </c>
      <c r="G476" s="11">
        <f>LEFT(D476,FIND("|",D476,1)-1)</f>
        <v/>
      </c>
      <c r="H476" s="11">
        <f>MID(D476,FIND("|",D476,FIND("|",D476,1))+1,FIND("|",D476,FIND("|",D476,1)+1)-FIND("|",D476,FIND("|",D476,1))-1)</f>
        <v/>
      </c>
      <c r="J476" s="11">
        <f>MID(D476,FIND(";",SUBSTITUTE(D476,"|",REPT(";",LEN(D476)),2))+1,FIND(";",SUBSTITUTE(D476,"|",REPT(";",LEN(D476)),3))-FIND(";",SUBSTITUTE(D476,"|",REPT(";",LEN(D476)),2))-1)</f>
        <v/>
      </c>
      <c r="K476" s="11">
        <f>MID(D476,FIND(";",SUBSTITUTE(D476,"|",REPT(";",LEN(D476)),3))+1,FIND(";",SUBSTITUTE(D476,"|",REPT(";",LEN(D476)),4))-FIND(";",SUBSTITUTE(D476,"|",REPT(";",LEN(D476)),3))-1)</f>
        <v/>
      </c>
      <c r="M476" s="11">
        <f>MID(D476,FIND(";",SUBSTITUTE(D476,"|",REPT(";",LEN(D476)),4))+1,FIND(";",SUBSTITUTE(D476,"|",REPT(";",LEN(D476)),5))-FIND(";",SUBSTITUTE(D476,"|",REPT(";",LEN(D476)),4))-1)</f>
        <v/>
      </c>
      <c r="N476" s="11">
        <f>MID(D476,FIND(";",SUBSTITUTE(D476,"|",REPT(";",LEN(D476)),6))+1,LEN(D476))</f>
        <v/>
      </c>
      <c r="O476" s="11">
        <f>MID(D476,FIND(";",SUBSTITUTE(D476,"|",REPT(";",LEN(D476)),5))+1,FIND(";",SUBSTITUTE(D476,"|",REPT(";",LEN(D476)),6))-FIND(";",SUBSTITUTE(D476,"|",REPT(";",LEN(D476)),5))-1)</f>
        <v/>
      </c>
    </row>
    <row r="477" ht="126" customHeight="1" s="21">
      <c r="A477" s="13" t="inlineStr">
        <is>
          <t>100201</t>
        </is>
      </c>
      <c r="B477" s="13" t="inlineStr">
        <is>
          <t>圆钢</t>
        </is>
      </c>
      <c r="C477" s="13" t="inlineStr">
        <is>
          <t>600613500</t>
        </is>
      </c>
      <c r="D477" s="13" t="inlineStr">
        <is>
          <t>热轧合金结构圆钢|圆钢|40Cr|Φ20|GB/T 3077-1999|热轧|GB/T 702-2008</t>
        </is>
      </c>
      <c r="E477" s="13" t="inlineStr">
        <is>
          <t>物资名称 热轧合金结构圆钢;物资简称 圆钢;牌号 40Cr;直径 Φ20;技术标准号 GB/T 3077-1999;加工工艺 热轧;热处理工艺 ;特殊要求 ;规格标准号 GB/T 702-2008</t>
        </is>
      </c>
      <c r="F477" s="12" t="inlineStr">
        <is>
          <t>千克</t>
        </is>
      </c>
      <c r="G477" s="11">
        <f>LEFT(D477,FIND("|",D477,1)-1)</f>
        <v/>
      </c>
      <c r="H477" s="11">
        <f>MID(D477,FIND("|",D477,FIND("|",D477,1))+1,FIND("|",D477,FIND("|",D477,1)+1)-FIND("|",D477,FIND("|",D477,1))-1)</f>
        <v/>
      </c>
      <c r="J477" s="11">
        <f>MID(D477,FIND(";",SUBSTITUTE(D477,"|",REPT(";",LEN(D477)),2))+1,FIND(";",SUBSTITUTE(D477,"|",REPT(";",LEN(D477)),3))-FIND(";",SUBSTITUTE(D477,"|",REPT(";",LEN(D477)),2))-1)</f>
        <v/>
      </c>
      <c r="K477" s="11">
        <f>MID(D477,FIND(";",SUBSTITUTE(D477,"|",REPT(";",LEN(D477)),3))+1,FIND(";",SUBSTITUTE(D477,"|",REPT(";",LEN(D477)),4))-FIND(";",SUBSTITUTE(D477,"|",REPT(";",LEN(D477)),3))-1)</f>
        <v/>
      </c>
      <c r="M477" s="11">
        <f>MID(D477,FIND(";",SUBSTITUTE(D477,"|",REPT(";",LEN(D477)),4))+1,FIND(";",SUBSTITUTE(D477,"|",REPT(";",LEN(D477)),5))-FIND(";",SUBSTITUTE(D477,"|",REPT(";",LEN(D477)),4))-1)</f>
        <v/>
      </c>
      <c r="N477" s="11">
        <f>MID(D477,FIND(";",SUBSTITUTE(D477,"|",REPT(";",LEN(D477)),6))+1,LEN(D477))</f>
        <v/>
      </c>
      <c r="O477" s="11">
        <f>MID(D477,FIND(";",SUBSTITUTE(D477,"|",REPT(";",LEN(D477)),5))+1,FIND(";",SUBSTITUTE(D477,"|",REPT(";",LEN(D477)),6))-FIND(";",SUBSTITUTE(D477,"|",REPT(";",LEN(D477)),5))-1)</f>
        <v/>
      </c>
    </row>
    <row r="478" ht="126" customHeight="1" s="21">
      <c r="A478" s="13" t="inlineStr">
        <is>
          <t>100201</t>
        </is>
      </c>
      <c r="B478" s="13" t="inlineStr">
        <is>
          <t>圆钢</t>
        </is>
      </c>
      <c r="C478" s="13" t="inlineStr">
        <is>
          <t>600613400</t>
        </is>
      </c>
      <c r="D478" s="13" t="inlineStr">
        <is>
          <t>热轧合金结构圆钢|圆钢|40Cr|Φ25|GB/T 3077-1999|热轧|GB/T 702-2008</t>
        </is>
      </c>
      <c r="E478" s="13" t="inlineStr">
        <is>
          <t>物资名称 热轧合金结构圆钢;物资简称 圆钢;牌号 40Cr;直径 Φ25;技术标准号 GB/T 3077-1999;加工工艺 热轧;热处理工艺 ;特殊要求 ;规格标准号 GB/T 702-2008</t>
        </is>
      </c>
      <c r="F478" s="12" t="inlineStr">
        <is>
          <t>千克</t>
        </is>
      </c>
      <c r="G478" s="11">
        <f>LEFT(D478,FIND("|",D478,1)-1)</f>
        <v/>
      </c>
      <c r="H478" s="11">
        <f>MID(D478,FIND("|",D478,FIND("|",D478,1))+1,FIND("|",D478,FIND("|",D478,1)+1)-FIND("|",D478,FIND("|",D478,1))-1)</f>
        <v/>
      </c>
      <c r="J478" s="11">
        <f>MID(D478,FIND(";",SUBSTITUTE(D478,"|",REPT(";",LEN(D478)),2))+1,FIND(";",SUBSTITUTE(D478,"|",REPT(";",LEN(D478)),3))-FIND(";",SUBSTITUTE(D478,"|",REPT(";",LEN(D478)),2))-1)</f>
        <v/>
      </c>
      <c r="K478" s="11">
        <f>MID(D478,FIND(";",SUBSTITUTE(D478,"|",REPT(";",LEN(D478)),3))+1,FIND(";",SUBSTITUTE(D478,"|",REPT(";",LEN(D478)),4))-FIND(";",SUBSTITUTE(D478,"|",REPT(";",LEN(D478)),3))-1)</f>
        <v/>
      </c>
      <c r="M478" s="11">
        <f>MID(D478,FIND(";",SUBSTITUTE(D478,"|",REPT(";",LEN(D478)),4))+1,FIND(";",SUBSTITUTE(D478,"|",REPT(";",LEN(D478)),5))-FIND(";",SUBSTITUTE(D478,"|",REPT(";",LEN(D478)),4))-1)</f>
        <v/>
      </c>
      <c r="N478" s="11">
        <f>MID(D478,FIND(";",SUBSTITUTE(D478,"|",REPT(";",LEN(D478)),6))+1,LEN(D478))</f>
        <v/>
      </c>
      <c r="O478" s="11">
        <f>MID(D478,FIND(";",SUBSTITUTE(D478,"|",REPT(";",LEN(D478)),5))+1,FIND(";",SUBSTITUTE(D478,"|",REPT(";",LEN(D478)),6))-FIND(";",SUBSTITUTE(D478,"|",REPT(";",LEN(D478)),5))-1)</f>
        <v/>
      </c>
    </row>
    <row r="479" ht="126" customHeight="1" s="21">
      <c r="A479" s="13" t="inlineStr">
        <is>
          <t>100201</t>
        </is>
      </c>
      <c r="B479" s="13" t="inlineStr">
        <is>
          <t>圆钢</t>
        </is>
      </c>
      <c r="C479" s="13" t="inlineStr">
        <is>
          <t>600613300</t>
        </is>
      </c>
      <c r="D479" s="13" t="inlineStr">
        <is>
          <t>热轧合金结构圆钢|圆钢|40Cr|Φ30|GB/T 3077-1999|热轧|GB/T 702-2008</t>
        </is>
      </c>
      <c r="E479" s="13" t="inlineStr">
        <is>
          <t>物资名称 热轧合金结构圆钢;物资简称 圆钢;牌号 40Cr;直径 Φ30;技术标准号 GB/T 3077-1999;加工工艺 热轧;热处理工艺 ;特殊要求 ;规格标准号 GB/T 702-2008</t>
        </is>
      </c>
      <c r="F479" s="12" t="inlineStr">
        <is>
          <t>千克</t>
        </is>
      </c>
      <c r="G479" s="11">
        <f>LEFT(D479,FIND("|",D479,1)-1)</f>
        <v/>
      </c>
      <c r="H479" s="11">
        <f>MID(D479,FIND("|",D479,FIND("|",D479,1))+1,FIND("|",D479,FIND("|",D479,1)+1)-FIND("|",D479,FIND("|",D479,1))-1)</f>
        <v/>
      </c>
      <c r="J479" s="11">
        <f>MID(D479,FIND(";",SUBSTITUTE(D479,"|",REPT(";",LEN(D479)),2))+1,FIND(";",SUBSTITUTE(D479,"|",REPT(";",LEN(D479)),3))-FIND(";",SUBSTITUTE(D479,"|",REPT(";",LEN(D479)),2))-1)</f>
        <v/>
      </c>
      <c r="K479" s="11">
        <f>MID(D479,FIND(";",SUBSTITUTE(D479,"|",REPT(";",LEN(D479)),3))+1,FIND(";",SUBSTITUTE(D479,"|",REPT(";",LEN(D479)),4))-FIND(";",SUBSTITUTE(D479,"|",REPT(";",LEN(D479)),3))-1)</f>
        <v/>
      </c>
      <c r="M479" s="11">
        <f>MID(D479,FIND(";",SUBSTITUTE(D479,"|",REPT(";",LEN(D479)),4))+1,FIND(";",SUBSTITUTE(D479,"|",REPT(";",LEN(D479)),5))-FIND(";",SUBSTITUTE(D479,"|",REPT(";",LEN(D479)),4))-1)</f>
        <v/>
      </c>
      <c r="N479" s="11">
        <f>MID(D479,FIND(";",SUBSTITUTE(D479,"|",REPT(";",LEN(D479)),6))+1,LEN(D479))</f>
        <v/>
      </c>
      <c r="O479" s="11">
        <f>MID(D479,FIND(";",SUBSTITUTE(D479,"|",REPT(";",LEN(D479)),5))+1,FIND(";",SUBSTITUTE(D479,"|",REPT(";",LEN(D479)),6))-FIND(";",SUBSTITUTE(D479,"|",REPT(";",LEN(D479)),5))-1)</f>
        <v/>
      </c>
    </row>
    <row r="480" ht="126" customHeight="1" s="21">
      <c r="A480" s="13" t="inlineStr">
        <is>
          <t>100201</t>
        </is>
      </c>
      <c r="B480" s="13" t="inlineStr">
        <is>
          <t>圆钢</t>
        </is>
      </c>
      <c r="C480" s="13" t="inlineStr">
        <is>
          <t>600613200</t>
        </is>
      </c>
      <c r="D480" s="13" t="inlineStr">
        <is>
          <t>热轧合金结构圆钢|圆钢|40Cr|Φ32|GB/T 3077-1999|热轧|GB/T 702-2008</t>
        </is>
      </c>
      <c r="E480" s="13" t="inlineStr">
        <is>
          <t>物资名称 热轧合金结构圆钢;物资简称 圆钢;牌号 40Cr;直径 Φ32;技术标准号 GB/T 3077-1999;加工工艺 热轧;热处理工艺 ;特殊要求 ;规格标准号 GB/T 702-2008</t>
        </is>
      </c>
      <c r="F480" s="12" t="inlineStr">
        <is>
          <t>千克</t>
        </is>
      </c>
      <c r="G480" s="11">
        <f>LEFT(D480,FIND("|",D480,1)-1)</f>
        <v/>
      </c>
      <c r="H480" s="11">
        <f>MID(D480,FIND("|",D480,FIND("|",D480,1))+1,FIND("|",D480,FIND("|",D480,1)+1)-FIND("|",D480,FIND("|",D480,1))-1)</f>
        <v/>
      </c>
      <c r="J480" s="11">
        <f>MID(D480,FIND(";",SUBSTITUTE(D480,"|",REPT(";",LEN(D480)),2))+1,FIND(";",SUBSTITUTE(D480,"|",REPT(";",LEN(D480)),3))-FIND(";",SUBSTITUTE(D480,"|",REPT(";",LEN(D480)),2))-1)</f>
        <v/>
      </c>
      <c r="K480" s="11">
        <f>MID(D480,FIND(";",SUBSTITUTE(D480,"|",REPT(";",LEN(D480)),3))+1,FIND(";",SUBSTITUTE(D480,"|",REPT(";",LEN(D480)),4))-FIND(";",SUBSTITUTE(D480,"|",REPT(";",LEN(D480)),3))-1)</f>
        <v/>
      </c>
      <c r="M480" s="11">
        <f>MID(D480,FIND(";",SUBSTITUTE(D480,"|",REPT(";",LEN(D480)),4))+1,FIND(";",SUBSTITUTE(D480,"|",REPT(";",LEN(D480)),5))-FIND(";",SUBSTITUTE(D480,"|",REPT(";",LEN(D480)),4))-1)</f>
        <v/>
      </c>
      <c r="N480" s="11">
        <f>MID(D480,FIND(";",SUBSTITUTE(D480,"|",REPT(";",LEN(D480)),6))+1,LEN(D480))</f>
        <v/>
      </c>
      <c r="O480" s="11">
        <f>MID(D480,FIND(";",SUBSTITUTE(D480,"|",REPT(";",LEN(D480)),5))+1,FIND(";",SUBSTITUTE(D480,"|",REPT(";",LEN(D480)),6))-FIND(";",SUBSTITUTE(D480,"|",REPT(";",LEN(D480)),5))-1)</f>
        <v/>
      </c>
    </row>
    <row r="481" ht="126" customHeight="1" s="21">
      <c r="A481" s="13" t="inlineStr">
        <is>
          <t>100201</t>
        </is>
      </c>
      <c r="B481" s="13" t="inlineStr">
        <is>
          <t>圆钢</t>
        </is>
      </c>
      <c r="C481" s="13" t="inlineStr">
        <is>
          <t>600613100</t>
        </is>
      </c>
      <c r="D481" s="13" t="inlineStr">
        <is>
          <t>热轧合金结构圆钢|圆钢|40Cr|Φ35|GB/T 3077-1999|热轧|GB/T 702-2008</t>
        </is>
      </c>
      <c r="E481" s="13" t="inlineStr">
        <is>
          <t>物资名称 热轧合金结构圆钢;物资简称 圆钢;牌号 40Cr;直径 Φ35;技术标准号 GB/T 3077-1999;加工工艺 热轧;热处理工艺 ;特殊要求 ;规格标准号 GB/T 702-2008</t>
        </is>
      </c>
      <c r="F481" s="12" t="inlineStr">
        <is>
          <t>千克</t>
        </is>
      </c>
      <c r="G481" s="11">
        <f>LEFT(D481,FIND("|",D481,1)-1)</f>
        <v/>
      </c>
      <c r="H481" s="11">
        <f>MID(D481,FIND("|",D481,FIND("|",D481,1))+1,FIND("|",D481,FIND("|",D481,1)+1)-FIND("|",D481,FIND("|",D481,1))-1)</f>
        <v/>
      </c>
      <c r="J481" s="11">
        <f>MID(D481,FIND(";",SUBSTITUTE(D481,"|",REPT(";",LEN(D481)),2))+1,FIND(";",SUBSTITUTE(D481,"|",REPT(";",LEN(D481)),3))-FIND(";",SUBSTITUTE(D481,"|",REPT(";",LEN(D481)),2))-1)</f>
        <v/>
      </c>
      <c r="K481" s="11">
        <f>MID(D481,FIND(";",SUBSTITUTE(D481,"|",REPT(";",LEN(D481)),3))+1,FIND(";",SUBSTITUTE(D481,"|",REPT(";",LEN(D481)),4))-FIND(";",SUBSTITUTE(D481,"|",REPT(";",LEN(D481)),3))-1)</f>
        <v/>
      </c>
      <c r="M481" s="11">
        <f>MID(D481,FIND(";",SUBSTITUTE(D481,"|",REPT(";",LEN(D481)),4))+1,FIND(";",SUBSTITUTE(D481,"|",REPT(";",LEN(D481)),5))-FIND(";",SUBSTITUTE(D481,"|",REPT(";",LEN(D481)),4))-1)</f>
        <v/>
      </c>
      <c r="N481" s="11">
        <f>MID(D481,FIND(";",SUBSTITUTE(D481,"|",REPT(";",LEN(D481)),6))+1,LEN(D481))</f>
        <v/>
      </c>
      <c r="O481" s="11">
        <f>MID(D481,FIND(";",SUBSTITUTE(D481,"|",REPT(";",LEN(D481)),5))+1,FIND(";",SUBSTITUTE(D481,"|",REPT(";",LEN(D481)),6))-FIND(";",SUBSTITUTE(D481,"|",REPT(";",LEN(D481)),5))-1)</f>
        <v/>
      </c>
    </row>
    <row r="482" ht="126" customHeight="1" s="21">
      <c r="A482" s="13" t="inlineStr">
        <is>
          <t>100201</t>
        </is>
      </c>
      <c r="B482" s="13" t="inlineStr">
        <is>
          <t>圆钢</t>
        </is>
      </c>
      <c r="C482" s="13" t="inlineStr">
        <is>
          <t>600613000</t>
        </is>
      </c>
      <c r="D482" s="13" t="inlineStr">
        <is>
          <t>热轧合金结构圆钢|圆钢|40Cr|Φ60|GB/T 3077-1999|热轧|GB/T 702-2008</t>
        </is>
      </c>
      <c r="E482" s="13" t="inlineStr">
        <is>
          <t>物资名称 热轧合金结构圆钢;物资简称 圆钢;牌号 40Cr;直径 Φ60;技术标准号 GB/T 3077-1999;加工工艺 热轧;热处理工艺 ;特殊要求 ;规格标准号 GB/T 702-2008</t>
        </is>
      </c>
      <c r="F482" s="12" t="inlineStr">
        <is>
          <t>千克</t>
        </is>
      </c>
      <c r="G482" s="11">
        <f>LEFT(D482,FIND("|",D482,1)-1)</f>
        <v/>
      </c>
      <c r="H482" s="11">
        <f>MID(D482,FIND("|",D482,FIND("|",D482,1))+1,FIND("|",D482,FIND("|",D482,1)+1)-FIND("|",D482,FIND("|",D482,1))-1)</f>
        <v/>
      </c>
      <c r="J482" s="11">
        <f>MID(D482,FIND(";",SUBSTITUTE(D482,"|",REPT(";",LEN(D482)),2))+1,FIND(";",SUBSTITUTE(D482,"|",REPT(";",LEN(D482)),3))-FIND(";",SUBSTITUTE(D482,"|",REPT(";",LEN(D482)),2))-1)</f>
        <v/>
      </c>
      <c r="K482" s="11">
        <f>MID(D482,FIND(";",SUBSTITUTE(D482,"|",REPT(";",LEN(D482)),3))+1,FIND(";",SUBSTITUTE(D482,"|",REPT(";",LEN(D482)),4))-FIND(";",SUBSTITUTE(D482,"|",REPT(";",LEN(D482)),3))-1)</f>
        <v/>
      </c>
      <c r="M482" s="11">
        <f>MID(D482,FIND(";",SUBSTITUTE(D482,"|",REPT(";",LEN(D482)),4))+1,FIND(";",SUBSTITUTE(D482,"|",REPT(";",LEN(D482)),5))-FIND(";",SUBSTITUTE(D482,"|",REPT(";",LEN(D482)),4))-1)</f>
        <v/>
      </c>
      <c r="N482" s="11">
        <f>MID(D482,FIND(";",SUBSTITUTE(D482,"|",REPT(";",LEN(D482)),6))+1,LEN(D482))</f>
        <v/>
      </c>
      <c r="O482" s="11">
        <f>MID(D482,FIND(";",SUBSTITUTE(D482,"|",REPT(";",LEN(D482)),5))+1,FIND(";",SUBSTITUTE(D482,"|",REPT(";",LEN(D482)),6))-FIND(";",SUBSTITUTE(D482,"|",REPT(";",LEN(D482)),5))-1)</f>
        <v/>
      </c>
    </row>
    <row r="483" ht="126" customHeight="1" s="21">
      <c r="A483" s="13" t="inlineStr">
        <is>
          <t>100201</t>
        </is>
      </c>
      <c r="B483" s="13" t="inlineStr">
        <is>
          <t>圆钢</t>
        </is>
      </c>
      <c r="C483" s="13" t="inlineStr">
        <is>
          <t>600612900</t>
        </is>
      </c>
      <c r="D483" s="13" t="inlineStr">
        <is>
          <t>热轧合金结构圆钢|圆钢|40Cr|Φ70|GB/T 3077-1999|热轧|GB/T 702-2008</t>
        </is>
      </c>
      <c r="E483" s="13" t="inlineStr">
        <is>
          <t>物资名称 热轧合金结构圆钢;物资简称 圆钢;牌号 40Cr;直径 Φ70;技术标准号 GB/T 3077-1999;加工工艺 热轧;热处理工艺 ;特殊要求 ;规格标准号 GB/T 702-2008</t>
        </is>
      </c>
      <c r="F483" s="12" t="inlineStr">
        <is>
          <t>千克</t>
        </is>
      </c>
      <c r="G483" s="11">
        <f>LEFT(D483,FIND("|",D483,1)-1)</f>
        <v/>
      </c>
      <c r="H483" s="11">
        <f>MID(D483,FIND("|",D483,FIND("|",D483,1))+1,FIND("|",D483,FIND("|",D483,1)+1)-FIND("|",D483,FIND("|",D483,1))-1)</f>
        <v/>
      </c>
      <c r="J483" s="11">
        <f>MID(D483,FIND(";",SUBSTITUTE(D483,"|",REPT(";",LEN(D483)),2))+1,FIND(";",SUBSTITUTE(D483,"|",REPT(";",LEN(D483)),3))-FIND(";",SUBSTITUTE(D483,"|",REPT(";",LEN(D483)),2))-1)</f>
        <v/>
      </c>
      <c r="K483" s="11">
        <f>MID(D483,FIND(";",SUBSTITUTE(D483,"|",REPT(";",LEN(D483)),3))+1,FIND(";",SUBSTITUTE(D483,"|",REPT(";",LEN(D483)),4))-FIND(";",SUBSTITUTE(D483,"|",REPT(";",LEN(D483)),3))-1)</f>
        <v/>
      </c>
      <c r="M483" s="11">
        <f>MID(D483,FIND(";",SUBSTITUTE(D483,"|",REPT(";",LEN(D483)),4))+1,FIND(";",SUBSTITUTE(D483,"|",REPT(";",LEN(D483)),5))-FIND(";",SUBSTITUTE(D483,"|",REPT(";",LEN(D483)),4))-1)</f>
        <v/>
      </c>
      <c r="N483" s="11">
        <f>MID(D483,FIND(";",SUBSTITUTE(D483,"|",REPT(";",LEN(D483)),6))+1,LEN(D483))</f>
        <v/>
      </c>
      <c r="O483" s="11">
        <f>MID(D483,FIND(";",SUBSTITUTE(D483,"|",REPT(";",LEN(D483)),5))+1,FIND(";",SUBSTITUTE(D483,"|",REPT(";",LEN(D483)),6))-FIND(";",SUBSTITUTE(D483,"|",REPT(";",LEN(D483)),5))-1)</f>
        <v/>
      </c>
    </row>
    <row r="484" ht="126" customHeight="1" s="21">
      <c r="A484" s="13" t="inlineStr">
        <is>
          <t>100201</t>
        </is>
      </c>
      <c r="B484" s="13" t="inlineStr">
        <is>
          <t>圆钢</t>
        </is>
      </c>
      <c r="C484" s="13" t="inlineStr">
        <is>
          <t>600612800</t>
        </is>
      </c>
      <c r="D484" s="13" t="inlineStr">
        <is>
          <t>热轧合金结构圆钢|圆钢|40Cr|Φ75|GB/T 3077-1999|热轧|GB/T 702-2008</t>
        </is>
      </c>
      <c r="E484" s="13" t="inlineStr">
        <is>
          <t>物资名称 热轧合金结构圆钢;物资简称 圆钢;牌号 40Cr;直径 Φ75;技术标准号 GB/T 3077-1999;加工工艺 热轧;热处理工艺 ;特殊要求 ;规格标准号 GB/T 702-2008</t>
        </is>
      </c>
      <c r="F484" s="12" t="inlineStr">
        <is>
          <t>千克</t>
        </is>
      </c>
      <c r="G484" s="11">
        <f>LEFT(D484,FIND("|",D484,1)-1)</f>
        <v/>
      </c>
      <c r="H484" s="11">
        <f>MID(D484,FIND("|",D484,FIND("|",D484,1))+1,FIND("|",D484,FIND("|",D484,1)+1)-FIND("|",D484,FIND("|",D484,1))-1)</f>
        <v/>
      </c>
      <c r="J484" s="11">
        <f>MID(D484,FIND(";",SUBSTITUTE(D484,"|",REPT(";",LEN(D484)),2))+1,FIND(";",SUBSTITUTE(D484,"|",REPT(";",LEN(D484)),3))-FIND(";",SUBSTITUTE(D484,"|",REPT(";",LEN(D484)),2))-1)</f>
        <v/>
      </c>
      <c r="K484" s="11">
        <f>MID(D484,FIND(";",SUBSTITUTE(D484,"|",REPT(";",LEN(D484)),3))+1,FIND(";",SUBSTITUTE(D484,"|",REPT(";",LEN(D484)),4))-FIND(";",SUBSTITUTE(D484,"|",REPT(";",LEN(D484)),3))-1)</f>
        <v/>
      </c>
      <c r="M484" s="11">
        <f>MID(D484,FIND(";",SUBSTITUTE(D484,"|",REPT(";",LEN(D484)),4))+1,FIND(";",SUBSTITUTE(D484,"|",REPT(";",LEN(D484)),5))-FIND(";",SUBSTITUTE(D484,"|",REPT(";",LEN(D484)),4))-1)</f>
        <v/>
      </c>
      <c r="N484" s="11">
        <f>MID(D484,FIND(";",SUBSTITUTE(D484,"|",REPT(";",LEN(D484)),6))+1,LEN(D484))</f>
        <v/>
      </c>
      <c r="O484" s="11">
        <f>MID(D484,FIND(";",SUBSTITUTE(D484,"|",REPT(";",LEN(D484)),5))+1,FIND(";",SUBSTITUTE(D484,"|",REPT(";",LEN(D484)),6))-FIND(";",SUBSTITUTE(D484,"|",REPT(";",LEN(D484)),5))-1)</f>
        <v/>
      </c>
    </row>
    <row r="485" ht="126" customHeight="1" s="21">
      <c r="A485" s="13" t="inlineStr">
        <is>
          <t>100201</t>
        </is>
      </c>
      <c r="B485" s="13" t="inlineStr">
        <is>
          <t>圆钢</t>
        </is>
      </c>
      <c r="C485" s="13" t="inlineStr">
        <is>
          <t>600612700</t>
        </is>
      </c>
      <c r="D485" s="13" t="inlineStr">
        <is>
          <t>热轧合金结构圆钢|圆钢|40Cr|Φ90|GB/T 3077-1999|热轧|GB/T 702-2008</t>
        </is>
      </c>
      <c r="E485" s="13" t="inlineStr">
        <is>
          <t>物资名称 热轧合金结构圆钢;物资简称 圆钢;牌号 40Cr;直径 Φ90;技术标准号 GB/T 3077-1999;加工工艺 热轧;热处理工艺 ;特殊要求 ;规格标准号 GB/T 702-2008</t>
        </is>
      </c>
      <c r="F485" s="12" t="inlineStr">
        <is>
          <t>千克</t>
        </is>
      </c>
      <c r="G485" s="11">
        <f>LEFT(D485,FIND("|",D485,1)-1)</f>
        <v/>
      </c>
      <c r="H485" s="11">
        <f>MID(D485,FIND("|",D485,FIND("|",D485,1))+1,FIND("|",D485,FIND("|",D485,1)+1)-FIND("|",D485,FIND("|",D485,1))-1)</f>
        <v/>
      </c>
      <c r="J485" s="11">
        <f>MID(D485,FIND(";",SUBSTITUTE(D485,"|",REPT(";",LEN(D485)),2))+1,FIND(";",SUBSTITUTE(D485,"|",REPT(";",LEN(D485)),3))-FIND(";",SUBSTITUTE(D485,"|",REPT(";",LEN(D485)),2))-1)</f>
        <v/>
      </c>
      <c r="K485" s="11">
        <f>MID(D485,FIND(";",SUBSTITUTE(D485,"|",REPT(";",LEN(D485)),3))+1,FIND(";",SUBSTITUTE(D485,"|",REPT(";",LEN(D485)),4))-FIND(";",SUBSTITUTE(D485,"|",REPT(";",LEN(D485)),3))-1)</f>
        <v/>
      </c>
      <c r="M485" s="11">
        <f>MID(D485,FIND(";",SUBSTITUTE(D485,"|",REPT(";",LEN(D485)),4))+1,FIND(";",SUBSTITUTE(D485,"|",REPT(";",LEN(D485)),5))-FIND(";",SUBSTITUTE(D485,"|",REPT(";",LEN(D485)),4))-1)</f>
        <v/>
      </c>
      <c r="N485" s="11">
        <f>MID(D485,FIND(";",SUBSTITUTE(D485,"|",REPT(";",LEN(D485)),6))+1,LEN(D485))</f>
        <v/>
      </c>
      <c r="O485" s="11">
        <f>MID(D485,FIND(";",SUBSTITUTE(D485,"|",REPT(";",LEN(D485)),5))+1,FIND(";",SUBSTITUTE(D485,"|",REPT(";",LEN(D485)),6))-FIND(";",SUBSTITUTE(D485,"|",REPT(";",LEN(D485)),5))-1)</f>
        <v/>
      </c>
    </row>
    <row r="486" ht="140" customHeight="1" s="21">
      <c r="A486" s="13" t="inlineStr">
        <is>
          <t>100201</t>
        </is>
      </c>
      <c r="B486" s="13" t="inlineStr">
        <is>
          <t>圆钢</t>
        </is>
      </c>
      <c r="C486" s="13" t="inlineStr">
        <is>
          <t>600612600</t>
        </is>
      </c>
      <c r="D486" s="13" t="inlineStr">
        <is>
          <t>热轧合金结构圆钢|圆钢|40Cr|Φ90|GB/T 3077-1999|热轧|退火|GB/T 702-2008</t>
        </is>
      </c>
      <c r="E486" s="13" t="inlineStr">
        <is>
          <t>物资名称 热轧合金结构圆钢;物资简称 圆钢;牌号 40Cr;直径 Φ90;技术标准号 GB/T 3077-1999;加工工艺 热轧;热处理工艺 退火;特殊要求 ;规格标准号 GB/T 702-2008</t>
        </is>
      </c>
      <c r="F486" s="12" t="inlineStr">
        <is>
          <t>千克</t>
        </is>
      </c>
      <c r="G486" s="11">
        <f>LEFT(D486,FIND("|",D486,1)-1)</f>
        <v/>
      </c>
      <c r="H486" s="11">
        <f>MID(D486,FIND("|",D486,FIND("|",D486,1))+1,FIND("|",D486,FIND("|",D486,1)+1)-FIND("|",D486,FIND("|",D486,1))-1)</f>
        <v/>
      </c>
      <c r="J486" s="11">
        <f>MID(D486,FIND(";",SUBSTITUTE(D486,"|",REPT(";",LEN(D486)),2))+1,FIND(";",SUBSTITUTE(D486,"|",REPT(";",LEN(D486)),3))-FIND(";",SUBSTITUTE(D486,"|",REPT(";",LEN(D486)),2))-1)</f>
        <v/>
      </c>
      <c r="K486" s="11">
        <f>MID(D486,FIND(";",SUBSTITUTE(D486,"|",REPT(";",LEN(D486)),3))+1,FIND(";",SUBSTITUTE(D486,"|",REPT(";",LEN(D486)),4))-FIND(";",SUBSTITUTE(D486,"|",REPT(";",LEN(D486)),3))-1)</f>
        <v/>
      </c>
      <c r="M486" s="11">
        <f>MID(D486,FIND(";",SUBSTITUTE(D486,"|",REPT(";",LEN(D486)),4))+1,FIND(";",SUBSTITUTE(D486,"|",REPT(";",LEN(D486)),5))-FIND(";",SUBSTITUTE(D486,"|",REPT(";",LEN(D486)),4))-1)</f>
        <v/>
      </c>
      <c r="N486" s="11">
        <f>MID(D486,FIND(";",SUBSTITUTE(D486,"|",REPT(";",LEN(D486)),7))+1,LEN(D486))</f>
        <v/>
      </c>
      <c r="O486" s="11">
        <f>MID(D486,FIND(";",SUBSTITUTE(D486,"|",REPT(";",LEN(D486)),5))+1,FIND(";",SUBSTITUTE(D486,"|",REPT(";",LEN(D486)),6))-FIND(";",SUBSTITUTE(D486,"|",REPT(";",LEN(D486)),5))-1)</f>
        <v/>
      </c>
      <c r="P486" s="11">
        <f>MID(D486,FIND(";",SUBSTITUTE(D486,"|",REPT(";",LEN(D486)),6))+1,FIND(";",SUBSTITUTE(D486,"|",REPT(";",LEN(D486)),7))-FIND(";",SUBSTITUTE(D486,"|",REPT(";",LEN(D486)),6))-1)</f>
        <v/>
      </c>
    </row>
    <row r="487" ht="126" customHeight="1" s="21">
      <c r="A487" s="13" t="inlineStr">
        <is>
          <t>100201</t>
        </is>
      </c>
      <c r="B487" s="13" t="inlineStr">
        <is>
          <t>圆钢</t>
        </is>
      </c>
      <c r="C487" s="13" t="inlineStr">
        <is>
          <t>600612500</t>
        </is>
      </c>
      <c r="D487" s="13" t="inlineStr">
        <is>
          <t>热轧合金结构圆钢|圆钢|40Cr|Φ100|GB/T 3077-1999|热轧|GB/T 702-2008</t>
        </is>
      </c>
      <c r="E487" s="13" t="inlineStr">
        <is>
          <t>物资名称 热轧合金结构圆钢;物资简称 圆钢;牌号 40Cr;直径 Φ100;技术标准号 GB/T 3077-1999;加工工艺 热轧;热处理工艺 ;特殊要求 ;规格标准号 GB/T 702-2008</t>
        </is>
      </c>
      <c r="F487" s="12" t="inlineStr">
        <is>
          <t>千克</t>
        </is>
      </c>
      <c r="G487" s="11">
        <f>LEFT(D487,FIND("|",D487,1)-1)</f>
        <v/>
      </c>
      <c r="H487" s="11">
        <f>MID(D487,FIND("|",D487,FIND("|",D487,1))+1,FIND("|",D487,FIND("|",D487,1)+1)-FIND("|",D487,FIND("|",D487,1))-1)</f>
        <v/>
      </c>
      <c r="J487" s="11">
        <f>MID(D487,FIND(";",SUBSTITUTE(D487,"|",REPT(";",LEN(D487)),2))+1,FIND(";",SUBSTITUTE(D487,"|",REPT(";",LEN(D487)),3))-FIND(";",SUBSTITUTE(D487,"|",REPT(";",LEN(D487)),2))-1)</f>
        <v/>
      </c>
      <c r="K487" s="11">
        <f>MID(D487,FIND(";",SUBSTITUTE(D487,"|",REPT(";",LEN(D487)),3))+1,FIND(";",SUBSTITUTE(D487,"|",REPT(";",LEN(D487)),4))-FIND(";",SUBSTITUTE(D487,"|",REPT(";",LEN(D487)),3))-1)</f>
        <v/>
      </c>
      <c r="M487" s="11">
        <f>MID(D487,FIND(";",SUBSTITUTE(D487,"|",REPT(";",LEN(D487)),4))+1,FIND(";",SUBSTITUTE(D487,"|",REPT(";",LEN(D487)),5))-FIND(";",SUBSTITUTE(D487,"|",REPT(";",LEN(D487)),4))-1)</f>
        <v/>
      </c>
      <c r="N487" s="11">
        <f>MID(D487,FIND(";",SUBSTITUTE(D487,"|",REPT(";",LEN(D487)),6))+1,LEN(D487))</f>
        <v/>
      </c>
      <c r="O487" s="11">
        <f>MID(D487,FIND(";",SUBSTITUTE(D487,"|",REPT(";",LEN(D487)),5))+1,FIND(";",SUBSTITUTE(D487,"|",REPT(";",LEN(D487)),6))-FIND(";",SUBSTITUTE(D487,"|",REPT(";",LEN(D487)),5))-1)</f>
        <v/>
      </c>
    </row>
    <row r="488" ht="140" customHeight="1" s="21">
      <c r="A488" s="13" t="inlineStr">
        <is>
          <t>100201</t>
        </is>
      </c>
      <c r="B488" s="13" t="inlineStr">
        <is>
          <t>圆钢</t>
        </is>
      </c>
      <c r="C488" s="13" t="inlineStr">
        <is>
          <t>600612400</t>
        </is>
      </c>
      <c r="D488" s="13" t="inlineStr">
        <is>
          <t>热轧合金结构圆钢|圆钢|40Cr|Φ100|GB/T 3077-1999|热轧|退火|GB/T 702-2008</t>
        </is>
      </c>
      <c r="E488" s="13" t="inlineStr">
        <is>
          <t>物资名称 热轧合金结构圆钢;物资简称 圆钢;牌号 40Cr;直径 Φ100;技术标准号 GB/T 3077-1999;加工工艺 热轧;热处理工艺 退火;特殊要求 ;规格标准号 GB/T 702-2008</t>
        </is>
      </c>
      <c r="F488" s="12" t="inlineStr">
        <is>
          <t>千克</t>
        </is>
      </c>
      <c r="G488" s="11">
        <f>LEFT(D488,FIND("|",D488,1)-1)</f>
        <v/>
      </c>
      <c r="H488" s="11">
        <f>MID(D488,FIND("|",D488,FIND("|",D488,1))+1,FIND("|",D488,FIND("|",D488,1)+1)-FIND("|",D488,FIND("|",D488,1))-1)</f>
        <v/>
      </c>
      <c r="J488" s="11">
        <f>MID(D488,FIND(";",SUBSTITUTE(D488,"|",REPT(";",LEN(D488)),2))+1,FIND(";",SUBSTITUTE(D488,"|",REPT(";",LEN(D488)),3))-FIND(";",SUBSTITUTE(D488,"|",REPT(";",LEN(D488)),2))-1)</f>
        <v/>
      </c>
      <c r="K488" s="11">
        <f>MID(D488,FIND(";",SUBSTITUTE(D488,"|",REPT(";",LEN(D488)),3))+1,FIND(";",SUBSTITUTE(D488,"|",REPT(";",LEN(D488)),4))-FIND(";",SUBSTITUTE(D488,"|",REPT(";",LEN(D488)),3))-1)</f>
        <v/>
      </c>
      <c r="M488" s="11">
        <f>MID(D488,FIND(";",SUBSTITUTE(D488,"|",REPT(";",LEN(D488)),4))+1,FIND(";",SUBSTITUTE(D488,"|",REPT(";",LEN(D488)),5))-FIND(";",SUBSTITUTE(D488,"|",REPT(";",LEN(D488)),4))-1)</f>
        <v/>
      </c>
      <c r="N488" s="11">
        <f>MID(D488,FIND(";",SUBSTITUTE(D488,"|",REPT(";",LEN(D488)),7))+1,LEN(D488))</f>
        <v/>
      </c>
      <c r="O488" s="11">
        <f>MID(D488,FIND(";",SUBSTITUTE(D488,"|",REPT(";",LEN(D488)),5))+1,FIND(";",SUBSTITUTE(D488,"|",REPT(";",LEN(D488)),6))-FIND(";",SUBSTITUTE(D488,"|",REPT(";",LEN(D488)),5))-1)</f>
        <v/>
      </c>
      <c r="P488" s="11">
        <f>MID(D488,FIND(";",SUBSTITUTE(D488,"|",REPT(";",LEN(D488)),6))+1,FIND(";",SUBSTITUTE(D488,"|",REPT(";",LEN(D488)),7))-FIND(";",SUBSTITUTE(D488,"|",REPT(";",LEN(D488)),6))-1)</f>
        <v/>
      </c>
    </row>
    <row r="489" ht="126" customHeight="1" s="21">
      <c r="A489" s="13" t="inlineStr">
        <is>
          <t>100201</t>
        </is>
      </c>
      <c r="B489" s="13" t="inlineStr">
        <is>
          <t>圆钢</t>
        </is>
      </c>
      <c r="C489" s="13" t="inlineStr">
        <is>
          <t>600612300</t>
        </is>
      </c>
      <c r="D489" s="13" t="inlineStr">
        <is>
          <t>热轧合金结构圆钢|圆钢|40Cr|Φ120|GB/T 3077-1999|热轧|GB/T 702-2008</t>
        </is>
      </c>
      <c r="E489" s="13" t="inlineStr">
        <is>
          <t>物资名称 热轧合金结构圆钢;物资简称 圆钢;牌号 40Cr;直径 Φ120;技术标准号 GB/T 3077-1999;加工工艺 热轧;热处理工艺 ;特殊要求 ;规格标准号 GB/T 702-2008</t>
        </is>
      </c>
      <c r="F489" s="12" t="inlineStr">
        <is>
          <t>千克</t>
        </is>
      </c>
      <c r="G489" s="11">
        <f>LEFT(D489,FIND("|",D489,1)-1)</f>
        <v/>
      </c>
      <c r="H489" s="11">
        <f>MID(D489,FIND("|",D489,FIND("|",D489,1))+1,FIND("|",D489,FIND("|",D489,1)+1)-FIND("|",D489,FIND("|",D489,1))-1)</f>
        <v/>
      </c>
      <c r="J489" s="11">
        <f>MID(D489,FIND(";",SUBSTITUTE(D489,"|",REPT(";",LEN(D489)),2))+1,FIND(";",SUBSTITUTE(D489,"|",REPT(";",LEN(D489)),3))-FIND(";",SUBSTITUTE(D489,"|",REPT(";",LEN(D489)),2))-1)</f>
        <v/>
      </c>
      <c r="K489" s="11">
        <f>MID(D489,FIND(";",SUBSTITUTE(D489,"|",REPT(";",LEN(D489)),3))+1,FIND(";",SUBSTITUTE(D489,"|",REPT(";",LEN(D489)),4))-FIND(";",SUBSTITUTE(D489,"|",REPT(";",LEN(D489)),3))-1)</f>
        <v/>
      </c>
      <c r="M489" s="11">
        <f>MID(D489,FIND(";",SUBSTITUTE(D489,"|",REPT(";",LEN(D489)),4))+1,FIND(";",SUBSTITUTE(D489,"|",REPT(";",LEN(D489)),5))-FIND(";",SUBSTITUTE(D489,"|",REPT(";",LEN(D489)),4))-1)</f>
        <v/>
      </c>
      <c r="N489" s="11">
        <f>MID(D489,FIND(";",SUBSTITUTE(D489,"|",REPT(";",LEN(D489)),6))+1,LEN(D489))</f>
        <v/>
      </c>
      <c r="O489" s="11">
        <f>MID(D489,FIND(";",SUBSTITUTE(D489,"|",REPT(";",LEN(D489)),5))+1,FIND(";",SUBSTITUTE(D489,"|",REPT(";",LEN(D489)),6))-FIND(";",SUBSTITUTE(D489,"|",REPT(";",LEN(D489)),5))-1)</f>
        <v/>
      </c>
    </row>
    <row r="490" ht="126" customHeight="1" s="21">
      <c r="A490" s="13" t="inlineStr">
        <is>
          <t>100201</t>
        </is>
      </c>
      <c r="B490" s="13" t="inlineStr">
        <is>
          <t>圆钢</t>
        </is>
      </c>
      <c r="C490" s="13" t="inlineStr">
        <is>
          <t>600612200</t>
        </is>
      </c>
      <c r="D490" s="13" t="inlineStr">
        <is>
          <t>热轧合金结构圆钢|圆钢|40Cr|Φ130|GB/T 3077-1999|热轧|GB/T 702-2008</t>
        </is>
      </c>
      <c r="E490" s="13" t="inlineStr">
        <is>
          <t>物资名称 热轧合金结构圆钢;物资简称 圆钢;牌号 40Cr;直径 Φ130;技术标准号 GB/T 3077-1999;加工工艺 热轧;热处理工艺 ;特殊要求 ;规格标准号 GB/T 702-2008</t>
        </is>
      </c>
      <c r="F490" s="12" t="inlineStr">
        <is>
          <t>千克</t>
        </is>
      </c>
      <c r="G490" s="11">
        <f>LEFT(D490,FIND("|",D490,1)-1)</f>
        <v/>
      </c>
      <c r="H490" s="11">
        <f>MID(D490,FIND("|",D490,FIND("|",D490,1))+1,FIND("|",D490,FIND("|",D490,1)+1)-FIND("|",D490,FIND("|",D490,1))-1)</f>
        <v/>
      </c>
      <c r="J490" s="11">
        <f>MID(D490,FIND(";",SUBSTITUTE(D490,"|",REPT(";",LEN(D490)),2))+1,FIND(";",SUBSTITUTE(D490,"|",REPT(";",LEN(D490)),3))-FIND(";",SUBSTITUTE(D490,"|",REPT(";",LEN(D490)),2))-1)</f>
        <v/>
      </c>
      <c r="K490" s="11">
        <f>MID(D490,FIND(";",SUBSTITUTE(D490,"|",REPT(";",LEN(D490)),3))+1,FIND(";",SUBSTITUTE(D490,"|",REPT(";",LEN(D490)),4))-FIND(";",SUBSTITUTE(D490,"|",REPT(";",LEN(D490)),3))-1)</f>
        <v/>
      </c>
      <c r="M490" s="11">
        <f>MID(D490,FIND(";",SUBSTITUTE(D490,"|",REPT(";",LEN(D490)),4))+1,FIND(";",SUBSTITUTE(D490,"|",REPT(";",LEN(D490)),5))-FIND(";",SUBSTITUTE(D490,"|",REPT(";",LEN(D490)),4))-1)</f>
        <v/>
      </c>
      <c r="N490" s="11">
        <f>MID(D490,FIND(";",SUBSTITUTE(D490,"|",REPT(";",LEN(D490)),6))+1,LEN(D490))</f>
        <v/>
      </c>
      <c r="O490" s="11">
        <f>MID(D490,FIND(";",SUBSTITUTE(D490,"|",REPT(";",LEN(D490)),5))+1,FIND(";",SUBSTITUTE(D490,"|",REPT(";",LEN(D490)),6))-FIND(";",SUBSTITUTE(D490,"|",REPT(";",LEN(D490)),5))-1)</f>
        <v/>
      </c>
    </row>
    <row r="491" ht="126" customHeight="1" s="21">
      <c r="A491" s="13" t="inlineStr">
        <is>
          <t>100201</t>
        </is>
      </c>
      <c r="B491" s="13" t="inlineStr">
        <is>
          <t>圆钢</t>
        </is>
      </c>
      <c r="C491" s="13" t="inlineStr">
        <is>
          <t>600612100</t>
        </is>
      </c>
      <c r="D491" s="13" t="inlineStr">
        <is>
          <t>热轧合金结构圆钢|圆钢|40Cr|Φ140|GB/T 3077-1999|热轧|GB/T 702-2008</t>
        </is>
      </c>
      <c r="E491" s="13" t="inlineStr">
        <is>
          <t>物资名称 热轧合金结构圆钢;物资简称 圆钢;牌号 40Cr;直径 Φ140;技术标准号 GB/T 3077-1999;加工工艺 热轧;热处理工艺 ;特殊要求 ;规格标准号 GB/T 702-2008</t>
        </is>
      </c>
      <c r="F491" s="12" t="inlineStr">
        <is>
          <t>千克</t>
        </is>
      </c>
      <c r="G491" s="11">
        <f>LEFT(D491,FIND("|",D491,1)-1)</f>
        <v/>
      </c>
      <c r="H491" s="11">
        <f>MID(D491,FIND("|",D491,FIND("|",D491,1))+1,FIND("|",D491,FIND("|",D491,1)+1)-FIND("|",D491,FIND("|",D491,1))-1)</f>
        <v/>
      </c>
      <c r="J491" s="11">
        <f>MID(D491,FIND(";",SUBSTITUTE(D491,"|",REPT(";",LEN(D491)),2))+1,FIND(";",SUBSTITUTE(D491,"|",REPT(";",LEN(D491)),3))-FIND(";",SUBSTITUTE(D491,"|",REPT(";",LEN(D491)),2))-1)</f>
        <v/>
      </c>
      <c r="K491" s="11">
        <f>MID(D491,FIND(";",SUBSTITUTE(D491,"|",REPT(";",LEN(D491)),3))+1,FIND(";",SUBSTITUTE(D491,"|",REPT(";",LEN(D491)),4))-FIND(";",SUBSTITUTE(D491,"|",REPT(";",LEN(D491)),3))-1)</f>
        <v/>
      </c>
      <c r="M491" s="11">
        <f>MID(D491,FIND(";",SUBSTITUTE(D491,"|",REPT(";",LEN(D491)),4))+1,FIND(";",SUBSTITUTE(D491,"|",REPT(";",LEN(D491)),5))-FIND(";",SUBSTITUTE(D491,"|",REPT(";",LEN(D491)),4))-1)</f>
        <v/>
      </c>
      <c r="N491" s="11">
        <f>MID(D491,FIND(";",SUBSTITUTE(D491,"|",REPT(";",LEN(D491)),6))+1,LEN(D491))</f>
        <v/>
      </c>
      <c r="O491" s="11">
        <f>MID(D491,FIND(";",SUBSTITUTE(D491,"|",REPT(";",LEN(D491)),5))+1,FIND(";",SUBSTITUTE(D491,"|",REPT(";",LEN(D491)),6))-FIND(";",SUBSTITUTE(D491,"|",REPT(";",LEN(D491)),5))-1)</f>
        <v/>
      </c>
    </row>
    <row r="492" ht="126" customHeight="1" s="21">
      <c r="A492" s="13" t="inlineStr">
        <is>
          <t>100201</t>
        </is>
      </c>
      <c r="B492" s="13" t="inlineStr">
        <is>
          <t>圆钢</t>
        </is>
      </c>
      <c r="C492" s="13" t="inlineStr">
        <is>
          <t>600612000</t>
        </is>
      </c>
      <c r="D492" s="13" t="inlineStr">
        <is>
          <t>热轧合金结构圆钢|圆钢|40Cr|Φ150|GB/T 3077-1999|热轧|GB/T 702-2008</t>
        </is>
      </c>
      <c r="E492" s="13" t="inlineStr">
        <is>
          <t>物资名称 热轧合金结构圆钢;物资简称 圆钢;牌号 40Cr;直径 Φ150;技术标准号 GB/T 3077-1999;加工工艺 热轧;热处理工艺 ;特殊要求 ;规格标准号 GB/T 702-2008</t>
        </is>
      </c>
      <c r="F492" s="12" t="inlineStr">
        <is>
          <t>千克</t>
        </is>
      </c>
      <c r="G492" s="11">
        <f>LEFT(D492,FIND("|",D492,1)-1)</f>
        <v/>
      </c>
      <c r="H492" s="11">
        <f>MID(D492,FIND("|",D492,FIND("|",D492,1))+1,FIND("|",D492,FIND("|",D492,1)+1)-FIND("|",D492,FIND("|",D492,1))-1)</f>
        <v/>
      </c>
      <c r="J492" s="11">
        <f>MID(D492,FIND(";",SUBSTITUTE(D492,"|",REPT(";",LEN(D492)),2))+1,FIND(";",SUBSTITUTE(D492,"|",REPT(";",LEN(D492)),3))-FIND(";",SUBSTITUTE(D492,"|",REPT(";",LEN(D492)),2))-1)</f>
        <v/>
      </c>
      <c r="K492" s="11">
        <f>MID(D492,FIND(";",SUBSTITUTE(D492,"|",REPT(";",LEN(D492)),3))+1,FIND(";",SUBSTITUTE(D492,"|",REPT(";",LEN(D492)),4))-FIND(";",SUBSTITUTE(D492,"|",REPT(";",LEN(D492)),3))-1)</f>
        <v/>
      </c>
      <c r="M492" s="11">
        <f>MID(D492,FIND(";",SUBSTITUTE(D492,"|",REPT(";",LEN(D492)),4))+1,FIND(";",SUBSTITUTE(D492,"|",REPT(";",LEN(D492)),5))-FIND(";",SUBSTITUTE(D492,"|",REPT(";",LEN(D492)),4))-1)</f>
        <v/>
      </c>
      <c r="N492" s="11">
        <f>MID(D492,FIND(";",SUBSTITUTE(D492,"|",REPT(";",LEN(D492)),6))+1,LEN(D492))</f>
        <v/>
      </c>
      <c r="O492" s="11">
        <f>MID(D492,FIND(";",SUBSTITUTE(D492,"|",REPT(";",LEN(D492)),5))+1,FIND(";",SUBSTITUTE(D492,"|",REPT(";",LEN(D492)),6))-FIND(";",SUBSTITUTE(D492,"|",REPT(";",LEN(D492)),5))-1)</f>
        <v/>
      </c>
    </row>
    <row r="493" ht="140" customHeight="1" s="21">
      <c r="A493" s="13" t="inlineStr">
        <is>
          <t>100201</t>
        </is>
      </c>
      <c r="B493" s="13" t="inlineStr">
        <is>
          <t>圆钢</t>
        </is>
      </c>
      <c r="C493" s="13" t="inlineStr">
        <is>
          <t>600611900</t>
        </is>
      </c>
      <c r="D493" s="13" t="inlineStr">
        <is>
          <t>热轧合金结构圆钢|圆钢|40Cr|Φ150|GB/T 3077-1999|热轧|退火|GB/T 702-2008</t>
        </is>
      </c>
      <c r="E493" s="13" t="inlineStr">
        <is>
          <t>物资名称 热轧合金结构圆钢;物资简称 圆钢;牌号 40Cr;直径 Φ150;技术标准号 GB/T 3077-1999;加工工艺 热轧;热处理工艺 退火;特殊要求 ;规格标准号 GB/T 702-2008</t>
        </is>
      </c>
      <c r="F493" s="12" t="inlineStr">
        <is>
          <t>千克</t>
        </is>
      </c>
      <c r="G493" s="11">
        <f>LEFT(D493,FIND("|",D493,1)-1)</f>
        <v/>
      </c>
      <c r="H493" s="11">
        <f>MID(D493,FIND("|",D493,FIND("|",D493,1))+1,FIND("|",D493,FIND("|",D493,1)+1)-FIND("|",D493,FIND("|",D493,1))-1)</f>
        <v/>
      </c>
      <c r="J493" s="11">
        <f>MID(D493,FIND(";",SUBSTITUTE(D493,"|",REPT(";",LEN(D493)),2))+1,FIND(";",SUBSTITUTE(D493,"|",REPT(";",LEN(D493)),3))-FIND(";",SUBSTITUTE(D493,"|",REPT(";",LEN(D493)),2))-1)</f>
        <v/>
      </c>
      <c r="K493" s="11">
        <f>MID(D493,FIND(";",SUBSTITUTE(D493,"|",REPT(";",LEN(D493)),3))+1,FIND(";",SUBSTITUTE(D493,"|",REPT(";",LEN(D493)),4))-FIND(";",SUBSTITUTE(D493,"|",REPT(";",LEN(D493)),3))-1)</f>
        <v/>
      </c>
      <c r="M493" s="11">
        <f>MID(D493,FIND(";",SUBSTITUTE(D493,"|",REPT(";",LEN(D493)),4))+1,FIND(";",SUBSTITUTE(D493,"|",REPT(";",LEN(D493)),5))-FIND(";",SUBSTITUTE(D493,"|",REPT(";",LEN(D493)),4))-1)</f>
        <v/>
      </c>
      <c r="N493" s="11">
        <f>MID(D493,FIND(";",SUBSTITUTE(D493,"|",REPT(";",LEN(D493)),7))+1,LEN(D493))</f>
        <v/>
      </c>
      <c r="O493" s="11">
        <f>MID(D493,FIND(";",SUBSTITUTE(D493,"|",REPT(";",LEN(D493)),5))+1,FIND(";",SUBSTITUTE(D493,"|",REPT(";",LEN(D493)),6))-FIND(";",SUBSTITUTE(D493,"|",REPT(";",LEN(D493)),5))-1)</f>
        <v/>
      </c>
      <c r="P493" s="11">
        <f>MID(D493,FIND(";",SUBSTITUTE(D493,"|",REPT(";",LEN(D493)),6))+1,FIND(";",SUBSTITUTE(D493,"|",REPT(";",LEN(D493)),7))-FIND(";",SUBSTITUTE(D493,"|",REPT(";",LEN(D493)),6))-1)</f>
        <v/>
      </c>
    </row>
    <row r="494" ht="126" customHeight="1" s="21">
      <c r="A494" s="13" t="inlineStr">
        <is>
          <t>100201</t>
        </is>
      </c>
      <c r="B494" s="13" t="inlineStr">
        <is>
          <t>圆钢</t>
        </is>
      </c>
      <c r="C494" s="13" t="inlineStr">
        <is>
          <t>600611800</t>
        </is>
      </c>
      <c r="D494" s="13" t="inlineStr">
        <is>
          <t>热轧合金结构圆钢|圆钢|40Cr|Φ160|GB/T 3077-1999|热轧|GB/T 702-2008</t>
        </is>
      </c>
      <c r="E494" s="13" t="inlineStr">
        <is>
          <t>物资名称 热轧合金结构圆钢;物资简称 圆钢;牌号 40Cr;直径 Φ160;技术标准号 GB/T 3077-1999;加工工艺 热轧;热处理工艺 ;特殊要求 ;规格标准号 GB/T 702-2008</t>
        </is>
      </c>
      <c r="F494" s="12" t="inlineStr">
        <is>
          <t>千克</t>
        </is>
      </c>
      <c r="G494" s="11">
        <f>LEFT(D494,FIND("|",D494,1)-1)</f>
        <v/>
      </c>
      <c r="H494" s="11">
        <f>MID(D494,FIND("|",D494,FIND("|",D494,1))+1,FIND("|",D494,FIND("|",D494,1)+1)-FIND("|",D494,FIND("|",D494,1))-1)</f>
        <v/>
      </c>
      <c r="J494" s="11">
        <f>MID(D494,FIND(";",SUBSTITUTE(D494,"|",REPT(";",LEN(D494)),2))+1,FIND(";",SUBSTITUTE(D494,"|",REPT(";",LEN(D494)),3))-FIND(";",SUBSTITUTE(D494,"|",REPT(";",LEN(D494)),2))-1)</f>
        <v/>
      </c>
      <c r="K494" s="11">
        <f>MID(D494,FIND(";",SUBSTITUTE(D494,"|",REPT(";",LEN(D494)),3))+1,FIND(";",SUBSTITUTE(D494,"|",REPT(";",LEN(D494)),4))-FIND(";",SUBSTITUTE(D494,"|",REPT(";",LEN(D494)),3))-1)</f>
        <v/>
      </c>
      <c r="M494" s="11">
        <f>MID(D494,FIND(";",SUBSTITUTE(D494,"|",REPT(";",LEN(D494)),4))+1,FIND(";",SUBSTITUTE(D494,"|",REPT(";",LEN(D494)),5))-FIND(";",SUBSTITUTE(D494,"|",REPT(";",LEN(D494)),4))-1)</f>
        <v/>
      </c>
      <c r="N494" s="11">
        <f>MID(D494,FIND(";",SUBSTITUTE(D494,"|",REPT(";",LEN(D494)),6))+1,LEN(D494))</f>
        <v/>
      </c>
      <c r="O494" s="11">
        <f>MID(D494,FIND(";",SUBSTITUTE(D494,"|",REPT(";",LEN(D494)),5))+1,FIND(";",SUBSTITUTE(D494,"|",REPT(";",LEN(D494)),6))-FIND(";",SUBSTITUTE(D494,"|",REPT(";",LEN(D494)),5))-1)</f>
        <v/>
      </c>
    </row>
    <row r="495" ht="126" customHeight="1" s="21">
      <c r="A495" s="13" t="inlineStr">
        <is>
          <t>100201</t>
        </is>
      </c>
      <c r="B495" s="13" t="inlineStr">
        <is>
          <t>圆钢</t>
        </is>
      </c>
      <c r="C495" s="13" t="inlineStr">
        <is>
          <t>600611700</t>
        </is>
      </c>
      <c r="D495" s="13" t="inlineStr">
        <is>
          <t>热轧合金结构圆钢|圆钢|40Cr|Φ170|GB/T 3077-1999|热轧|GB/T 702-2008</t>
        </is>
      </c>
      <c r="E495" s="13" t="inlineStr">
        <is>
          <t>物资名称 热轧合金结构圆钢;物资简称 圆钢;牌号 40Cr;直径 Φ170;技术标准号 GB/T 3077-1999;加工工艺 热轧;热处理工艺 ;特殊要求 ;规格标准号 GB/T 702-2008</t>
        </is>
      </c>
      <c r="F495" s="12" t="inlineStr">
        <is>
          <t>千克</t>
        </is>
      </c>
      <c r="G495" s="11">
        <f>LEFT(D495,FIND("|",D495,1)-1)</f>
        <v/>
      </c>
      <c r="H495" s="11">
        <f>MID(D495,FIND("|",D495,FIND("|",D495,1))+1,FIND("|",D495,FIND("|",D495,1)+1)-FIND("|",D495,FIND("|",D495,1))-1)</f>
        <v/>
      </c>
      <c r="J495" s="11">
        <f>MID(D495,FIND(";",SUBSTITUTE(D495,"|",REPT(";",LEN(D495)),2))+1,FIND(";",SUBSTITUTE(D495,"|",REPT(";",LEN(D495)),3))-FIND(";",SUBSTITUTE(D495,"|",REPT(";",LEN(D495)),2))-1)</f>
        <v/>
      </c>
      <c r="K495" s="11">
        <f>MID(D495,FIND(";",SUBSTITUTE(D495,"|",REPT(";",LEN(D495)),3))+1,FIND(";",SUBSTITUTE(D495,"|",REPT(";",LEN(D495)),4))-FIND(";",SUBSTITUTE(D495,"|",REPT(";",LEN(D495)),3))-1)</f>
        <v/>
      </c>
      <c r="M495" s="11">
        <f>MID(D495,FIND(";",SUBSTITUTE(D495,"|",REPT(";",LEN(D495)),4))+1,FIND(";",SUBSTITUTE(D495,"|",REPT(";",LEN(D495)),5))-FIND(";",SUBSTITUTE(D495,"|",REPT(";",LEN(D495)),4))-1)</f>
        <v/>
      </c>
      <c r="N495" s="11">
        <f>MID(D495,FIND(";",SUBSTITUTE(D495,"|",REPT(";",LEN(D495)),6))+1,LEN(D495))</f>
        <v/>
      </c>
      <c r="O495" s="11">
        <f>MID(D495,FIND(";",SUBSTITUTE(D495,"|",REPT(";",LEN(D495)),5))+1,FIND(";",SUBSTITUTE(D495,"|",REPT(";",LEN(D495)),6))-FIND(";",SUBSTITUTE(D495,"|",REPT(";",LEN(D495)),5))-1)</f>
        <v/>
      </c>
    </row>
    <row r="496" ht="126" customHeight="1" s="21">
      <c r="A496" s="13" t="inlineStr">
        <is>
          <t>100201</t>
        </is>
      </c>
      <c r="B496" s="13" t="inlineStr">
        <is>
          <t>圆钢</t>
        </is>
      </c>
      <c r="C496" s="13" t="inlineStr">
        <is>
          <t>600611600</t>
        </is>
      </c>
      <c r="D496" s="13" t="inlineStr">
        <is>
          <t>热轧合金结构圆钢|圆钢|40Cr|Φ180|GB/T 3077-1999|热轧|GB/T 702-2008</t>
        </is>
      </c>
      <c r="E496" s="13" t="inlineStr">
        <is>
          <t>物资名称 热轧合金结构圆钢;物资简称 圆钢;牌号 40Cr;直径 Φ180;技术标准号 GB/T 3077-1999;加工工艺 热轧;热处理工艺 ;特殊要求 ;规格标准号 GB/T 702-2008</t>
        </is>
      </c>
      <c r="F496" s="12" t="inlineStr">
        <is>
          <t>千克</t>
        </is>
      </c>
      <c r="G496" s="11">
        <f>LEFT(D496,FIND("|",D496,1)-1)</f>
        <v/>
      </c>
      <c r="H496" s="11">
        <f>MID(D496,FIND("|",D496,FIND("|",D496,1))+1,FIND("|",D496,FIND("|",D496,1)+1)-FIND("|",D496,FIND("|",D496,1))-1)</f>
        <v/>
      </c>
      <c r="J496" s="11">
        <f>MID(D496,FIND(";",SUBSTITUTE(D496,"|",REPT(";",LEN(D496)),2))+1,FIND(";",SUBSTITUTE(D496,"|",REPT(";",LEN(D496)),3))-FIND(";",SUBSTITUTE(D496,"|",REPT(";",LEN(D496)),2))-1)</f>
        <v/>
      </c>
      <c r="K496" s="11">
        <f>MID(D496,FIND(";",SUBSTITUTE(D496,"|",REPT(";",LEN(D496)),3))+1,FIND(";",SUBSTITUTE(D496,"|",REPT(";",LEN(D496)),4))-FIND(";",SUBSTITUTE(D496,"|",REPT(";",LEN(D496)),3))-1)</f>
        <v/>
      </c>
      <c r="M496" s="11">
        <f>MID(D496,FIND(";",SUBSTITUTE(D496,"|",REPT(";",LEN(D496)),4))+1,FIND(";",SUBSTITUTE(D496,"|",REPT(";",LEN(D496)),5))-FIND(";",SUBSTITUTE(D496,"|",REPT(";",LEN(D496)),4))-1)</f>
        <v/>
      </c>
      <c r="N496" s="11">
        <f>MID(D496,FIND(";",SUBSTITUTE(D496,"|",REPT(";",LEN(D496)),6))+1,LEN(D496))</f>
        <v/>
      </c>
      <c r="O496" s="11">
        <f>MID(D496,FIND(";",SUBSTITUTE(D496,"|",REPT(";",LEN(D496)),5))+1,FIND(";",SUBSTITUTE(D496,"|",REPT(";",LEN(D496)),6))-FIND(";",SUBSTITUTE(D496,"|",REPT(";",LEN(D496)),5))-1)</f>
        <v/>
      </c>
    </row>
    <row r="497" ht="126" customHeight="1" s="21">
      <c r="A497" s="13" t="inlineStr">
        <is>
          <t>100201</t>
        </is>
      </c>
      <c r="B497" s="13" t="inlineStr">
        <is>
          <t>圆钢</t>
        </is>
      </c>
      <c r="C497" s="13" t="inlineStr">
        <is>
          <t>600611500</t>
        </is>
      </c>
      <c r="D497" s="13" t="inlineStr">
        <is>
          <t>热轧合金结构圆钢|圆钢|40Cr|Φ270|GB/T 3077-1999|热轧|GB/T 702-2008</t>
        </is>
      </c>
      <c r="E497" s="13" t="inlineStr">
        <is>
          <t>物资名称 热轧合金结构圆钢;物资简称 圆钢;牌号 40Cr;直径 Φ270;技术标准号 GB/T 3077-1999;加工工艺 热轧;热处理工艺 ;特殊要求 ;规格标准号 GB/T 702-2008</t>
        </is>
      </c>
      <c r="F497" s="12" t="inlineStr">
        <is>
          <t>千克</t>
        </is>
      </c>
      <c r="G497" s="11">
        <f>LEFT(D497,FIND("|",D497,1)-1)</f>
        <v/>
      </c>
      <c r="H497" s="11">
        <f>MID(D497,FIND("|",D497,FIND("|",D497,1))+1,FIND("|",D497,FIND("|",D497,1)+1)-FIND("|",D497,FIND("|",D497,1))-1)</f>
        <v/>
      </c>
      <c r="J497" s="11">
        <f>MID(D497,FIND(";",SUBSTITUTE(D497,"|",REPT(";",LEN(D497)),2))+1,FIND(";",SUBSTITUTE(D497,"|",REPT(";",LEN(D497)),3))-FIND(";",SUBSTITUTE(D497,"|",REPT(";",LEN(D497)),2))-1)</f>
        <v/>
      </c>
      <c r="K497" s="11">
        <f>MID(D497,FIND(";",SUBSTITUTE(D497,"|",REPT(";",LEN(D497)),3))+1,FIND(";",SUBSTITUTE(D497,"|",REPT(";",LEN(D497)),4))-FIND(";",SUBSTITUTE(D497,"|",REPT(";",LEN(D497)),3))-1)</f>
        <v/>
      </c>
      <c r="M497" s="11">
        <f>MID(D497,FIND(";",SUBSTITUTE(D497,"|",REPT(";",LEN(D497)),4))+1,FIND(";",SUBSTITUTE(D497,"|",REPT(";",LEN(D497)),5))-FIND(";",SUBSTITUTE(D497,"|",REPT(";",LEN(D497)),4))-1)</f>
        <v/>
      </c>
      <c r="N497" s="11">
        <f>MID(D497,FIND(";",SUBSTITUTE(D497,"|",REPT(";",LEN(D497)),6))+1,LEN(D497))</f>
        <v/>
      </c>
      <c r="O497" s="11">
        <f>MID(D497,FIND(";",SUBSTITUTE(D497,"|",REPT(";",LEN(D497)),5))+1,FIND(";",SUBSTITUTE(D497,"|",REPT(";",LEN(D497)),6))-FIND(";",SUBSTITUTE(D497,"|",REPT(";",LEN(D497)),5))-1)</f>
        <v/>
      </c>
    </row>
    <row r="498" ht="126" customHeight="1" s="21">
      <c r="A498" s="13" t="inlineStr">
        <is>
          <t>100201</t>
        </is>
      </c>
      <c r="B498" s="13" t="inlineStr">
        <is>
          <t>圆钢</t>
        </is>
      </c>
      <c r="C498" s="13" t="inlineStr">
        <is>
          <t>600611400</t>
        </is>
      </c>
      <c r="D498" s="13" t="inlineStr">
        <is>
          <t>冷拉合金结构圆钢|圆钢|40Cr|GB/T 3078-2008|GB/T 905-1994</t>
        </is>
      </c>
      <c r="E498" s="13" t="inlineStr">
        <is>
          <t>物资名称 冷拉合金结构圆钢;物资简称 圆钢;牌号 40Cr;直径 Φ;技术标准号 GB/T 3078-2008;加工工艺 ;热处理工艺 ;特殊要求 ;规格标准号 GB/T 905-1994</t>
        </is>
      </c>
      <c r="F498" s="12" t="inlineStr">
        <is>
          <t>千克</t>
        </is>
      </c>
      <c r="G498" s="11">
        <f>LEFT(D498,FIND("|",D498,1)-1)</f>
        <v/>
      </c>
      <c r="H498" s="11">
        <f>MID(D498,FIND("|",D498,FIND("|",D498,1))+1,FIND("|",D498,FIND("|",D498,1)+1)-FIND("|",D498,FIND("|",D498,1))-1)</f>
        <v/>
      </c>
      <c r="J498" s="11">
        <f>MID(D498,FIND(";",SUBSTITUTE(D498,"|",REPT(";",LEN(D498)),2))+1,FIND(";",SUBSTITUTE(D498,"|",REPT(";",LEN(D498)),3))-FIND(";",SUBSTITUTE(D498,"|",REPT(";",LEN(D498)),2))-1)</f>
        <v/>
      </c>
      <c r="M498" s="11">
        <f>MID(D498,FIND(";",SUBSTITUTE(D498,"|",REPT(";",LEN(D498)),3))+1,FIND(";",SUBSTITUTE(D498,"|",REPT(";",LEN(D498)),4))-FIND(";",SUBSTITUTE(D498,"|",REPT(";",LEN(D498)),3))-1)</f>
        <v/>
      </c>
      <c r="N498" s="11">
        <f>MID(D498,FIND(";",SUBSTITUTE(D498,"|",REPT(";",LEN(D498)),4))+1,LEN(D498))</f>
        <v/>
      </c>
    </row>
    <row r="499" ht="126" customHeight="1" s="21">
      <c r="A499" s="13" t="inlineStr">
        <is>
          <t>100201</t>
        </is>
      </c>
      <c r="B499" s="13" t="inlineStr">
        <is>
          <t>圆钢</t>
        </is>
      </c>
      <c r="C499" s="13" t="inlineStr">
        <is>
          <t>600611300</t>
        </is>
      </c>
      <c r="D499" s="13" t="inlineStr">
        <is>
          <t>冷拉合金结构圆钢|圆钢|40Cr|Φ14|GB/T 3078-2008|冷拉|GB/T 905-1994</t>
        </is>
      </c>
      <c r="E499" s="13" t="inlineStr">
        <is>
          <t>物资名称 冷拉合金结构圆钢;物资简称 圆钢;牌号 40Cr;直径 Φ14;技术标准号 GB/T 3078-2008;加工工艺 冷拉;热处理工艺 ;特殊要求 ;规格标准号 GB/T 905-1994</t>
        </is>
      </c>
      <c r="F499" s="12" t="inlineStr">
        <is>
          <t>千克</t>
        </is>
      </c>
      <c r="G499" s="11">
        <f>LEFT(D499,FIND("|",D499,1)-1)</f>
        <v/>
      </c>
      <c r="H499" s="11">
        <f>MID(D499,FIND("|",D499,FIND("|",D499,1))+1,FIND("|",D499,FIND("|",D499,1)+1)-FIND("|",D499,FIND("|",D499,1))-1)</f>
        <v/>
      </c>
      <c r="J499" s="11">
        <f>MID(D499,FIND(";",SUBSTITUTE(D499,"|",REPT(";",LEN(D499)),2))+1,FIND(";",SUBSTITUTE(D499,"|",REPT(";",LEN(D499)),3))-FIND(";",SUBSTITUTE(D499,"|",REPT(";",LEN(D499)),2))-1)</f>
        <v/>
      </c>
      <c r="K499" s="11">
        <f>MID(D499,FIND(";",SUBSTITUTE(D499,"|",REPT(";",LEN(D499)),3))+1,FIND(";",SUBSTITUTE(D499,"|",REPT(";",LEN(D499)),4))-FIND(";",SUBSTITUTE(D499,"|",REPT(";",LEN(D499)),3))-1)</f>
        <v/>
      </c>
      <c r="M499" s="11">
        <f>MID(D499,FIND(";",SUBSTITUTE(D499,"|",REPT(";",LEN(D499)),4))+1,FIND(";",SUBSTITUTE(D499,"|",REPT(";",LEN(D499)),5))-FIND(";",SUBSTITUTE(D499,"|",REPT(";",LEN(D499)),4))-1)</f>
        <v/>
      </c>
      <c r="N499" s="11">
        <f>MID(D499,FIND(";",SUBSTITUTE(D499,"|",REPT(";",LEN(D499)),6))+1,LEN(D499))</f>
        <v/>
      </c>
      <c r="O499" s="11">
        <f>MID(D499,FIND(";",SUBSTITUTE(D499,"|",REPT(";",LEN(D499)),5))+1,FIND(";",SUBSTITUTE(D499,"|",REPT(";",LEN(D499)),6))-FIND(";",SUBSTITUTE(D499,"|",REPT(";",LEN(D499)),5))-1)</f>
        <v/>
      </c>
    </row>
    <row r="500" ht="112" customHeight="1" s="21">
      <c r="A500" s="13" t="inlineStr">
        <is>
          <t>100201</t>
        </is>
      </c>
      <c r="B500" s="13" t="inlineStr">
        <is>
          <t>圆钢</t>
        </is>
      </c>
      <c r="C500" s="13" t="inlineStr">
        <is>
          <t>600611200</t>
        </is>
      </c>
      <c r="D500" s="13" t="inlineStr">
        <is>
          <t>优质碳素结构钢棒|钢棒|10|GB/T 699-1999</t>
        </is>
      </c>
      <c r="E500" s="13" t="inlineStr">
        <is>
          <t xml:space="preserve">物资名称 优质碳素结构钢棒;物资简称 钢棒;牌号 10;直径 Φ;技术标准号 GB/T 699-1999;加工工艺 ;热处理工艺 ;特殊要求 ;规格标准号 </t>
        </is>
      </c>
      <c r="F500" s="12" t="inlineStr">
        <is>
          <t>千克</t>
        </is>
      </c>
      <c r="G500" s="11">
        <f>LEFT(D500,FIND("|",D500,1)-1)</f>
        <v/>
      </c>
      <c r="H500" s="11">
        <f>MID(D500,FIND("|",D500,FIND("|",D500,1))+1,FIND("|",D500,FIND("|",D500,1)+1)-FIND("|",D500,FIND("|",D500,1))-1)</f>
        <v/>
      </c>
      <c r="J500" s="11">
        <f>MID(D500,FIND(";",SUBSTITUTE(D500,"|",REPT(";",LEN(D500)),2))+1,FIND(";",SUBSTITUTE(D500,"|",REPT(";",LEN(D500)),3))-FIND(";",SUBSTITUTE(D500,"|",REPT(";",LEN(D500)),2))-1)</f>
        <v/>
      </c>
      <c r="M500" s="11">
        <f>MID(D500,FIND(";",SUBSTITUTE(D500,"|",REPT(";",LEN(D500)),3))+1,LEN(D500))</f>
        <v/>
      </c>
    </row>
    <row r="501" ht="126" customHeight="1" s="21">
      <c r="A501" s="13" t="inlineStr">
        <is>
          <t>100201</t>
        </is>
      </c>
      <c r="B501" s="13" t="inlineStr">
        <is>
          <t>圆钢</t>
        </is>
      </c>
      <c r="C501" s="13" t="inlineStr">
        <is>
          <t>600611100</t>
        </is>
      </c>
      <c r="D501" s="13" t="inlineStr">
        <is>
          <t>热轧优质碳素结构圆钢|圆钢|10|GB/T 699-1999|GB/T 702-2008</t>
        </is>
      </c>
      <c r="E501" s="13" t="inlineStr">
        <is>
          <t>物资名称 热轧优质碳素结构圆钢;物资简称 圆钢;牌号 10;直径 Φ;技术标准号 GB/T 699-1999;加工工艺 ;热处理工艺 ;特殊要求 ;规格标准号 GB/T 702-2008</t>
        </is>
      </c>
      <c r="F501" s="12" t="inlineStr">
        <is>
          <t>千克</t>
        </is>
      </c>
      <c r="G501" s="11">
        <f>LEFT(D501,FIND("|",D501,1)-1)</f>
        <v/>
      </c>
      <c r="H501" s="11">
        <f>MID(D501,FIND("|",D501,FIND("|",D501,1))+1,FIND("|",D501,FIND("|",D501,1)+1)-FIND("|",D501,FIND("|",D501,1))-1)</f>
        <v/>
      </c>
      <c r="J501" s="11">
        <f>MID(D501,FIND(";",SUBSTITUTE(D501,"|",REPT(";",LEN(D501)),2))+1,FIND(";",SUBSTITUTE(D501,"|",REPT(";",LEN(D501)),3))-FIND(";",SUBSTITUTE(D501,"|",REPT(";",LEN(D501)),2))-1)</f>
        <v/>
      </c>
      <c r="M501" s="11">
        <f>MID(D501,FIND(";",SUBSTITUTE(D501,"|",REPT(";",LEN(D501)),3))+1,FIND(";",SUBSTITUTE(D501,"|",REPT(";",LEN(D501)),4))-FIND(";",SUBSTITUTE(D501,"|",REPT(";",LEN(D501)),3))-1)</f>
        <v/>
      </c>
      <c r="N501" s="11">
        <f>MID(D501,FIND(";",SUBSTITUTE(D501,"|",REPT(";",LEN(D501)),4))+1,LEN(D501))</f>
        <v/>
      </c>
    </row>
    <row r="502" ht="126" customHeight="1" s="21">
      <c r="A502" s="13" t="inlineStr">
        <is>
          <t>100201</t>
        </is>
      </c>
      <c r="B502" s="13" t="inlineStr">
        <is>
          <t>圆钢</t>
        </is>
      </c>
      <c r="C502" s="13" t="inlineStr">
        <is>
          <t>600611000</t>
        </is>
      </c>
      <c r="D502" s="13" t="inlineStr">
        <is>
          <t>热轧优质碳素结构圆钢|圆钢|10|Φ20|GB/T 699-1999|热轧|GB/T 702-2008</t>
        </is>
      </c>
      <c r="E502" s="13" t="inlineStr">
        <is>
          <t>物资名称 热轧优质碳素结构圆钢;物资简称 圆钢;牌号 10;直径 Φ20;技术标准号 GB/T 699-1999;加工工艺 热轧;热处理工艺 ;特殊要求 ;规格标准号 GB/T 702-2008</t>
        </is>
      </c>
      <c r="F502" s="12" t="inlineStr">
        <is>
          <t>千克</t>
        </is>
      </c>
      <c r="G502" s="11">
        <f>LEFT(D502,FIND("|",D502,1)-1)</f>
        <v/>
      </c>
      <c r="H502" s="11">
        <f>MID(D502,FIND("|",D502,FIND("|",D502,1))+1,FIND("|",D502,FIND("|",D502,1)+1)-FIND("|",D502,FIND("|",D502,1))-1)</f>
        <v/>
      </c>
      <c r="J502" s="11">
        <f>MID(D502,FIND(";",SUBSTITUTE(D502,"|",REPT(";",LEN(D502)),2))+1,FIND(";",SUBSTITUTE(D502,"|",REPT(";",LEN(D502)),3))-FIND(";",SUBSTITUTE(D502,"|",REPT(";",LEN(D502)),2))-1)</f>
        <v/>
      </c>
      <c r="K502" s="11">
        <f>MID(D502,FIND(";",SUBSTITUTE(D502,"|",REPT(";",LEN(D502)),3))+1,FIND(";",SUBSTITUTE(D502,"|",REPT(";",LEN(D502)),4))-FIND(";",SUBSTITUTE(D502,"|",REPT(";",LEN(D502)),3))-1)</f>
        <v/>
      </c>
      <c r="M502" s="11">
        <f>MID(D502,FIND(";",SUBSTITUTE(D502,"|",REPT(";",LEN(D502)),4))+1,FIND(";",SUBSTITUTE(D502,"|",REPT(";",LEN(D502)),5))-FIND(";",SUBSTITUTE(D502,"|",REPT(";",LEN(D502)),4))-1)</f>
        <v/>
      </c>
      <c r="N502" s="11">
        <f>MID(D502,FIND(";",SUBSTITUTE(D502,"|",REPT(";",LEN(D502)),6))+1,LEN(D502))</f>
        <v/>
      </c>
      <c r="O502" s="11">
        <f>MID(D502,FIND(";",SUBSTITUTE(D502,"|",REPT(";",LEN(D502)),5))+1,FIND(";",SUBSTITUTE(D502,"|",REPT(";",LEN(D502)),6))-FIND(";",SUBSTITUTE(D502,"|",REPT(";",LEN(D502)),5))-1)</f>
        <v/>
      </c>
    </row>
    <row r="503" ht="112" customHeight="1" s="21">
      <c r="A503" s="13" t="inlineStr">
        <is>
          <t>100201</t>
        </is>
      </c>
      <c r="B503" s="13" t="inlineStr">
        <is>
          <t>圆钢</t>
        </is>
      </c>
      <c r="C503" s="13" t="inlineStr">
        <is>
          <t>600610900</t>
        </is>
      </c>
      <c r="D503" s="13" t="inlineStr">
        <is>
          <t>优质碳素结构钢棒|钢棒|20|GB/T 699-1999</t>
        </is>
      </c>
      <c r="E503" s="13" t="inlineStr">
        <is>
          <t xml:space="preserve">物资名称 优质碳素结构钢棒;物资简称 钢棒;牌号 20;直径 Φ;技术标准号 GB/T 699-1999;加工工艺 ;热处理工艺 ;特殊要求 ;规格标准号 </t>
        </is>
      </c>
      <c r="F503" s="12" t="inlineStr">
        <is>
          <t>千克</t>
        </is>
      </c>
      <c r="G503" s="11">
        <f>LEFT(D503,FIND("|",D503,1)-1)</f>
        <v/>
      </c>
      <c r="H503" s="11">
        <f>MID(D503,FIND("|",D503,FIND("|",D503,1))+1,FIND("|",D503,FIND("|",D503,1)+1)-FIND("|",D503,FIND("|",D503,1))-1)</f>
        <v/>
      </c>
      <c r="J503" s="11">
        <f>MID(D503,FIND(";",SUBSTITUTE(D503,"|",REPT(";",LEN(D503)),2))+1,FIND(";",SUBSTITUTE(D503,"|",REPT(";",LEN(D503)),3))-FIND(";",SUBSTITUTE(D503,"|",REPT(";",LEN(D503)),2))-1)</f>
        <v/>
      </c>
      <c r="M503" s="11">
        <f>MID(D503,FIND(";",SUBSTITUTE(D503,"|",REPT(";",LEN(D503)),3))+1,LEN(D503))</f>
        <v/>
      </c>
    </row>
    <row r="504" ht="126" customHeight="1" s="21">
      <c r="A504" s="13" t="inlineStr">
        <is>
          <t>100201</t>
        </is>
      </c>
      <c r="B504" s="13" t="inlineStr">
        <is>
          <t>圆钢</t>
        </is>
      </c>
      <c r="C504" s="13" t="inlineStr">
        <is>
          <t>600610800</t>
        </is>
      </c>
      <c r="D504" s="13" t="inlineStr">
        <is>
          <t>热轧优质碳素结构圆钢|圆钢|20|GB/T 699-1999|GB/T 702-2008</t>
        </is>
      </c>
      <c r="E504" s="13" t="inlineStr">
        <is>
          <t>物资名称 热轧优质碳素结构圆钢;物资简称 圆钢;牌号 20;直径 Φ;技术标准号 GB/T 699-1999;加工工艺 ;热处理工艺 ;特殊要求 ;规格标准号 GB/T 702-2008</t>
        </is>
      </c>
      <c r="F504" s="12" t="inlineStr">
        <is>
          <t>千克</t>
        </is>
      </c>
      <c r="G504" s="11">
        <f>LEFT(D504,FIND("|",D504,1)-1)</f>
        <v/>
      </c>
      <c r="H504" s="11">
        <f>MID(D504,FIND("|",D504,FIND("|",D504,1))+1,FIND("|",D504,FIND("|",D504,1)+1)-FIND("|",D504,FIND("|",D504,1))-1)</f>
        <v/>
      </c>
      <c r="J504" s="11">
        <f>MID(D504,FIND(";",SUBSTITUTE(D504,"|",REPT(";",LEN(D504)),2))+1,FIND(";",SUBSTITUTE(D504,"|",REPT(";",LEN(D504)),3))-FIND(";",SUBSTITUTE(D504,"|",REPT(";",LEN(D504)),2))-1)</f>
        <v/>
      </c>
      <c r="M504" s="11">
        <f>MID(D504,FIND(";",SUBSTITUTE(D504,"|",REPT(";",LEN(D504)),3))+1,FIND(";",SUBSTITUTE(D504,"|",REPT(";",LEN(D504)),4))-FIND(";",SUBSTITUTE(D504,"|",REPT(";",LEN(D504)),3))-1)</f>
        <v/>
      </c>
      <c r="N504" s="11">
        <f>MID(D504,FIND(";",SUBSTITUTE(D504,"|",REPT(";",LEN(D504)),4))+1,LEN(D504))</f>
        <v/>
      </c>
    </row>
    <row r="505" ht="126" customHeight="1" s="21">
      <c r="A505" s="13" t="inlineStr">
        <is>
          <t>100201</t>
        </is>
      </c>
      <c r="B505" s="13" t="inlineStr">
        <is>
          <t>圆钢</t>
        </is>
      </c>
      <c r="C505" s="13" t="inlineStr">
        <is>
          <t>600610700</t>
        </is>
      </c>
      <c r="D505" s="13" t="inlineStr">
        <is>
          <t>热轧优质碳素结构圆钢|圆钢|20|Φ6|GB/T 699-1999|热轧|GB/T 702-2008</t>
        </is>
      </c>
      <c r="E505" s="13" t="inlineStr">
        <is>
          <t>物资名称 热轧优质碳素结构圆钢;物资简称 圆钢;牌号 20;直径 Φ6;技术标准号 GB/T 699-1999;加工工艺 热轧;热处理工艺 ;特殊要求 ;规格标准号 GB/T 702-2008</t>
        </is>
      </c>
      <c r="F505" s="12" t="inlineStr">
        <is>
          <t>千克</t>
        </is>
      </c>
      <c r="G505" s="11">
        <f>LEFT(D505,FIND("|",D505,1)-1)</f>
        <v/>
      </c>
      <c r="H505" s="11">
        <f>MID(D505,FIND("|",D505,FIND("|",D505,1))+1,FIND("|",D505,FIND("|",D505,1)+1)-FIND("|",D505,FIND("|",D505,1))-1)</f>
        <v/>
      </c>
      <c r="J505" s="11">
        <f>MID(D505,FIND(";",SUBSTITUTE(D505,"|",REPT(";",LEN(D505)),2))+1,FIND(";",SUBSTITUTE(D505,"|",REPT(";",LEN(D505)),3))-FIND(";",SUBSTITUTE(D505,"|",REPT(";",LEN(D505)),2))-1)</f>
        <v/>
      </c>
      <c r="K505" s="11">
        <f>MID(D505,FIND(";",SUBSTITUTE(D505,"|",REPT(";",LEN(D505)),3))+1,FIND(";",SUBSTITUTE(D505,"|",REPT(";",LEN(D505)),4))-FIND(";",SUBSTITUTE(D505,"|",REPT(";",LEN(D505)),3))-1)</f>
        <v/>
      </c>
      <c r="M505" s="11">
        <f>MID(D505,FIND(";",SUBSTITUTE(D505,"|",REPT(";",LEN(D505)),4))+1,FIND(";",SUBSTITUTE(D505,"|",REPT(";",LEN(D505)),5))-FIND(";",SUBSTITUTE(D505,"|",REPT(";",LEN(D505)),4))-1)</f>
        <v/>
      </c>
      <c r="N505" s="11">
        <f>MID(D505,FIND(";",SUBSTITUTE(D505,"|",REPT(";",LEN(D505)),6))+1,LEN(D505))</f>
        <v/>
      </c>
      <c r="O505" s="11">
        <f>MID(D505,FIND(";",SUBSTITUTE(D505,"|",REPT(";",LEN(D505)),5))+1,FIND(";",SUBSTITUTE(D505,"|",REPT(";",LEN(D505)),6))-FIND(";",SUBSTITUTE(D505,"|",REPT(";",LEN(D505)),5))-1)</f>
        <v/>
      </c>
    </row>
    <row r="506" ht="126" customHeight="1" s="21">
      <c r="A506" s="13" t="inlineStr">
        <is>
          <t>100201</t>
        </is>
      </c>
      <c r="B506" s="13" t="inlineStr">
        <is>
          <t>圆钢</t>
        </is>
      </c>
      <c r="C506" s="13" t="inlineStr">
        <is>
          <t>600610600</t>
        </is>
      </c>
      <c r="D506" s="13" t="inlineStr">
        <is>
          <t>热轧优质碳素结构圆钢|圆钢|20|Φ18|GB/T 699-1999|热轧|GB/T 702-2008</t>
        </is>
      </c>
      <c r="E506" s="13" t="inlineStr">
        <is>
          <t>物资名称 热轧优质碳素结构圆钢;物资简称 圆钢;牌号 20;直径 Φ18;技术标准号 GB/T 699-1999;加工工艺 热轧;热处理工艺 ;特殊要求 ;规格标准号 GB/T 702-2008</t>
        </is>
      </c>
      <c r="F506" s="12" t="inlineStr">
        <is>
          <t>千克</t>
        </is>
      </c>
      <c r="G506" s="11">
        <f>LEFT(D506,FIND("|",D506,1)-1)</f>
        <v/>
      </c>
      <c r="H506" s="11">
        <f>MID(D506,FIND("|",D506,FIND("|",D506,1))+1,FIND("|",D506,FIND("|",D506,1)+1)-FIND("|",D506,FIND("|",D506,1))-1)</f>
        <v/>
      </c>
      <c r="J506" s="11">
        <f>MID(D506,FIND(";",SUBSTITUTE(D506,"|",REPT(";",LEN(D506)),2))+1,FIND(";",SUBSTITUTE(D506,"|",REPT(";",LEN(D506)),3))-FIND(";",SUBSTITUTE(D506,"|",REPT(";",LEN(D506)),2))-1)</f>
        <v/>
      </c>
      <c r="K506" s="11">
        <f>MID(D506,FIND(";",SUBSTITUTE(D506,"|",REPT(";",LEN(D506)),3))+1,FIND(";",SUBSTITUTE(D506,"|",REPT(";",LEN(D506)),4))-FIND(";",SUBSTITUTE(D506,"|",REPT(";",LEN(D506)),3))-1)</f>
        <v/>
      </c>
      <c r="M506" s="11">
        <f>MID(D506,FIND(";",SUBSTITUTE(D506,"|",REPT(";",LEN(D506)),4))+1,FIND(";",SUBSTITUTE(D506,"|",REPT(";",LEN(D506)),5))-FIND(";",SUBSTITUTE(D506,"|",REPT(";",LEN(D506)),4))-1)</f>
        <v/>
      </c>
      <c r="N506" s="11">
        <f>MID(D506,FIND(";",SUBSTITUTE(D506,"|",REPT(";",LEN(D506)),6))+1,LEN(D506))</f>
        <v/>
      </c>
      <c r="O506" s="11">
        <f>MID(D506,FIND(";",SUBSTITUTE(D506,"|",REPT(";",LEN(D506)),5))+1,FIND(";",SUBSTITUTE(D506,"|",REPT(";",LEN(D506)),6))-FIND(";",SUBSTITUTE(D506,"|",REPT(";",LEN(D506)),5))-1)</f>
        <v/>
      </c>
    </row>
    <row r="507" ht="126" customHeight="1" s="21">
      <c r="A507" s="13" t="inlineStr">
        <is>
          <t>100201</t>
        </is>
      </c>
      <c r="B507" s="13" t="inlineStr">
        <is>
          <t>圆钢</t>
        </is>
      </c>
      <c r="C507" s="13" t="inlineStr">
        <is>
          <t>600610500</t>
        </is>
      </c>
      <c r="D507" s="13" t="inlineStr">
        <is>
          <t>热轧优质碳素结构圆钢|圆钢|20|Φ20|GB/T 699-1999|热轧|GB/T 702-2008</t>
        </is>
      </c>
      <c r="E507" s="13" t="inlineStr">
        <is>
          <t>物资名称 热轧优质碳素结构圆钢;物资简称 圆钢;牌号 20;直径 Φ20;技术标准号 GB/T 699-1999;加工工艺 热轧;热处理工艺 ;特殊要求 ;规格标准号 GB/T 702-2008</t>
        </is>
      </c>
      <c r="F507" s="12" t="inlineStr">
        <is>
          <t>千克</t>
        </is>
      </c>
      <c r="G507" s="11">
        <f>LEFT(D507,FIND("|",D507,1)-1)</f>
        <v/>
      </c>
      <c r="H507" s="11">
        <f>MID(D507,FIND("|",D507,FIND("|",D507,1))+1,FIND("|",D507,FIND("|",D507,1)+1)-FIND("|",D507,FIND("|",D507,1))-1)</f>
        <v/>
      </c>
      <c r="J507" s="11">
        <f>MID(D507,FIND(";",SUBSTITUTE(D507,"|",REPT(";",LEN(D507)),2))+1,FIND(";",SUBSTITUTE(D507,"|",REPT(";",LEN(D507)),3))-FIND(";",SUBSTITUTE(D507,"|",REPT(";",LEN(D507)),2))-1)</f>
        <v/>
      </c>
      <c r="K507" s="11">
        <f>MID(D507,FIND(";",SUBSTITUTE(D507,"|",REPT(";",LEN(D507)),3))+1,FIND(";",SUBSTITUTE(D507,"|",REPT(";",LEN(D507)),4))-FIND(";",SUBSTITUTE(D507,"|",REPT(";",LEN(D507)),3))-1)</f>
        <v/>
      </c>
      <c r="M507" s="11">
        <f>MID(D507,FIND(";",SUBSTITUTE(D507,"|",REPT(";",LEN(D507)),4))+1,FIND(";",SUBSTITUTE(D507,"|",REPT(";",LEN(D507)),5))-FIND(";",SUBSTITUTE(D507,"|",REPT(";",LEN(D507)),4))-1)</f>
        <v/>
      </c>
      <c r="N507" s="11">
        <f>MID(D507,FIND(";",SUBSTITUTE(D507,"|",REPT(";",LEN(D507)),6))+1,LEN(D507))</f>
        <v/>
      </c>
      <c r="O507" s="11">
        <f>MID(D507,FIND(";",SUBSTITUTE(D507,"|",REPT(";",LEN(D507)),5))+1,FIND(";",SUBSTITUTE(D507,"|",REPT(";",LEN(D507)),6))-FIND(";",SUBSTITUTE(D507,"|",REPT(";",LEN(D507)),5))-1)</f>
        <v/>
      </c>
    </row>
    <row r="508" ht="126" customHeight="1" s="21">
      <c r="A508" s="13" t="inlineStr">
        <is>
          <t>100201</t>
        </is>
      </c>
      <c r="B508" s="13" t="inlineStr">
        <is>
          <t>圆钢</t>
        </is>
      </c>
      <c r="C508" s="13" t="inlineStr">
        <is>
          <t>600610400</t>
        </is>
      </c>
      <c r="D508" s="13" t="inlineStr">
        <is>
          <t>热轧优质碳素结构圆钢|圆钢|20|Φ26|GB/T 699-1999|热轧|GB/T 702-2008</t>
        </is>
      </c>
      <c r="E508" s="13" t="inlineStr">
        <is>
          <t>物资名称 热轧优质碳素结构圆钢;物资简称 圆钢;牌号 20;直径 Φ26;技术标准号 GB/T 699-1999;加工工艺 热轧;热处理工艺 ;特殊要求 ;规格标准号 GB/T 702-2008</t>
        </is>
      </c>
      <c r="F508" s="12" t="inlineStr">
        <is>
          <t>千克</t>
        </is>
      </c>
      <c r="G508" s="11">
        <f>LEFT(D508,FIND("|",D508,1)-1)</f>
        <v/>
      </c>
      <c r="H508" s="11">
        <f>MID(D508,FIND("|",D508,FIND("|",D508,1))+1,FIND("|",D508,FIND("|",D508,1)+1)-FIND("|",D508,FIND("|",D508,1))-1)</f>
        <v/>
      </c>
      <c r="J508" s="11">
        <f>MID(D508,FIND(";",SUBSTITUTE(D508,"|",REPT(";",LEN(D508)),2))+1,FIND(";",SUBSTITUTE(D508,"|",REPT(";",LEN(D508)),3))-FIND(";",SUBSTITUTE(D508,"|",REPT(";",LEN(D508)),2))-1)</f>
        <v/>
      </c>
      <c r="K508" s="11">
        <f>MID(D508,FIND(";",SUBSTITUTE(D508,"|",REPT(";",LEN(D508)),3))+1,FIND(";",SUBSTITUTE(D508,"|",REPT(";",LEN(D508)),4))-FIND(";",SUBSTITUTE(D508,"|",REPT(";",LEN(D508)),3))-1)</f>
        <v/>
      </c>
      <c r="M508" s="11">
        <f>MID(D508,FIND(";",SUBSTITUTE(D508,"|",REPT(";",LEN(D508)),4))+1,FIND(";",SUBSTITUTE(D508,"|",REPT(";",LEN(D508)),5))-FIND(";",SUBSTITUTE(D508,"|",REPT(";",LEN(D508)),4))-1)</f>
        <v/>
      </c>
      <c r="N508" s="11">
        <f>MID(D508,FIND(";",SUBSTITUTE(D508,"|",REPT(";",LEN(D508)),6))+1,LEN(D508))</f>
        <v/>
      </c>
      <c r="O508" s="11">
        <f>MID(D508,FIND(";",SUBSTITUTE(D508,"|",REPT(";",LEN(D508)),5))+1,FIND(";",SUBSTITUTE(D508,"|",REPT(";",LEN(D508)),6))-FIND(";",SUBSTITUTE(D508,"|",REPT(";",LEN(D508)),5))-1)</f>
        <v/>
      </c>
    </row>
    <row r="509" ht="126" customHeight="1" s="21">
      <c r="A509" s="13" t="inlineStr">
        <is>
          <t>100201</t>
        </is>
      </c>
      <c r="B509" s="13" t="inlineStr">
        <is>
          <t>圆钢</t>
        </is>
      </c>
      <c r="C509" s="13" t="inlineStr">
        <is>
          <t>600610300</t>
        </is>
      </c>
      <c r="D509" s="13" t="inlineStr">
        <is>
          <t>热轧优质碳素结构圆钢|圆钢|20|Φ35|GB/T 699-1999|热轧|GB/T 702-2008</t>
        </is>
      </c>
      <c r="E509" s="13" t="inlineStr">
        <is>
          <t>物资名称 热轧优质碳素结构圆钢;物资简称 圆钢;牌号 20;直径 Φ35;技术标准号 GB/T 699-1999;加工工艺 热轧;热处理工艺 ;特殊要求 ;规格标准号 GB/T 702-2008</t>
        </is>
      </c>
      <c r="F509" s="12" t="inlineStr">
        <is>
          <t>千克</t>
        </is>
      </c>
      <c r="G509" s="11">
        <f>LEFT(D509,FIND("|",D509,1)-1)</f>
        <v/>
      </c>
      <c r="H509" s="11">
        <f>MID(D509,FIND("|",D509,FIND("|",D509,1))+1,FIND("|",D509,FIND("|",D509,1)+1)-FIND("|",D509,FIND("|",D509,1))-1)</f>
        <v/>
      </c>
      <c r="J509" s="11">
        <f>MID(D509,FIND(";",SUBSTITUTE(D509,"|",REPT(";",LEN(D509)),2))+1,FIND(";",SUBSTITUTE(D509,"|",REPT(";",LEN(D509)),3))-FIND(";",SUBSTITUTE(D509,"|",REPT(";",LEN(D509)),2))-1)</f>
        <v/>
      </c>
      <c r="K509" s="11">
        <f>MID(D509,FIND(";",SUBSTITUTE(D509,"|",REPT(";",LEN(D509)),3))+1,FIND(";",SUBSTITUTE(D509,"|",REPT(";",LEN(D509)),4))-FIND(";",SUBSTITUTE(D509,"|",REPT(";",LEN(D509)),3))-1)</f>
        <v/>
      </c>
      <c r="M509" s="11">
        <f>MID(D509,FIND(";",SUBSTITUTE(D509,"|",REPT(";",LEN(D509)),4))+1,FIND(";",SUBSTITUTE(D509,"|",REPT(";",LEN(D509)),5))-FIND(";",SUBSTITUTE(D509,"|",REPT(";",LEN(D509)),4))-1)</f>
        <v/>
      </c>
      <c r="N509" s="11">
        <f>MID(D509,FIND(";",SUBSTITUTE(D509,"|",REPT(";",LEN(D509)),6))+1,LEN(D509))</f>
        <v/>
      </c>
      <c r="O509" s="11">
        <f>MID(D509,FIND(";",SUBSTITUTE(D509,"|",REPT(";",LEN(D509)),5))+1,FIND(";",SUBSTITUTE(D509,"|",REPT(";",LEN(D509)),6))-FIND(";",SUBSTITUTE(D509,"|",REPT(";",LEN(D509)),5))-1)</f>
        <v/>
      </c>
    </row>
    <row r="510" ht="126" customHeight="1" s="21">
      <c r="A510" s="13" t="inlineStr">
        <is>
          <t>100201</t>
        </is>
      </c>
      <c r="B510" s="13" t="inlineStr">
        <is>
          <t>圆钢</t>
        </is>
      </c>
      <c r="C510" s="13" t="inlineStr">
        <is>
          <t>600610200</t>
        </is>
      </c>
      <c r="D510" s="13" t="inlineStr">
        <is>
          <t>热轧优质碳素结构圆钢|圆钢|20|Φ65|GB/T 699-1999|热轧|GB/T 702-2008</t>
        </is>
      </c>
      <c r="E510" s="13" t="inlineStr">
        <is>
          <t>物资名称 热轧优质碳素结构圆钢;物资简称 圆钢;牌号 20;直径 Φ65;技术标准号 GB/T 699-1999;加工工艺 热轧;热处理工艺 ;特殊要求 ;规格标准号 GB/T 702-2008</t>
        </is>
      </c>
      <c r="F510" s="12" t="inlineStr">
        <is>
          <t>千克</t>
        </is>
      </c>
      <c r="G510" s="11">
        <f>LEFT(D510,FIND("|",D510,1)-1)</f>
        <v/>
      </c>
      <c r="H510" s="11">
        <f>MID(D510,FIND("|",D510,FIND("|",D510,1))+1,FIND("|",D510,FIND("|",D510,1)+1)-FIND("|",D510,FIND("|",D510,1))-1)</f>
        <v/>
      </c>
      <c r="J510" s="11">
        <f>MID(D510,FIND(";",SUBSTITUTE(D510,"|",REPT(";",LEN(D510)),2))+1,FIND(";",SUBSTITUTE(D510,"|",REPT(";",LEN(D510)),3))-FIND(";",SUBSTITUTE(D510,"|",REPT(";",LEN(D510)),2))-1)</f>
        <v/>
      </c>
      <c r="K510" s="11">
        <f>MID(D510,FIND(";",SUBSTITUTE(D510,"|",REPT(";",LEN(D510)),3))+1,FIND(";",SUBSTITUTE(D510,"|",REPT(";",LEN(D510)),4))-FIND(";",SUBSTITUTE(D510,"|",REPT(";",LEN(D510)),3))-1)</f>
        <v/>
      </c>
      <c r="M510" s="11">
        <f>MID(D510,FIND(";",SUBSTITUTE(D510,"|",REPT(";",LEN(D510)),4))+1,FIND(";",SUBSTITUTE(D510,"|",REPT(";",LEN(D510)),5))-FIND(";",SUBSTITUTE(D510,"|",REPT(";",LEN(D510)),4))-1)</f>
        <v/>
      </c>
      <c r="N510" s="11">
        <f>MID(D510,FIND(";",SUBSTITUTE(D510,"|",REPT(";",LEN(D510)),6))+1,LEN(D510))</f>
        <v/>
      </c>
      <c r="O510" s="11">
        <f>MID(D510,FIND(";",SUBSTITUTE(D510,"|",REPT(";",LEN(D510)),5))+1,FIND(";",SUBSTITUTE(D510,"|",REPT(";",LEN(D510)),6))-FIND(";",SUBSTITUTE(D510,"|",REPT(";",LEN(D510)),5))-1)</f>
        <v/>
      </c>
    </row>
    <row r="511" ht="126" customHeight="1" s="21">
      <c r="A511" s="13" t="inlineStr">
        <is>
          <t>100201</t>
        </is>
      </c>
      <c r="B511" s="13" t="inlineStr">
        <is>
          <t>圆钢</t>
        </is>
      </c>
      <c r="C511" s="13" t="inlineStr">
        <is>
          <t>600610100</t>
        </is>
      </c>
      <c r="D511" s="13" t="inlineStr">
        <is>
          <t>热轧优质碳素结构圆钢|圆钢|20|Φ80|GB/T 699-1999|热轧|GB/T 702-2008</t>
        </is>
      </c>
      <c r="E511" s="13" t="inlineStr">
        <is>
          <t>物资名称 热轧优质碳素结构圆钢;物资简称 圆钢;牌号 20;直径 Φ80;技术标准号 GB/T 699-1999;加工工艺 热轧;热处理工艺 ;特殊要求 ;规格标准号 GB/T 702-2008</t>
        </is>
      </c>
      <c r="F511" s="12" t="inlineStr">
        <is>
          <t>千克</t>
        </is>
      </c>
      <c r="G511" s="11">
        <f>LEFT(D511,FIND("|",D511,1)-1)</f>
        <v/>
      </c>
      <c r="H511" s="11">
        <f>MID(D511,FIND("|",D511,FIND("|",D511,1))+1,FIND("|",D511,FIND("|",D511,1)+1)-FIND("|",D511,FIND("|",D511,1))-1)</f>
        <v/>
      </c>
      <c r="J511" s="11">
        <f>MID(D511,FIND(";",SUBSTITUTE(D511,"|",REPT(";",LEN(D511)),2))+1,FIND(";",SUBSTITUTE(D511,"|",REPT(";",LEN(D511)),3))-FIND(";",SUBSTITUTE(D511,"|",REPT(";",LEN(D511)),2))-1)</f>
        <v/>
      </c>
      <c r="K511" s="11">
        <f>MID(D511,FIND(";",SUBSTITUTE(D511,"|",REPT(";",LEN(D511)),3))+1,FIND(";",SUBSTITUTE(D511,"|",REPT(";",LEN(D511)),4))-FIND(";",SUBSTITUTE(D511,"|",REPT(";",LEN(D511)),3))-1)</f>
        <v/>
      </c>
      <c r="M511" s="11">
        <f>MID(D511,FIND(";",SUBSTITUTE(D511,"|",REPT(";",LEN(D511)),4))+1,FIND(";",SUBSTITUTE(D511,"|",REPT(";",LEN(D511)),5))-FIND(";",SUBSTITUTE(D511,"|",REPT(";",LEN(D511)),4))-1)</f>
        <v/>
      </c>
      <c r="N511" s="11">
        <f>MID(D511,FIND(";",SUBSTITUTE(D511,"|",REPT(";",LEN(D511)),6))+1,LEN(D511))</f>
        <v/>
      </c>
      <c r="O511" s="11">
        <f>MID(D511,FIND(";",SUBSTITUTE(D511,"|",REPT(";",LEN(D511)),5))+1,FIND(";",SUBSTITUTE(D511,"|",REPT(";",LEN(D511)),6))-FIND(";",SUBSTITUTE(D511,"|",REPT(";",LEN(D511)),5))-1)</f>
        <v/>
      </c>
    </row>
    <row r="512" ht="126" customHeight="1" s="21">
      <c r="A512" s="13" t="inlineStr">
        <is>
          <t>100201</t>
        </is>
      </c>
      <c r="B512" s="13" t="inlineStr">
        <is>
          <t>圆钢</t>
        </is>
      </c>
      <c r="C512" s="13" t="inlineStr">
        <is>
          <t>600610000</t>
        </is>
      </c>
      <c r="D512" s="13" t="inlineStr">
        <is>
          <t>热轧优质碳素结构圆钢|圆钢|20|Φ85|GB/T 699-1999|热轧|GB/T 702-2008</t>
        </is>
      </c>
      <c r="E512" s="13" t="inlineStr">
        <is>
          <t>物资名称 热轧优质碳素结构圆钢;物资简称 圆钢;牌号 20;直径 Φ85;技术标准号 GB/T 699-1999;加工工艺 热轧;热处理工艺 ;特殊要求 ;规格标准号 GB/T 702-2008</t>
        </is>
      </c>
      <c r="F512" s="12" t="inlineStr">
        <is>
          <t>千克</t>
        </is>
      </c>
      <c r="G512" s="11">
        <f>LEFT(D512,FIND("|",D512,1)-1)</f>
        <v/>
      </c>
      <c r="H512" s="11">
        <f>MID(D512,FIND("|",D512,FIND("|",D512,1))+1,FIND("|",D512,FIND("|",D512,1)+1)-FIND("|",D512,FIND("|",D512,1))-1)</f>
        <v/>
      </c>
      <c r="J512" s="11">
        <f>MID(D512,FIND(";",SUBSTITUTE(D512,"|",REPT(";",LEN(D512)),2))+1,FIND(";",SUBSTITUTE(D512,"|",REPT(";",LEN(D512)),3))-FIND(";",SUBSTITUTE(D512,"|",REPT(";",LEN(D512)),2))-1)</f>
        <v/>
      </c>
      <c r="K512" s="11">
        <f>MID(D512,FIND(";",SUBSTITUTE(D512,"|",REPT(";",LEN(D512)),3))+1,FIND(";",SUBSTITUTE(D512,"|",REPT(";",LEN(D512)),4))-FIND(";",SUBSTITUTE(D512,"|",REPT(";",LEN(D512)),3))-1)</f>
        <v/>
      </c>
      <c r="M512" s="11">
        <f>MID(D512,FIND(";",SUBSTITUTE(D512,"|",REPT(";",LEN(D512)),4))+1,FIND(";",SUBSTITUTE(D512,"|",REPT(";",LEN(D512)),5))-FIND(";",SUBSTITUTE(D512,"|",REPT(";",LEN(D512)),4))-1)</f>
        <v/>
      </c>
      <c r="N512" s="11">
        <f>MID(D512,FIND(";",SUBSTITUTE(D512,"|",REPT(";",LEN(D512)),6))+1,LEN(D512))</f>
        <v/>
      </c>
      <c r="O512" s="11">
        <f>MID(D512,FIND(";",SUBSTITUTE(D512,"|",REPT(";",LEN(D512)),5))+1,FIND(";",SUBSTITUTE(D512,"|",REPT(";",LEN(D512)),6))-FIND(";",SUBSTITUTE(D512,"|",REPT(";",LEN(D512)),5))-1)</f>
        <v/>
      </c>
    </row>
    <row r="513" ht="126" customHeight="1" s="21">
      <c r="A513" s="13" t="inlineStr">
        <is>
          <t>100201</t>
        </is>
      </c>
      <c r="B513" s="13" t="inlineStr">
        <is>
          <t>圆钢</t>
        </is>
      </c>
      <c r="C513" s="13" t="inlineStr">
        <is>
          <t>600609900</t>
        </is>
      </c>
      <c r="D513" s="13" t="inlineStr">
        <is>
          <t>冷拉优质碳素结构圆钢|圆钢|45|GB/T 3078-2008|GB/T 905-1994</t>
        </is>
      </c>
      <c r="E513" s="13" t="inlineStr">
        <is>
          <t>物资名称 冷拉优质碳素结构圆钢;物资简称 圆钢;牌号 45;直径 Φ;技术标准号 GB/T 3078-2008;加工工艺 ;热处理工艺 ;特殊要求 ;规格标准号 GB/T 905-1994</t>
        </is>
      </c>
      <c r="F513" s="12" t="inlineStr">
        <is>
          <t>千克</t>
        </is>
      </c>
      <c r="G513" s="11">
        <f>LEFT(D513,FIND("|",D513,1)-1)</f>
        <v/>
      </c>
      <c r="H513" s="11">
        <f>MID(D513,FIND("|",D513,FIND("|",D513,1))+1,FIND("|",D513,FIND("|",D513,1)+1)-FIND("|",D513,FIND("|",D513,1))-1)</f>
        <v/>
      </c>
      <c r="J513" s="11">
        <f>MID(D513,FIND(";",SUBSTITUTE(D513,"|",REPT(";",LEN(D513)),2))+1,FIND(";",SUBSTITUTE(D513,"|",REPT(";",LEN(D513)),3))-FIND(";",SUBSTITUTE(D513,"|",REPT(";",LEN(D513)),2))-1)</f>
        <v/>
      </c>
      <c r="M513" s="11">
        <f>MID(D513,FIND(";",SUBSTITUTE(D513,"|",REPT(";",LEN(D513)),3))+1,FIND(";",SUBSTITUTE(D513,"|",REPT(";",LEN(D513)),4))-FIND(";",SUBSTITUTE(D513,"|",REPT(";",LEN(D513)),3))-1)</f>
        <v/>
      </c>
      <c r="N513" s="11">
        <f>MID(D513,FIND(";",SUBSTITUTE(D513,"|",REPT(";",LEN(D513)),4))+1,LEN(D513))</f>
        <v/>
      </c>
    </row>
    <row r="514" ht="126" customHeight="1" s="21">
      <c r="A514" s="13" t="inlineStr">
        <is>
          <t>100201</t>
        </is>
      </c>
      <c r="B514" s="13" t="inlineStr">
        <is>
          <t>圆钢</t>
        </is>
      </c>
      <c r="C514" s="13" t="inlineStr">
        <is>
          <t>600609800</t>
        </is>
      </c>
      <c r="D514" s="13" t="inlineStr">
        <is>
          <t>冷拉优质碳素结构圆钢|圆钢|45|Φ12|GB/T 3078-2008|冷拉|GB/T 905-1994</t>
        </is>
      </c>
      <c r="E514" s="13" t="inlineStr">
        <is>
          <t>物资名称 冷拉优质碳素结构圆钢;物资简称 圆钢;牌号 45;直径 Φ12;技术标准号 GB/T 3078-2008;加工工艺 冷拉;热处理工艺 ;特殊要求 ;规格标准号 GB/T 905-1994</t>
        </is>
      </c>
      <c r="F514" s="12" t="inlineStr">
        <is>
          <t>千克</t>
        </is>
      </c>
      <c r="G514" s="11">
        <f>LEFT(D514,FIND("|",D514,1)-1)</f>
        <v/>
      </c>
      <c r="H514" s="11">
        <f>MID(D514,FIND("|",D514,FIND("|",D514,1))+1,FIND("|",D514,FIND("|",D514,1)+1)-FIND("|",D514,FIND("|",D514,1))-1)</f>
        <v/>
      </c>
      <c r="J514" s="11">
        <f>MID(D514,FIND(";",SUBSTITUTE(D514,"|",REPT(";",LEN(D514)),2))+1,FIND(";",SUBSTITUTE(D514,"|",REPT(";",LEN(D514)),3))-FIND(";",SUBSTITUTE(D514,"|",REPT(";",LEN(D514)),2))-1)</f>
        <v/>
      </c>
      <c r="K514" s="11">
        <f>MID(D514,FIND(";",SUBSTITUTE(D514,"|",REPT(";",LEN(D514)),3))+1,FIND(";",SUBSTITUTE(D514,"|",REPT(";",LEN(D514)),4))-FIND(";",SUBSTITUTE(D514,"|",REPT(";",LEN(D514)),3))-1)</f>
        <v/>
      </c>
      <c r="M514" s="11">
        <f>MID(D514,FIND(";",SUBSTITUTE(D514,"|",REPT(";",LEN(D514)),4))+1,FIND(";",SUBSTITUTE(D514,"|",REPT(";",LEN(D514)),5))-FIND(";",SUBSTITUTE(D514,"|",REPT(";",LEN(D514)),4))-1)</f>
        <v/>
      </c>
      <c r="N514" s="11">
        <f>MID(D514,FIND(";",SUBSTITUTE(D514,"|",REPT(";",LEN(D514)),6))+1,LEN(D514))</f>
        <v/>
      </c>
      <c r="O514" s="11">
        <f>MID(D514,FIND(";",SUBSTITUTE(D514,"|",REPT(";",LEN(D514)),5))+1,FIND(";",SUBSTITUTE(D514,"|",REPT(";",LEN(D514)),6))-FIND(";",SUBSTITUTE(D514,"|",REPT(";",LEN(D514)),5))-1)</f>
        <v/>
      </c>
    </row>
    <row r="515" ht="126" customHeight="1" s="21">
      <c r="A515" s="13" t="inlineStr">
        <is>
          <t>100201</t>
        </is>
      </c>
      <c r="B515" s="13" t="inlineStr">
        <is>
          <t>圆钢</t>
        </is>
      </c>
      <c r="C515" s="13" t="inlineStr">
        <is>
          <t>600609700</t>
        </is>
      </c>
      <c r="D515" s="13" t="inlineStr">
        <is>
          <t>冷拉优质碳素结构圆钢|圆钢|45|Φ13|GB/T 3078-2008|冷拉|GB/T 905-1994</t>
        </is>
      </c>
      <c r="E515" s="13" t="inlineStr">
        <is>
          <t>物资名称 冷拉优质碳素结构圆钢;物资简称 圆钢;牌号 45;直径 Φ13;技术标准号 GB/T 3078-2008;加工工艺 冷拉;热处理工艺 ;特殊要求 ;规格标准号 GB/T 905-1994</t>
        </is>
      </c>
      <c r="F515" s="12" t="inlineStr">
        <is>
          <t>千克</t>
        </is>
      </c>
      <c r="G515" s="11">
        <f>LEFT(D515,FIND("|",D515,1)-1)</f>
        <v/>
      </c>
      <c r="H515" s="11">
        <f>MID(D515,FIND("|",D515,FIND("|",D515,1))+1,FIND("|",D515,FIND("|",D515,1)+1)-FIND("|",D515,FIND("|",D515,1))-1)</f>
        <v/>
      </c>
      <c r="J515" s="11">
        <f>MID(D515,FIND(";",SUBSTITUTE(D515,"|",REPT(";",LEN(D515)),2))+1,FIND(";",SUBSTITUTE(D515,"|",REPT(";",LEN(D515)),3))-FIND(";",SUBSTITUTE(D515,"|",REPT(";",LEN(D515)),2))-1)</f>
        <v/>
      </c>
      <c r="K515" s="11">
        <f>MID(D515,FIND(";",SUBSTITUTE(D515,"|",REPT(";",LEN(D515)),3))+1,FIND(";",SUBSTITUTE(D515,"|",REPT(";",LEN(D515)),4))-FIND(";",SUBSTITUTE(D515,"|",REPT(";",LEN(D515)),3))-1)</f>
        <v/>
      </c>
      <c r="M515" s="11">
        <f>MID(D515,FIND(";",SUBSTITUTE(D515,"|",REPT(";",LEN(D515)),4))+1,FIND(";",SUBSTITUTE(D515,"|",REPT(";",LEN(D515)),5))-FIND(";",SUBSTITUTE(D515,"|",REPT(";",LEN(D515)),4))-1)</f>
        <v/>
      </c>
      <c r="N515" s="11">
        <f>MID(D515,FIND(";",SUBSTITUTE(D515,"|",REPT(";",LEN(D515)),6))+1,LEN(D515))</f>
        <v/>
      </c>
      <c r="O515" s="11">
        <f>MID(D515,FIND(";",SUBSTITUTE(D515,"|",REPT(";",LEN(D515)),5))+1,FIND(";",SUBSTITUTE(D515,"|",REPT(";",LEN(D515)),6))-FIND(";",SUBSTITUTE(D515,"|",REPT(";",LEN(D515)),5))-1)</f>
        <v/>
      </c>
    </row>
    <row r="516" ht="126" customHeight="1" s="21">
      <c r="A516" s="13" t="inlineStr">
        <is>
          <t>100201</t>
        </is>
      </c>
      <c r="B516" s="13" t="inlineStr">
        <is>
          <t>圆钢</t>
        </is>
      </c>
      <c r="C516" s="13" t="inlineStr">
        <is>
          <t>600609600</t>
        </is>
      </c>
      <c r="D516" s="13" t="inlineStr">
        <is>
          <t>冷拉优质碳素结构圆钢|圆钢|45|Φ16|GB/T 3078-2008|冷拉|GB/T 905-1994</t>
        </is>
      </c>
      <c r="E516" s="13" t="inlineStr">
        <is>
          <t>物资名称 冷拉优质碳素结构圆钢;物资简称 圆钢;牌号 45;直径 Φ16;技术标准号 GB/T 3078-2008;加工工艺 冷拉;热处理工艺 ;特殊要求 ;规格标准号 GB/T 905-1994</t>
        </is>
      </c>
      <c r="F516" s="12" t="inlineStr">
        <is>
          <t>千克</t>
        </is>
      </c>
      <c r="G516" s="11">
        <f>LEFT(D516,FIND("|",D516,1)-1)</f>
        <v/>
      </c>
      <c r="H516" s="11">
        <f>MID(D516,FIND("|",D516,FIND("|",D516,1))+1,FIND("|",D516,FIND("|",D516,1)+1)-FIND("|",D516,FIND("|",D516,1))-1)</f>
        <v/>
      </c>
      <c r="J516" s="11">
        <f>MID(D516,FIND(";",SUBSTITUTE(D516,"|",REPT(";",LEN(D516)),2))+1,FIND(";",SUBSTITUTE(D516,"|",REPT(";",LEN(D516)),3))-FIND(";",SUBSTITUTE(D516,"|",REPT(";",LEN(D516)),2))-1)</f>
        <v/>
      </c>
      <c r="K516" s="11">
        <f>MID(D516,FIND(";",SUBSTITUTE(D516,"|",REPT(";",LEN(D516)),3))+1,FIND(";",SUBSTITUTE(D516,"|",REPT(";",LEN(D516)),4))-FIND(";",SUBSTITUTE(D516,"|",REPT(";",LEN(D516)),3))-1)</f>
        <v/>
      </c>
      <c r="M516" s="11">
        <f>MID(D516,FIND(";",SUBSTITUTE(D516,"|",REPT(";",LEN(D516)),4))+1,FIND(";",SUBSTITUTE(D516,"|",REPT(";",LEN(D516)),5))-FIND(";",SUBSTITUTE(D516,"|",REPT(";",LEN(D516)),4))-1)</f>
        <v/>
      </c>
      <c r="N516" s="11">
        <f>MID(D516,FIND(";",SUBSTITUTE(D516,"|",REPT(";",LEN(D516)),6))+1,LEN(D516))</f>
        <v/>
      </c>
      <c r="O516" s="11">
        <f>MID(D516,FIND(";",SUBSTITUTE(D516,"|",REPT(";",LEN(D516)),5))+1,FIND(";",SUBSTITUTE(D516,"|",REPT(";",LEN(D516)),6))-FIND(";",SUBSTITUTE(D516,"|",REPT(";",LEN(D516)),5))-1)</f>
        <v/>
      </c>
    </row>
    <row r="517" ht="126" customHeight="1" s="21">
      <c r="A517" s="13" t="inlineStr">
        <is>
          <t>100201</t>
        </is>
      </c>
      <c r="B517" s="13" t="inlineStr">
        <is>
          <t>圆钢</t>
        </is>
      </c>
      <c r="C517" s="13" t="inlineStr">
        <is>
          <t>600609500</t>
        </is>
      </c>
      <c r="D517" s="13" t="inlineStr">
        <is>
          <t>冷拉优质碳素结构圆钢|圆钢|45|Φ20|GB/T 3078-2008|冷拉|GB/T 905-1994</t>
        </is>
      </c>
      <c r="E517" s="13" t="inlineStr">
        <is>
          <t>物资名称 冷拉优质碳素结构圆钢;物资简称 圆钢;牌号 45;直径 Φ20;技术标准号 GB/T 3078-2008;加工工艺 冷拉;热处理工艺 ;特殊要求 ;规格标准号 GB/T 905-1994</t>
        </is>
      </c>
      <c r="F517" s="12" t="inlineStr">
        <is>
          <t>千克</t>
        </is>
      </c>
      <c r="G517" s="11">
        <f>LEFT(D517,FIND("|",D517,1)-1)</f>
        <v/>
      </c>
      <c r="H517" s="11">
        <f>MID(D517,FIND("|",D517,FIND("|",D517,1))+1,FIND("|",D517,FIND("|",D517,1)+1)-FIND("|",D517,FIND("|",D517,1))-1)</f>
        <v/>
      </c>
      <c r="J517" s="11">
        <f>MID(D517,FIND(";",SUBSTITUTE(D517,"|",REPT(";",LEN(D517)),2))+1,FIND(";",SUBSTITUTE(D517,"|",REPT(";",LEN(D517)),3))-FIND(";",SUBSTITUTE(D517,"|",REPT(";",LEN(D517)),2))-1)</f>
        <v/>
      </c>
      <c r="K517" s="11">
        <f>MID(D517,FIND(";",SUBSTITUTE(D517,"|",REPT(";",LEN(D517)),3))+1,FIND(";",SUBSTITUTE(D517,"|",REPT(";",LEN(D517)),4))-FIND(";",SUBSTITUTE(D517,"|",REPT(";",LEN(D517)),3))-1)</f>
        <v/>
      </c>
      <c r="M517" s="11">
        <f>MID(D517,FIND(";",SUBSTITUTE(D517,"|",REPT(";",LEN(D517)),4))+1,FIND(";",SUBSTITUTE(D517,"|",REPT(";",LEN(D517)),5))-FIND(";",SUBSTITUTE(D517,"|",REPT(";",LEN(D517)),4))-1)</f>
        <v/>
      </c>
      <c r="N517" s="11">
        <f>MID(D517,FIND(";",SUBSTITUTE(D517,"|",REPT(";",LEN(D517)),6))+1,LEN(D517))</f>
        <v/>
      </c>
      <c r="O517" s="11">
        <f>MID(D517,FIND(";",SUBSTITUTE(D517,"|",REPT(";",LEN(D517)),5))+1,FIND(";",SUBSTITUTE(D517,"|",REPT(";",LEN(D517)),6))-FIND(";",SUBSTITUTE(D517,"|",REPT(";",LEN(D517)),5))-1)</f>
        <v/>
      </c>
    </row>
    <row r="518" ht="126" customHeight="1" s="21">
      <c r="A518" s="13" t="inlineStr">
        <is>
          <t>100201</t>
        </is>
      </c>
      <c r="B518" s="13" t="inlineStr">
        <is>
          <t>圆钢</t>
        </is>
      </c>
      <c r="C518" s="13" t="inlineStr">
        <is>
          <t>600609400</t>
        </is>
      </c>
      <c r="D518" s="13" t="inlineStr">
        <is>
          <t>冷拉优质碳素结构圆钢|圆钢|45|Φ26|GB/T 3078-2008|冷拉|GB/T 905-1994</t>
        </is>
      </c>
      <c r="E518" s="13" t="inlineStr">
        <is>
          <t>物资名称 冷拉优质碳素结构圆钢;物资简称 圆钢;牌号 45;直径 Φ26;技术标准号 GB/T 3078-2008;加工工艺 冷拉;热处理工艺 ;特殊要求 ;规格标准号 GB/T 905-1994</t>
        </is>
      </c>
      <c r="F518" s="12" t="inlineStr">
        <is>
          <t>千克</t>
        </is>
      </c>
      <c r="G518" s="11">
        <f>LEFT(D518,FIND("|",D518,1)-1)</f>
        <v/>
      </c>
      <c r="H518" s="11">
        <f>MID(D518,FIND("|",D518,FIND("|",D518,1))+1,FIND("|",D518,FIND("|",D518,1)+1)-FIND("|",D518,FIND("|",D518,1))-1)</f>
        <v/>
      </c>
      <c r="J518" s="11">
        <f>MID(D518,FIND(";",SUBSTITUTE(D518,"|",REPT(";",LEN(D518)),2))+1,FIND(";",SUBSTITUTE(D518,"|",REPT(";",LEN(D518)),3))-FIND(";",SUBSTITUTE(D518,"|",REPT(";",LEN(D518)),2))-1)</f>
        <v/>
      </c>
      <c r="K518" s="11">
        <f>MID(D518,FIND(";",SUBSTITUTE(D518,"|",REPT(";",LEN(D518)),3))+1,FIND(";",SUBSTITUTE(D518,"|",REPT(";",LEN(D518)),4))-FIND(";",SUBSTITUTE(D518,"|",REPT(";",LEN(D518)),3))-1)</f>
        <v/>
      </c>
      <c r="M518" s="11">
        <f>MID(D518,FIND(";",SUBSTITUTE(D518,"|",REPT(";",LEN(D518)),4))+1,FIND(";",SUBSTITUTE(D518,"|",REPT(";",LEN(D518)),5))-FIND(";",SUBSTITUTE(D518,"|",REPT(";",LEN(D518)),4))-1)</f>
        <v/>
      </c>
      <c r="N518" s="11">
        <f>MID(D518,FIND(";",SUBSTITUTE(D518,"|",REPT(";",LEN(D518)),6))+1,LEN(D518))</f>
        <v/>
      </c>
      <c r="O518" s="11">
        <f>MID(D518,FIND(";",SUBSTITUTE(D518,"|",REPT(";",LEN(D518)),5))+1,FIND(";",SUBSTITUTE(D518,"|",REPT(";",LEN(D518)),6))-FIND(";",SUBSTITUTE(D518,"|",REPT(";",LEN(D518)),5))-1)</f>
        <v/>
      </c>
    </row>
    <row r="519" ht="112" customHeight="1" s="21">
      <c r="A519" s="13" t="inlineStr">
        <is>
          <t>100201</t>
        </is>
      </c>
      <c r="B519" s="13" t="inlineStr">
        <is>
          <t>圆钢</t>
        </is>
      </c>
      <c r="C519" s="13" t="inlineStr">
        <is>
          <t>600609300</t>
        </is>
      </c>
      <c r="D519" s="13" t="inlineStr">
        <is>
          <t>优质碳素结构钢棒|钢棒|45|GB/T 699-1999</t>
        </is>
      </c>
      <c r="E519" s="13" t="inlineStr">
        <is>
          <t xml:space="preserve">物资名称 优质碳素结构钢棒;物资简称 钢棒;牌号 45;直径 Φ;技术标准号 GB/T 699-1999;加工工艺 ;热处理工艺 ;特殊要求 ;规格标准号 </t>
        </is>
      </c>
      <c r="F519" s="12" t="inlineStr">
        <is>
          <t>千克</t>
        </is>
      </c>
      <c r="G519" s="11">
        <f>LEFT(D519,FIND("|",D519,1)-1)</f>
        <v/>
      </c>
      <c r="H519" s="11">
        <f>MID(D519,FIND("|",D519,FIND("|",D519,1))+1,FIND("|",D519,FIND("|",D519,1)+1)-FIND("|",D519,FIND("|",D519,1))-1)</f>
        <v/>
      </c>
      <c r="J519" s="11">
        <f>MID(D519,FIND(";",SUBSTITUTE(D519,"|",REPT(";",LEN(D519)),2))+1,FIND(";",SUBSTITUTE(D519,"|",REPT(";",LEN(D519)),3))-FIND(";",SUBSTITUTE(D519,"|",REPT(";",LEN(D519)),2))-1)</f>
        <v/>
      </c>
      <c r="M519" s="11">
        <f>MID(D519,FIND(";",SUBSTITUTE(D519,"|",REPT(";",LEN(D519)),3))+1,LEN(D519))</f>
        <v/>
      </c>
    </row>
    <row r="520" ht="126" customHeight="1" s="21">
      <c r="A520" s="13" t="inlineStr">
        <is>
          <t>100201</t>
        </is>
      </c>
      <c r="B520" s="13" t="inlineStr">
        <is>
          <t>圆钢</t>
        </is>
      </c>
      <c r="C520" s="13" t="inlineStr">
        <is>
          <t>600609200</t>
        </is>
      </c>
      <c r="D520" s="13" t="inlineStr">
        <is>
          <t>热轧优质碳素结构圆钢|圆钢|45|Φ8|GB/T 699-1999|热轧|GB/T 702-2008</t>
        </is>
      </c>
      <c r="E520" s="13" t="inlineStr">
        <is>
          <t>物资名称 热轧优质碳素结构圆钢;物资简称 圆钢;牌号 45;直径 Φ8;技术标准号 GB/T 699-1999;加工工艺 热轧;热处理工艺 ;特殊要求 ;规格标准号 GB/T 702-2008</t>
        </is>
      </c>
      <c r="F520" s="12" t="inlineStr">
        <is>
          <t>千克</t>
        </is>
      </c>
      <c r="G520" s="11">
        <f>LEFT(D520,FIND("|",D520,1)-1)</f>
        <v/>
      </c>
      <c r="H520" s="11">
        <f>MID(D520,FIND("|",D520,FIND("|",D520,1))+1,FIND("|",D520,FIND("|",D520,1)+1)-FIND("|",D520,FIND("|",D520,1))-1)</f>
        <v/>
      </c>
      <c r="J520" s="11">
        <f>MID(D520,FIND(";",SUBSTITUTE(D520,"|",REPT(";",LEN(D520)),2))+1,FIND(";",SUBSTITUTE(D520,"|",REPT(";",LEN(D520)),3))-FIND(";",SUBSTITUTE(D520,"|",REPT(";",LEN(D520)),2))-1)</f>
        <v/>
      </c>
      <c r="K520" s="11">
        <f>MID(D520,FIND(";",SUBSTITUTE(D520,"|",REPT(";",LEN(D520)),3))+1,FIND(";",SUBSTITUTE(D520,"|",REPT(";",LEN(D520)),4))-FIND(";",SUBSTITUTE(D520,"|",REPT(";",LEN(D520)),3))-1)</f>
        <v/>
      </c>
      <c r="M520" s="11">
        <f>MID(D520,FIND(";",SUBSTITUTE(D520,"|",REPT(";",LEN(D520)),4))+1,FIND(";",SUBSTITUTE(D520,"|",REPT(";",LEN(D520)),5))-FIND(";",SUBSTITUTE(D520,"|",REPT(";",LEN(D520)),4))-1)</f>
        <v/>
      </c>
      <c r="N520" s="11">
        <f>MID(D520,FIND(";",SUBSTITUTE(D520,"|",REPT(";",LEN(D520)),6))+1,LEN(D520))</f>
        <v/>
      </c>
      <c r="O520" s="11">
        <f>MID(D520,FIND(";",SUBSTITUTE(D520,"|",REPT(";",LEN(D520)),5))+1,FIND(";",SUBSTITUTE(D520,"|",REPT(";",LEN(D520)),6))-FIND(";",SUBSTITUTE(D520,"|",REPT(";",LEN(D520)),5))-1)</f>
        <v/>
      </c>
    </row>
    <row r="521" ht="126" customHeight="1" s="21">
      <c r="A521" s="13" t="inlineStr">
        <is>
          <t>100201</t>
        </is>
      </c>
      <c r="B521" s="13" t="inlineStr">
        <is>
          <t>圆钢</t>
        </is>
      </c>
      <c r="C521" s="13" t="inlineStr">
        <is>
          <t>600609100</t>
        </is>
      </c>
      <c r="D521" s="13" t="inlineStr">
        <is>
          <t>热轧优质碳素结构圆钢|圆钢|45|Φ10|GB/T 699-1999|热轧|GB/T 702-2008</t>
        </is>
      </c>
      <c r="E521" s="13" t="inlineStr">
        <is>
          <t>物资名称 热轧优质碳素结构圆钢;物资简称 圆钢;牌号 45;直径 Φ10;技术标准号 GB/T 699-1999;加工工艺 热轧;热处理工艺 ;特殊要求 ;规格标准号 GB/T 702-2008</t>
        </is>
      </c>
      <c r="F521" s="12" t="inlineStr">
        <is>
          <t>千克</t>
        </is>
      </c>
      <c r="G521" s="11">
        <f>LEFT(D521,FIND("|",D521,1)-1)</f>
        <v/>
      </c>
      <c r="H521" s="11">
        <f>MID(D521,FIND("|",D521,FIND("|",D521,1))+1,FIND("|",D521,FIND("|",D521,1)+1)-FIND("|",D521,FIND("|",D521,1))-1)</f>
        <v/>
      </c>
      <c r="J521" s="11">
        <f>MID(D521,FIND(";",SUBSTITUTE(D521,"|",REPT(";",LEN(D521)),2))+1,FIND(";",SUBSTITUTE(D521,"|",REPT(";",LEN(D521)),3))-FIND(";",SUBSTITUTE(D521,"|",REPT(";",LEN(D521)),2))-1)</f>
        <v/>
      </c>
      <c r="K521" s="11">
        <f>MID(D521,FIND(";",SUBSTITUTE(D521,"|",REPT(";",LEN(D521)),3))+1,FIND(";",SUBSTITUTE(D521,"|",REPT(";",LEN(D521)),4))-FIND(";",SUBSTITUTE(D521,"|",REPT(";",LEN(D521)),3))-1)</f>
        <v/>
      </c>
      <c r="M521" s="11">
        <f>MID(D521,FIND(";",SUBSTITUTE(D521,"|",REPT(";",LEN(D521)),4))+1,FIND(";",SUBSTITUTE(D521,"|",REPT(";",LEN(D521)),5))-FIND(";",SUBSTITUTE(D521,"|",REPT(";",LEN(D521)),4))-1)</f>
        <v/>
      </c>
      <c r="N521" s="11">
        <f>MID(D521,FIND(";",SUBSTITUTE(D521,"|",REPT(";",LEN(D521)),6))+1,LEN(D521))</f>
        <v/>
      </c>
      <c r="O521" s="11">
        <f>MID(D521,FIND(";",SUBSTITUTE(D521,"|",REPT(";",LEN(D521)),5))+1,FIND(";",SUBSTITUTE(D521,"|",REPT(";",LEN(D521)),6))-FIND(";",SUBSTITUTE(D521,"|",REPT(";",LEN(D521)),5))-1)</f>
        <v/>
      </c>
    </row>
    <row r="522" ht="126" customHeight="1" s="21">
      <c r="A522" s="13" t="inlineStr">
        <is>
          <t>100201</t>
        </is>
      </c>
      <c r="B522" s="13" t="inlineStr">
        <is>
          <t>圆钢</t>
        </is>
      </c>
      <c r="C522" s="13" t="inlineStr">
        <is>
          <t>600609000</t>
        </is>
      </c>
      <c r="D522" s="13" t="inlineStr">
        <is>
          <t>热轧优质碳素结构圆钢|圆钢|45|Φ12|GB/T 699-1999|热轧|GB/T 702-2008</t>
        </is>
      </c>
      <c r="E522" s="13" t="inlineStr">
        <is>
          <t>物资名称 热轧优质碳素结构圆钢;物资简称 圆钢;牌号 45;直径 Φ12;技术标准号 GB/T 699-1999;加工工艺 热轧;热处理工艺 ;特殊要求 ;规格标准号 GB/T 702-2008</t>
        </is>
      </c>
      <c r="F522" s="12" t="inlineStr">
        <is>
          <t>千克</t>
        </is>
      </c>
      <c r="G522" s="11">
        <f>LEFT(D522,FIND("|",D522,1)-1)</f>
        <v/>
      </c>
      <c r="H522" s="11">
        <f>MID(D522,FIND("|",D522,FIND("|",D522,1))+1,FIND("|",D522,FIND("|",D522,1)+1)-FIND("|",D522,FIND("|",D522,1))-1)</f>
        <v/>
      </c>
      <c r="J522" s="11">
        <f>MID(D522,FIND(";",SUBSTITUTE(D522,"|",REPT(";",LEN(D522)),2))+1,FIND(";",SUBSTITUTE(D522,"|",REPT(";",LEN(D522)),3))-FIND(";",SUBSTITUTE(D522,"|",REPT(";",LEN(D522)),2))-1)</f>
        <v/>
      </c>
      <c r="K522" s="11">
        <f>MID(D522,FIND(";",SUBSTITUTE(D522,"|",REPT(";",LEN(D522)),3))+1,FIND(";",SUBSTITUTE(D522,"|",REPT(";",LEN(D522)),4))-FIND(";",SUBSTITUTE(D522,"|",REPT(";",LEN(D522)),3))-1)</f>
        <v/>
      </c>
      <c r="M522" s="11">
        <f>MID(D522,FIND(";",SUBSTITUTE(D522,"|",REPT(";",LEN(D522)),4))+1,FIND(";",SUBSTITUTE(D522,"|",REPT(";",LEN(D522)),5))-FIND(";",SUBSTITUTE(D522,"|",REPT(";",LEN(D522)),4))-1)</f>
        <v/>
      </c>
      <c r="N522" s="11">
        <f>MID(D522,FIND(";",SUBSTITUTE(D522,"|",REPT(";",LEN(D522)),6))+1,LEN(D522))</f>
        <v/>
      </c>
      <c r="O522" s="11">
        <f>MID(D522,FIND(";",SUBSTITUTE(D522,"|",REPT(";",LEN(D522)),5))+1,FIND(";",SUBSTITUTE(D522,"|",REPT(";",LEN(D522)),6))-FIND(";",SUBSTITUTE(D522,"|",REPT(";",LEN(D522)),5))-1)</f>
        <v/>
      </c>
    </row>
    <row r="523" ht="126" customHeight="1" s="21">
      <c r="A523" s="13" t="inlineStr">
        <is>
          <t>100201</t>
        </is>
      </c>
      <c r="B523" s="13" t="inlineStr">
        <is>
          <t>圆钢</t>
        </is>
      </c>
      <c r="C523" s="13" t="inlineStr">
        <is>
          <t>600608900</t>
        </is>
      </c>
      <c r="D523" s="13" t="inlineStr">
        <is>
          <t>热轧优质碳素结构圆钢|圆钢|45|Φ15|GB/T 699-1999|热轧|GB/T 702-2008</t>
        </is>
      </c>
      <c r="E523" s="13" t="inlineStr">
        <is>
          <t>物资名称 热轧优质碳素结构圆钢;物资简称 圆钢;牌号 45;直径 Φ15;技术标准号 GB/T 699-1999;加工工艺 热轧;热处理工艺 ;特殊要求 ;规格标准号 GB/T 702-2008</t>
        </is>
      </c>
      <c r="F523" s="12" t="inlineStr">
        <is>
          <t>千克</t>
        </is>
      </c>
      <c r="G523" s="11">
        <f>LEFT(D523,FIND("|",D523,1)-1)</f>
        <v/>
      </c>
      <c r="H523" s="11">
        <f>MID(D523,FIND("|",D523,FIND("|",D523,1))+1,FIND("|",D523,FIND("|",D523,1)+1)-FIND("|",D523,FIND("|",D523,1))-1)</f>
        <v/>
      </c>
      <c r="J523" s="11">
        <f>MID(D523,FIND(";",SUBSTITUTE(D523,"|",REPT(";",LEN(D523)),2))+1,FIND(";",SUBSTITUTE(D523,"|",REPT(";",LEN(D523)),3))-FIND(";",SUBSTITUTE(D523,"|",REPT(";",LEN(D523)),2))-1)</f>
        <v/>
      </c>
      <c r="K523" s="11">
        <f>MID(D523,FIND(";",SUBSTITUTE(D523,"|",REPT(";",LEN(D523)),3))+1,FIND(";",SUBSTITUTE(D523,"|",REPT(";",LEN(D523)),4))-FIND(";",SUBSTITUTE(D523,"|",REPT(";",LEN(D523)),3))-1)</f>
        <v/>
      </c>
      <c r="M523" s="11">
        <f>MID(D523,FIND(";",SUBSTITUTE(D523,"|",REPT(";",LEN(D523)),4))+1,FIND(";",SUBSTITUTE(D523,"|",REPT(";",LEN(D523)),5))-FIND(";",SUBSTITUTE(D523,"|",REPT(";",LEN(D523)),4))-1)</f>
        <v/>
      </c>
      <c r="N523" s="11">
        <f>MID(D523,FIND(";",SUBSTITUTE(D523,"|",REPT(";",LEN(D523)),6))+1,LEN(D523))</f>
        <v/>
      </c>
      <c r="O523" s="11">
        <f>MID(D523,FIND(";",SUBSTITUTE(D523,"|",REPT(";",LEN(D523)),5))+1,FIND(";",SUBSTITUTE(D523,"|",REPT(";",LEN(D523)),6))-FIND(";",SUBSTITUTE(D523,"|",REPT(";",LEN(D523)),5))-1)</f>
        <v/>
      </c>
    </row>
    <row r="524" ht="126" customHeight="1" s="21">
      <c r="A524" s="13" t="inlineStr">
        <is>
          <t>100201</t>
        </is>
      </c>
      <c r="B524" s="13" t="inlineStr">
        <is>
          <t>圆钢</t>
        </is>
      </c>
      <c r="C524" s="13" t="inlineStr">
        <is>
          <t>600608800</t>
        </is>
      </c>
      <c r="D524" s="13" t="inlineStr">
        <is>
          <t>热轧优质碳素结构圆钢|圆钢|45|Φ16|GB/T 699-1999|热轧|GB/T 702-2008</t>
        </is>
      </c>
      <c r="E524" s="13" t="inlineStr">
        <is>
          <t>物资名称 热轧优质碳素结构圆钢;物资简称 圆钢;牌号 45;直径 Φ16;技术标准号 GB/T 699-1999;加工工艺 热轧;热处理工艺 ;特殊要求 ;规格标准号 GB/T 702-2008</t>
        </is>
      </c>
      <c r="F524" s="12" t="inlineStr">
        <is>
          <t>千克</t>
        </is>
      </c>
      <c r="G524" s="11">
        <f>LEFT(D524,FIND("|",D524,1)-1)</f>
        <v/>
      </c>
      <c r="H524" s="11">
        <f>MID(D524,FIND("|",D524,FIND("|",D524,1))+1,FIND("|",D524,FIND("|",D524,1)+1)-FIND("|",D524,FIND("|",D524,1))-1)</f>
        <v/>
      </c>
      <c r="J524" s="11">
        <f>MID(D524,FIND(";",SUBSTITUTE(D524,"|",REPT(";",LEN(D524)),2))+1,FIND(";",SUBSTITUTE(D524,"|",REPT(";",LEN(D524)),3))-FIND(";",SUBSTITUTE(D524,"|",REPT(";",LEN(D524)),2))-1)</f>
        <v/>
      </c>
      <c r="K524" s="11">
        <f>MID(D524,FIND(";",SUBSTITUTE(D524,"|",REPT(";",LEN(D524)),3))+1,FIND(";",SUBSTITUTE(D524,"|",REPT(";",LEN(D524)),4))-FIND(";",SUBSTITUTE(D524,"|",REPT(";",LEN(D524)),3))-1)</f>
        <v/>
      </c>
      <c r="M524" s="11">
        <f>MID(D524,FIND(";",SUBSTITUTE(D524,"|",REPT(";",LEN(D524)),4))+1,FIND(";",SUBSTITUTE(D524,"|",REPT(";",LEN(D524)),5))-FIND(";",SUBSTITUTE(D524,"|",REPT(";",LEN(D524)),4))-1)</f>
        <v/>
      </c>
      <c r="N524" s="11">
        <f>MID(D524,FIND(";",SUBSTITUTE(D524,"|",REPT(";",LEN(D524)),6))+1,LEN(D524))</f>
        <v/>
      </c>
      <c r="O524" s="11">
        <f>MID(D524,FIND(";",SUBSTITUTE(D524,"|",REPT(";",LEN(D524)),5))+1,FIND(";",SUBSTITUTE(D524,"|",REPT(";",LEN(D524)),6))-FIND(";",SUBSTITUTE(D524,"|",REPT(";",LEN(D524)),5))-1)</f>
        <v/>
      </c>
    </row>
    <row r="525" ht="126" customHeight="1" s="21">
      <c r="A525" s="13" t="inlineStr">
        <is>
          <t>100201</t>
        </is>
      </c>
      <c r="B525" s="13" t="inlineStr">
        <is>
          <t>圆钢</t>
        </is>
      </c>
      <c r="C525" s="13" t="inlineStr">
        <is>
          <t>600608700</t>
        </is>
      </c>
      <c r="D525" s="13" t="inlineStr">
        <is>
          <t>热轧优质碳素结构圆钢|圆钢|45|Φ18|GB/T 699-1999|热轧|GB/T 702-2008</t>
        </is>
      </c>
      <c r="E525" s="13" t="inlineStr">
        <is>
          <t>物资名称 热轧优质碳素结构圆钢;物资简称 圆钢;牌号 45;直径 Φ18;技术标准号 GB/T 699-1999;加工工艺 热轧;热处理工艺 ;特殊要求 ;规格标准号 GB/T 702-2008</t>
        </is>
      </c>
      <c r="F525" s="12" t="inlineStr">
        <is>
          <t>千克</t>
        </is>
      </c>
      <c r="G525" s="11">
        <f>LEFT(D525,FIND("|",D525,1)-1)</f>
        <v/>
      </c>
      <c r="H525" s="11">
        <f>MID(D525,FIND("|",D525,FIND("|",D525,1))+1,FIND("|",D525,FIND("|",D525,1)+1)-FIND("|",D525,FIND("|",D525,1))-1)</f>
        <v/>
      </c>
      <c r="J525" s="11">
        <f>MID(D525,FIND(";",SUBSTITUTE(D525,"|",REPT(";",LEN(D525)),2))+1,FIND(";",SUBSTITUTE(D525,"|",REPT(";",LEN(D525)),3))-FIND(";",SUBSTITUTE(D525,"|",REPT(";",LEN(D525)),2))-1)</f>
        <v/>
      </c>
      <c r="K525" s="11">
        <f>MID(D525,FIND(";",SUBSTITUTE(D525,"|",REPT(";",LEN(D525)),3))+1,FIND(";",SUBSTITUTE(D525,"|",REPT(";",LEN(D525)),4))-FIND(";",SUBSTITUTE(D525,"|",REPT(";",LEN(D525)),3))-1)</f>
        <v/>
      </c>
      <c r="M525" s="11">
        <f>MID(D525,FIND(";",SUBSTITUTE(D525,"|",REPT(";",LEN(D525)),4))+1,FIND(";",SUBSTITUTE(D525,"|",REPT(";",LEN(D525)),5))-FIND(";",SUBSTITUTE(D525,"|",REPT(";",LEN(D525)),4))-1)</f>
        <v/>
      </c>
      <c r="N525" s="11">
        <f>MID(D525,FIND(";",SUBSTITUTE(D525,"|",REPT(";",LEN(D525)),6))+1,LEN(D525))</f>
        <v/>
      </c>
      <c r="O525" s="11">
        <f>MID(D525,FIND(";",SUBSTITUTE(D525,"|",REPT(";",LEN(D525)),5))+1,FIND(";",SUBSTITUTE(D525,"|",REPT(";",LEN(D525)),6))-FIND(";",SUBSTITUTE(D525,"|",REPT(";",LEN(D525)),5))-1)</f>
        <v/>
      </c>
    </row>
    <row r="526" ht="126" customHeight="1" s="21">
      <c r="A526" s="13" t="inlineStr">
        <is>
          <t>100201</t>
        </is>
      </c>
      <c r="B526" s="13" t="inlineStr">
        <is>
          <t>圆钢</t>
        </is>
      </c>
      <c r="C526" s="13" t="inlineStr">
        <is>
          <t>600608600</t>
        </is>
      </c>
      <c r="D526" s="13" t="inlineStr">
        <is>
          <t>热轧优质碳素结构圆钢|圆钢|45|Φ20|GB/T 699-1999|热轧|GB/T 702-2008</t>
        </is>
      </c>
      <c r="E526" s="13" t="inlineStr">
        <is>
          <t>物资名称 热轧优质碳素结构圆钢;物资简称 圆钢;牌号 45;直径 Φ20;技术标准号 GB/T 699-1999;加工工艺 热轧;热处理工艺 ;特殊要求 ;规格标准号 GB/T 702-2008</t>
        </is>
      </c>
      <c r="F526" s="12" t="inlineStr">
        <is>
          <t>千克</t>
        </is>
      </c>
      <c r="G526" s="11">
        <f>LEFT(D526,FIND("|",D526,1)-1)</f>
        <v/>
      </c>
      <c r="H526" s="11">
        <f>MID(D526,FIND("|",D526,FIND("|",D526,1))+1,FIND("|",D526,FIND("|",D526,1)+1)-FIND("|",D526,FIND("|",D526,1))-1)</f>
        <v/>
      </c>
      <c r="J526" s="11">
        <f>MID(D526,FIND(";",SUBSTITUTE(D526,"|",REPT(";",LEN(D526)),2))+1,FIND(";",SUBSTITUTE(D526,"|",REPT(";",LEN(D526)),3))-FIND(";",SUBSTITUTE(D526,"|",REPT(";",LEN(D526)),2))-1)</f>
        <v/>
      </c>
      <c r="K526" s="11">
        <f>MID(D526,FIND(";",SUBSTITUTE(D526,"|",REPT(";",LEN(D526)),3))+1,FIND(";",SUBSTITUTE(D526,"|",REPT(";",LEN(D526)),4))-FIND(";",SUBSTITUTE(D526,"|",REPT(";",LEN(D526)),3))-1)</f>
        <v/>
      </c>
      <c r="M526" s="11">
        <f>MID(D526,FIND(";",SUBSTITUTE(D526,"|",REPT(";",LEN(D526)),4))+1,FIND(";",SUBSTITUTE(D526,"|",REPT(";",LEN(D526)),5))-FIND(";",SUBSTITUTE(D526,"|",REPT(";",LEN(D526)),4))-1)</f>
        <v/>
      </c>
      <c r="N526" s="11">
        <f>MID(D526,FIND(";",SUBSTITUTE(D526,"|",REPT(";",LEN(D526)),6))+1,LEN(D526))</f>
        <v/>
      </c>
      <c r="O526" s="11">
        <f>MID(D526,FIND(";",SUBSTITUTE(D526,"|",REPT(";",LEN(D526)),5))+1,FIND(";",SUBSTITUTE(D526,"|",REPT(";",LEN(D526)),6))-FIND(";",SUBSTITUTE(D526,"|",REPT(";",LEN(D526)),5))-1)</f>
        <v/>
      </c>
    </row>
    <row r="527" ht="126" customHeight="1" s="21">
      <c r="A527" s="13" t="inlineStr">
        <is>
          <t>100201</t>
        </is>
      </c>
      <c r="B527" s="13" t="inlineStr">
        <is>
          <t>圆钢</t>
        </is>
      </c>
      <c r="C527" s="13" t="inlineStr">
        <is>
          <t>600608500</t>
        </is>
      </c>
      <c r="D527" s="13" t="inlineStr">
        <is>
          <t>热轧优质碳素结构圆钢|圆钢|45|Φ22|GB/T 699-1999|热轧|GB/T 702-2008</t>
        </is>
      </c>
      <c r="E527" s="13" t="inlineStr">
        <is>
          <t>物资名称 热轧优质碳素结构圆钢;物资简称 圆钢;牌号 45;直径 Φ22;技术标准号 GB/T 699-1999;加工工艺 热轧;热处理工艺 ;特殊要求 ;规格标准号 GB/T 702-2008</t>
        </is>
      </c>
      <c r="F527" s="12" t="inlineStr">
        <is>
          <t>千克</t>
        </is>
      </c>
      <c r="G527" s="11">
        <f>LEFT(D527,FIND("|",D527,1)-1)</f>
        <v/>
      </c>
      <c r="H527" s="11">
        <f>MID(D527,FIND("|",D527,FIND("|",D527,1))+1,FIND("|",D527,FIND("|",D527,1)+1)-FIND("|",D527,FIND("|",D527,1))-1)</f>
        <v/>
      </c>
      <c r="J527" s="11">
        <f>MID(D527,FIND(";",SUBSTITUTE(D527,"|",REPT(";",LEN(D527)),2))+1,FIND(";",SUBSTITUTE(D527,"|",REPT(";",LEN(D527)),3))-FIND(";",SUBSTITUTE(D527,"|",REPT(";",LEN(D527)),2))-1)</f>
        <v/>
      </c>
      <c r="K527" s="11">
        <f>MID(D527,FIND(";",SUBSTITUTE(D527,"|",REPT(";",LEN(D527)),3))+1,FIND(";",SUBSTITUTE(D527,"|",REPT(";",LEN(D527)),4))-FIND(";",SUBSTITUTE(D527,"|",REPT(";",LEN(D527)),3))-1)</f>
        <v/>
      </c>
      <c r="M527" s="11">
        <f>MID(D527,FIND(";",SUBSTITUTE(D527,"|",REPT(";",LEN(D527)),4))+1,FIND(";",SUBSTITUTE(D527,"|",REPT(";",LEN(D527)),5))-FIND(";",SUBSTITUTE(D527,"|",REPT(";",LEN(D527)),4))-1)</f>
        <v/>
      </c>
      <c r="N527" s="11">
        <f>MID(D527,FIND(";",SUBSTITUTE(D527,"|",REPT(";",LEN(D527)),6))+1,LEN(D527))</f>
        <v/>
      </c>
      <c r="O527" s="11">
        <f>MID(D527,FIND(";",SUBSTITUTE(D527,"|",REPT(";",LEN(D527)),5))+1,FIND(";",SUBSTITUTE(D527,"|",REPT(";",LEN(D527)),6))-FIND(";",SUBSTITUTE(D527,"|",REPT(";",LEN(D527)),5))-1)</f>
        <v/>
      </c>
    </row>
    <row r="528" ht="126" customHeight="1" s="21">
      <c r="A528" s="13" t="inlineStr">
        <is>
          <t>100201</t>
        </is>
      </c>
      <c r="B528" s="13" t="inlineStr">
        <is>
          <t>圆钢</t>
        </is>
      </c>
      <c r="C528" s="13" t="inlineStr">
        <is>
          <t>600608400</t>
        </is>
      </c>
      <c r="D528" s="13" t="inlineStr">
        <is>
          <t>热轧优质碳素结构圆钢|圆钢|45|Φ30|GB/T 699-1999|热轧|GB/T 702-2008</t>
        </is>
      </c>
      <c r="E528" s="13" t="inlineStr">
        <is>
          <t>物资名称 热轧优质碳素结构圆钢;物资简称 圆钢;牌号 45;直径 Φ30;技术标准号 GB/T 699-1999;加工工艺 热轧;热处理工艺 ;特殊要求 ;规格标准号 GB/T 702-2008</t>
        </is>
      </c>
      <c r="F528" s="12" t="inlineStr">
        <is>
          <t>千克</t>
        </is>
      </c>
      <c r="G528" s="11">
        <f>LEFT(D528,FIND("|",D528,1)-1)</f>
        <v/>
      </c>
      <c r="H528" s="11">
        <f>MID(D528,FIND("|",D528,FIND("|",D528,1))+1,FIND("|",D528,FIND("|",D528,1)+1)-FIND("|",D528,FIND("|",D528,1))-1)</f>
        <v/>
      </c>
      <c r="J528" s="11">
        <f>MID(D528,FIND(";",SUBSTITUTE(D528,"|",REPT(";",LEN(D528)),2))+1,FIND(";",SUBSTITUTE(D528,"|",REPT(";",LEN(D528)),3))-FIND(";",SUBSTITUTE(D528,"|",REPT(";",LEN(D528)),2))-1)</f>
        <v/>
      </c>
      <c r="K528" s="11">
        <f>MID(D528,FIND(";",SUBSTITUTE(D528,"|",REPT(";",LEN(D528)),3))+1,FIND(";",SUBSTITUTE(D528,"|",REPT(";",LEN(D528)),4))-FIND(";",SUBSTITUTE(D528,"|",REPT(";",LEN(D528)),3))-1)</f>
        <v/>
      </c>
      <c r="M528" s="11">
        <f>MID(D528,FIND(";",SUBSTITUTE(D528,"|",REPT(";",LEN(D528)),4))+1,FIND(";",SUBSTITUTE(D528,"|",REPT(";",LEN(D528)),5))-FIND(";",SUBSTITUTE(D528,"|",REPT(";",LEN(D528)),4))-1)</f>
        <v/>
      </c>
      <c r="N528" s="11">
        <f>MID(D528,FIND(";",SUBSTITUTE(D528,"|",REPT(";",LEN(D528)),6))+1,LEN(D528))</f>
        <v/>
      </c>
      <c r="O528" s="11">
        <f>MID(D528,FIND(";",SUBSTITUTE(D528,"|",REPT(";",LEN(D528)),5))+1,FIND(";",SUBSTITUTE(D528,"|",REPT(";",LEN(D528)),6))-FIND(";",SUBSTITUTE(D528,"|",REPT(";",LEN(D528)),5))-1)</f>
        <v/>
      </c>
    </row>
    <row r="529" ht="126" customHeight="1" s="21">
      <c r="A529" s="13" t="inlineStr">
        <is>
          <t>100201</t>
        </is>
      </c>
      <c r="B529" s="13" t="inlineStr">
        <is>
          <t>圆钢</t>
        </is>
      </c>
      <c r="C529" s="13" t="inlineStr">
        <is>
          <t>600608300</t>
        </is>
      </c>
      <c r="D529" s="13" t="inlineStr">
        <is>
          <t>热轧优质碳素结构圆钢|圆钢|45|Φ35|GB/T 699-1999|热轧|GB/T 702-2008</t>
        </is>
      </c>
      <c r="E529" s="13" t="inlineStr">
        <is>
          <t>物资名称 热轧优质碳素结构圆钢;物资简称 圆钢;牌号 45;直径 Φ35;技术标准号 GB/T 699-1999;加工工艺 热轧;热处理工艺 ;特殊要求 ;规格标准号 GB/T 702-2008</t>
        </is>
      </c>
      <c r="F529" s="12" t="inlineStr">
        <is>
          <t>千克</t>
        </is>
      </c>
      <c r="G529" s="11">
        <f>LEFT(D529,FIND("|",D529,1)-1)</f>
        <v/>
      </c>
      <c r="H529" s="11">
        <f>MID(D529,FIND("|",D529,FIND("|",D529,1))+1,FIND("|",D529,FIND("|",D529,1)+1)-FIND("|",D529,FIND("|",D529,1))-1)</f>
        <v/>
      </c>
      <c r="J529" s="11">
        <f>MID(D529,FIND(";",SUBSTITUTE(D529,"|",REPT(";",LEN(D529)),2))+1,FIND(";",SUBSTITUTE(D529,"|",REPT(";",LEN(D529)),3))-FIND(";",SUBSTITUTE(D529,"|",REPT(";",LEN(D529)),2))-1)</f>
        <v/>
      </c>
      <c r="K529" s="11">
        <f>MID(D529,FIND(";",SUBSTITUTE(D529,"|",REPT(";",LEN(D529)),3))+1,FIND(";",SUBSTITUTE(D529,"|",REPT(";",LEN(D529)),4))-FIND(";",SUBSTITUTE(D529,"|",REPT(";",LEN(D529)),3))-1)</f>
        <v/>
      </c>
      <c r="M529" s="11">
        <f>MID(D529,FIND(";",SUBSTITUTE(D529,"|",REPT(";",LEN(D529)),4))+1,FIND(";",SUBSTITUTE(D529,"|",REPT(";",LEN(D529)),5))-FIND(";",SUBSTITUTE(D529,"|",REPT(";",LEN(D529)),4))-1)</f>
        <v/>
      </c>
      <c r="N529" s="11">
        <f>MID(D529,FIND(";",SUBSTITUTE(D529,"|",REPT(";",LEN(D529)),6))+1,LEN(D529))</f>
        <v/>
      </c>
      <c r="O529" s="11">
        <f>MID(D529,FIND(";",SUBSTITUTE(D529,"|",REPT(";",LEN(D529)),5))+1,FIND(";",SUBSTITUTE(D529,"|",REPT(";",LEN(D529)),6))-FIND(";",SUBSTITUTE(D529,"|",REPT(";",LEN(D529)),5))-1)</f>
        <v/>
      </c>
    </row>
    <row r="530" ht="126" customHeight="1" s="21">
      <c r="A530" s="13" t="inlineStr">
        <is>
          <t>100201</t>
        </is>
      </c>
      <c r="B530" s="13" t="inlineStr">
        <is>
          <t>圆钢</t>
        </is>
      </c>
      <c r="C530" s="13" t="inlineStr">
        <is>
          <t>600608200</t>
        </is>
      </c>
      <c r="D530" s="13" t="inlineStr">
        <is>
          <t>热轧优质碳素结构圆钢|圆钢|45|Φ40|GB/T 699-1999|热轧|GB/T 702-2008</t>
        </is>
      </c>
      <c r="E530" s="13" t="inlineStr">
        <is>
          <t>物资名称 热轧优质碳素结构圆钢;物资简称 圆钢;牌号 45;直径 Φ40;技术标准号 GB/T 699-1999;加工工艺 热轧;热处理工艺 ;特殊要求 ;规格标准号 GB/T 702-2008</t>
        </is>
      </c>
      <c r="F530" s="12" t="inlineStr">
        <is>
          <t>千克</t>
        </is>
      </c>
      <c r="G530" s="11">
        <f>LEFT(D530,FIND("|",D530,1)-1)</f>
        <v/>
      </c>
      <c r="H530" s="11">
        <f>MID(D530,FIND("|",D530,FIND("|",D530,1))+1,FIND("|",D530,FIND("|",D530,1)+1)-FIND("|",D530,FIND("|",D530,1))-1)</f>
        <v/>
      </c>
      <c r="J530" s="11">
        <f>MID(D530,FIND(";",SUBSTITUTE(D530,"|",REPT(";",LEN(D530)),2))+1,FIND(";",SUBSTITUTE(D530,"|",REPT(";",LEN(D530)),3))-FIND(";",SUBSTITUTE(D530,"|",REPT(";",LEN(D530)),2))-1)</f>
        <v/>
      </c>
      <c r="K530" s="11">
        <f>MID(D530,FIND(";",SUBSTITUTE(D530,"|",REPT(";",LEN(D530)),3))+1,FIND(";",SUBSTITUTE(D530,"|",REPT(";",LEN(D530)),4))-FIND(";",SUBSTITUTE(D530,"|",REPT(";",LEN(D530)),3))-1)</f>
        <v/>
      </c>
      <c r="M530" s="11">
        <f>MID(D530,FIND(";",SUBSTITUTE(D530,"|",REPT(";",LEN(D530)),4))+1,FIND(";",SUBSTITUTE(D530,"|",REPT(";",LEN(D530)),5))-FIND(";",SUBSTITUTE(D530,"|",REPT(";",LEN(D530)),4))-1)</f>
        <v/>
      </c>
      <c r="N530" s="11">
        <f>MID(D530,FIND(";",SUBSTITUTE(D530,"|",REPT(";",LEN(D530)),6))+1,LEN(D530))</f>
        <v/>
      </c>
      <c r="O530" s="11">
        <f>MID(D530,FIND(";",SUBSTITUTE(D530,"|",REPT(";",LEN(D530)),5))+1,FIND(";",SUBSTITUTE(D530,"|",REPT(";",LEN(D530)),6))-FIND(";",SUBSTITUTE(D530,"|",REPT(";",LEN(D530)),5))-1)</f>
        <v/>
      </c>
    </row>
    <row r="531" ht="126" customHeight="1" s="21">
      <c r="A531" s="13" t="inlineStr">
        <is>
          <t>100201</t>
        </is>
      </c>
      <c r="B531" s="13" t="inlineStr">
        <is>
          <t>圆钢</t>
        </is>
      </c>
      <c r="C531" s="13" t="inlineStr">
        <is>
          <t>600608100</t>
        </is>
      </c>
      <c r="D531" s="13" t="inlineStr">
        <is>
          <t>热轧优质碳素结构圆钢|圆钢|45|Φ42|GB/T 699-1999|热轧|GB/T 702-2008</t>
        </is>
      </c>
      <c r="E531" s="13" t="inlineStr">
        <is>
          <t>物资名称 热轧优质碳素结构圆钢;物资简称 圆钢;牌号 45;直径 Φ42;技术标准号 GB/T 699-1999;加工工艺 热轧;热处理工艺 ;特殊要求 ;规格标准号 GB/T 702-2008</t>
        </is>
      </c>
      <c r="F531" s="12" t="inlineStr">
        <is>
          <t>千克</t>
        </is>
      </c>
      <c r="G531" s="11">
        <f>LEFT(D531,FIND("|",D531,1)-1)</f>
        <v/>
      </c>
      <c r="H531" s="11">
        <f>MID(D531,FIND("|",D531,FIND("|",D531,1))+1,FIND("|",D531,FIND("|",D531,1)+1)-FIND("|",D531,FIND("|",D531,1))-1)</f>
        <v/>
      </c>
      <c r="J531" s="11">
        <f>MID(D531,FIND(";",SUBSTITUTE(D531,"|",REPT(";",LEN(D531)),2))+1,FIND(";",SUBSTITUTE(D531,"|",REPT(";",LEN(D531)),3))-FIND(";",SUBSTITUTE(D531,"|",REPT(";",LEN(D531)),2))-1)</f>
        <v/>
      </c>
      <c r="K531" s="11">
        <f>MID(D531,FIND(";",SUBSTITUTE(D531,"|",REPT(";",LEN(D531)),3))+1,FIND(";",SUBSTITUTE(D531,"|",REPT(";",LEN(D531)),4))-FIND(";",SUBSTITUTE(D531,"|",REPT(";",LEN(D531)),3))-1)</f>
        <v/>
      </c>
      <c r="M531" s="11">
        <f>MID(D531,FIND(";",SUBSTITUTE(D531,"|",REPT(";",LEN(D531)),4))+1,FIND(";",SUBSTITUTE(D531,"|",REPT(";",LEN(D531)),5))-FIND(";",SUBSTITUTE(D531,"|",REPT(";",LEN(D531)),4))-1)</f>
        <v/>
      </c>
      <c r="N531" s="11">
        <f>MID(D531,FIND(";",SUBSTITUTE(D531,"|",REPT(";",LEN(D531)),6))+1,LEN(D531))</f>
        <v/>
      </c>
      <c r="O531" s="11">
        <f>MID(D531,FIND(";",SUBSTITUTE(D531,"|",REPT(";",LEN(D531)),5))+1,FIND(";",SUBSTITUTE(D531,"|",REPT(";",LEN(D531)),6))-FIND(";",SUBSTITUTE(D531,"|",REPT(";",LEN(D531)),5))-1)</f>
        <v/>
      </c>
    </row>
    <row r="532" ht="126" customHeight="1" s="21">
      <c r="A532" s="13" t="inlineStr">
        <is>
          <t>100201</t>
        </is>
      </c>
      <c r="B532" s="13" t="inlineStr">
        <is>
          <t>圆钢</t>
        </is>
      </c>
      <c r="C532" s="13" t="inlineStr">
        <is>
          <t>600608000</t>
        </is>
      </c>
      <c r="D532" s="13" t="inlineStr">
        <is>
          <t>热轧优质碳素结构圆钢|圆钢|45|Φ55|GB/T 699-1999|热轧|GB/T 702-2008</t>
        </is>
      </c>
      <c r="E532" s="13" t="inlineStr">
        <is>
          <t>物资名称 热轧优质碳素结构圆钢;物资简称 圆钢;牌号 45;直径 Φ55;技术标准号 GB/T 699-1999;加工工艺 热轧;热处理工艺 ;特殊要求 ;规格标准号 GB/T 702-2008</t>
        </is>
      </c>
      <c r="F532" s="12" t="inlineStr">
        <is>
          <t>千克</t>
        </is>
      </c>
      <c r="G532" s="11">
        <f>LEFT(D532,FIND("|",D532,1)-1)</f>
        <v/>
      </c>
      <c r="H532" s="11">
        <f>MID(D532,FIND("|",D532,FIND("|",D532,1))+1,FIND("|",D532,FIND("|",D532,1)+1)-FIND("|",D532,FIND("|",D532,1))-1)</f>
        <v/>
      </c>
      <c r="J532" s="11">
        <f>MID(D532,FIND(";",SUBSTITUTE(D532,"|",REPT(";",LEN(D532)),2))+1,FIND(";",SUBSTITUTE(D532,"|",REPT(";",LEN(D532)),3))-FIND(";",SUBSTITUTE(D532,"|",REPT(";",LEN(D532)),2))-1)</f>
        <v/>
      </c>
      <c r="K532" s="11">
        <f>MID(D532,FIND(";",SUBSTITUTE(D532,"|",REPT(";",LEN(D532)),3))+1,FIND(";",SUBSTITUTE(D532,"|",REPT(";",LEN(D532)),4))-FIND(";",SUBSTITUTE(D532,"|",REPT(";",LEN(D532)),3))-1)</f>
        <v/>
      </c>
      <c r="M532" s="11">
        <f>MID(D532,FIND(";",SUBSTITUTE(D532,"|",REPT(";",LEN(D532)),4))+1,FIND(";",SUBSTITUTE(D532,"|",REPT(";",LEN(D532)),5))-FIND(";",SUBSTITUTE(D532,"|",REPT(";",LEN(D532)),4))-1)</f>
        <v/>
      </c>
      <c r="N532" s="11">
        <f>MID(D532,FIND(";",SUBSTITUTE(D532,"|",REPT(";",LEN(D532)),6))+1,LEN(D532))</f>
        <v/>
      </c>
      <c r="O532" s="11">
        <f>MID(D532,FIND(";",SUBSTITUTE(D532,"|",REPT(";",LEN(D532)),5))+1,FIND(";",SUBSTITUTE(D532,"|",REPT(";",LEN(D532)),6))-FIND(";",SUBSTITUTE(D532,"|",REPT(";",LEN(D532)),5))-1)</f>
        <v/>
      </c>
    </row>
    <row r="533" ht="126" customHeight="1" s="21">
      <c r="A533" s="13" t="inlineStr">
        <is>
          <t>100201</t>
        </is>
      </c>
      <c r="B533" s="13" t="inlineStr">
        <is>
          <t>圆钢</t>
        </is>
      </c>
      <c r="C533" s="13" t="inlineStr">
        <is>
          <t>600607900</t>
        </is>
      </c>
      <c r="D533" s="13" t="inlineStr">
        <is>
          <t>热轧优质碳素结构圆钢|圆钢|45|Φ80|GB/T 699-1999|热轧|GB/T 702-2008</t>
        </is>
      </c>
      <c r="E533" s="13" t="inlineStr">
        <is>
          <t>物资名称 热轧优质碳素结构圆钢;物资简称 圆钢;牌号 45;直径 Φ80;技术标准号 GB/T 699-1999;加工工艺 热轧;热处理工艺 ;特殊要求 ;规格标准号 GB/T 702-2008</t>
        </is>
      </c>
      <c r="F533" s="12" t="inlineStr">
        <is>
          <t>千克</t>
        </is>
      </c>
      <c r="G533" s="11">
        <f>LEFT(D533,FIND("|",D533,1)-1)</f>
        <v/>
      </c>
      <c r="H533" s="11">
        <f>MID(D533,FIND("|",D533,FIND("|",D533,1))+1,FIND("|",D533,FIND("|",D533,1)+1)-FIND("|",D533,FIND("|",D533,1))-1)</f>
        <v/>
      </c>
      <c r="J533" s="11">
        <f>MID(D533,FIND(";",SUBSTITUTE(D533,"|",REPT(";",LEN(D533)),2))+1,FIND(";",SUBSTITUTE(D533,"|",REPT(";",LEN(D533)),3))-FIND(";",SUBSTITUTE(D533,"|",REPT(";",LEN(D533)),2))-1)</f>
        <v/>
      </c>
      <c r="K533" s="11">
        <f>MID(D533,FIND(";",SUBSTITUTE(D533,"|",REPT(";",LEN(D533)),3))+1,FIND(";",SUBSTITUTE(D533,"|",REPT(";",LEN(D533)),4))-FIND(";",SUBSTITUTE(D533,"|",REPT(";",LEN(D533)),3))-1)</f>
        <v/>
      </c>
      <c r="M533" s="11">
        <f>MID(D533,FIND(";",SUBSTITUTE(D533,"|",REPT(";",LEN(D533)),4))+1,FIND(";",SUBSTITUTE(D533,"|",REPT(";",LEN(D533)),5))-FIND(";",SUBSTITUTE(D533,"|",REPT(";",LEN(D533)),4))-1)</f>
        <v/>
      </c>
      <c r="N533" s="11">
        <f>MID(D533,FIND(";",SUBSTITUTE(D533,"|",REPT(";",LEN(D533)),6))+1,LEN(D533))</f>
        <v/>
      </c>
      <c r="O533" s="11">
        <f>MID(D533,FIND(";",SUBSTITUTE(D533,"|",REPT(";",LEN(D533)),5))+1,FIND(";",SUBSTITUTE(D533,"|",REPT(";",LEN(D533)),6))-FIND(";",SUBSTITUTE(D533,"|",REPT(";",LEN(D533)),5))-1)</f>
        <v/>
      </c>
    </row>
    <row r="534" ht="140" customHeight="1" s="21">
      <c r="A534" s="13" t="inlineStr">
        <is>
          <t>100201</t>
        </is>
      </c>
      <c r="B534" s="13" t="inlineStr">
        <is>
          <t>圆钢</t>
        </is>
      </c>
      <c r="C534" s="13" t="inlineStr">
        <is>
          <t>600607800</t>
        </is>
      </c>
      <c r="D534" s="13" t="inlineStr">
        <is>
          <t>热轧优质碳素结构圆钢|圆钢|45|Φ100|GB/T 699-1999|热轧|GB/T 702-2008</t>
        </is>
      </c>
      <c r="E534" s="13" t="inlineStr">
        <is>
          <t>物资名称 热轧优质碳素结构圆钢;物资简称 圆钢;牌号 45;直径 Φ100;技术标准号 GB/T 699-1999;加工工艺 热轧;热处理工艺 ;特殊要求 ;规格标准号 GB/T 702-2008</t>
        </is>
      </c>
      <c r="F534" s="12" t="inlineStr">
        <is>
          <t>千克</t>
        </is>
      </c>
      <c r="G534" s="11">
        <f>LEFT(D534,FIND("|",D534,1)-1)</f>
        <v/>
      </c>
      <c r="H534" s="11">
        <f>MID(D534,FIND("|",D534,FIND("|",D534,1))+1,FIND("|",D534,FIND("|",D534,1)+1)-FIND("|",D534,FIND("|",D534,1))-1)</f>
        <v/>
      </c>
      <c r="J534" s="11">
        <f>MID(D534,FIND(";",SUBSTITUTE(D534,"|",REPT(";",LEN(D534)),2))+1,FIND(";",SUBSTITUTE(D534,"|",REPT(";",LEN(D534)),3))-FIND(";",SUBSTITUTE(D534,"|",REPT(";",LEN(D534)),2))-1)</f>
        <v/>
      </c>
      <c r="K534" s="11">
        <f>MID(D534,FIND(";",SUBSTITUTE(D534,"|",REPT(";",LEN(D534)),3))+1,FIND(";",SUBSTITUTE(D534,"|",REPT(";",LEN(D534)),4))-FIND(";",SUBSTITUTE(D534,"|",REPT(";",LEN(D534)),3))-1)</f>
        <v/>
      </c>
      <c r="M534" s="11">
        <f>MID(D534,FIND(";",SUBSTITUTE(D534,"|",REPT(";",LEN(D534)),4))+1,FIND(";",SUBSTITUTE(D534,"|",REPT(";",LEN(D534)),5))-FIND(";",SUBSTITUTE(D534,"|",REPT(";",LEN(D534)),4))-1)</f>
        <v/>
      </c>
      <c r="N534" s="11">
        <f>MID(D534,FIND(";",SUBSTITUTE(D534,"|",REPT(";",LEN(D534)),6))+1,LEN(D534))</f>
        <v/>
      </c>
      <c r="O534" s="11">
        <f>MID(D534,FIND(";",SUBSTITUTE(D534,"|",REPT(";",LEN(D534)),5))+1,FIND(";",SUBSTITUTE(D534,"|",REPT(";",LEN(D534)),6))-FIND(";",SUBSTITUTE(D534,"|",REPT(";",LEN(D534)),5))-1)</f>
        <v/>
      </c>
    </row>
    <row r="535" ht="140" customHeight="1" s="21">
      <c r="A535" s="13" t="inlineStr">
        <is>
          <t>100201</t>
        </is>
      </c>
      <c r="B535" s="13" t="inlineStr">
        <is>
          <t>圆钢</t>
        </is>
      </c>
      <c r="C535" s="13" t="inlineStr">
        <is>
          <t>600607700</t>
        </is>
      </c>
      <c r="D535" s="13" t="inlineStr">
        <is>
          <t>热轧优质碳素结构圆钢|圆钢|45|Φ110|GB/T 699-1999|热轧|GB/T 702-2008</t>
        </is>
      </c>
      <c r="E535" s="13" t="inlineStr">
        <is>
          <t>物资名称 热轧优质碳素结构圆钢;物资简称 圆钢;牌号 45;直径 Φ110;技术标准号 GB/T 699-1999;加工工艺 热轧;热处理工艺 ;特殊要求 ;规格标准号 GB/T 702-2008</t>
        </is>
      </c>
      <c r="F535" s="12" t="inlineStr">
        <is>
          <t>千克</t>
        </is>
      </c>
      <c r="G535" s="11">
        <f>LEFT(D535,FIND("|",D535,1)-1)</f>
        <v/>
      </c>
      <c r="H535" s="11">
        <f>MID(D535,FIND("|",D535,FIND("|",D535,1))+1,FIND("|",D535,FIND("|",D535,1)+1)-FIND("|",D535,FIND("|",D535,1))-1)</f>
        <v/>
      </c>
      <c r="J535" s="11">
        <f>MID(D535,FIND(";",SUBSTITUTE(D535,"|",REPT(";",LEN(D535)),2))+1,FIND(";",SUBSTITUTE(D535,"|",REPT(";",LEN(D535)),3))-FIND(";",SUBSTITUTE(D535,"|",REPT(";",LEN(D535)),2))-1)</f>
        <v/>
      </c>
      <c r="K535" s="11">
        <f>MID(D535,FIND(";",SUBSTITUTE(D535,"|",REPT(";",LEN(D535)),3))+1,FIND(";",SUBSTITUTE(D535,"|",REPT(";",LEN(D535)),4))-FIND(";",SUBSTITUTE(D535,"|",REPT(";",LEN(D535)),3))-1)</f>
        <v/>
      </c>
      <c r="M535" s="11">
        <f>MID(D535,FIND(";",SUBSTITUTE(D535,"|",REPT(";",LEN(D535)),4))+1,FIND(";",SUBSTITUTE(D535,"|",REPT(";",LEN(D535)),5))-FIND(";",SUBSTITUTE(D535,"|",REPT(";",LEN(D535)),4))-1)</f>
        <v/>
      </c>
      <c r="N535" s="11">
        <f>MID(D535,FIND(";",SUBSTITUTE(D535,"|",REPT(";",LEN(D535)),6))+1,LEN(D535))</f>
        <v/>
      </c>
      <c r="O535" s="11">
        <f>MID(D535,FIND(";",SUBSTITUTE(D535,"|",REPT(";",LEN(D535)),5))+1,FIND(";",SUBSTITUTE(D535,"|",REPT(";",LEN(D535)),6))-FIND(";",SUBSTITUTE(D535,"|",REPT(";",LEN(D535)),5))-1)</f>
        <v/>
      </c>
    </row>
    <row r="536" ht="140" customHeight="1" s="21">
      <c r="A536" s="13" t="inlineStr">
        <is>
          <t>100201</t>
        </is>
      </c>
      <c r="B536" s="13" t="inlineStr">
        <is>
          <t>圆钢</t>
        </is>
      </c>
      <c r="C536" s="13" t="inlineStr">
        <is>
          <t>600607600</t>
        </is>
      </c>
      <c r="D536" s="13" t="inlineStr">
        <is>
          <t>热轧优质碳素结构圆钢|圆钢|45|Φ140|GB/T 699-1999|热轧|GB/T 702-2008</t>
        </is>
      </c>
      <c r="E536" s="13" t="inlineStr">
        <is>
          <t>物资名称 热轧优质碳素结构圆钢;物资简称 圆钢;牌号 45;直径 Φ140;技术标准号 GB/T 699-1999;加工工艺 热轧;热处理工艺 ;特殊要求 ;规格标准号 GB/T 702-2008</t>
        </is>
      </c>
      <c r="F536" s="12" t="inlineStr">
        <is>
          <t>千克</t>
        </is>
      </c>
      <c r="G536" s="11">
        <f>LEFT(D536,FIND("|",D536,1)-1)</f>
        <v/>
      </c>
      <c r="H536" s="11">
        <f>MID(D536,FIND("|",D536,FIND("|",D536,1))+1,FIND("|",D536,FIND("|",D536,1)+1)-FIND("|",D536,FIND("|",D536,1))-1)</f>
        <v/>
      </c>
      <c r="J536" s="11">
        <f>MID(D536,FIND(";",SUBSTITUTE(D536,"|",REPT(";",LEN(D536)),2))+1,FIND(";",SUBSTITUTE(D536,"|",REPT(";",LEN(D536)),3))-FIND(";",SUBSTITUTE(D536,"|",REPT(";",LEN(D536)),2))-1)</f>
        <v/>
      </c>
      <c r="K536" s="11">
        <f>MID(D536,FIND(";",SUBSTITUTE(D536,"|",REPT(";",LEN(D536)),3))+1,FIND(";",SUBSTITUTE(D536,"|",REPT(";",LEN(D536)),4))-FIND(";",SUBSTITUTE(D536,"|",REPT(";",LEN(D536)),3))-1)</f>
        <v/>
      </c>
      <c r="M536" s="11">
        <f>MID(D536,FIND(";",SUBSTITUTE(D536,"|",REPT(";",LEN(D536)),4))+1,FIND(";",SUBSTITUTE(D536,"|",REPT(";",LEN(D536)),5))-FIND(";",SUBSTITUTE(D536,"|",REPT(";",LEN(D536)),4))-1)</f>
        <v/>
      </c>
      <c r="N536" s="11">
        <f>MID(D536,FIND(";",SUBSTITUTE(D536,"|",REPT(";",LEN(D536)),6))+1,LEN(D536))</f>
        <v/>
      </c>
      <c r="O536" s="11">
        <f>MID(D536,FIND(";",SUBSTITUTE(D536,"|",REPT(";",LEN(D536)),5))+1,FIND(";",SUBSTITUTE(D536,"|",REPT(";",LEN(D536)),6))-FIND(";",SUBSTITUTE(D536,"|",REPT(";",LEN(D536)),5))-1)</f>
        <v/>
      </c>
    </row>
    <row r="537" ht="140" customHeight="1" s="21">
      <c r="A537" s="13" t="inlineStr">
        <is>
          <t>100201</t>
        </is>
      </c>
      <c r="B537" s="13" t="inlineStr">
        <is>
          <t>圆钢</t>
        </is>
      </c>
      <c r="C537" s="13" t="inlineStr">
        <is>
          <t>600607500</t>
        </is>
      </c>
      <c r="D537" s="13" t="inlineStr">
        <is>
          <t>热轧优质碳素结构圆钢|圆钢|45|Φ150|GB/T 699-1999|热轧|GB/T 702-2008</t>
        </is>
      </c>
      <c r="E537" s="13" t="inlineStr">
        <is>
          <t>物资名称 热轧优质碳素结构圆钢;物资简称 圆钢;牌号 45;直径 Φ150;技术标准号 GB/T 699-1999;加工工艺 热轧;热处理工艺 ;特殊要求 ;规格标准号 GB/T 702-2008</t>
        </is>
      </c>
      <c r="F537" s="12" t="inlineStr">
        <is>
          <t>千克</t>
        </is>
      </c>
      <c r="G537" s="11">
        <f>LEFT(D537,FIND("|",D537,1)-1)</f>
        <v/>
      </c>
      <c r="H537" s="11">
        <f>MID(D537,FIND("|",D537,FIND("|",D537,1))+1,FIND("|",D537,FIND("|",D537,1)+1)-FIND("|",D537,FIND("|",D537,1))-1)</f>
        <v/>
      </c>
      <c r="J537" s="11">
        <f>MID(D537,FIND(";",SUBSTITUTE(D537,"|",REPT(";",LEN(D537)),2))+1,FIND(";",SUBSTITUTE(D537,"|",REPT(";",LEN(D537)),3))-FIND(";",SUBSTITUTE(D537,"|",REPT(";",LEN(D537)),2))-1)</f>
        <v/>
      </c>
      <c r="K537" s="11">
        <f>MID(D537,FIND(";",SUBSTITUTE(D537,"|",REPT(";",LEN(D537)),3))+1,FIND(";",SUBSTITUTE(D537,"|",REPT(";",LEN(D537)),4))-FIND(";",SUBSTITUTE(D537,"|",REPT(";",LEN(D537)),3))-1)</f>
        <v/>
      </c>
      <c r="M537" s="11">
        <f>MID(D537,FIND(";",SUBSTITUTE(D537,"|",REPT(";",LEN(D537)),4))+1,FIND(";",SUBSTITUTE(D537,"|",REPT(";",LEN(D537)),5))-FIND(";",SUBSTITUTE(D537,"|",REPT(";",LEN(D537)),4))-1)</f>
        <v/>
      </c>
      <c r="N537" s="11">
        <f>MID(D537,FIND(";",SUBSTITUTE(D537,"|",REPT(";",LEN(D537)),6))+1,LEN(D537))</f>
        <v/>
      </c>
      <c r="O537" s="11">
        <f>MID(D537,FIND(";",SUBSTITUTE(D537,"|",REPT(";",LEN(D537)),5))+1,FIND(";",SUBSTITUTE(D537,"|",REPT(";",LEN(D537)),6))-FIND(";",SUBSTITUTE(D537,"|",REPT(";",LEN(D537)),5))-1)</f>
        <v/>
      </c>
    </row>
    <row r="538" ht="140" customHeight="1" s="21">
      <c r="A538" s="13" t="inlineStr">
        <is>
          <t>100201</t>
        </is>
      </c>
      <c r="B538" s="13" t="inlineStr">
        <is>
          <t>圆钢</t>
        </is>
      </c>
      <c r="C538" s="13" t="inlineStr">
        <is>
          <t>600607400</t>
        </is>
      </c>
      <c r="D538" s="13" t="inlineStr">
        <is>
          <t>热轧优质碳素结构圆钢|圆钢|45|Φ170|GB/T 699-1999|热轧|GB/T 702-2008</t>
        </is>
      </c>
      <c r="E538" s="13" t="inlineStr">
        <is>
          <t>物资名称 热轧优质碳素结构圆钢;物资简称 圆钢;牌号 45;直径 Φ170;技术标准号 GB/T 699-1999;加工工艺 热轧;热处理工艺 ;特殊要求 ;规格标准号 GB/T 702-2008</t>
        </is>
      </c>
      <c r="F538" s="12" t="inlineStr">
        <is>
          <t>千克</t>
        </is>
      </c>
      <c r="G538" s="11">
        <f>LEFT(D538,FIND("|",D538,1)-1)</f>
        <v/>
      </c>
      <c r="H538" s="11">
        <f>MID(D538,FIND("|",D538,FIND("|",D538,1))+1,FIND("|",D538,FIND("|",D538,1)+1)-FIND("|",D538,FIND("|",D538,1))-1)</f>
        <v/>
      </c>
      <c r="J538" s="11">
        <f>MID(D538,FIND(";",SUBSTITUTE(D538,"|",REPT(";",LEN(D538)),2))+1,FIND(";",SUBSTITUTE(D538,"|",REPT(";",LEN(D538)),3))-FIND(";",SUBSTITUTE(D538,"|",REPT(";",LEN(D538)),2))-1)</f>
        <v/>
      </c>
      <c r="K538" s="11">
        <f>MID(D538,FIND(";",SUBSTITUTE(D538,"|",REPT(";",LEN(D538)),3))+1,FIND(";",SUBSTITUTE(D538,"|",REPT(";",LEN(D538)),4))-FIND(";",SUBSTITUTE(D538,"|",REPT(";",LEN(D538)),3))-1)</f>
        <v/>
      </c>
      <c r="M538" s="11">
        <f>MID(D538,FIND(";",SUBSTITUTE(D538,"|",REPT(";",LEN(D538)),4))+1,FIND(";",SUBSTITUTE(D538,"|",REPT(";",LEN(D538)),5))-FIND(";",SUBSTITUTE(D538,"|",REPT(";",LEN(D538)),4))-1)</f>
        <v/>
      </c>
      <c r="N538" s="11">
        <f>MID(D538,FIND(";",SUBSTITUTE(D538,"|",REPT(";",LEN(D538)),6))+1,LEN(D538))</f>
        <v/>
      </c>
      <c r="O538" s="11">
        <f>MID(D538,FIND(";",SUBSTITUTE(D538,"|",REPT(";",LEN(D538)),5))+1,FIND(";",SUBSTITUTE(D538,"|",REPT(";",LEN(D538)),6))-FIND(";",SUBSTITUTE(D538,"|",REPT(";",LEN(D538)),5))-1)</f>
        <v/>
      </c>
    </row>
    <row r="539" ht="140" customHeight="1" s="21">
      <c r="A539" s="13" t="inlineStr">
        <is>
          <t>100201</t>
        </is>
      </c>
      <c r="B539" s="13" t="inlineStr">
        <is>
          <t>圆钢</t>
        </is>
      </c>
      <c r="C539" s="13" t="inlineStr">
        <is>
          <t>600607300</t>
        </is>
      </c>
      <c r="D539" s="13" t="inlineStr">
        <is>
          <t>热轧优质碳素结构圆钢|圆钢|45|Φ210|GB/T 699-1999|热轧|GB/T 702-2008</t>
        </is>
      </c>
      <c r="E539" s="13" t="inlineStr">
        <is>
          <t>物资名称 热轧优质碳素结构圆钢;物资简称 圆钢;牌号 45;直径 Φ210;技术标准号 GB/T 699-1999;加工工艺 热轧;热处理工艺 ;特殊要求 ;规格标准号 GB/T 702-2008</t>
        </is>
      </c>
      <c r="F539" s="12" t="inlineStr">
        <is>
          <t>千克</t>
        </is>
      </c>
      <c r="G539" s="11">
        <f>LEFT(D539,FIND("|",D539,1)-1)</f>
        <v/>
      </c>
      <c r="H539" s="11">
        <f>MID(D539,FIND("|",D539,FIND("|",D539,1))+1,FIND("|",D539,FIND("|",D539,1)+1)-FIND("|",D539,FIND("|",D539,1))-1)</f>
        <v/>
      </c>
      <c r="J539" s="11">
        <f>MID(D539,FIND(";",SUBSTITUTE(D539,"|",REPT(";",LEN(D539)),2))+1,FIND(";",SUBSTITUTE(D539,"|",REPT(";",LEN(D539)),3))-FIND(";",SUBSTITUTE(D539,"|",REPT(";",LEN(D539)),2))-1)</f>
        <v/>
      </c>
      <c r="K539" s="11">
        <f>MID(D539,FIND(";",SUBSTITUTE(D539,"|",REPT(";",LEN(D539)),3))+1,FIND(";",SUBSTITUTE(D539,"|",REPT(";",LEN(D539)),4))-FIND(";",SUBSTITUTE(D539,"|",REPT(";",LEN(D539)),3))-1)</f>
        <v/>
      </c>
      <c r="M539" s="11">
        <f>MID(D539,FIND(";",SUBSTITUTE(D539,"|",REPT(";",LEN(D539)),4))+1,FIND(";",SUBSTITUTE(D539,"|",REPT(";",LEN(D539)),5))-FIND(";",SUBSTITUTE(D539,"|",REPT(";",LEN(D539)),4))-1)</f>
        <v/>
      </c>
      <c r="N539" s="11">
        <f>MID(D539,FIND(";",SUBSTITUTE(D539,"|",REPT(";",LEN(D539)),6))+1,LEN(D539))</f>
        <v/>
      </c>
      <c r="O539" s="11">
        <f>MID(D539,FIND(";",SUBSTITUTE(D539,"|",REPT(";",LEN(D539)),5))+1,FIND(";",SUBSTITUTE(D539,"|",REPT(";",LEN(D539)),6))-FIND(";",SUBSTITUTE(D539,"|",REPT(";",LEN(D539)),5))-1)</f>
        <v/>
      </c>
    </row>
    <row r="540" ht="140" customHeight="1" s="21">
      <c r="A540" s="13" t="inlineStr">
        <is>
          <t>100201</t>
        </is>
      </c>
      <c r="B540" s="13" t="inlineStr">
        <is>
          <t>圆钢</t>
        </is>
      </c>
      <c r="C540" s="13" t="inlineStr">
        <is>
          <t>600607200</t>
        </is>
      </c>
      <c r="D540" s="13" t="inlineStr">
        <is>
          <t>热轧优质碳素结构圆钢|圆钢|45|Φ280|GB/T 699-1999|热轧|GB/T 702-2008</t>
        </is>
      </c>
      <c r="E540" s="13" t="inlineStr">
        <is>
          <t>物资名称 热轧优质碳素结构圆钢;物资简称 圆钢;牌号 45;直径 Φ280;技术标准号 GB/T 699-1999;加工工艺 热轧;热处理工艺 ;特殊要求 ;规格标准号 GB/T 702-2008</t>
        </is>
      </c>
      <c r="F540" s="12" t="inlineStr">
        <is>
          <t>千克</t>
        </is>
      </c>
      <c r="G540" s="11">
        <f>LEFT(D540,FIND("|",D540,1)-1)</f>
        <v/>
      </c>
      <c r="H540" s="11">
        <f>MID(D540,FIND("|",D540,FIND("|",D540,1))+1,FIND("|",D540,FIND("|",D540,1)+1)-FIND("|",D540,FIND("|",D540,1))-1)</f>
        <v/>
      </c>
      <c r="J540" s="11">
        <f>MID(D540,FIND(";",SUBSTITUTE(D540,"|",REPT(";",LEN(D540)),2))+1,FIND(";",SUBSTITUTE(D540,"|",REPT(";",LEN(D540)),3))-FIND(";",SUBSTITUTE(D540,"|",REPT(";",LEN(D540)),2))-1)</f>
        <v/>
      </c>
      <c r="K540" s="11">
        <f>MID(D540,FIND(";",SUBSTITUTE(D540,"|",REPT(";",LEN(D540)),3))+1,FIND(";",SUBSTITUTE(D540,"|",REPT(";",LEN(D540)),4))-FIND(";",SUBSTITUTE(D540,"|",REPT(";",LEN(D540)),3))-1)</f>
        <v/>
      </c>
      <c r="M540" s="11">
        <f>MID(D540,FIND(";",SUBSTITUTE(D540,"|",REPT(";",LEN(D540)),4))+1,FIND(";",SUBSTITUTE(D540,"|",REPT(";",LEN(D540)),5))-FIND(";",SUBSTITUTE(D540,"|",REPT(";",LEN(D540)),4))-1)</f>
        <v/>
      </c>
      <c r="N540" s="11">
        <f>MID(D540,FIND(";",SUBSTITUTE(D540,"|",REPT(";",LEN(D540)),6))+1,LEN(D540))</f>
        <v/>
      </c>
      <c r="O540" s="11">
        <f>MID(D540,FIND(";",SUBSTITUTE(D540,"|",REPT(";",LEN(D540)),5))+1,FIND(";",SUBSTITUTE(D540,"|",REPT(";",LEN(D540)),6))-FIND(";",SUBSTITUTE(D540,"|",REPT(";",LEN(D540)),5))-1)</f>
        <v/>
      </c>
    </row>
    <row r="541" ht="126" customHeight="1" s="21">
      <c r="A541" s="13" t="inlineStr">
        <is>
          <t>100201</t>
        </is>
      </c>
      <c r="B541" s="13" t="inlineStr">
        <is>
          <t>圆钢</t>
        </is>
      </c>
      <c r="C541" s="13" t="inlineStr">
        <is>
          <t>600607100</t>
        </is>
      </c>
      <c r="D541" s="13" t="inlineStr">
        <is>
          <t>热轧易切削结构圆钢|圆钢|Y20|GB/T 8731-2008|GB/T 702-2008</t>
        </is>
      </c>
      <c r="E541" s="13" t="inlineStr">
        <is>
          <t>物资名称 热轧易切削结构圆钢;物资简称 圆钢;牌号 Y20;直径 Φ;技术标准号 GB/T 8731-2008;加工工艺 ;热处理工艺 ;特殊要求 ;规格标准号 GB/T 702-2008</t>
        </is>
      </c>
      <c r="F541" s="12" t="inlineStr">
        <is>
          <t>千克</t>
        </is>
      </c>
      <c r="G541" s="11">
        <f>LEFT(D541,FIND("|",D541,1)-1)</f>
        <v/>
      </c>
      <c r="H541" s="11">
        <f>MID(D541,FIND("|",D541,FIND("|",D541,1))+1,FIND("|",D541,FIND("|",D541,1)+1)-FIND("|",D541,FIND("|",D541,1))-1)</f>
        <v/>
      </c>
      <c r="J541" s="11">
        <f>MID(D541,FIND(";",SUBSTITUTE(D541,"|",REPT(";",LEN(D541)),2))+1,FIND(";",SUBSTITUTE(D541,"|",REPT(";",LEN(D541)),3))-FIND(";",SUBSTITUTE(D541,"|",REPT(";",LEN(D541)),2))-1)</f>
        <v/>
      </c>
      <c r="M541" s="11">
        <f>MID(D541,FIND(";",SUBSTITUTE(D541,"|",REPT(";",LEN(D541)),3))+1,FIND(";",SUBSTITUTE(D541,"|",REPT(";",LEN(D541)),4))-FIND(";",SUBSTITUTE(D541,"|",REPT(";",LEN(D541)),3))-1)</f>
        <v/>
      </c>
      <c r="N541" s="11">
        <f>MID(D541,FIND(";",SUBSTITUTE(D541,"|",REPT(";",LEN(D541)),4))+1,LEN(D541))</f>
        <v/>
      </c>
    </row>
    <row r="542" ht="126" customHeight="1" s="21">
      <c r="A542" s="13" t="inlineStr">
        <is>
          <t>100201</t>
        </is>
      </c>
      <c r="B542" s="13" t="inlineStr">
        <is>
          <t>圆钢</t>
        </is>
      </c>
      <c r="C542" s="13" t="inlineStr">
        <is>
          <t>600607000</t>
        </is>
      </c>
      <c r="D542" s="13" t="inlineStr">
        <is>
          <t>热轧易切削结构圆钢|圆钢|Y20|Φ10|GB/T 8731-2008|热轧|GB/T 702-2008</t>
        </is>
      </c>
      <c r="E542" s="13" t="inlineStr">
        <is>
          <t>物资名称 热轧易切削结构圆钢;物资简称 圆钢;牌号 Y20;直径 Φ10;技术标准号 GB/T 8731-2008;加工工艺 热轧;热处理工艺 ;特殊要求 ;规格标准号 GB/T 702-2008</t>
        </is>
      </c>
      <c r="F542" s="12" t="inlineStr">
        <is>
          <t>千克</t>
        </is>
      </c>
      <c r="G542" s="11">
        <f>LEFT(D542,FIND("|",D542,1)-1)</f>
        <v/>
      </c>
      <c r="H542" s="11">
        <f>MID(D542,FIND("|",D542,FIND("|",D542,1))+1,FIND("|",D542,FIND("|",D542,1)+1)-FIND("|",D542,FIND("|",D542,1))-1)</f>
        <v/>
      </c>
      <c r="J542" s="11">
        <f>MID(D542,FIND(";",SUBSTITUTE(D542,"|",REPT(";",LEN(D542)),2))+1,FIND(";",SUBSTITUTE(D542,"|",REPT(";",LEN(D542)),3))-FIND(";",SUBSTITUTE(D542,"|",REPT(";",LEN(D542)),2))-1)</f>
        <v/>
      </c>
      <c r="K542" s="11">
        <f>MID(D542,FIND(";",SUBSTITUTE(D542,"|",REPT(";",LEN(D542)),3))+1,FIND(";",SUBSTITUTE(D542,"|",REPT(";",LEN(D542)),4))-FIND(";",SUBSTITUTE(D542,"|",REPT(";",LEN(D542)),3))-1)</f>
        <v/>
      </c>
      <c r="M542" s="11">
        <f>MID(D542,FIND(";",SUBSTITUTE(D542,"|",REPT(";",LEN(D542)),4))+1,FIND(";",SUBSTITUTE(D542,"|",REPT(";",LEN(D542)),5))-FIND(";",SUBSTITUTE(D542,"|",REPT(";",LEN(D542)),4))-1)</f>
        <v/>
      </c>
      <c r="N542" s="11">
        <f>MID(D542,FIND(";",SUBSTITUTE(D542,"|",REPT(";",LEN(D542)),6))+1,LEN(D542))</f>
        <v/>
      </c>
      <c r="O542" s="11">
        <f>MID(D542,FIND(";",SUBSTITUTE(D542,"|",REPT(";",LEN(D542)),5))+1,FIND(";",SUBSTITUTE(D542,"|",REPT(";",LEN(D542)),6))-FIND(";",SUBSTITUTE(D542,"|",REPT(";",LEN(D542)),5))-1)</f>
        <v/>
      </c>
    </row>
    <row r="543" ht="126" customHeight="1" s="21">
      <c r="A543" s="13" t="inlineStr">
        <is>
          <t>100201</t>
        </is>
      </c>
      <c r="B543" s="13" t="inlineStr">
        <is>
          <t>圆钢</t>
        </is>
      </c>
      <c r="C543" s="13" t="inlineStr">
        <is>
          <t>600606900</t>
        </is>
      </c>
      <c r="D543" s="13" t="inlineStr">
        <is>
          <t>热轧易切削结构圆钢|圆钢|Y20|Φ18|GB/T 8731-2008|热轧|GB/T 702-2008</t>
        </is>
      </c>
      <c r="E543" s="13" t="inlineStr">
        <is>
          <t>物资名称 热轧易切削结构圆钢;物资简称 圆钢;牌号 Y20;直径 Φ18;技术标准号 GB/T 8731-2008;加工工艺 热轧;热处理工艺 ;特殊要求 ;规格标准号 GB/T 702-2008</t>
        </is>
      </c>
      <c r="F543" s="12" t="inlineStr">
        <is>
          <t>千克</t>
        </is>
      </c>
      <c r="G543" s="11">
        <f>LEFT(D543,FIND("|",D543,1)-1)</f>
        <v/>
      </c>
      <c r="H543" s="11">
        <f>MID(D543,FIND("|",D543,FIND("|",D543,1))+1,FIND("|",D543,FIND("|",D543,1)+1)-FIND("|",D543,FIND("|",D543,1))-1)</f>
        <v/>
      </c>
      <c r="J543" s="11">
        <f>MID(D543,FIND(";",SUBSTITUTE(D543,"|",REPT(";",LEN(D543)),2))+1,FIND(";",SUBSTITUTE(D543,"|",REPT(";",LEN(D543)),3))-FIND(";",SUBSTITUTE(D543,"|",REPT(";",LEN(D543)),2))-1)</f>
        <v/>
      </c>
      <c r="K543" s="11">
        <f>MID(D543,FIND(";",SUBSTITUTE(D543,"|",REPT(";",LEN(D543)),3))+1,FIND(";",SUBSTITUTE(D543,"|",REPT(";",LEN(D543)),4))-FIND(";",SUBSTITUTE(D543,"|",REPT(";",LEN(D543)),3))-1)</f>
        <v/>
      </c>
      <c r="M543" s="11">
        <f>MID(D543,FIND(";",SUBSTITUTE(D543,"|",REPT(";",LEN(D543)),4))+1,FIND(";",SUBSTITUTE(D543,"|",REPT(";",LEN(D543)),5))-FIND(";",SUBSTITUTE(D543,"|",REPT(";",LEN(D543)),4))-1)</f>
        <v/>
      </c>
      <c r="N543" s="11">
        <f>MID(D543,FIND(";",SUBSTITUTE(D543,"|",REPT(";",LEN(D543)),6))+1,LEN(D543))</f>
        <v/>
      </c>
      <c r="O543" s="11">
        <f>MID(D543,FIND(";",SUBSTITUTE(D543,"|",REPT(";",LEN(D543)),5))+1,FIND(";",SUBSTITUTE(D543,"|",REPT(";",LEN(D543)),6))-FIND(";",SUBSTITUTE(D543,"|",REPT(";",LEN(D543)),5))-1)</f>
        <v/>
      </c>
    </row>
    <row r="544" ht="126" customHeight="1" s="21">
      <c r="A544" s="13" t="inlineStr">
        <is>
          <t>100201</t>
        </is>
      </c>
      <c r="B544" s="13" t="inlineStr">
        <is>
          <t>圆钢</t>
        </is>
      </c>
      <c r="C544" s="13" t="inlineStr">
        <is>
          <t>600606800</t>
        </is>
      </c>
      <c r="D544" s="13" t="inlineStr">
        <is>
          <t>航空用不锈钢棒|钢棒|Y2Cr13Ni2|GJB 2294-1995</t>
        </is>
      </c>
      <c r="E544" s="13" t="inlineStr">
        <is>
          <t xml:space="preserve">物资名称 航空用不锈钢棒;物资简称 钢棒;牌号 Y2Cr13Ni2;直径 Φ;技术标准号 GJB 2294-1995;加工工艺 ;热处理工艺 ;特殊要求 ;规格标准号 </t>
        </is>
      </c>
      <c r="F544" s="12" t="inlineStr">
        <is>
          <t>千克</t>
        </is>
      </c>
      <c r="G544" s="11">
        <f>LEFT(D544,FIND("|",D544,1)-1)</f>
        <v/>
      </c>
      <c r="H544" s="11">
        <f>MID(D544,FIND("|",D544,FIND("|",D544,1))+1,FIND("|",D544,FIND("|",D544,1)+1)-FIND("|",D544,FIND("|",D544,1))-1)</f>
        <v/>
      </c>
      <c r="J544" s="11">
        <f>MID(D544,FIND(";",SUBSTITUTE(D544,"|",REPT(";",LEN(D544)),2))+1,FIND(";",SUBSTITUTE(D544,"|",REPT(";",LEN(D544)),3))-FIND(";",SUBSTITUTE(D544,"|",REPT(";",LEN(D544)),2))-1)</f>
        <v/>
      </c>
      <c r="M544" s="11">
        <f>MID(D544,FIND(";",SUBSTITUTE(D544,"|",REPT(";",LEN(D544)),3))+1,LEN(D544))</f>
        <v/>
      </c>
    </row>
    <row r="545" ht="140" customHeight="1" s="21">
      <c r="A545" s="13" t="inlineStr">
        <is>
          <t>100201</t>
        </is>
      </c>
      <c r="B545" s="13" t="inlineStr">
        <is>
          <t>圆钢</t>
        </is>
      </c>
      <c r="C545" s="13" t="inlineStr">
        <is>
          <t>600606700</t>
        </is>
      </c>
      <c r="D545" s="13" t="inlineStr">
        <is>
          <t>热轧航空用不锈圆钢|圆钢|Y2Cr13Ni2|GJB 2294-1995|热轧|GB/T 702-2008</t>
        </is>
      </c>
      <c r="E545" s="13" t="inlineStr">
        <is>
          <t>物资名称 热轧航空用不锈圆钢;物资简称 圆钢;牌号 Y2Cr13Ni2;直径 Φ;技术标准号 GJB 2294-1995;加工工艺 热轧;热处理工艺 ;特殊要求 ;规格标准号 GB/T 702-2008</t>
        </is>
      </c>
      <c r="F545" s="12" t="inlineStr">
        <is>
          <t>千克</t>
        </is>
      </c>
      <c r="G545" s="11">
        <f>LEFT(D545,FIND("|",D545,1)-1)</f>
        <v/>
      </c>
      <c r="H545" s="11">
        <f>MID(D545,FIND("|",D545,FIND("|",D545,1))+1,FIND("|",D545,FIND("|",D545,1)+1)-FIND("|",D545,FIND("|",D545,1))-1)</f>
        <v/>
      </c>
      <c r="J545" s="11">
        <f>MID(D545,FIND(";",SUBSTITUTE(D545,"|",REPT(";",LEN(D545)),2))+1,FIND(";",SUBSTITUTE(D545,"|",REPT(";",LEN(D545)),3))-FIND(";",SUBSTITUTE(D545,"|",REPT(";",LEN(D545)),2))-1)</f>
        <v/>
      </c>
      <c r="M545" s="11">
        <f>MID(D545,FIND(";",SUBSTITUTE(D545,"|",REPT(";",LEN(D545)),3))+1,FIND(";",SUBSTITUTE(D545,"|",REPT(";",LEN(D545)),4))-FIND(";",SUBSTITUTE(D545,"|",REPT(";",LEN(D545)),3))-1)</f>
        <v/>
      </c>
      <c r="N545" s="11">
        <f>MID(D545,FIND(";",SUBSTITUTE(D545,"|",REPT(";",LEN(D545)),5))+1,LEN(D545))</f>
        <v/>
      </c>
      <c r="O545" s="11">
        <f>MID(D545,FIND(";",SUBSTITUTE(D545,"|",REPT(";",LEN(D545)),4))+1,FIND(";",SUBSTITUTE(D545,"|",REPT(";",LEN(D545)),5))-FIND(";",SUBSTITUTE(D545,"|",REPT(";",LEN(D545)),4))-1)</f>
        <v/>
      </c>
    </row>
    <row r="546" ht="140" customHeight="1" s="21">
      <c r="A546" s="13" t="inlineStr">
        <is>
          <t>100201</t>
        </is>
      </c>
      <c r="B546" s="13" t="inlineStr">
        <is>
          <t>圆钢</t>
        </is>
      </c>
      <c r="C546" s="13" t="inlineStr">
        <is>
          <t>600606600</t>
        </is>
      </c>
      <c r="D546" s="13" t="inlineStr">
        <is>
          <t>热轧航空用不锈圆钢|圆钢|Y2Cr13Ni2|Φ10|GJB 2294-1995|热轧|GB/T 702-2008</t>
        </is>
      </c>
      <c r="E546" s="13" t="inlineStr">
        <is>
          <t>物资名称 热轧航空用不锈圆钢;物资简称 圆钢;牌号 Y2Cr13Ni2;直径 Φ10;技术标准号 GJB 2294-1995;加工工艺 热轧;热处理工艺 ;特殊要求 ;规格标准号 GB/T 702-2008</t>
        </is>
      </c>
      <c r="F546" s="12" t="inlineStr">
        <is>
          <t>千克</t>
        </is>
      </c>
      <c r="G546" s="11">
        <f>LEFT(D546,FIND("|",D546,1)-1)</f>
        <v/>
      </c>
      <c r="H546" s="11">
        <f>MID(D546,FIND("|",D546,FIND("|",D546,1))+1,FIND("|",D546,FIND("|",D546,1)+1)-FIND("|",D546,FIND("|",D546,1))-1)</f>
        <v/>
      </c>
      <c r="J546" s="11">
        <f>MID(D546,FIND(";",SUBSTITUTE(D546,"|",REPT(";",LEN(D546)),2))+1,FIND(";",SUBSTITUTE(D546,"|",REPT(";",LEN(D546)),3))-FIND(";",SUBSTITUTE(D546,"|",REPT(";",LEN(D546)),2))-1)</f>
        <v/>
      </c>
      <c r="K546" s="11">
        <f>MID(D546,FIND(";",SUBSTITUTE(D546,"|",REPT(";",LEN(D546)),3))+1,FIND(";",SUBSTITUTE(D546,"|",REPT(";",LEN(D546)),4))-FIND(";",SUBSTITUTE(D546,"|",REPT(";",LEN(D546)),3))-1)</f>
        <v/>
      </c>
      <c r="M546" s="11">
        <f>MID(D546,FIND(";",SUBSTITUTE(D546,"|",REPT(";",LEN(D546)),4))+1,FIND(";",SUBSTITUTE(D546,"|",REPT(";",LEN(D546)),5))-FIND(";",SUBSTITUTE(D546,"|",REPT(";",LEN(D546)),4))-1)</f>
        <v/>
      </c>
      <c r="N546" s="11">
        <f>MID(D546,FIND(";",SUBSTITUTE(D546,"|",REPT(";",LEN(D546)),6))+1,LEN(D546))</f>
        <v/>
      </c>
      <c r="O546" s="11">
        <f>MID(D546,FIND(";",SUBSTITUTE(D546,"|",REPT(";",LEN(D546)),5))+1,FIND(";",SUBSTITUTE(D546,"|",REPT(";",LEN(D546)),6))-FIND(";",SUBSTITUTE(D546,"|",REPT(";",LEN(D546)),5))-1)</f>
        <v/>
      </c>
    </row>
    <row r="547" ht="140" customHeight="1" s="21">
      <c r="A547" s="13" t="inlineStr">
        <is>
          <t>100201</t>
        </is>
      </c>
      <c r="B547" s="13" t="inlineStr">
        <is>
          <t>圆钢</t>
        </is>
      </c>
      <c r="C547" s="13" t="inlineStr">
        <is>
          <t>600606500</t>
        </is>
      </c>
      <c r="D547" s="13" t="inlineStr">
        <is>
          <t>热轧航空用不锈圆钢|圆钢|Y2Cr13Ni2|Φ12|GJB 2294-1995|热轧|退火|GB/T 702-2008</t>
        </is>
      </c>
      <c r="E547" s="13" t="inlineStr">
        <is>
          <t>物资名称 热轧航空用不锈圆钢;物资简称 圆钢;牌号 Y2Cr13Ni2;直径 Φ12;技术标准号 GJB 2294-1995;加工工艺 热轧;热处理工艺 退火;特殊要求 ;规格标准号 GB/T 702-2008</t>
        </is>
      </c>
      <c r="F547" s="12" t="inlineStr">
        <is>
          <t>千克</t>
        </is>
      </c>
      <c r="G547" s="11">
        <f>LEFT(D547,FIND("|",D547,1)-1)</f>
        <v/>
      </c>
      <c r="H547" s="11">
        <f>MID(D547,FIND("|",D547,FIND("|",D547,1))+1,FIND("|",D547,FIND("|",D547,1)+1)-FIND("|",D547,FIND("|",D547,1))-1)</f>
        <v/>
      </c>
      <c r="J547" s="11">
        <f>MID(D547,FIND(";",SUBSTITUTE(D547,"|",REPT(";",LEN(D547)),2))+1,FIND(";",SUBSTITUTE(D547,"|",REPT(";",LEN(D547)),3))-FIND(";",SUBSTITUTE(D547,"|",REPT(";",LEN(D547)),2))-1)</f>
        <v/>
      </c>
      <c r="K547" s="11">
        <f>MID(D547,FIND(";",SUBSTITUTE(D547,"|",REPT(";",LEN(D547)),3))+1,FIND(";",SUBSTITUTE(D547,"|",REPT(";",LEN(D547)),4))-FIND(";",SUBSTITUTE(D547,"|",REPT(";",LEN(D547)),3))-1)</f>
        <v/>
      </c>
      <c r="M547" s="11">
        <f>MID(D547,FIND(";",SUBSTITUTE(D547,"|",REPT(";",LEN(D547)),4))+1,FIND(";",SUBSTITUTE(D547,"|",REPT(";",LEN(D547)),5))-FIND(";",SUBSTITUTE(D547,"|",REPT(";",LEN(D547)),4))-1)</f>
        <v/>
      </c>
      <c r="N547" s="11">
        <f>MID(D547,FIND(";",SUBSTITUTE(D547,"|",REPT(";",LEN(D547)),7))+1,LEN(D547))</f>
        <v/>
      </c>
      <c r="O547" s="11">
        <f>MID(D547,FIND(";",SUBSTITUTE(D547,"|",REPT(";",LEN(D547)),5))+1,FIND(";",SUBSTITUTE(D547,"|",REPT(";",LEN(D547)),6))-FIND(";",SUBSTITUTE(D547,"|",REPT(";",LEN(D547)),5))-1)</f>
        <v/>
      </c>
      <c r="P547" s="11">
        <f>MID(D547,FIND(";",SUBSTITUTE(D547,"|",REPT(";",LEN(D547)),6))+1,FIND(";",SUBSTITUTE(D547,"|",REPT(";",LEN(D547)),7))-FIND(";",SUBSTITUTE(D547,"|",REPT(";",LEN(D547)),6))-1)</f>
        <v/>
      </c>
    </row>
    <row r="548" ht="140" customHeight="1" s="21">
      <c r="A548" s="13" t="inlineStr">
        <is>
          <t>100201</t>
        </is>
      </c>
      <c r="B548" s="13" t="inlineStr">
        <is>
          <t>圆钢</t>
        </is>
      </c>
      <c r="C548" s="13" t="inlineStr">
        <is>
          <t>600606400</t>
        </is>
      </c>
      <c r="D548" s="13" t="inlineStr">
        <is>
          <t>热轧航空用不锈圆钢|圆钢|Y2Cr13Ni2|Φ14|GJB 2294-1995|热轧|退火|GB/T 702-2008</t>
        </is>
      </c>
      <c r="E548" s="13" t="inlineStr">
        <is>
          <t>物资名称 热轧航空用不锈圆钢;物资简称 圆钢;牌号 Y2Cr13Ni2;直径 Φ14;技术标准号 GJB 2294-1995;加工工艺 热轧;热处理工艺 退火;特殊要求 ;规格标准号 GB/T 702-2008</t>
        </is>
      </c>
      <c r="F548" s="12" t="inlineStr">
        <is>
          <t>千克</t>
        </is>
      </c>
      <c r="G548" s="11">
        <f>LEFT(D548,FIND("|",D548,1)-1)</f>
        <v/>
      </c>
      <c r="H548" s="11">
        <f>MID(D548,FIND("|",D548,FIND("|",D548,1))+1,FIND("|",D548,FIND("|",D548,1)+1)-FIND("|",D548,FIND("|",D548,1))-1)</f>
        <v/>
      </c>
      <c r="J548" s="11">
        <f>MID(D548,FIND(";",SUBSTITUTE(D548,"|",REPT(";",LEN(D548)),2))+1,FIND(";",SUBSTITUTE(D548,"|",REPT(";",LEN(D548)),3))-FIND(";",SUBSTITUTE(D548,"|",REPT(";",LEN(D548)),2))-1)</f>
        <v/>
      </c>
      <c r="K548" s="11">
        <f>MID(D548,FIND(";",SUBSTITUTE(D548,"|",REPT(";",LEN(D548)),3))+1,FIND(";",SUBSTITUTE(D548,"|",REPT(";",LEN(D548)),4))-FIND(";",SUBSTITUTE(D548,"|",REPT(";",LEN(D548)),3))-1)</f>
        <v/>
      </c>
      <c r="M548" s="11">
        <f>MID(D548,FIND(";",SUBSTITUTE(D548,"|",REPT(";",LEN(D548)),4))+1,FIND(";",SUBSTITUTE(D548,"|",REPT(";",LEN(D548)),5))-FIND(";",SUBSTITUTE(D548,"|",REPT(";",LEN(D548)),4))-1)</f>
        <v/>
      </c>
      <c r="N548" s="11">
        <f>MID(D548,FIND(";",SUBSTITUTE(D548,"|",REPT(";",LEN(D548)),7))+1,LEN(D548))</f>
        <v/>
      </c>
      <c r="O548" s="11">
        <f>MID(D548,FIND(";",SUBSTITUTE(D548,"|",REPT(";",LEN(D548)),5))+1,FIND(";",SUBSTITUTE(D548,"|",REPT(";",LEN(D548)),6))-FIND(";",SUBSTITUTE(D548,"|",REPT(";",LEN(D548)),5))-1)</f>
        <v/>
      </c>
      <c r="P548" s="11">
        <f>MID(D548,FIND(";",SUBSTITUTE(D548,"|",REPT(";",LEN(D548)),6))+1,FIND(";",SUBSTITUTE(D548,"|",REPT(";",LEN(D548)),7))-FIND(";",SUBSTITUTE(D548,"|",REPT(";",LEN(D548)),6))-1)</f>
        <v/>
      </c>
    </row>
    <row r="549" ht="140" customHeight="1" s="21">
      <c r="A549" s="13" t="inlineStr">
        <is>
          <t>100201</t>
        </is>
      </c>
      <c r="B549" s="13" t="inlineStr">
        <is>
          <t>圆钢</t>
        </is>
      </c>
      <c r="C549" s="13" t="inlineStr">
        <is>
          <t>600606300</t>
        </is>
      </c>
      <c r="D549" s="13" t="inlineStr">
        <is>
          <t>热轧航空用不锈圆钢|圆钢|Y2Cr13Ni2|Φ16|GJB 2294-1995|热轧|GB/T 702-2008</t>
        </is>
      </c>
      <c r="E549" s="13" t="inlineStr">
        <is>
          <t>物资名称 热轧航空用不锈圆钢;物资简称 圆钢;牌号 Y2Cr13Ni2;直径 Φ16;技术标准号 GJB 2294-1995;加工工艺 热轧;热处理工艺 ;特殊要求 ;规格标准号 GB/T 702-2008</t>
        </is>
      </c>
      <c r="F549" s="12" t="inlineStr">
        <is>
          <t>千克</t>
        </is>
      </c>
      <c r="G549" s="11">
        <f>LEFT(D549,FIND("|",D549,1)-1)</f>
        <v/>
      </c>
      <c r="H549" s="11">
        <f>MID(D549,FIND("|",D549,FIND("|",D549,1))+1,FIND("|",D549,FIND("|",D549,1)+1)-FIND("|",D549,FIND("|",D549,1))-1)</f>
        <v/>
      </c>
      <c r="J549" s="11">
        <f>MID(D549,FIND(";",SUBSTITUTE(D549,"|",REPT(";",LEN(D549)),2))+1,FIND(";",SUBSTITUTE(D549,"|",REPT(";",LEN(D549)),3))-FIND(";",SUBSTITUTE(D549,"|",REPT(";",LEN(D549)),2))-1)</f>
        <v/>
      </c>
      <c r="K549" s="11">
        <f>MID(D549,FIND(";",SUBSTITUTE(D549,"|",REPT(";",LEN(D549)),3))+1,FIND(";",SUBSTITUTE(D549,"|",REPT(";",LEN(D549)),4))-FIND(";",SUBSTITUTE(D549,"|",REPT(";",LEN(D549)),3))-1)</f>
        <v/>
      </c>
      <c r="M549" s="11">
        <f>MID(D549,FIND(";",SUBSTITUTE(D549,"|",REPT(";",LEN(D549)),4))+1,FIND(";",SUBSTITUTE(D549,"|",REPT(";",LEN(D549)),5))-FIND(";",SUBSTITUTE(D549,"|",REPT(";",LEN(D549)),4))-1)</f>
        <v/>
      </c>
      <c r="N549" s="11">
        <f>MID(D549,FIND(";",SUBSTITUTE(D549,"|",REPT(";",LEN(D549)),6))+1,LEN(D549))</f>
        <v/>
      </c>
      <c r="O549" s="11">
        <f>MID(D549,FIND(";",SUBSTITUTE(D549,"|",REPT(";",LEN(D549)),5))+1,FIND(";",SUBSTITUTE(D549,"|",REPT(";",LEN(D549)),6))-FIND(";",SUBSTITUTE(D549,"|",REPT(";",LEN(D549)),5))-1)</f>
        <v/>
      </c>
    </row>
    <row r="550" ht="140" customHeight="1" s="21">
      <c r="A550" s="13" t="inlineStr">
        <is>
          <t>100201</t>
        </is>
      </c>
      <c r="B550" s="13" t="inlineStr">
        <is>
          <t>圆钢</t>
        </is>
      </c>
      <c r="C550" s="13" t="inlineStr">
        <is>
          <t>600606200</t>
        </is>
      </c>
      <c r="D550" s="13" t="inlineStr">
        <is>
          <t>热轧航空用不锈圆钢|圆钢|Y2Cr13Ni2|Φ18|GJB 2294-1995|热轧|退火|GB/T 702-2008</t>
        </is>
      </c>
      <c r="E550" s="13" t="inlineStr">
        <is>
          <t>物资名称 热轧航空用不锈圆钢;物资简称 圆钢;牌号 Y2Cr13Ni2;直径 Φ18;技术标准号 GJB 2294-1995;加工工艺 热轧;热处理工艺 退火;特殊要求 ;规格标准号 GB/T 702-2008</t>
        </is>
      </c>
      <c r="F550" s="12" t="inlineStr">
        <is>
          <t>千克</t>
        </is>
      </c>
      <c r="G550" s="11">
        <f>LEFT(D550,FIND("|",D550,1)-1)</f>
        <v/>
      </c>
      <c r="H550" s="11">
        <f>MID(D550,FIND("|",D550,FIND("|",D550,1))+1,FIND("|",D550,FIND("|",D550,1)+1)-FIND("|",D550,FIND("|",D550,1))-1)</f>
        <v/>
      </c>
      <c r="J550" s="11">
        <f>MID(D550,FIND(";",SUBSTITUTE(D550,"|",REPT(";",LEN(D550)),2))+1,FIND(";",SUBSTITUTE(D550,"|",REPT(";",LEN(D550)),3))-FIND(";",SUBSTITUTE(D550,"|",REPT(";",LEN(D550)),2))-1)</f>
        <v/>
      </c>
      <c r="K550" s="11">
        <f>MID(D550,FIND(";",SUBSTITUTE(D550,"|",REPT(";",LEN(D550)),3))+1,FIND(";",SUBSTITUTE(D550,"|",REPT(";",LEN(D550)),4))-FIND(";",SUBSTITUTE(D550,"|",REPT(";",LEN(D550)),3))-1)</f>
        <v/>
      </c>
      <c r="M550" s="11">
        <f>MID(D550,FIND(";",SUBSTITUTE(D550,"|",REPT(";",LEN(D550)),4))+1,FIND(";",SUBSTITUTE(D550,"|",REPT(";",LEN(D550)),5))-FIND(";",SUBSTITUTE(D550,"|",REPT(";",LEN(D550)),4))-1)</f>
        <v/>
      </c>
      <c r="N550" s="11">
        <f>MID(D550,FIND(";",SUBSTITUTE(D550,"|",REPT(";",LEN(D550)),7))+1,LEN(D550))</f>
        <v/>
      </c>
      <c r="O550" s="11">
        <f>MID(D550,FIND(";",SUBSTITUTE(D550,"|",REPT(";",LEN(D550)),5))+1,FIND(";",SUBSTITUTE(D550,"|",REPT(";",LEN(D550)),6))-FIND(";",SUBSTITUTE(D550,"|",REPT(";",LEN(D550)),5))-1)</f>
        <v/>
      </c>
      <c r="P550" s="11">
        <f>MID(D550,FIND(";",SUBSTITUTE(D550,"|",REPT(";",LEN(D550)),6))+1,FIND(";",SUBSTITUTE(D550,"|",REPT(";",LEN(D550)),7))-FIND(";",SUBSTITUTE(D550,"|",REPT(";",LEN(D550)),6))-1)</f>
        <v/>
      </c>
    </row>
    <row r="551" ht="140" customHeight="1" s="21">
      <c r="A551" s="13" t="inlineStr">
        <is>
          <t>100201</t>
        </is>
      </c>
      <c r="B551" s="13" t="inlineStr">
        <is>
          <t>圆钢</t>
        </is>
      </c>
      <c r="C551" s="13" t="inlineStr">
        <is>
          <t>600606100</t>
        </is>
      </c>
      <c r="D551" s="13" t="inlineStr">
        <is>
          <t>热轧航空用不锈圆钢|圆钢|Y2Cr13Ni2|Φ20|GJB 2294-1995|热轧|GB/T 702-2008</t>
        </is>
      </c>
      <c r="E551" s="13" t="inlineStr">
        <is>
          <t>物资名称 热轧航空用不锈圆钢;物资简称 圆钢;牌号 Y2Cr13Ni2;直径 Φ20;技术标准号 GJB 2294-1995;加工工艺 热轧;热处理工艺 ;特殊要求 ;规格标准号 GB/T 702-2008</t>
        </is>
      </c>
      <c r="F551" s="12" t="inlineStr">
        <is>
          <t>千克</t>
        </is>
      </c>
      <c r="G551" s="11">
        <f>LEFT(D551,FIND("|",D551,1)-1)</f>
        <v/>
      </c>
      <c r="H551" s="11">
        <f>MID(D551,FIND("|",D551,FIND("|",D551,1))+1,FIND("|",D551,FIND("|",D551,1)+1)-FIND("|",D551,FIND("|",D551,1))-1)</f>
        <v/>
      </c>
      <c r="J551" s="11">
        <f>MID(D551,FIND(";",SUBSTITUTE(D551,"|",REPT(";",LEN(D551)),2))+1,FIND(";",SUBSTITUTE(D551,"|",REPT(";",LEN(D551)),3))-FIND(";",SUBSTITUTE(D551,"|",REPT(";",LEN(D551)),2))-1)</f>
        <v/>
      </c>
      <c r="K551" s="11">
        <f>MID(D551,FIND(";",SUBSTITUTE(D551,"|",REPT(";",LEN(D551)),3))+1,FIND(";",SUBSTITUTE(D551,"|",REPT(";",LEN(D551)),4))-FIND(";",SUBSTITUTE(D551,"|",REPT(";",LEN(D551)),3))-1)</f>
        <v/>
      </c>
      <c r="M551" s="11">
        <f>MID(D551,FIND(";",SUBSTITUTE(D551,"|",REPT(";",LEN(D551)),4))+1,FIND(";",SUBSTITUTE(D551,"|",REPT(";",LEN(D551)),5))-FIND(";",SUBSTITUTE(D551,"|",REPT(";",LEN(D551)),4))-1)</f>
        <v/>
      </c>
      <c r="N551" s="11">
        <f>MID(D551,FIND(";",SUBSTITUTE(D551,"|",REPT(";",LEN(D551)),6))+1,LEN(D551))</f>
        <v/>
      </c>
      <c r="O551" s="11">
        <f>MID(D551,FIND(";",SUBSTITUTE(D551,"|",REPT(";",LEN(D551)),5))+1,FIND(";",SUBSTITUTE(D551,"|",REPT(";",LEN(D551)),6))-FIND(";",SUBSTITUTE(D551,"|",REPT(";",LEN(D551)),5))-1)</f>
        <v/>
      </c>
    </row>
    <row r="552" ht="140" customHeight="1" s="21">
      <c r="A552" s="13" t="inlineStr">
        <is>
          <t>100201</t>
        </is>
      </c>
      <c r="B552" s="13" t="inlineStr">
        <is>
          <t>圆钢</t>
        </is>
      </c>
      <c r="C552" s="13" t="inlineStr">
        <is>
          <t>600606000</t>
        </is>
      </c>
      <c r="D552" s="13" t="inlineStr">
        <is>
          <t>热轧航空用不锈圆钢|圆钢|Y2Cr13Ni2|Φ22|GJB 2294-1995|热轧|GB/T 702-2008</t>
        </is>
      </c>
      <c r="E552" s="13" t="inlineStr">
        <is>
          <t>物资名称 热轧航空用不锈圆钢;物资简称 圆钢;牌号 Y2Cr13Ni2;直径 Φ22;技术标准号 GJB 2294-1995;加工工艺 热轧;热处理工艺 ;特殊要求 ;规格标准号 GB/T 702-2008</t>
        </is>
      </c>
      <c r="F552" s="12" t="inlineStr">
        <is>
          <t>千克</t>
        </is>
      </c>
      <c r="G552" s="11">
        <f>LEFT(D552,FIND("|",D552,1)-1)</f>
        <v/>
      </c>
      <c r="H552" s="11">
        <f>MID(D552,FIND("|",D552,FIND("|",D552,1))+1,FIND("|",D552,FIND("|",D552,1)+1)-FIND("|",D552,FIND("|",D552,1))-1)</f>
        <v/>
      </c>
      <c r="J552" s="11">
        <f>MID(D552,FIND(";",SUBSTITUTE(D552,"|",REPT(";",LEN(D552)),2))+1,FIND(";",SUBSTITUTE(D552,"|",REPT(";",LEN(D552)),3))-FIND(";",SUBSTITUTE(D552,"|",REPT(";",LEN(D552)),2))-1)</f>
        <v/>
      </c>
      <c r="K552" s="11">
        <f>MID(D552,FIND(";",SUBSTITUTE(D552,"|",REPT(";",LEN(D552)),3))+1,FIND(";",SUBSTITUTE(D552,"|",REPT(";",LEN(D552)),4))-FIND(";",SUBSTITUTE(D552,"|",REPT(";",LEN(D552)),3))-1)</f>
        <v/>
      </c>
      <c r="M552" s="11">
        <f>MID(D552,FIND(";",SUBSTITUTE(D552,"|",REPT(";",LEN(D552)),4))+1,FIND(";",SUBSTITUTE(D552,"|",REPT(";",LEN(D552)),5))-FIND(";",SUBSTITUTE(D552,"|",REPT(";",LEN(D552)),4))-1)</f>
        <v/>
      </c>
      <c r="N552" s="11">
        <f>MID(D552,FIND(";",SUBSTITUTE(D552,"|",REPT(";",LEN(D552)),6))+1,LEN(D552))</f>
        <v/>
      </c>
      <c r="O552" s="11">
        <f>MID(D552,FIND(";",SUBSTITUTE(D552,"|",REPT(";",LEN(D552)),5))+1,FIND(";",SUBSTITUTE(D552,"|",REPT(";",LEN(D552)),6))-FIND(";",SUBSTITUTE(D552,"|",REPT(";",LEN(D552)),5))-1)</f>
        <v/>
      </c>
    </row>
    <row r="553" ht="140" customHeight="1" s="21">
      <c r="A553" s="13" t="inlineStr">
        <is>
          <t>100201</t>
        </is>
      </c>
      <c r="B553" s="13" t="inlineStr">
        <is>
          <t>圆钢</t>
        </is>
      </c>
      <c r="C553" s="13" t="inlineStr">
        <is>
          <t>600605900</t>
        </is>
      </c>
      <c r="D553" s="13" t="inlineStr">
        <is>
          <t>热轧航空用不锈圆钢|圆钢|Y2Cr13Ni2|Φ24|GJB 2294-1995|热轧|GB/T 702-2008</t>
        </is>
      </c>
      <c r="E553" s="13" t="inlineStr">
        <is>
          <t>物资名称 热轧航空用不锈圆钢;物资简称 圆钢;牌号 Y2Cr13Ni2;直径 Φ24;技术标准号 GJB 2294-1995;加工工艺 热轧;热处理工艺 ;特殊要求 ;规格标准号 GB/T 702-2008</t>
        </is>
      </c>
      <c r="F553" s="12" t="inlineStr">
        <is>
          <t>千克</t>
        </is>
      </c>
      <c r="G553" s="11">
        <f>LEFT(D553,FIND("|",D553,1)-1)</f>
        <v/>
      </c>
      <c r="H553" s="11">
        <f>MID(D553,FIND("|",D553,FIND("|",D553,1))+1,FIND("|",D553,FIND("|",D553,1)+1)-FIND("|",D553,FIND("|",D553,1))-1)</f>
        <v/>
      </c>
      <c r="J553" s="11">
        <f>MID(D553,FIND(";",SUBSTITUTE(D553,"|",REPT(";",LEN(D553)),2))+1,FIND(";",SUBSTITUTE(D553,"|",REPT(";",LEN(D553)),3))-FIND(";",SUBSTITUTE(D553,"|",REPT(";",LEN(D553)),2))-1)</f>
        <v/>
      </c>
      <c r="K553" s="11">
        <f>MID(D553,FIND(";",SUBSTITUTE(D553,"|",REPT(";",LEN(D553)),3))+1,FIND(";",SUBSTITUTE(D553,"|",REPT(";",LEN(D553)),4))-FIND(";",SUBSTITUTE(D553,"|",REPT(";",LEN(D553)),3))-1)</f>
        <v/>
      </c>
      <c r="M553" s="11">
        <f>MID(D553,FIND(";",SUBSTITUTE(D553,"|",REPT(";",LEN(D553)),4))+1,FIND(";",SUBSTITUTE(D553,"|",REPT(";",LEN(D553)),5))-FIND(";",SUBSTITUTE(D553,"|",REPT(";",LEN(D553)),4))-1)</f>
        <v/>
      </c>
      <c r="N553" s="11">
        <f>MID(D553,FIND(";",SUBSTITUTE(D553,"|",REPT(";",LEN(D553)),6))+1,LEN(D553))</f>
        <v/>
      </c>
      <c r="O553" s="11">
        <f>MID(D553,FIND(";",SUBSTITUTE(D553,"|",REPT(";",LEN(D553)),5))+1,FIND(";",SUBSTITUTE(D553,"|",REPT(";",LEN(D553)),6))-FIND(";",SUBSTITUTE(D553,"|",REPT(";",LEN(D553)),5))-1)</f>
        <v/>
      </c>
    </row>
    <row r="554" ht="140" customHeight="1" s="21">
      <c r="A554" s="13" t="inlineStr">
        <is>
          <t>100201</t>
        </is>
      </c>
      <c r="B554" s="13" t="inlineStr">
        <is>
          <t>圆钢</t>
        </is>
      </c>
      <c r="C554" s="13" t="inlineStr">
        <is>
          <t>600605800</t>
        </is>
      </c>
      <c r="D554" s="13" t="inlineStr">
        <is>
          <t>热轧航空用不锈圆钢|圆钢|Y2Cr13Ni2|Φ25|GJB 2294-1995|热轧|GB/T 702-2008</t>
        </is>
      </c>
      <c r="E554" s="13" t="inlineStr">
        <is>
          <t>物资名称 热轧航空用不锈圆钢;物资简称 圆钢;牌号 Y2Cr13Ni2;直径 Φ25;技术标准号 GJB 2294-1995;加工工艺 热轧;热处理工艺 ;特殊要求 ;规格标准号 GB/T 702-2008</t>
        </is>
      </c>
      <c r="F554" s="12" t="inlineStr">
        <is>
          <t>千克</t>
        </is>
      </c>
      <c r="G554" s="11">
        <f>LEFT(D554,FIND("|",D554,1)-1)</f>
        <v/>
      </c>
      <c r="H554" s="11">
        <f>MID(D554,FIND("|",D554,FIND("|",D554,1))+1,FIND("|",D554,FIND("|",D554,1)+1)-FIND("|",D554,FIND("|",D554,1))-1)</f>
        <v/>
      </c>
      <c r="J554" s="11">
        <f>MID(D554,FIND(";",SUBSTITUTE(D554,"|",REPT(";",LEN(D554)),2))+1,FIND(";",SUBSTITUTE(D554,"|",REPT(";",LEN(D554)),3))-FIND(";",SUBSTITUTE(D554,"|",REPT(";",LEN(D554)),2))-1)</f>
        <v/>
      </c>
      <c r="K554" s="11">
        <f>MID(D554,FIND(";",SUBSTITUTE(D554,"|",REPT(";",LEN(D554)),3))+1,FIND(";",SUBSTITUTE(D554,"|",REPT(";",LEN(D554)),4))-FIND(";",SUBSTITUTE(D554,"|",REPT(";",LEN(D554)),3))-1)</f>
        <v/>
      </c>
      <c r="M554" s="11">
        <f>MID(D554,FIND(";",SUBSTITUTE(D554,"|",REPT(";",LEN(D554)),4))+1,FIND(";",SUBSTITUTE(D554,"|",REPT(";",LEN(D554)),5))-FIND(";",SUBSTITUTE(D554,"|",REPT(";",LEN(D554)),4))-1)</f>
        <v/>
      </c>
      <c r="N554" s="11">
        <f>MID(D554,FIND(";",SUBSTITUTE(D554,"|",REPT(";",LEN(D554)),6))+1,LEN(D554))</f>
        <v/>
      </c>
      <c r="O554" s="11">
        <f>MID(D554,FIND(";",SUBSTITUTE(D554,"|",REPT(";",LEN(D554)),5))+1,FIND(";",SUBSTITUTE(D554,"|",REPT(";",LEN(D554)),6))-FIND(";",SUBSTITUTE(D554,"|",REPT(";",LEN(D554)),5))-1)</f>
        <v/>
      </c>
    </row>
    <row r="555" ht="140" customHeight="1" s="21">
      <c r="A555" s="13" t="inlineStr">
        <is>
          <t>100201</t>
        </is>
      </c>
      <c r="B555" s="13" t="inlineStr">
        <is>
          <t>圆钢</t>
        </is>
      </c>
      <c r="C555" s="13" t="inlineStr">
        <is>
          <t>600605700</t>
        </is>
      </c>
      <c r="D555" s="13" t="inlineStr">
        <is>
          <t>热轧航空用不锈圆钢|圆钢|Y2Cr13Ni2|Φ28|GJB 2294-1995|热轧|GB/T 702-2008</t>
        </is>
      </c>
      <c r="E555" s="13" t="inlineStr">
        <is>
          <t>物资名称 热轧航空用不锈圆钢;物资简称 圆钢;牌号 Y2Cr13Ni2;直径 Φ28;技术标准号 GJB 2294-1995;加工工艺 热轧;热处理工艺 ;特殊要求 ;规格标准号 GB/T 702-2008</t>
        </is>
      </c>
      <c r="F555" s="12" t="inlineStr">
        <is>
          <t>千克</t>
        </is>
      </c>
      <c r="G555" s="11">
        <f>LEFT(D555,FIND("|",D555,1)-1)</f>
        <v/>
      </c>
      <c r="H555" s="11">
        <f>MID(D555,FIND("|",D555,FIND("|",D555,1))+1,FIND("|",D555,FIND("|",D555,1)+1)-FIND("|",D555,FIND("|",D555,1))-1)</f>
        <v/>
      </c>
      <c r="J555" s="11">
        <f>MID(D555,FIND(";",SUBSTITUTE(D555,"|",REPT(";",LEN(D555)),2))+1,FIND(";",SUBSTITUTE(D555,"|",REPT(";",LEN(D555)),3))-FIND(";",SUBSTITUTE(D555,"|",REPT(";",LEN(D555)),2))-1)</f>
        <v/>
      </c>
      <c r="K555" s="11">
        <f>MID(D555,FIND(";",SUBSTITUTE(D555,"|",REPT(";",LEN(D555)),3))+1,FIND(";",SUBSTITUTE(D555,"|",REPT(";",LEN(D555)),4))-FIND(";",SUBSTITUTE(D555,"|",REPT(";",LEN(D555)),3))-1)</f>
        <v/>
      </c>
      <c r="M555" s="11">
        <f>MID(D555,FIND(";",SUBSTITUTE(D555,"|",REPT(";",LEN(D555)),4))+1,FIND(";",SUBSTITUTE(D555,"|",REPT(";",LEN(D555)),5))-FIND(";",SUBSTITUTE(D555,"|",REPT(";",LEN(D555)),4))-1)</f>
        <v/>
      </c>
      <c r="N555" s="11">
        <f>MID(D555,FIND(";",SUBSTITUTE(D555,"|",REPT(";",LEN(D555)),6))+1,LEN(D555))</f>
        <v/>
      </c>
      <c r="O555" s="11">
        <f>MID(D555,FIND(";",SUBSTITUTE(D555,"|",REPT(";",LEN(D555)),5))+1,FIND(";",SUBSTITUTE(D555,"|",REPT(";",LEN(D555)),6))-FIND(";",SUBSTITUTE(D555,"|",REPT(";",LEN(D555)),5))-1)</f>
        <v/>
      </c>
    </row>
    <row r="556" ht="140" customHeight="1" s="21">
      <c r="A556" s="13" t="inlineStr">
        <is>
          <t>100201</t>
        </is>
      </c>
      <c r="B556" s="13" t="inlineStr">
        <is>
          <t>圆钢</t>
        </is>
      </c>
      <c r="C556" s="13" t="inlineStr">
        <is>
          <t>600605600</t>
        </is>
      </c>
      <c r="D556" s="13" t="inlineStr">
        <is>
          <t>热轧航空用不锈圆钢|圆钢|Y2Cr13Ni2|Φ30|GJB 2294-1995|热轧|GB/T 702-2008</t>
        </is>
      </c>
      <c r="E556" s="13" t="inlineStr">
        <is>
          <t>物资名称 热轧航空用不锈圆钢;物资简称 圆钢;牌号 Y2Cr13Ni2;直径 Φ30;技术标准号 GJB 2294-1995;加工工艺 热轧;热处理工艺 ;特殊要求 ;规格标准号 GB/T 702-2008</t>
        </is>
      </c>
      <c r="F556" s="12" t="inlineStr">
        <is>
          <t>千克</t>
        </is>
      </c>
      <c r="G556" s="11">
        <f>LEFT(D556,FIND("|",D556,1)-1)</f>
        <v/>
      </c>
      <c r="H556" s="11">
        <f>MID(D556,FIND("|",D556,FIND("|",D556,1))+1,FIND("|",D556,FIND("|",D556,1)+1)-FIND("|",D556,FIND("|",D556,1))-1)</f>
        <v/>
      </c>
      <c r="J556" s="11">
        <f>MID(D556,FIND(";",SUBSTITUTE(D556,"|",REPT(";",LEN(D556)),2))+1,FIND(";",SUBSTITUTE(D556,"|",REPT(";",LEN(D556)),3))-FIND(";",SUBSTITUTE(D556,"|",REPT(";",LEN(D556)),2))-1)</f>
        <v/>
      </c>
      <c r="K556" s="11">
        <f>MID(D556,FIND(";",SUBSTITUTE(D556,"|",REPT(";",LEN(D556)),3))+1,FIND(";",SUBSTITUTE(D556,"|",REPT(";",LEN(D556)),4))-FIND(";",SUBSTITUTE(D556,"|",REPT(";",LEN(D556)),3))-1)</f>
        <v/>
      </c>
      <c r="M556" s="11">
        <f>MID(D556,FIND(";",SUBSTITUTE(D556,"|",REPT(";",LEN(D556)),4))+1,FIND(";",SUBSTITUTE(D556,"|",REPT(";",LEN(D556)),5))-FIND(";",SUBSTITUTE(D556,"|",REPT(";",LEN(D556)),4))-1)</f>
        <v/>
      </c>
      <c r="N556" s="11">
        <f>MID(D556,FIND(";",SUBSTITUTE(D556,"|",REPT(";",LEN(D556)),6))+1,LEN(D556))</f>
        <v/>
      </c>
      <c r="O556" s="11">
        <f>MID(D556,FIND(";",SUBSTITUTE(D556,"|",REPT(";",LEN(D556)),5))+1,FIND(";",SUBSTITUTE(D556,"|",REPT(";",LEN(D556)),6))-FIND(";",SUBSTITUTE(D556,"|",REPT(";",LEN(D556)),5))-1)</f>
        <v/>
      </c>
    </row>
    <row r="557" ht="140" customHeight="1" s="21">
      <c r="A557" s="13" t="inlineStr">
        <is>
          <t>100201</t>
        </is>
      </c>
      <c r="B557" s="13" t="inlineStr">
        <is>
          <t>圆钢</t>
        </is>
      </c>
      <c r="C557" s="13" t="inlineStr">
        <is>
          <t>600605500</t>
        </is>
      </c>
      <c r="D557" s="13" t="inlineStr">
        <is>
          <t>热轧航空用不锈圆钢|圆钢|Y2Cr13Ni2|Φ32|GJB 2294-1995|热轧|GB/T 702-2008</t>
        </is>
      </c>
      <c r="E557" s="13" t="inlineStr">
        <is>
          <t>物资名称 热轧航空用不锈圆钢;物资简称 圆钢;牌号 Y2Cr13Ni2;直径 Φ32;技术标准号 GJB 2294-1995;加工工艺 热轧;热处理工艺 ;特殊要求 ;规格标准号 GB/T 702-2008</t>
        </is>
      </c>
      <c r="F557" s="12" t="inlineStr">
        <is>
          <t>千克</t>
        </is>
      </c>
      <c r="G557" s="11">
        <f>LEFT(D557,FIND("|",D557,1)-1)</f>
        <v/>
      </c>
      <c r="H557" s="11">
        <f>MID(D557,FIND("|",D557,FIND("|",D557,1))+1,FIND("|",D557,FIND("|",D557,1)+1)-FIND("|",D557,FIND("|",D557,1))-1)</f>
        <v/>
      </c>
      <c r="J557" s="11">
        <f>MID(D557,FIND(";",SUBSTITUTE(D557,"|",REPT(";",LEN(D557)),2))+1,FIND(";",SUBSTITUTE(D557,"|",REPT(";",LEN(D557)),3))-FIND(";",SUBSTITUTE(D557,"|",REPT(";",LEN(D557)),2))-1)</f>
        <v/>
      </c>
      <c r="K557" s="11">
        <f>MID(D557,FIND(";",SUBSTITUTE(D557,"|",REPT(";",LEN(D557)),3))+1,FIND(";",SUBSTITUTE(D557,"|",REPT(";",LEN(D557)),4))-FIND(";",SUBSTITUTE(D557,"|",REPT(";",LEN(D557)),3))-1)</f>
        <v/>
      </c>
      <c r="M557" s="11">
        <f>MID(D557,FIND(";",SUBSTITUTE(D557,"|",REPT(";",LEN(D557)),4))+1,FIND(";",SUBSTITUTE(D557,"|",REPT(";",LEN(D557)),5))-FIND(";",SUBSTITUTE(D557,"|",REPT(";",LEN(D557)),4))-1)</f>
        <v/>
      </c>
      <c r="N557" s="11">
        <f>MID(D557,FIND(";",SUBSTITUTE(D557,"|",REPT(";",LEN(D557)),6))+1,LEN(D557))</f>
        <v/>
      </c>
      <c r="O557" s="11">
        <f>MID(D557,FIND(";",SUBSTITUTE(D557,"|",REPT(";",LEN(D557)),5))+1,FIND(";",SUBSTITUTE(D557,"|",REPT(";",LEN(D557)),6))-FIND(";",SUBSTITUTE(D557,"|",REPT(";",LEN(D557)),5))-1)</f>
        <v/>
      </c>
    </row>
    <row r="558" ht="140" customHeight="1" s="21">
      <c r="A558" s="13" t="inlineStr">
        <is>
          <t>100201</t>
        </is>
      </c>
      <c r="B558" s="13" t="inlineStr">
        <is>
          <t>圆钢</t>
        </is>
      </c>
      <c r="C558" s="13" t="inlineStr">
        <is>
          <t>600605400</t>
        </is>
      </c>
      <c r="D558" s="13" t="inlineStr">
        <is>
          <t>热轧航空用不锈圆钢|圆钢|Y2Cr13Ni2|Φ35|GJB 2294-1995|热轧|退火|GB/T 702-2008</t>
        </is>
      </c>
      <c r="E558" s="13" t="inlineStr">
        <is>
          <t>物资名称 热轧航空用不锈圆钢;物资简称 圆钢;牌号 Y2Cr13Ni2;直径 Φ35;技术标准号 GJB 2294-1995;加工工艺 热轧;热处理工艺 退火;特殊要求 ;规格标准号 GB/T 702-2008</t>
        </is>
      </c>
      <c r="F558" s="12" t="inlineStr">
        <is>
          <t>千克</t>
        </is>
      </c>
      <c r="G558" s="11">
        <f>LEFT(D558,FIND("|",D558,1)-1)</f>
        <v/>
      </c>
      <c r="H558" s="11">
        <f>MID(D558,FIND("|",D558,FIND("|",D558,1))+1,FIND("|",D558,FIND("|",D558,1)+1)-FIND("|",D558,FIND("|",D558,1))-1)</f>
        <v/>
      </c>
      <c r="J558" s="11">
        <f>MID(D558,FIND(";",SUBSTITUTE(D558,"|",REPT(";",LEN(D558)),2))+1,FIND(";",SUBSTITUTE(D558,"|",REPT(";",LEN(D558)),3))-FIND(";",SUBSTITUTE(D558,"|",REPT(";",LEN(D558)),2))-1)</f>
        <v/>
      </c>
      <c r="K558" s="11">
        <f>MID(D558,FIND(";",SUBSTITUTE(D558,"|",REPT(";",LEN(D558)),3))+1,FIND(";",SUBSTITUTE(D558,"|",REPT(";",LEN(D558)),4))-FIND(";",SUBSTITUTE(D558,"|",REPT(";",LEN(D558)),3))-1)</f>
        <v/>
      </c>
      <c r="M558" s="11">
        <f>MID(D558,FIND(";",SUBSTITUTE(D558,"|",REPT(";",LEN(D558)),4))+1,FIND(";",SUBSTITUTE(D558,"|",REPT(";",LEN(D558)),5))-FIND(";",SUBSTITUTE(D558,"|",REPT(";",LEN(D558)),4))-1)</f>
        <v/>
      </c>
      <c r="N558" s="11">
        <f>MID(D558,FIND(";",SUBSTITUTE(D558,"|",REPT(";",LEN(D558)),7))+1,LEN(D558))</f>
        <v/>
      </c>
      <c r="O558" s="11">
        <f>MID(D558,FIND(";",SUBSTITUTE(D558,"|",REPT(";",LEN(D558)),5))+1,FIND(";",SUBSTITUTE(D558,"|",REPT(";",LEN(D558)),6))-FIND(";",SUBSTITUTE(D558,"|",REPT(";",LEN(D558)),5))-1)</f>
        <v/>
      </c>
      <c r="P558" s="11">
        <f>MID(D558,FIND(";",SUBSTITUTE(D558,"|",REPT(";",LEN(D558)),6))+1,FIND(";",SUBSTITUTE(D558,"|",REPT(";",LEN(D558)),7))-FIND(";",SUBSTITUTE(D558,"|",REPT(";",LEN(D558)),6))-1)</f>
        <v/>
      </c>
    </row>
    <row r="559" ht="140" customHeight="1" s="21">
      <c r="A559" s="13" t="inlineStr">
        <is>
          <t>100201</t>
        </is>
      </c>
      <c r="B559" s="13" t="inlineStr">
        <is>
          <t>圆钢</t>
        </is>
      </c>
      <c r="C559" s="13" t="inlineStr">
        <is>
          <t>600605300</t>
        </is>
      </c>
      <c r="D559" s="13" t="inlineStr">
        <is>
          <t>热轧航空用不锈圆钢|圆钢|Y2Cr13Ni2|Φ42|GJB 2294-1995|热轧|退火|GB/T 702-2008</t>
        </is>
      </c>
      <c r="E559" s="13" t="inlineStr">
        <is>
          <t>物资名称 热轧航空用不锈圆钢;物资简称 圆钢;牌号 Y2Cr13Ni2;直径 Φ42;技术标准号 GJB 2294-1995;加工工艺 热轧;热处理工艺 退火;特殊要求 ;规格标准号 GB/T 702-2008</t>
        </is>
      </c>
      <c r="F559" s="12" t="inlineStr">
        <is>
          <t>千克</t>
        </is>
      </c>
      <c r="G559" s="11">
        <f>LEFT(D559,FIND("|",D559,1)-1)</f>
        <v/>
      </c>
      <c r="H559" s="11">
        <f>MID(D559,FIND("|",D559,FIND("|",D559,1))+1,FIND("|",D559,FIND("|",D559,1)+1)-FIND("|",D559,FIND("|",D559,1))-1)</f>
        <v/>
      </c>
      <c r="J559" s="11">
        <f>MID(D559,FIND(";",SUBSTITUTE(D559,"|",REPT(";",LEN(D559)),2))+1,FIND(";",SUBSTITUTE(D559,"|",REPT(";",LEN(D559)),3))-FIND(";",SUBSTITUTE(D559,"|",REPT(";",LEN(D559)),2))-1)</f>
        <v/>
      </c>
      <c r="K559" s="11">
        <f>MID(D559,FIND(";",SUBSTITUTE(D559,"|",REPT(";",LEN(D559)),3))+1,FIND(";",SUBSTITUTE(D559,"|",REPT(";",LEN(D559)),4))-FIND(";",SUBSTITUTE(D559,"|",REPT(";",LEN(D559)),3))-1)</f>
        <v/>
      </c>
      <c r="M559" s="11">
        <f>MID(D559,FIND(";",SUBSTITUTE(D559,"|",REPT(";",LEN(D559)),4))+1,FIND(";",SUBSTITUTE(D559,"|",REPT(";",LEN(D559)),5))-FIND(";",SUBSTITUTE(D559,"|",REPT(";",LEN(D559)),4))-1)</f>
        <v/>
      </c>
      <c r="N559" s="11">
        <f>MID(D559,FIND(";",SUBSTITUTE(D559,"|",REPT(";",LEN(D559)),7))+1,LEN(D559))</f>
        <v/>
      </c>
      <c r="O559" s="11">
        <f>MID(D559,FIND(";",SUBSTITUTE(D559,"|",REPT(";",LEN(D559)),5))+1,FIND(";",SUBSTITUTE(D559,"|",REPT(";",LEN(D559)),6))-FIND(";",SUBSTITUTE(D559,"|",REPT(";",LEN(D559)),5))-1)</f>
        <v/>
      </c>
      <c r="P559" s="11">
        <f>MID(D559,FIND(";",SUBSTITUTE(D559,"|",REPT(";",LEN(D559)),6))+1,FIND(";",SUBSTITUTE(D559,"|",REPT(";",LEN(D559)),7))-FIND(";",SUBSTITUTE(D559,"|",REPT(";",LEN(D559)),6))-1)</f>
        <v/>
      </c>
    </row>
    <row r="560" ht="140" customHeight="1" s="21">
      <c r="A560" s="13" t="inlineStr">
        <is>
          <t>100201</t>
        </is>
      </c>
      <c r="B560" s="13" t="inlineStr">
        <is>
          <t>圆钢</t>
        </is>
      </c>
      <c r="C560" s="13" t="inlineStr">
        <is>
          <t>600605200</t>
        </is>
      </c>
      <c r="D560" s="13" t="inlineStr">
        <is>
          <t>热轧航空用不锈圆钢|圆钢|Y2Cr13Ni2|Φ42|GJB 2294-1995|热轧|GB/T 702-2008</t>
        </is>
      </c>
      <c r="E560" s="13" t="inlineStr">
        <is>
          <t>物资名称 热轧航空用不锈圆钢;物资简称 圆钢;牌号 Y2Cr13Ni2;直径 Φ42;技术标准号 GJB 2294-1995;加工工艺 热轧;热处理工艺 ;特殊要求 ;规格标准号 GB/T 702-2008</t>
        </is>
      </c>
      <c r="F560" s="12" t="inlineStr">
        <is>
          <t>千克</t>
        </is>
      </c>
      <c r="G560" s="11">
        <f>LEFT(D560,FIND("|",D560,1)-1)</f>
        <v/>
      </c>
      <c r="H560" s="11">
        <f>MID(D560,FIND("|",D560,FIND("|",D560,1))+1,FIND("|",D560,FIND("|",D560,1)+1)-FIND("|",D560,FIND("|",D560,1))-1)</f>
        <v/>
      </c>
      <c r="J560" s="11">
        <f>MID(D560,FIND(";",SUBSTITUTE(D560,"|",REPT(";",LEN(D560)),2))+1,FIND(";",SUBSTITUTE(D560,"|",REPT(";",LEN(D560)),3))-FIND(";",SUBSTITUTE(D560,"|",REPT(";",LEN(D560)),2))-1)</f>
        <v/>
      </c>
      <c r="K560" s="11">
        <f>MID(D560,FIND(";",SUBSTITUTE(D560,"|",REPT(";",LEN(D560)),3))+1,FIND(";",SUBSTITUTE(D560,"|",REPT(";",LEN(D560)),4))-FIND(";",SUBSTITUTE(D560,"|",REPT(";",LEN(D560)),3))-1)</f>
        <v/>
      </c>
      <c r="M560" s="11">
        <f>MID(D560,FIND(";",SUBSTITUTE(D560,"|",REPT(";",LEN(D560)),4))+1,FIND(";",SUBSTITUTE(D560,"|",REPT(";",LEN(D560)),5))-FIND(";",SUBSTITUTE(D560,"|",REPT(";",LEN(D560)),4))-1)</f>
        <v/>
      </c>
      <c r="N560" s="11">
        <f>MID(D560,FIND(";",SUBSTITUTE(D560,"|",REPT(";",LEN(D560)),6))+1,LEN(D560))</f>
        <v/>
      </c>
      <c r="O560" s="11">
        <f>MID(D560,FIND(";",SUBSTITUTE(D560,"|",REPT(";",LEN(D560)),5))+1,FIND(";",SUBSTITUTE(D560,"|",REPT(";",LEN(D560)),6))-FIND(";",SUBSTITUTE(D560,"|",REPT(";",LEN(D560)),5))-1)</f>
        <v/>
      </c>
    </row>
    <row r="561" ht="140" customHeight="1" s="21">
      <c r="A561" s="13" t="inlineStr">
        <is>
          <t>100201</t>
        </is>
      </c>
      <c r="B561" s="13" t="inlineStr">
        <is>
          <t>圆钢</t>
        </is>
      </c>
      <c r="C561" s="13" t="inlineStr">
        <is>
          <t>600605100</t>
        </is>
      </c>
      <c r="D561" s="13" t="inlineStr">
        <is>
          <t>热轧航空用不锈圆钢|圆钢|Y2Cr13Ni2|Φ45|GJB 2294-1995|热轧|GB/T 702-2008</t>
        </is>
      </c>
      <c r="E561" s="13" t="inlineStr">
        <is>
          <t>物资名称 热轧航空用不锈圆钢;物资简称 圆钢;牌号 Y2Cr13Ni2;直径 Φ45;技术标准号 GJB 2294-1995;加工工艺 热轧;热处理工艺 ;特殊要求 ;规格标准号 GB/T 702-2008</t>
        </is>
      </c>
      <c r="F561" s="12" t="inlineStr">
        <is>
          <t>千克</t>
        </is>
      </c>
      <c r="G561" s="11">
        <f>LEFT(D561,FIND("|",D561,1)-1)</f>
        <v/>
      </c>
      <c r="H561" s="11">
        <f>MID(D561,FIND("|",D561,FIND("|",D561,1))+1,FIND("|",D561,FIND("|",D561,1)+1)-FIND("|",D561,FIND("|",D561,1))-1)</f>
        <v/>
      </c>
      <c r="J561" s="11">
        <f>MID(D561,FIND(";",SUBSTITUTE(D561,"|",REPT(";",LEN(D561)),2))+1,FIND(";",SUBSTITUTE(D561,"|",REPT(";",LEN(D561)),3))-FIND(";",SUBSTITUTE(D561,"|",REPT(";",LEN(D561)),2))-1)</f>
        <v/>
      </c>
      <c r="K561" s="11">
        <f>MID(D561,FIND(";",SUBSTITUTE(D561,"|",REPT(";",LEN(D561)),3))+1,FIND(";",SUBSTITUTE(D561,"|",REPT(";",LEN(D561)),4))-FIND(";",SUBSTITUTE(D561,"|",REPT(";",LEN(D561)),3))-1)</f>
        <v/>
      </c>
      <c r="M561" s="11">
        <f>MID(D561,FIND(";",SUBSTITUTE(D561,"|",REPT(";",LEN(D561)),4))+1,FIND(";",SUBSTITUTE(D561,"|",REPT(";",LEN(D561)),5))-FIND(";",SUBSTITUTE(D561,"|",REPT(";",LEN(D561)),4))-1)</f>
        <v/>
      </c>
      <c r="N561" s="11">
        <f>MID(D561,FIND(";",SUBSTITUTE(D561,"|",REPT(";",LEN(D561)),6))+1,LEN(D561))</f>
        <v/>
      </c>
      <c r="O561" s="11">
        <f>MID(D561,FIND(";",SUBSTITUTE(D561,"|",REPT(";",LEN(D561)),5))+1,FIND(";",SUBSTITUTE(D561,"|",REPT(";",LEN(D561)),6))-FIND(";",SUBSTITUTE(D561,"|",REPT(";",LEN(D561)),5))-1)</f>
        <v/>
      </c>
    </row>
    <row r="562" ht="140" customHeight="1" s="21">
      <c r="A562" s="13" t="inlineStr">
        <is>
          <t>100201</t>
        </is>
      </c>
      <c r="B562" s="13" t="inlineStr">
        <is>
          <t>圆钢</t>
        </is>
      </c>
      <c r="C562" s="13" t="inlineStr">
        <is>
          <t>600605000</t>
        </is>
      </c>
      <c r="D562" s="13" t="inlineStr">
        <is>
          <t>热轧航空用不锈圆钢|圆钢|Y2Cr13Ni2|Φ150|GJB 2294-1995|热轧|GB/T 702-2008</t>
        </is>
      </c>
      <c r="E562" s="13" t="inlineStr">
        <is>
          <t>物资名称 热轧航空用不锈圆钢;物资简称 圆钢;牌号 Y2Cr13Ni2;直径 Φ150;技术标准号 GJB 2294-1995;加工工艺 热轧;热处理工艺 ;特殊要求 ;规格标准号 GB/T 702-2008</t>
        </is>
      </c>
      <c r="F562" s="12" t="inlineStr">
        <is>
          <t>千克</t>
        </is>
      </c>
      <c r="G562" s="11">
        <f>LEFT(D562,FIND("|",D562,1)-1)</f>
        <v/>
      </c>
      <c r="H562" s="11">
        <f>MID(D562,FIND("|",D562,FIND("|",D562,1))+1,FIND("|",D562,FIND("|",D562,1)+1)-FIND("|",D562,FIND("|",D562,1))-1)</f>
        <v/>
      </c>
      <c r="J562" s="11">
        <f>MID(D562,FIND(";",SUBSTITUTE(D562,"|",REPT(";",LEN(D562)),2))+1,FIND(";",SUBSTITUTE(D562,"|",REPT(";",LEN(D562)),3))-FIND(";",SUBSTITUTE(D562,"|",REPT(";",LEN(D562)),2))-1)</f>
        <v/>
      </c>
      <c r="K562" s="11">
        <f>MID(D562,FIND(";",SUBSTITUTE(D562,"|",REPT(";",LEN(D562)),3))+1,FIND(";",SUBSTITUTE(D562,"|",REPT(";",LEN(D562)),4))-FIND(";",SUBSTITUTE(D562,"|",REPT(";",LEN(D562)),3))-1)</f>
        <v/>
      </c>
      <c r="M562" s="11">
        <f>MID(D562,FIND(";",SUBSTITUTE(D562,"|",REPT(";",LEN(D562)),4))+1,FIND(";",SUBSTITUTE(D562,"|",REPT(";",LEN(D562)),5))-FIND(";",SUBSTITUTE(D562,"|",REPT(";",LEN(D562)),4))-1)</f>
        <v/>
      </c>
      <c r="N562" s="11">
        <f>MID(D562,FIND(";",SUBSTITUTE(D562,"|",REPT(";",LEN(D562)),6))+1,LEN(D562))</f>
        <v/>
      </c>
      <c r="O562" s="11">
        <f>MID(D562,FIND(";",SUBSTITUTE(D562,"|",REPT(";",LEN(D562)),5))+1,FIND(";",SUBSTITUTE(D562,"|",REPT(";",LEN(D562)),6))-FIND(";",SUBSTITUTE(D562,"|",REPT(";",LEN(D562)),5))-1)</f>
        <v/>
      </c>
    </row>
    <row r="563" ht="112" customHeight="1" s="21">
      <c r="A563" s="13" t="inlineStr">
        <is>
          <t>100201</t>
        </is>
      </c>
      <c r="B563" s="13" t="inlineStr">
        <is>
          <t>圆钢</t>
        </is>
      </c>
      <c r="C563" s="13" t="inlineStr">
        <is>
          <t>600603200</t>
        </is>
      </c>
      <c r="D563" s="13" t="inlineStr">
        <is>
          <t>不锈钢棒|钢棒|Y12Cr18Ni9|GB/T 1220-2007</t>
        </is>
      </c>
      <c r="E563" s="13" t="inlineStr">
        <is>
          <t xml:space="preserve">物资名称 不锈钢棒;物资简称 钢棒;牌号 Y12Cr18Ni9;直径 Φ;技术标准号 GB/T 1220-2007;加工工艺 ;热处理工艺 ;特殊要求 ;规格标准号 </t>
        </is>
      </c>
      <c r="F563" s="12" t="inlineStr">
        <is>
          <t>千克</t>
        </is>
      </c>
      <c r="G563" s="11">
        <f>LEFT(D563,FIND("|",D563,1)-1)</f>
        <v/>
      </c>
      <c r="H563" s="11">
        <f>MID(D563,FIND("|",D563,FIND("|",D563,1))+1,FIND("|",D563,FIND("|",D563,1)+1)-FIND("|",D563,FIND("|",D563,1))-1)</f>
        <v/>
      </c>
      <c r="J563" s="11">
        <f>MID(D563,FIND(";",SUBSTITUTE(D563,"|",REPT(";",LEN(D563)),2))+1,FIND(";",SUBSTITUTE(D563,"|",REPT(";",LEN(D563)),3))-FIND(";",SUBSTITUTE(D563,"|",REPT(";",LEN(D563)),2))-1)</f>
        <v/>
      </c>
      <c r="M563" s="11">
        <f>MID(D563,FIND(";",SUBSTITUTE(D563,"|",REPT(";",LEN(D563)),3))+1,LEN(D563))</f>
        <v/>
      </c>
    </row>
    <row r="564" ht="140" customHeight="1" s="21">
      <c r="A564" s="13" t="inlineStr">
        <is>
          <t>100201</t>
        </is>
      </c>
      <c r="B564" s="13" t="inlineStr">
        <is>
          <t>圆钢</t>
        </is>
      </c>
      <c r="C564" s="13" t="inlineStr">
        <is>
          <t>600603100</t>
        </is>
      </c>
      <c r="D564" s="13" t="inlineStr">
        <is>
          <t>热轧不锈圆钢|圆钢|Y12Cr18Ni9|GB/T 1220-2007|GB/T 702-2008</t>
        </is>
      </c>
      <c r="E564" s="13" t="inlineStr">
        <is>
          <t>物资名称 热轧不锈圆钢;物资简称 圆钢;牌号 Y12Cr18Ni9;直径 Φ;技术标准号 GB/T 1220-2007;加工工艺 ;热处理工艺 ;特殊要求 ;规格标准号 GB/T 702-2008</t>
        </is>
      </c>
      <c r="F564" s="12" t="inlineStr">
        <is>
          <t>千克</t>
        </is>
      </c>
      <c r="G564" s="11">
        <f>LEFT(D564,FIND("|",D564,1)-1)</f>
        <v/>
      </c>
      <c r="H564" s="11">
        <f>MID(D564,FIND("|",D564,FIND("|",D564,1))+1,FIND("|",D564,FIND("|",D564,1)+1)-FIND("|",D564,FIND("|",D564,1))-1)</f>
        <v/>
      </c>
      <c r="J564" s="11">
        <f>MID(D564,FIND(";",SUBSTITUTE(D564,"|",REPT(";",LEN(D564)),2))+1,FIND(";",SUBSTITUTE(D564,"|",REPT(";",LEN(D564)),3))-FIND(";",SUBSTITUTE(D564,"|",REPT(";",LEN(D564)),2))-1)</f>
        <v/>
      </c>
      <c r="M564" s="11">
        <f>MID(D564,FIND(";",SUBSTITUTE(D564,"|",REPT(";",LEN(D564)),3))+1,FIND(";",SUBSTITUTE(D564,"|",REPT(";",LEN(D564)),4))-FIND(";",SUBSTITUTE(D564,"|",REPT(";",LEN(D564)),3))-1)</f>
        <v/>
      </c>
      <c r="N564" s="11">
        <f>MID(D564,FIND(";",SUBSTITUTE(D564,"|",REPT(";",LEN(D564)),4))+1,LEN(D564))</f>
        <v/>
      </c>
    </row>
    <row r="565" ht="140" customHeight="1" s="21">
      <c r="A565" s="13" t="inlineStr">
        <is>
          <t>100201</t>
        </is>
      </c>
      <c r="B565" s="13" t="inlineStr">
        <is>
          <t>圆钢</t>
        </is>
      </c>
      <c r="C565" s="13" t="inlineStr">
        <is>
          <t>600603000</t>
        </is>
      </c>
      <c r="D565" s="13" t="inlineStr">
        <is>
          <t>热轧不锈圆钢|圆钢|Y12Cr18Ni9|Φ50|GB/T 1220-2007|热轧|GB/T 702-2008</t>
        </is>
      </c>
      <c r="E565" s="13" t="inlineStr">
        <is>
          <t>物资名称 热轧不锈圆钢;物资简称 圆钢;牌号 Y12Cr18Ni9;直径 Φ50;技术标准号 GB/T 1220-2007;加工工艺 热轧;热处理工艺 ;特殊要求 ;规格标准号 GB/T 702-2008</t>
        </is>
      </c>
      <c r="F565" s="12" t="inlineStr">
        <is>
          <t>千克</t>
        </is>
      </c>
      <c r="G565" s="11">
        <f>LEFT(D565,FIND("|",D565,1)-1)</f>
        <v/>
      </c>
      <c r="H565" s="11">
        <f>MID(D565,FIND("|",D565,FIND("|",D565,1))+1,FIND("|",D565,FIND("|",D565,1)+1)-FIND("|",D565,FIND("|",D565,1))-1)</f>
        <v/>
      </c>
      <c r="J565" s="11">
        <f>MID(D565,FIND(";",SUBSTITUTE(D565,"|",REPT(";",LEN(D565)),2))+1,FIND(";",SUBSTITUTE(D565,"|",REPT(";",LEN(D565)),3))-FIND(";",SUBSTITUTE(D565,"|",REPT(";",LEN(D565)),2))-1)</f>
        <v/>
      </c>
      <c r="K565" s="11">
        <f>MID(D565,FIND(";",SUBSTITUTE(D565,"|",REPT(";",LEN(D565)),3))+1,FIND(";",SUBSTITUTE(D565,"|",REPT(";",LEN(D565)),4))-FIND(";",SUBSTITUTE(D565,"|",REPT(";",LEN(D565)),3))-1)</f>
        <v/>
      </c>
      <c r="M565" s="11">
        <f>MID(D565,FIND(";",SUBSTITUTE(D565,"|",REPT(";",LEN(D565)),4))+1,FIND(";",SUBSTITUTE(D565,"|",REPT(";",LEN(D565)),5))-FIND(";",SUBSTITUTE(D565,"|",REPT(";",LEN(D565)),4))-1)</f>
        <v/>
      </c>
      <c r="N565" s="11">
        <f>MID(D565,FIND(";",SUBSTITUTE(D565,"|",REPT(";",LEN(D565)),6))+1,LEN(D565))</f>
        <v/>
      </c>
      <c r="O565" s="11">
        <f>MID(D565,FIND(";",SUBSTITUTE(D565,"|",REPT(";",LEN(D565)),5))+1,FIND(";",SUBSTITUTE(D565,"|",REPT(";",LEN(D565)),6))-FIND(";",SUBSTITUTE(D565,"|",REPT(";",LEN(D565)),5))-1)</f>
        <v/>
      </c>
    </row>
    <row r="566" ht="140" customHeight="1" s="21">
      <c r="A566" s="13" t="inlineStr">
        <is>
          <t>100201</t>
        </is>
      </c>
      <c r="B566" s="13" t="inlineStr">
        <is>
          <t>圆钢</t>
        </is>
      </c>
      <c r="C566" s="13" t="inlineStr">
        <is>
          <t>600602900</t>
        </is>
      </c>
      <c r="D566" s="13" t="inlineStr">
        <is>
          <t>热轧不锈圆钢|圆钢|Y12Cr18Ni9|Φ55|GB/T 1220-2007|热轧|GB/T 702-2008</t>
        </is>
      </c>
      <c r="E566" s="13" t="inlineStr">
        <is>
          <t>物资名称 热轧不锈圆钢;物资简称 圆钢;牌号 Y12Cr18Ni9;直径 Φ55;技术标准号 GB/T 1220-2007;加工工艺 热轧;热处理工艺 ;特殊要求 ;规格标准号 GB/T 702-2008</t>
        </is>
      </c>
      <c r="F566" s="12" t="inlineStr">
        <is>
          <t>千克</t>
        </is>
      </c>
      <c r="G566" s="11">
        <f>LEFT(D566,FIND("|",D566,1)-1)</f>
        <v/>
      </c>
      <c r="H566" s="11">
        <f>MID(D566,FIND("|",D566,FIND("|",D566,1))+1,FIND("|",D566,FIND("|",D566,1)+1)-FIND("|",D566,FIND("|",D566,1))-1)</f>
        <v/>
      </c>
      <c r="J566" s="11">
        <f>MID(D566,FIND(";",SUBSTITUTE(D566,"|",REPT(";",LEN(D566)),2))+1,FIND(";",SUBSTITUTE(D566,"|",REPT(";",LEN(D566)),3))-FIND(";",SUBSTITUTE(D566,"|",REPT(";",LEN(D566)),2))-1)</f>
        <v/>
      </c>
      <c r="K566" s="11">
        <f>MID(D566,FIND(";",SUBSTITUTE(D566,"|",REPT(";",LEN(D566)),3))+1,FIND(";",SUBSTITUTE(D566,"|",REPT(";",LEN(D566)),4))-FIND(";",SUBSTITUTE(D566,"|",REPT(";",LEN(D566)),3))-1)</f>
        <v/>
      </c>
      <c r="M566" s="11">
        <f>MID(D566,FIND(";",SUBSTITUTE(D566,"|",REPT(";",LEN(D566)),4))+1,FIND(";",SUBSTITUTE(D566,"|",REPT(";",LEN(D566)),5))-FIND(";",SUBSTITUTE(D566,"|",REPT(";",LEN(D566)),4))-1)</f>
        <v/>
      </c>
      <c r="N566" s="11">
        <f>MID(D566,FIND(";",SUBSTITUTE(D566,"|",REPT(";",LEN(D566)),6))+1,LEN(D566))</f>
        <v/>
      </c>
      <c r="O566" s="11">
        <f>MID(D566,FIND(";",SUBSTITUTE(D566,"|",REPT(";",LEN(D566)),5))+1,FIND(";",SUBSTITUTE(D566,"|",REPT(";",LEN(D566)),6))-FIND(";",SUBSTITUTE(D566,"|",REPT(";",LEN(D566)),5))-1)</f>
        <v/>
      </c>
    </row>
    <row r="567" ht="140" customHeight="1" s="21">
      <c r="A567" s="13" t="inlineStr">
        <is>
          <t>100201</t>
        </is>
      </c>
      <c r="B567" s="13" t="inlineStr">
        <is>
          <t>圆钢</t>
        </is>
      </c>
      <c r="C567" s="13" t="inlineStr">
        <is>
          <t>600602800</t>
        </is>
      </c>
      <c r="D567" s="13" t="inlineStr">
        <is>
          <t>热轧不锈圆钢|圆钢|Y12Cr18Ni9|Φ65|GB/T 1220-2007|热轧|GB/T 702-2008</t>
        </is>
      </c>
      <c r="E567" s="13" t="inlineStr">
        <is>
          <t>物资名称 热轧不锈圆钢;物资简称 圆钢;牌号 Y12Cr18Ni9;直径 Φ65;技术标准号 GB/T 1220-2007;加工工艺 热轧;热处理工艺 ;特殊要求 ;规格标准号 GB/T 702-2008</t>
        </is>
      </c>
      <c r="F567" s="12" t="inlineStr">
        <is>
          <t>千克</t>
        </is>
      </c>
      <c r="G567" s="11">
        <f>LEFT(D567,FIND("|",D567,1)-1)</f>
        <v/>
      </c>
      <c r="H567" s="11">
        <f>MID(D567,FIND("|",D567,FIND("|",D567,1))+1,FIND("|",D567,FIND("|",D567,1)+1)-FIND("|",D567,FIND("|",D567,1))-1)</f>
        <v/>
      </c>
      <c r="J567" s="11">
        <f>MID(D567,FIND(";",SUBSTITUTE(D567,"|",REPT(";",LEN(D567)),2))+1,FIND(";",SUBSTITUTE(D567,"|",REPT(";",LEN(D567)),3))-FIND(";",SUBSTITUTE(D567,"|",REPT(";",LEN(D567)),2))-1)</f>
        <v/>
      </c>
      <c r="K567" s="11">
        <f>MID(D567,FIND(";",SUBSTITUTE(D567,"|",REPT(";",LEN(D567)),3))+1,FIND(";",SUBSTITUTE(D567,"|",REPT(";",LEN(D567)),4))-FIND(";",SUBSTITUTE(D567,"|",REPT(";",LEN(D567)),3))-1)</f>
        <v/>
      </c>
      <c r="M567" s="11">
        <f>MID(D567,FIND(";",SUBSTITUTE(D567,"|",REPT(";",LEN(D567)),4))+1,FIND(";",SUBSTITUTE(D567,"|",REPT(";",LEN(D567)),5))-FIND(";",SUBSTITUTE(D567,"|",REPT(";",LEN(D567)),4))-1)</f>
        <v/>
      </c>
      <c r="N567" s="11">
        <f>MID(D567,FIND(";",SUBSTITUTE(D567,"|",REPT(";",LEN(D567)),6))+1,LEN(D567))</f>
        <v/>
      </c>
      <c r="O567" s="11">
        <f>MID(D567,FIND(";",SUBSTITUTE(D567,"|",REPT(";",LEN(D567)),5))+1,FIND(";",SUBSTITUTE(D567,"|",REPT(";",LEN(D567)),6))-FIND(";",SUBSTITUTE(D567,"|",REPT(";",LEN(D567)),5))-1)</f>
        <v/>
      </c>
    </row>
    <row r="568" ht="140" customHeight="1" s="21">
      <c r="A568" s="13" t="inlineStr">
        <is>
          <t>100201</t>
        </is>
      </c>
      <c r="B568" s="13" t="inlineStr">
        <is>
          <t>圆钢</t>
        </is>
      </c>
      <c r="C568" s="13" t="inlineStr">
        <is>
          <t>600602700</t>
        </is>
      </c>
      <c r="D568" s="13" t="inlineStr">
        <is>
          <t>热轧不锈圆钢|圆钢|Y12Cr18Ni9|Φ85|GB/T 1220-2007|热轧|GB/T 702-2008</t>
        </is>
      </c>
      <c r="E568" s="13" t="inlineStr">
        <is>
          <t>物资名称 热轧不锈圆钢;物资简称 圆钢;牌号 Y12Cr18Ni9;直径 Φ85;技术标准号 GB/T 1220-2007;加工工艺 热轧;热处理工艺 ;特殊要求 ;规格标准号 GB/T 702-2008</t>
        </is>
      </c>
      <c r="F568" s="12" t="inlineStr">
        <is>
          <t>千克</t>
        </is>
      </c>
      <c r="G568" s="11">
        <f>LEFT(D568,FIND("|",D568,1)-1)</f>
        <v/>
      </c>
      <c r="H568" s="11">
        <f>MID(D568,FIND("|",D568,FIND("|",D568,1))+1,FIND("|",D568,FIND("|",D568,1)+1)-FIND("|",D568,FIND("|",D568,1))-1)</f>
        <v/>
      </c>
      <c r="J568" s="11">
        <f>MID(D568,FIND(";",SUBSTITUTE(D568,"|",REPT(";",LEN(D568)),2))+1,FIND(";",SUBSTITUTE(D568,"|",REPT(";",LEN(D568)),3))-FIND(";",SUBSTITUTE(D568,"|",REPT(";",LEN(D568)),2))-1)</f>
        <v/>
      </c>
      <c r="K568" s="11">
        <f>MID(D568,FIND(";",SUBSTITUTE(D568,"|",REPT(";",LEN(D568)),3))+1,FIND(";",SUBSTITUTE(D568,"|",REPT(";",LEN(D568)),4))-FIND(";",SUBSTITUTE(D568,"|",REPT(";",LEN(D568)),3))-1)</f>
        <v/>
      </c>
      <c r="M568" s="11">
        <f>MID(D568,FIND(";",SUBSTITUTE(D568,"|",REPT(";",LEN(D568)),4))+1,FIND(";",SUBSTITUTE(D568,"|",REPT(";",LEN(D568)),5))-FIND(";",SUBSTITUTE(D568,"|",REPT(";",LEN(D568)),4))-1)</f>
        <v/>
      </c>
      <c r="N568" s="11">
        <f>MID(D568,FIND(";",SUBSTITUTE(D568,"|",REPT(";",LEN(D568)),6))+1,LEN(D568))</f>
        <v/>
      </c>
      <c r="O568" s="11">
        <f>MID(D568,FIND(";",SUBSTITUTE(D568,"|",REPT(";",LEN(D568)),5))+1,FIND(";",SUBSTITUTE(D568,"|",REPT(";",LEN(D568)),6))-FIND(";",SUBSTITUTE(D568,"|",REPT(";",LEN(D568)),5))-1)</f>
        <v/>
      </c>
    </row>
    <row r="569" ht="140" customHeight="1" s="21">
      <c r="A569" s="13" t="inlineStr">
        <is>
          <t>100201</t>
        </is>
      </c>
      <c r="B569" s="13" t="inlineStr">
        <is>
          <t>圆钢</t>
        </is>
      </c>
      <c r="C569" s="13" t="inlineStr">
        <is>
          <t>600602600</t>
        </is>
      </c>
      <c r="D569" s="13" t="inlineStr">
        <is>
          <t>热轧不锈圆钢|圆钢|Y12Cr18Ni9|Φ90|GB/T 1220-2007|热轧|GB/T 702-2008</t>
        </is>
      </c>
      <c r="E569" s="13" t="inlineStr">
        <is>
          <t>物资名称 热轧不锈圆钢;物资简称 圆钢;牌号 Y12Cr18Ni9;直径 Φ90;技术标准号 GB/T 1220-2007;加工工艺 热轧;热处理工艺 ;特殊要求 ;规格标准号 GB/T 702-2008</t>
        </is>
      </c>
      <c r="F569" s="12" t="inlineStr">
        <is>
          <t>千克</t>
        </is>
      </c>
      <c r="G569" s="11">
        <f>LEFT(D569,FIND("|",D569,1)-1)</f>
        <v/>
      </c>
      <c r="H569" s="11">
        <f>MID(D569,FIND("|",D569,FIND("|",D569,1))+1,FIND("|",D569,FIND("|",D569,1)+1)-FIND("|",D569,FIND("|",D569,1))-1)</f>
        <v/>
      </c>
      <c r="J569" s="11">
        <f>MID(D569,FIND(";",SUBSTITUTE(D569,"|",REPT(";",LEN(D569)),2))+1,FIND(";",SUBSTITUTE(D569,"|",REPT(";",LEN(D569)),3))-FIND(";",SUBSTITUTE(D569,"|",REPT(";",LEN(D569)),2))-1)</f>
        <v/>
      </c>
      <c r="K569" s="11">
        <f>MID(D569,FIND(";",SUBSTITUTE(D569,"|",REPT(";",LEN(D569)),3))+1,FIND(";",SUBSTITUTE(D569,"|",REPT(";",LEN(D569)),4))-FIND(";",SUBSTITUTE(D569,"|",REPT(";",LEN(D569)),3))-1)</f>
        <v/>
      </c>
      <c r="M569" s="11">
        <f>MID(D569,FIND(";",SUBSTITUTE(D569,"|",REPT(";",LEN(D569)),4))+1,FIND(";",SUBSTITUTE(D569,"|",REPT(";",LEN(D569)),5))-FIND(";",SUBSTITUTE(D569,"|",REPT(";",LEN(D569)),4))-1)</f>
        <v/>
      </c>
      <c r="N569" s="11">
        <f>MID(D569,FIND(";",SUBSTITUTE(D569,"|",REPT(";",LEN(D569)),6))+1,LEN(D569))</f>
        <v/>
      </c>
      <c r="O569" s="11">
        <f>MID(D569,FIND(";",SUBSTITUTE(D569,"|",REPT(";",LEN(D569)),5))+1,FIND(";",SUBSTITUTE(D569,"|",REPT(";",LEN(D569)),6))-FIND(";",SUBSTITUTE(D569,"|",REPT(";",LEN(D569)),5))-1)</f>
        <v/>
      </c>
    </row>
    <row r="570" ht="140" customHeight="1" s="21">
      <c r="A570" s="13" t="inlineStr">
        <is>
          <t>100201</t>
        </is>
      </c>
      <c r="B570" s="13" t="inlineStr">
        <is>
          <t>圆钢</t>
        </is>
      </c>
      <c r="C570" s="13" t="inlineStr">
        <is>
          <t>600602500</t>
        </is>
      </c>
      <c r="D570" s="13" t="inlineStr">
        <is>
          <t>热轧不锈圆钢|圆钢|Y12Cr18Ni9|Φ160|GB/T 1220-2007|热轧|GB/T 702-2008</t>
        </is>
      </c>
      <c r="E570" s="13" t="inlineStr">
        <is>
          <t>物资名称 热轧不锈圆钢;物资简称 圆钢;牌号 Y12Cr18Ni9;直径 Φ160;技术标准号 GB/T 1220-2007;加工工艺 热轧;热处理工艺 ;特殊要求 ;规格标准号 GB/T 702-2008</t>
        </is>
      </c>
      <c r="F570" s="12" t="inlineStr">
        <is>
          <t>千克</t>
        </is>
      </c>
      <c r="G570" s="11">
        <f>LEFT(D570,FIND("|",D570,1)-1)</f>
        <v/>
      </c>
      <c r="H570" s="11">
        <f>MID(D570,FIND("|",D570,FIND("|",D570,1))+1,FIND("|",D570,FIND("|",D570,1)+1)-FIND("|",D570,FIND("|",D570,1))-1)</f>
        <v/>
      </c>
      <c r="J570" s="11">
        <f>MID(D570,FIND(";",SUBSTITUTE(D570,"|",REPT(";",LEN(D570)),2))+1,FIND(";",SUBSTITUTE(D570,"|",REPT(";",LEN(D570)),3))-FIND(";",SUBSTITUTE(D570,"|",REPT(";",LEN(D570)),2))-1)</f>
        <v/>
      </c>
      <c r="K570" s="11">
        <f>MID(D570,FIND(";",SUBSTITUTE(D570,"|",REPT(";",LEN(D570)),3))+1,FIND(";",SUBSTITUTE(D570,"|",REPT(";",LEN(D570)),4))-FIND(";",SUBSTITUTE(D570,"|",REPT(";",LEN(D570)),3))-1)</f>
        <v/>
      </c>
    </row>
    <row r="571" ht="112" customHeight="1" s="21">
      <c r="A571" s="13" t="inlineStr">
        <is>
          <t>100201</t>
        </is>
      </c>
      <c r="B571" s="13" t="inlineStr">
        <is>
          <t>圆钢</t>
        </is>
      </c>
      <c r="C571" s="13" t="inlineStr">
        <is>
          <t>600602400</t>
        </is>
      </c>
      <c r="D571" s="13" t="inlineStr">
        <is>
          <t>合金结构钢棒|钢棒|12CrNi2|GB/T 3077-1999</t>
        </is>
      </c>
      <c r="E571" s="13" t="inlineStr">
        <is>
          <t xml:space="preserve">物资名称 合金结构钢棒;物资简称 钢棒;牌号 12CrNi2;直径 Φ;技术标准号 GB/T 3077-1999;加工工艺 ;热处理工艺 ;特殊要求 ;规格标准号 </t>
        </is>
      </c>
      <c r="F571" s="12" t="inlineStr">
        <is>
          <t>千克</t>
        </is>
      </c>
      <c r="G571" s="11">
        <f>LEFT(D571,FIND("|",D571,1)-1)</f>
        <v/>
      </c>
      <c r="H571" s="11">
        <f>MID(D571,FIND("|",D571,FIND("|",D571,1))+1,FIND("|",D571,FIND("|",D571,1)+1)-FIND("|",D571,FIND("|",D571,1))-1)</f>
        <v/>
      </c>
      <c r="J571" s="11">
        <f>MID(D571,FIND(";",SUBSTITUTE(D571,"|",REPT(";",LEN(D571)),2))+1,FIND(";",SUBSTITUTE(D571,"|",REPT(";",LEN(D571)),3))-FIND(";",SUBSTITUTE(D571,"|",REPT(";",LEN(D571)),2))-1)</f>
        <v/>
      </c>
      <c r="M571" s="11">
        <f>MID(D571,FIND(";",SUBSTITUTE(D571,"|",REPT(";",LEN(D571)),3))+1,LEN(D571))</f>
        <v/>
      </c>
    </row>
    <row r="572" ht="126" customHeight="1" s="21">
      <c r="A572" s="13" t="inlineStr">
        <is>
          <t>100201</t>
        </is>
      </c>
      <c r="B572" s="13" t="inlineStr">
        <is>
          <t>圆钢</t>
        </is>
      </c>
      <c r="C572" s="13" t="inlineStr">
        <is>
          <t>600602300</t>
        </is>
      </c>
      <c r="D572" s="13" t="inlineStr">
        <is>
          <t>热轧低膨胀铁镍合金圆钢|圆钢|4J36|YB/T 5241-2005|GB/T 14985-2007</t>
        </is>
      </c>
      <c r="E572" s="13" t="inlineStr">
        <is>
          <t>物资名称 热轧低膨胀铁镍合金圆钢;物资简称 圆钢;牌号 4J36;直径 Φ;技术标准号 YB/T 5241-2005;加工工艺 ;热处理工艺 ;特殊要求 ;规格标准号 GB/T 14985-2007</t>
        </is>
      </c>
      <c r="F572" s="12" t="inlineStr">
        <is>
          <t>千克</t>
        </is>
      </c>
      <c r="G572" s="11">
        <f>LEFT(D572,FIND("|",D572,1)-1)</f>
        <v/>
      </c>
      <c r="H572" s="11">
        <f>MID(D572,FIND("|",D572,FIND("|",D572,1))+1,FIND("|",D572,FIND("|",D572,1)+1)-FIND("|",D572,FIND("|",D572,1))-1)</f>
        <v/>
      </c>
      <c r="J572" s="11">
        <f>MID(D572,FIND(";",SUBSTITUTE(D572,"|",REPT(";",LEN(D572)),2))+1,FIND(";",SUBSTITUTE(D572,"|",REPT(";",LEN(D572)),3))-FIND(";",SUBSTITUTE(D572,"|",REPT(";",LEN(D572)),2))-1)</f>
        <v/>
      </c>
      <c r="M572" s="11">
        <f>MID(D572,FIND(";",SUBSTITUTE(D572,"|",REPT(";",LEN(D572)),3))+1,FIND(";",SUBSTITUTE(D572,"|",REPT(";",LEN(D572)),4))-FIND(";",SUBSTITUTE(D572,"|",REPT(";",LEN(D572)),3))-1)</f>
        <v/>
      </c>
      <c r="N572" s="11">
        <f>MID(D572,FIND(";",SUBSTITUTE(D572,"|",REPT(";",LEN(D572)),4))+1,LEN(D572))</f>
        <v/>
      </c>
    </row>
    <row r="573" ht="140" customHeight="1" s="21">
      <c r="A573" s="13" t="inlineStr">
        <is>
          <t>100201</t>
        </is>
      </c>
      <c r="B573" s="13" t="inlineStr">
        <is>
          <t>圆钢</t>
        </is>
      </c>
      <c r="C573" s="13" t="inlineStr">
        <is>
          <t>600602200</t>
        </is>
      </c>
      <c r="D573" s="13" t="inlineStr">
        <is>
          <t>热轧低膨胀铁镍合金圆钢|圆钢|4J36|Φ140|YB/T 5241-2005|热轧|GB/T 14985-2007</t>
        </is>
      </c>
      <c r="E573" s="13" t="inlineStr">
        <is>
          <t>物资名称 热轧低膨胀铁镍合金圆钢;物资简称 圆钢;牌号 4J36;直径 Φ140;技术标准号 YB/T 5241-2005;加工工艺 热轧;热处理工艺 ;特殊要求 ;规格标准号 GB/T 14985-2007</t>
        </is>
      </c>
      <c r="F573" s="12" t="inlineStr">
        <is>
          <t>千克</t>
        </is>
      </c>
      <c r="G573" s="11">
        <f>LEFT(D573,FIND("|",D573,1)-1)</f>
        <v/>
      </c>
      <c r="H573" s="11">
        <f>MID(D573,FIND("|",D573,FIND("|",D573,1))+1,FIND("|",D573,FIND("|",D573,1)+1)-FIND("|",D573,FIND("|",D573,1))-1)</f>
        <v/>
      </c>
      <c r="J573" s="11">
        <f>MID(D573,FIND(";",SUBSTITUTE(D573,"|",REPT(";",LEN(D573)),2))+1,FIND(";",SUBSTITUTE(D573,"|",REPT(";",LEN(D573)),3))-FIND(";",SUBSTITUTE(D573,"|",REPT(";",LEN(D573)),2))-1)</f>
        <v/>
      </c>
      <c r="K573" s="11">
        <f>MID(D573,FIND(";",SUBSTITUTE(D573,"|",REPT(";",LEN(D573)),3))+1,FIND(";",SUBSTITUTE(D573,"|",REPT(";",LEN(D573)),4))-FIND(";",SUBSTITUTE(D573,"|",REPT(";",LEN(D573)),3))-1)</f>
        <v/>
      </c>
      <c r="M573" s="11">
        <f>MID(D573,FIND(";",SUBSTITUTE(D573,"|",REPT(";",LEN(D573)),4))+1,FIND(";",SUBSTITUTE(D573,"|",REPT(";",LEN(D573)),5))-FIND(";",SUBSTITUTE(D573,"|",REPT(";",LEN(D573)),4))-1)</f>
        <v/>
      </c>
      <c r="N573" s="11">
        <f>MID(D573,FIND(";",SUBSTITUTE(D573,"|",REPT(";",LEN(D573)),6))+1,LEN(D573))</f>
        <v/>
      </c>
      <c r="O573" s="11">
        <f>MID(D573,FIND(";",SUBSTITUTE(D573,"|",REPT(";",LEN(D573)),5))+1,FIND(";",SUBSTITUTE(D573,"|",REPT(";",LEN(D573)),6))-FIND(";",SUBSTITUTE(D573,"|",REPT(";",LEN(D573)),5))-1)</f>
        <v/>
      </c>
    </row>
    <row r="574" ht="140" customHeight="1" s="21">
      <c r="A574" s="13" t="inlineStr">
        <is>
          <t>100201</t>
        </is>
      </c>
      <c r="B574" s="13" t="inlineStr">
        <is>
          <t>圆钢</t>
        </is>
      </c>
      <c r="C574" s="13" t="inlineStr">
        <is>
          <t>600602100</t>
        </is>
      </c>
      <c r="D574" s="13" t="inlineStr">
        <is>
          <t>热轧低膨胀铁镍合金圆钢|圆钢|4J36|Φ185|YB/T 5241-2005|热轧|GB/T 14985-2007</t>
        </is>
      </c>
      <c r="E574" s="13" t="inlineStr">
        <is>
          <t>物资名称 热轧低膨胀铁镍合金圆钢;物资简称 圆钢;牌号 4J36;直径 Φ185;技术标准号 YB/T 5241-2005;加工工艺 热轧;热处理工艺 ;特殊要求 ;规格标准号 GB/T 14985-2007</t>
        </is>
      </c>
      <c r="F574" s="12" t="inlineStr">
        <is>
          <t>千克</t>
        </is>
      </c>
      <c r="G574" s="11">
        <f>LEFT(D574,FIND("|",D574,1)-1)</f>
        <v/>
      </c>
      <c r="H574" s="11">
        <f>MID(D574,FIND("|",D574,FIND("|",D574,1))+1,FIND("|",D574,FIND("|",D574,1)+1)-FIND("|",D574,FIND("|",D574,1))-1)</f>
        <v/>
      </c>
      <c r="J574" s="11">
        <f>MID(D574,FIND(";",SUBSTITUTE(D574,"|",REPT(";",LEN(D574)),2))+1,FIND(";",SUBSTITUTE(D574,"|",REPT(";",LEN(D574)),3))-FIND(";",SUBSTITUTE(D574,"|",REPT(";",LEN(D574)),2))-1)</f>
        <v/>
      </c>
      <c r="K574" s="11">
        <f>MID(D574,FIND(";",SUBSTITUTE(D574,"|",REPT(";",LEN(D574)),3))+1,FIND(";",SUBSTITUTE(D574,"|",REPT(";",LEN(D574)),4))-FIND(";",SUBSTITUTE(D574,"|",REPT(";",LEN(D574)),3))-1)</f>
        <v/>
      </c>
      <c r="M574" s="11">
        <f>MID(D574,FIND(";",SUBSTITUTE(D574,"|",REPT(";",LEN(D574)),4))+1,FIND(";",SUBSTITUTE(D574,"|",REPT(";",LEN(D574)),5))-FIND(";",SUBSTITUTE(D574,"|",REPT(";",LEN(D574)),4))-1)</f>
        <v/>
      </c>
      <c r="N574" s="11">
        <f>MID(D574,FIND(";",SUBSTITUTE(D574,"|",REPT(";",LEN(D574)),6))+1,LEN(D574))</f>
        <v/>
      </c>
      <c r="O574" s="11">
        <f>MID(D574,FIND(";",SUBSTITUTE(D574,"|",REPT(";",LEN(D574)),5))+1,FIND(";",SUBSTITUTE(D574,"|",REPT(";",LEN(D574)),6))-FIND(";",SUBSTITUTE(D574,"|",REPT(";",LEN(D574)),5))-1)</f>
        <v/>
      </c>
    </row>
    <row r="575" ht="140" customHeight="1" s="21">
      <c r="A575" s="13" t="inlineStr">
        <is>
          <t>100201</t>
        </is>
      </c>
      <c r="B575" s="13" t="inlineStr">
        <is>
          <t>圆钢</t>
        </is>
      </c>
      <c r="C575" s="13" t="inlineStr">
        <is>
          <t>600602000</t>
        </is>
      </c>
      <c r="D575" s="13" t="inlineStr">
        <is>
          <t>热轧低膨胀铁镍合金圆钢|圆钢|4J36|Φ200|YB/T 5241-2005|热轧|GB/T 14985-2007</t>
        </is>
      </c>
      <c r="E575" s="13" t="inlineStr">
        <is>
          <t>物资名称 热轧低膨胀铁镍合金圆钢;物资简称 圆钢;牌号 4J36;直径 Φ200;技术标准号 YB/T 5241-2005;加工工艺 热轧;热处理工艺 ;特殊要求 ;规格标准号 GB/T 14985-2007</t>
        </is>
      </c>
      <c r="F575" s="12" t="inlineStr">
        <is>
          <t>千克</t>
        </is>
      </c>
      <c r="G575" s="11">
        <f>LEFT(D575,FIND("|",D575,1)-1)</f>
        <v/>
      </c>
      <c r="H575" s="11">
        <f>MID(D575,FIND("|",D575,FIND("|",D575,1))+1,FIND("|",D575,FIND("|",D575,1)+1)-FIND("|",D575,FIND("|",D575,1))-1)</f>
        <v/>
      </c>
      <c r="J575" s="11">
        <f>MID(D575,FIND(";",SUBSTITUTE(D575,"|",REPT(";",LEN(D575)),2))+1,FIND(";",SUBSTITUTE(D575,"|",REPT(";",LEN(D575)),3))-FIND(";",SUBSTITUTE(D575,"|",REPT(";",LEN(D575)),2))-1)</f>
        <v/>
      </c>
      <c r="K575" s="11">
        <f>MID(D575,FIND(";",SUBSTITUTE(D575,"|",REPT(";",LEN(D575)),3))+1,FIND(";",SUBSTITUTE(D575,"|",REPT(";",LEN(D575)),4))-FIND(";",SUBSTITUTE(D575,"|",REPT(";",LEN(D575)),3))-1)</f>
        <v/>
      </c>
      <c r="M575" s="11">
        <f>MID(D575,FIND(";",SUBSTITUTE(D575,"|",REPT(";",LEN(D575)),4))+1,FIND(";",SUBSTITUTE(D575,"|",REPT(";",LEN(D575)),5))-FIND(";",SUBSTITUTE(D575,"|",REPT(";",LEN(D575)),4))-1)</f>
        <v/>
      </c>
      <c r="N575" s="11">
        <f>MID(D575,FIND(";",SUBSTITUTE(D575,"|",REPT(";",LEN(D575)),6))+1,LEN(D575))</f>
        <v/>
      </c>
      <c r="O575" s="11">
        <f>MID(D575,FIND(";",SUBSTITUTE(D575,"|",REPT(";",LEN(D575)),5))+1,FIND(";",SUBSTITUTE(D575,"|",REPT(";",LEN(D575)),6))-FIND(";",SUBSTITUTE(D575,"|",REPT(";",LEN(D575)),5))-1)</f>
        <v/>
      </c>
    </row>
    <row r="576" ht="140" customHeight="1" s="21">
      <c r="A576" s="13" t="inlineStr">
        <is>
          <t>100201</t>
        </is>
      </c>
      <c r="B576" s="13" t="inlineStr">
        <is>
          <t>圆钢</t>
        </is>
      </c>
      <c r="C576" s="13" t="inlineStr">
        <is>
          <t>600601900</t>
        </is>
      </c>
      <c r="D576" s="13" t="inlineStr">
        <is>
          <t>热轧低膨胀铁镍合金圆钢|圆钢|4J36|Φ235|YB/T 5241-2005|热轧|GB/T 14985-2007</t>
        </is>
      </c>
      <c r="E576" s="13" t="inlineStr">
        <is>
          <t>物资名称 热轧低膨胀铁镍合金圆钢;物资简称 圆钢;牌号 4J36;直径 Φ235;技术标准号 YB/T 5241-2005;加工工艺 热轧;热处理工艺 ;特殊要求 ;规格标准号 GB/T 14985-2007</t>
        </is>
      </c>
      <c r="F576" s="12" t="inlineStr">
        <is>
          <t>千克</t>
        </is>
      </c>
      <c r="G576" s="11">
        <f>LEFT(D576,FIND("|",D576,1)-1)</f>
        <v/>
      </c>
      <c r="H576" s="11">
        <f>MID(D576,FIND("|",D576,FIND("|",D576,1))+1,FIND("|",D576,FIND("|",D576,1)+1)-FIND("|",D576,FIND("|",D576,1))-1)</f>
        <v/>
      </c>
      <c r="J576" s="11">
        <f>MID(D576,FIND(";",SUBSTITUTE(D576,"|",REPT(";",LEN(D576)),2))+1,FIND(";",SUBSTITUTE(D576,"|",REPT(";",LEN(D576)),3))-FIND(";",SUBSTITUTE(D576,"|",REPT(";",LEN(D576)),2))-1)</f>
        <v/>
      </c>
      <c r="K576" s="11">
        <f>MID(D576,FIND(";",SUBSTITUTE(D576,"|",REPT(";",LEN(D576)),3))+1,FIND(";",SUBSTITUTE(D576,"|",REPT(";",LEN(D576)),4))-FIND(";",SUBSTITUTE(D576,"|",REPT(";",LEN(D576)),3))-1)</f>
        <v/>
      </c>
      <c r="M576" s="11">
        <f>MID(D576,FIND(";",SUBSTITUTE(D576,"|",REPT(";",LEN(D576)),4))+1,FIND(";",SUBSTITUTE(D576,"|",REPT(";",LEN(D576)),5))-FIND(";",SUBSTITUTE(D576,"|",REPT(";",LEN(D576)),4))-1)</f>
        <v/>
      </c>
      <c r="N576" s="11">
        <f>MID(D576,FIND(";",SUBSTITUTE(D576,"|",REPT(";",LEN(D576)),6))+1,LEN(D576))</f>
        <v/>
      </c>
      <c r="O576" s="11">
        <f>MID(D576,FIND(";",SUBSTITUTE(D576,"|",REPT(";",LEN(D576)),5))+1,FIND(";",SUBSTITUTE(D576,"|",REPT(";",LEN(D576)),6))-FIND(";",SUBSTITUTE(D576,"|",REPT(";",LEN(D576)),5))-1)</f>
        <v/>
      </c>
    </row>
    <row r="577" ht="112" customHeight="1" s="21">
      <c r="A577" s="13" t="inlineStr">
        <is>
          <t>100201</t>
        </is>
      </c>
      <c r="B577" s="13" t="inlineStr">
        <is>
          <t>圆钢</t>
        </is>
      </c>
      <c r="C577" s="13" t="inlineStr">
        <is>
          <t>600601800</t>
        </is>
      </c>
      <c r="D577" s="13" t="inlineStr">
        <is>
          <t>不锈钢棒|钢棒|06Cr19Ni10|GB/T 1220-2007</t>
        </is>
      </c>
      <c r="E577" s="13" t="inlineStr">
        <is>
          <t xml:space="preserve">物资名称 不锈钢棒;物资简称 钢棒;牌号 06Cr19Ni10;直径 Φ;技术标准号 GB/T 1220-2007;加工工艺 ;热处理工艺 ;特殊要求 ;规格标准号 </t>
        </is>
      </c>
      <c r="F577" s="12" t="inlineStr">
        <is>
          <t>千克</t>
        </is>
      </c>
      <c r="G577" s="11">
        <f>LEFT(D577,FIND("|",D577,1)-1)</f>
        <v/>
      </c>
      <c r="H577" s="11">
        <f>MID(D577,FIND("|",D577,FIND("|",D577,1))+1,FIND("|",D577,FIND("|",D577,1)+1)-FIND("|",D577,FIND("|",D577,1))-1)</f>
        <v/>
      </c>
      <c r="J577" s="11">
        <f>MID(D577,FIND(";",SUBSTITUTE(D577,"|",REPT(";",LEN(D577)),2))+1,FIND(";",SUBSTITUTE(D577,"|",REPT(";",LEN(D577)),3))-FIND(";",SUBSTITUTE(D577,"|",REPT(";",LEN(D577)),2))-1)</f>
        <v/>
      </c>
      <c r="M577" s="11">
        <f>MID(D577,FIND(";",SUBSTITUTE(D577,"|",REPT(";",LEN(D577)),3))+1,LEN(D577))</f>
        <v/>
      </c>
    </row>
    <row r="578" ht="140" customHeight="1" s="21">
      <c r="A578" s="13" t="inlineStr">
        <is>
          <t>100201</t>
        </is>
      </c>
      <c r="B578" s="13" t="inlineStr">
        <is>
          <t>圆钢</t>
        </is>
      </c>
      <c r="C578" s="13" t="inlineStr">
        <is>
          <t>600601700</t>
        </is>
      </c>
      <c r="D578" s="13" t="inlineStr">
        <is>
          <t>热轧不锈圆钢|圆钢|06Cr19Ni10|GB/T 1220-2007|GB/T 702-2008</t>
        </is>
      </c>
      <c r="E578" s="13" t="inlineStr">
        <is>
          <t>物资名称 热轧不锈圆钢;物资简称 圆钢;牌号 06Cr19Ni10;直径 Φ;技术标准号 GB/T 1220-2007;加工工艺 ;热处理工艺 ;特殊要求 ;规格标准号 GB/T 702-2008</t>
        </is>
      </c>
      <c r="F578" s="12" t="inlineStr">
        <is>
          <t>千克</t>
        </is>
      </c>
      <c r="G578" s="11">
        <f>LEFT(D578,FIND("|",D578,1)-1)</f>
        <v/>
      </c>
      <c r="H578" s="11">
        <f>MID(D578,FIND("|",D578,FIND("|",D578,1))+1,FIND("|",D578,FIND("|",D578,1)+1)-FIND("|",D578,FIND("|",D578,1))-1)</f>
        <v/>
      </c>
      <c r="J578" s="11">
        <f>MID(D578,FIND(";",SUBSTITUTE(D578,"|",REPT(";",LEN(D578)),2))+1,FIND(";",SUBSTITUTE(D578,"|",REPT(";",LEN(D578)),3))-FIND(";",SUBSTITUTE(D578,"|",REPT(";",LEN(D578)),2))-1)</f>
        <v/>
      </c>
      <c r="M578" s="11">
        <f>MID(D578,FIND(";",SUBSTITUTE(D578,"|",REPT(";",LEN(D578)),3))+1,FIND(";",SUBSTITUTE(D578,"|",REPT(";",LEN(D578)),4))-FIND(";",SUBSTITUTE(D578,"|",REPT(";",LEN(D578)),3))-1)</f>
        <v/>
      </c>
      <c r="N578" s="11">
        <f>MID(D578,FIND(";",SUBSTITUTE(D578,"|",REPT(";",LEN(D578)),4))+1,LEN(D578))</f>
        <v/>
      </c>
    </row>
    <row r="579" ht="140" customHeight="1" s="21">
      <c r="A579" s="13" t="inlineStr">
        <is>
          <t>100201</t>
        </is>
      </c>
      <c r="B579" s="13" t="inlineStr">
        <is>
          <t>圆钢</t>
        </is>
      </c>
      <c r="C579" s="13" t="inlineStr">
        <is>
          <t>600601600</t>
        </is>
      </c>
      <c r="D579" s="13" t="inlineStr">
        <is>
          <t>热轧不锈圆钢|圆钢|06Cr19Ni10|Φ65|GB/T 1220-2007|热轧|固溶|GB/T 702-2008</t>
        </is>
      </c>
      <c r="E579" s="13" t="inlineStr">
        <is>
          <t>物资名称 热轧不锈圆钢;物资简称 圆钢;牌号 06Cr19Ni10;直径 Φ65;技术标准号 GB/T 1220-2007;加工工艺 热轧;热处理工艺 固溶;特殊要求 ;规格标准号 GB/T 702-2008</t>
        </is>
      </c>
      <c r="F579" s="12" t="inlineStr">
        <is>
          <t>千克</t>
        </is>
      </c>
      <c r="G579" s="11">
        <f>LEFT(D579,FIND("|",D579,1)-1)</f>
        <v/>
      </c>
      <c r="H579" s="11">
        <f>MID(D579,FIND("|",D579,FIND("|",D579,1))+1,FIND("|",D579,FIND("|",D579,1)+1)-FIND("|",D579,FIND("|",D579,1))-1)</f>
        <v/>
      </c>
      <c r="J579" s="11">
        <f>MID(D579,FIND(";",SUBSTITUTE(D579,"|",REPT(";",LEN(D579)),2))+1,FIND(";",SUBSTITUTE(D579,"|",REPT(";",LEN(D579)),3))-FIND(";",SUBSTITUTE(D579,"|",REPT(";",LEN(D579)),2))-1)</f>
        <v/>
      </c>
      <c r="K579" s="11">
        <f>MID(D579,FIND(";",SUBSTITUTE(D579,"|",REPT(";",LEN(D579)),3))+1,FIND(";",SUBSTITUTE(D579,"|",REPT(";",LEN(D579)),4))-FIND(";",SUBSTITUTE(D579,"|",REPT(";",LEN(D579)),3))-1)</f>
        <v/>
      </c>
      <c r="M579" s="11">
        <f>MID(D579,FIND(";",SUBSTITUTE(D579,"|",REPT(";",LEN(D579)),4))+1,FIND(";",SUBSTITUTE(D579,"|",REPT(";",LEN(D579)),5))-FIND(";",SUBSTITUTE(D579,"|",REPT(";",LEN(D579)),4))-1)</f>
        <v/>
      </c>
      <c r="N579" s="11">
        <f>MID(D579,FIND(";",SUBSTITUTE(D579,"|",REPT(";",LEN(D579)),7))+1,LEN(D579))</f>
        <v/>
      </c>
      <c r="O579" s="11">
        <f>MID(D579,FIND(";",SUBSTITUTE(D579,"|",REPT(";",LEN(D579)),5))+1,FIND(";",SUBSTITUTE(D579,"|",REPT(";",LEN(D579)),6))-FIND(";",SUBSTITUTE(D579,"|",REPT(";",LEN(D579)),5))-1)</f>
        <v/>
      </c>
      <c r="P579" s="11">
        <f>MID(D579,FIND(";",SUBSTITUTE(D579,"|",REPT(";",LEN(D579)),6))+1,FIND(";",SUBSTITUTE(D579,"|",REPT(";",LEN(D579)),7))-FIND(";",SUBSTITUTE(D579,"|",REPT(";",LEN(D579)),6))-1)</f>
        <v/>
      </c>
    </row>
    <row r="580" ht="112" customHeight="1" s="21">
      <c r="A580" s="13" t="inlineStr">
        <is>
          <t>100201</t>
        </is>
      </c>
      <c r="B580" s="13" t="inlineStr">
        <is>
          <t>圆钢</t>
        </is>
      </c>
      <c r="C580" s="13" t="inlineStr">
        <is>
          <t>600601500</t>
        </is>
      </c>
      <c r="D580" s="13" t="inlineStr">
        <is>
          <t>不锈钢棒|钢棒|12Cr13|GB/T 1220-2007</t>
        </is>
      </c>
      <c r="E580" s="13" t="inlineStr">
        <is>
          <t xml:space="preserve">物资名称 不锈钢棒;物资简称 钢棒;牌号 12Cr13;直径 Φ;技术标准号 GB/T 1220-2007;加工工艺 ;热处理工艺 ;特殊要求 ;规格标准号 </t>
        </is>
      </c>
      <c r="F580" s="12" t="inlineStr">
        <is>
          <t>千克</t>
        </is>
      </c>
      <c r="G580" s="11">
        <f>LEFT(D580,FIND("|",D580,1)-1)</f>
        <v/>
      </c>
      <c r="H580" s="11">
        <f>MID(D580,FIND("|",D580,FIND("|",D580,1))+1,FIND("|",D580,FIND("|",D580,1)+1)-FIND("|",D580,FIND("|",D580,1))-1)</f>
        <v/>
      </c>
      <c r="J580" s="11">
        <f>MID(D580,FIND(";",SUBSTITUTE(D580,"|",REPT(";",LEN(D580)),2))+1,FIND(";",SUBSTITUTE(D580,"|",REPT(";",LEN(D580)),3))-FIND(";",SUBSTITUTE(D580,"|",REPT(";",LEN(D580)),2))-1)</f>
        <v/>
      </c>
      <c r="M580" s="11">
        <f>MID(D580,FIND(";",SUBSTITUTE(D580,"|",REPT(";",LEN(D580)),3))+1,LEN(D580))</f>
        <v/>
      </c>
    </row>
    <row r="581" ht="126" customHeight="1" s="21">
      <c r="A581" s="13" t="inlineStr">
        <is>
          <t>100201</t>
        </is>
      </c>
      <c r="B581" s="13" t="inlineStr">
        <is>
          <t>圆钢</t>
        </is>
      </c>
      <c r="C581" s="13" t="inlineStr">
        <is>
          <t>600601400</t>
        </is>
      </c>
      <c r="D581" s="13" t="inlineStr">
        <is>
          <t>热轧不锈圆钢|圆钢|12Cr13|GB/T 1220-2007|GB/T 702-2008</t>
        </is>
      </c>
      <c r="E581" s="13" t="inlineStr">
        <is>
          <t>物资名称 热轧不锈圆钢;物资简称 圆钢;牌号 12Cr13;直径 Φ;技术标准号 GB/T 1220-2007;加工工艺 ;热处理工艺 ;特殊要求 ;规格标准号 GB/T 702-2008</t>
        </is>
      </c>
      <c r="F581" s="12" t="inlineStr">
        <is>
          <t>千克</t>
        </is>
      </c>
      <c r="G581" s="11">
        <f>LEFT(D581,FIND("|",D581,1)-1)</f>
        <v/>
      </c>
      <c r="H581" s="11">
        <f>MID(D581,FIND("|",D581,FIND("|",D581,1))+1,FIND("|",D581,FIND("|",D581,1)+1)-FIND("|",D581,FIND("|",D581,1))-1)</f>
        <v/>
      </c>
      <c r="J581" s="11">
        <f>MID(D581,FIND(";",SUBSTITUTE(D581,"|",REPT(";",LEN(D581)),2))+1,FIND(";",SUBSTITUTE(D581,"|",REPT(";",LEN(D581)),3))-FIND(";",SUBSTITUTE(D581,"|",REPT(";",LEN(D581)),2))-1)</f>
        <v/>
      </c>
      <c r="M581" s="11">
        <f>MID(D581,FIND(";",SUBSTITUTE(D581,"|",REPT(";",LEN(D581)),3))+1,FIND(";",SUBSTITUTE(D581,"|",REPT(";",LEN(D581)),4))-FIND(";",SUBSTITUTE(D581,"|",REPT(";",LEN(D581)),3))-1)</f>
        <v/>
      </c>
      <c r="N581" s="11">
        <f>MID(D581,FIND(";",SUBSTITUTE(D581,"|",REPT(";",LEN(D581)),4))+1,LEN(D581))</f>
        <v/>
      </c>
    </row>
    <row r="582" ht="140" customHeight="1" s="21">
      <c r="A582" s="13" t="inlineStr">
        <is>
          <t>100201</t>
        </is>
      </c>
      <c r="B582" s="13" t="inlineStr">
        <is>
          <t>圆钢</t>
        </is>
      </c>
      <c r="C582" s="13" t="inlineStr">
        <is>
          <t>600601300</t>
        </is>
      </c>
      <c r="D582" s="13" t="inlineStr">
        <is>
          <t>热轧不锈圆钢|圆钢|12Cr13|Φ75|GB/T 1220-2007|热轧|退火|GB/T 702-2008</t>
        </is>
      </c>
      <c r="E582" s="13" t="inlineStr">
        <is>
          <t>物资名称 热轧不锈圆钢;物资简称 圆钢;牌号 12Cr13;直径 Φ75;技术标准号 GB/T 1220-2007;加工工艺 热轧;热处理工艺 退火;特殊要求 ;规格标准号 GB/T 702-2008</t>
        </is>
      </c>
      <c r="F582" s="12" t="inlineStr">
        <is>
          <t>千克</t>
        </is>
      </c>
      <c r="G582" s="11">
        <f>LEFT(D582,FIND("|",D582,1)-1)</f>
        <v/>
      </c>
      <c r="H582" s="11">
        <f>MID(D582,FIND("|",D582,FIND("|",D582,1))+1,FIND("|",D582,FIND("|",D582,1)+1)-FIND("|",D582,FIND("|",D582,1))-1)</f>
        <v/>
      </c>
      <c r="J582" s="11">
        <f>MID(D582,FIND(";",SUBSTITUTE(D582,"|",REPT(";",LEN(D582)),2))+1,FIND(";",SUBSTITUTE(D582,"|",REPT(";",LEN(D582)),3))-FIND(";",SUBSTITUTE(D582,"|",REPT(";",LEN(D582)),2))-1)</f>
        <v/>
      </c>
      <c r="K582" s="11">
        <f>MID(D582,FIND(";",SUBSTITUTE(D582,"|",REPT(";",LEN(D582)),3))+1,FIND(";",SUBSTITUTE(D582,"|",REPT(";",LEN(D582)),4))-FIND(";",SUBSTITUTE(D582,"|",REPT(";",LEN(D582)),3))-1)</f>
        <v/>
      </c>
      <c r="M582" s="11">
        <f>MID(D582,FIND(";",SUBSTITUTE(D582,"|",REPT(";",LEN(D582)),4))+1,FIND(";",SUBSTITUTE(D582,"|",REPT(";",LEN(D582)),5))-FIND(";",SUBSTITUTE(D582,"|",REPT(";",LEN(D582)),4))-1)</f>
        <v/>
      </c>
      <c r="N582" s="11">
        <f>MID(D582,FIND(";",SUBSTITUTE(D582,"|",REPT(";",LEN(D582)),7))+1,LEN(D582))</f>
        <v/>
      </c>
      <c r="O582" s="11">
        <f>MID(D582,FIND(";",SUBSTITUTE(D582,"|",REPT(";",LEN(D582)),5))+1,FIND(";",SUBSTITUTE(D582,"|",REPT(";",LEN(D582)),6))-FIND(";",SUBSTITUTE(D582,"|",REPT(";",LEN(D582)),5))-1)</f>
        <v/>
      </c>
      <c r="P582" s="11">
        <f>MID(D582,FIND(";",SUBSTITUTE(D582,"|",REPT(";",LEN(D582)),6))+1,FIND(";",SUBSTITUTE(D582,"|",REPT(";",LEN(D582)),7))-FIND(";",SUBSTITUTE(D582,"|",REPT(";",LEN(D582)),6))-1)</f>
        <v/>
      </c>
    </row>
    <row r="583" ht="126" customHeight="1" s="21">
      <c r="A583" s="13" t="inlineStr">
        <is>
          <t>100201</t>
        </is>
      </c>
      <c r="B583" s="13" t="inlineStr">
        <is>
          <t>圆钢</t>
        </is>
      </c>
      <c r="C583" s="13" t="inlineStr">
        <is>
          <t>600601200</t>
        </is>
      </c>
      <c r="D583" s="13" t="inlineStr">
        <is>
          <t>热轧弹簧圆钢|圆钢|60Si2MnA|GB/T 1222-2007|GB/T 702-2008</t>
        </is>
      </c>
      <c r="E583" s="13" t="inlineStr">
        <is>
          <t>物资名称 热轧弹簧圆钢;物资简称 圆钢;牌号 60Si2MnA;直径 Φ;技术标准号 GB/T 1222-2007;加工工艺 ;热处理工艺 ;特殊要求 ;规格标准号 GB/T 702-2008</t>
        </is>
      </c>
      <c r="F583" s="12" t="inlineStr">
        <is>
          <t>千克</t>
        </is>
      </c>
      <c r="G583" s="11">
        <f>LEFT(D583,FIND("|",D583,1)-1)</f>
        <v/>
      </c>
      <c r="H583" s="11">
        <f>MID(D583,FIND("|",D583,FIND("|",D583,1))+1,FIND("|",D583,FIND("|",D583,1)+1)-FIND("|",D583,FIND("|",D583,1))-1)</f>
        <v/>
      </c>
      <c r="J583" s="11">
        <f>MID(D583,FIND(";",SUBSTITUTE(D583,"|",REPT(";",LEN(D583)),2))+1,FIND(";",SUBSTITUTE(D583,"|",REPT(";",LEN(D583)),3))-FIND(";",SUBSTITUTE(D583,"|",REPT(";",LEN(D583)),2))-1)</f>
        <v/>
      </c>
      <c r="M583" s="11">
        <f>MID(D583,FIND(";",SUBSTITUTE(D583,"|",REPT(";",LEN(D583)),3))+1,FIND(";",SUBSTITUTE(D583,"|",REPT(";",LEN(D583)),4))-FIND(";",SUBSTITUTE(D583,"|",REPT(";",LEN(D583)),3))-1)</f>
        <v/>
      </c>
      <c r="N583" s="11">
        <f>MID(D583,FIND(";",SUBSTITUTE(D583,"|",REPT(";",LEN(D583)),4))+1,LEN(D583))</f>
        <v/>
      </c>
    </row>
    <row r="584" ht="126" customHeight="1" s="21">
      <c r="A584" s="13" t="inlineStr">
        <is>
          <t>100201</t>
        </is>
      </c>
      <c r="B584" s="13" t="inlineStr">
        <is>
          <t>圆钢</t>
        </is>
      </c>
      <c r="C584" s="13" t="inlineStr">
        <is>
          <t>600601100</t>
        </is>
      </c>
      <c r="D584" s="13" t="inlineStr">
        <is>
          <t>热轧弹簧圆钢|圆钢|60Si2MnA|Φ45|GB/T 1222-2007|热轧|GB/T 702-2008</t>
        </is>
      </c>
      <c r="E584" s="13" t="inlineStr">
        <is>
          <t>物资名称 热轧弹簧圆钢;物资简称 圆钢;牌号 60Si2MnA;直径 Φ45;技术标准号 GB/T 1222-2007;加工工艺 热轧;热处理工艺 ;特殊要求 ;规格标准号 GB/T 702-2008</t>
        </is>
      </c>
      <c r="F584" s="12" t="inlineStr">
        <is>
          <t>千克</t>
        </is>
      </c>
      <c r="G584" s="11">
        <f>LEFT(D584,FIND("|",D584,1)-1)</f>
        <v/>
      </c>
      <c r="H584" s="11">
        <f>MID(D584,FIND("|",D584,FIND("|",D584,1))+1,FIND("|",D584,FIND("|",D584,1)+1)-FIND("|",D584,FIND("|",D584,1))-1)</f>
        <v/>
      </c>
      <c r="J584" s="11">
        <f>MID(D584,FIND(";",SUBSTITUTE(D584,"|",REPT(";",LEN(D584)),2))+1,FIND(";",SUBSTITUTE(D584,"|",REPT(";",LEN(D584)),3))-FIND(";",SUBSTITUTE(D584,"|",REPT(";",LEN(D584)),2))-1)</f>
        <v/>
      </c>
      <c r="K584" s="11">
        <f>MID(D584,FIND(";",SUBSTITUTE(D584,"|",REPT(";",LEN(D584)),3))+1,FIND(";",SUBSTITUTE(D584,"|",REPT(";",LEN(D584)),4))-FIND(";",SUBSTITUTE(D584,"|",REPT(";",LEN(D584)),3))-1)</f>
        <v/>
      </c>
      <c r="M584" s="11">
        <f>MID(D584,FIND(";",SUBSTITUTE(D584,"|",REPT(";",LEN(D584)),4))+1,FIND(";",SUBSTITUTE(D584,"|",REPT(";",LEN(D584)),5))-FIND(";",SUBSTITUTE(D584,"|",REPT(";",LEN(D584)),4))-1)</f>
        <v/>
      </c>
      <c r="N584" s="11">
        <f>MID(D584,FIND(";",SUBSTITUTE(D584,"|",REPT(";",LEN(D584)),6))+1,LEN(D584))</f>
        <v/>
      </c>
      <c r="O584" s="11">
        <f>MID(D584,FIND(";",SUBSTITUTE(D584,"|",REPT(";",LEN(D584)),5))+1,FIND(";",SUBSTITUTE(D584,"|",REPT(";",LEN(D584)),6))-FIND(";",SUBSTITUTE(D584,"|",REPT(";",LEN(D584)),5))-1)</f>
        <v/>
      </c>
    </row>
    <row r="585" ht="140" customHeight="1" s="21">
      <c r="A585" s="13" t="inlineStr">
        <is>
          <t>100201</t>
        </is>
      </c>
      <c r="B585" s="13" t="inlineStr">
        <is>
          <t>圆钢</t>
        </is>
      </c>
      <c r="C585" s="13" t="inlineStr">
        <is>
          <t>600601000</t>
        </is>
      </c>
      <c r="D585" s="13" t="inlineStr">
        <is>
          <t>热轧合金工具圆钢|圆钢|Cr12MoV|GB/T 1299-2000|GB/T 702-2008</t>
        </is>
      </c>
      <c r="E585" s="13" t="inlineStr">
        <is>
          <t>物资名称 热轧合金工具圆钢;物资简称 圆钢;牌号 Cr12MoV;直径 Φ;技术标准号 GB/T 1299-2000;加工工艺 ;热处理工艺 ;特殊要求 ;规格标准号 GB/T 702-2008</t>
        </is>
      </c>
      <c r="F585" s="12" t="inlineStr">
        <is>
          <t>千克</t>
        </is>
      </c>
      <c r="G585" s="11">
        <f>LEFT(D585,FIND("|",D585,1)-1)</f>
        <v/>
      </c>
      <c r="H585" s="11">
        <f>MID(D585,FIND("|",D585,FIND("|",D585,1))+1,FIND("|",D585,FIND("|",D585,1)+1)-FIND("|",D585,FIND("|",D585,1))-1)</f>
        <v/>
      </c>
      <c r="J585" s="11">
        <f>MID(D585,FIND(";",SUBSTITUTE(D585,"|",REPT(";",LEN(D585)),2))+1,FIND(";",SUBSTITUTE(D585,"|",REPT(";",LEN(D585)),3))-FIND(";",SUBSTITUTE(D585,"|",REPT(";",LEN(D585)),2))-1)</f>
        <v/>
      </c>
      <c r="M585" s="11">
        <f>MID(D585,FIND(";",SUBSTITUTE(D585,"|",REPT(";",LEN(D585)),3))+1,FIND(";",SUBSTITUTE(D585,"|",REPT(";",LEN(D585)),4))-FIND(";",SUBSTITUTE(D585,"|",REPT(";",LEN(D585)),3))-1)</f>
        <v/>
      </c>
      <c r="N585" s="11">
        <f>MID(D585,FIND(";",SUBSTITUTE(D585,"|",REPT(";",LEN(D585)),4))+1,LEN(D585))</f>
        <v/>
      </c>
    </row>
    <row r="586" ht="140" customHeight="1" s="21">
      <c r="A586" s="13" t="inlineStr">
        <is>
          <t>100201</t>
        </is>
      </c>
      <c r="B586" s="13" t="inlineStr">
        <is>
          <t>圆钢</t>
        </is>
      </c>
      <c r="C586" s="13" t="inlineStr">
        <is>
          <t>600600900</t>
        </is>
      </c>
      <c r="D586" s="13" t="inlineStr">
        <is>
          <t>热轧合金工具圆钢|圆钢|Cr12MoV|Φ35|GB/T 1299-2000|热轧|退火|GB/T 702-2008</t>
        </is>
      </c>
      <c r="E586" s="13" t="inlineStr">
        <is>
          <t>物资名称 热轧合金工具圆钢;物资简称 圆钢;牌号 Cr12MoV;直径 Φ35;技术标准号 GB/T 1299-2000;加工工艺 热轧;热处理工艺 退火;特殊要求 ;规格标准号 GB/T 702-2008</t>
        </is>
      </c>
      <c r="F586" s="12" t="inlineStr">
        <is>
          <t>千克</t>
        </is>
      </c>
      <c r="G586" s="11">
        <f>LEFT(D586,FIND("|",D586,1)-1)</f>
        <v/>
      </c>
      <c r="H586" s="11">
        <f>MID(D586,FIND("|",D586,FIND("|",D586,1))+1,FIND("|",D586,FIND("|",D586,1)+1)-FIND("|",D586,FIND("|",D586,1))-1)</f>
        <v/>
      </c>
      <c r="J586" s="11">
        <f>MID(D586,FIND(";",SUBSTITUTE(D586,"|",REPT(";",LEN(D586)),2))+1,FIND(";",SUBSTITUTE(D586,"|",REPT(";",LEN(D586)),3))-FIND(";",SUBSTITUTE(D586,"|",REPT(";",LEN(D586)),2))-1)</f>
        <v/>
      </c>
      <c r="K586" s="11">
        <f>MID(D586,FIND(";",SUBSTITUTE(D586,"|",REPT(";",LEN(D586)),3))+1,FIND(";",SUBSTITUTE(D586,"|",REPT(";",LEN(D586)),4))-FIND(";",SUBSTITUTE(D586,"|",REPT(";",LEN(D586)),3))-1)</f>
        <v/>
      </c>
      <c r="M586" s="11">
        <f>MID(D586,FIND(";",SUBSTITUTE(D586,"|",REPT(";",LEN(D586)),4))+1,FIND(";",SUBSTITUTE(D586,"|",REPT(";",LEN(D586)),5))-FIND(";",SUBSTITUTE(D586,"|",REPT(";",LEN(D586)),4))-1)</f>
        <v/>
      </c>
      <c r="N586" s="11">
        <f>MID(D586,FIND(";",SUBSTITUTE(D586,"|",REPT(";",LEN(D586)),7))+1,LEN(D586))</f>
        <v/>
      </c>
      <c r="O586" s="11">
        <f>MID(D586,FIND(";",SUBSTITUTE(D586,"|",REPT(";",LEN(D586)),5))+1,FIND(";",SUBSTITUTE(D586,"|",REPT(";",LEN(D586)),6))-FIND(";",SUBSTITUTE(D586,"|",REPT(";",LEN(D586)),5))-1)</f>
        <v/>
      </c>
      <c r="P586" s="11">
        <f>MID(D586,FIND(";",SUBSTITUTE(D586,"|",REPT(";",LEN(D586)),6))+1,FIND(";",SUBSTITUTE(D586,"|",REPT(";",LEN(D586)),7))-FIND(";",SUBSTITUTE(D586,"|",REPT(";",LEN(D586)),6))-1)</f>
        <v/>
      </c>
    </row>
    <row r="587" ht="140" customHeight="1" s="21">
      <c r="A587" s="13" t="inlineStr">
        <is>
          <t>100201</t>
        </is>
      </c>
      <c r="B587" s="13" t="inlineStr">
        <is>
          <t>圆钢</t>
        </is>
      </c>
      <c r="C587" s="13" t="inlineStr">
        <is>
          <t>600600800</t>
        </is>
      </c>
      <c r="D587" s="13" t="inlineStr">
        <is>
          <t>热轧合金结构圆钢|圆钢|30CrNi3|GB/T 3077-1999|热轧|GB/T 702-2008</t>
        </is>
      </c>
      <c r="E587" s="13" t="inlineStr">
        <is>
          <t>物资名称 热轧合金结构圆钢;物资简称 圆钢;牌号 30CrNi3;直径 Φ;技术标准号 GB/T 3077-1999;加工工艺 热轧;热处理工艺 ;特殊要求 ;规格标准号 GB/T 702-2008</t>
        </is>
      </c>
      <c r="F587" s="12" t="inlineStr">
        <is>
          <t>千克</t>
        </is>
      </c>
      <c r="G587" s="11">
        <f>LEFT(D587,FIND("|",D587,1)-1)</f>
        <v/>
      </c>
      <c r="H587" s="11">
        <f>MID(D587,FIND("|",D587,FIND("|",D587,1))+1,FIND("|",D587,FIND("|",D587,1)+1)-FIND("|",D587,FIND("|",D587,1))-1)</f>
        <v/>
      </c>
      <c r="J587" s="11">
        <f>MID(D587,FIND(";",SUBSTITUTE(D587,"|",REPT(";",LEN(D587)),2))+1,FIND(";",SUBSTITUTE(D587,"|",REPT(";",LEN(D587)),3))-FIND(";",SUBSTITUTE(D587,"|",REPT(";",LEN(D587)),2))-1)</f>
        <v/>
      </c>
      <c r="M587" s="11">
        <f>MID(D587,FIND(";",SUBSTITUTE(D587,"|",REPT(";",LEN(D587)),3))+1,FIND(";",SUBSTITUTE(D587,"|",REPT(";",LEN(D587)),4))-FIND(";",SUBSTITUTE(D587,"|",REPT(";",LEN(D587)),3))-1)</f>
        <v/>
      </c>
      <c r="N587" s="11">
        <f>MID(D587,FIND(";",SUBSTITUTE(D587,"|",REPT(";",LEN(D587)),5))+1,LEN(D587))</f>
        <v/>
      </c>
      <c r="O587" s="11">
        <f>MID(D587,FIND(";",SUBSTITUTE(D587,"|",REPT(";",LEN(D587)),4))+1,FIND(";",SUBSTITUTE(D587,"|",REPT(";",LEN(D587)),5))-FIND(";",SUBSTITUTE(D587,"|",REPT(";",LEN(D587)),4))-1)</f>
        <v/>
      </c>
    </row>
    <row r="588" ht="140" customHeight="1" s="21">
      <c r="A588" s="13" t="inlineStr">
        <is>
          <t>100201</t>
        </is>
      </c>
      <c r="B588" s="13" t="inlineStr">
        <is>
          <t>圆钢</t>
        </is>
      </c>
      <c r="C588" s="13" t="inlineStr">
        <is>
          <t>600600700</t>
        </is>
      </c>
      <c r="D588" s="13" t="inlineStr">
        <is>
          <t>热轧合金结构圆钢|圆钢|30CrNi3|Φ20|GB/T 3077-1999|热轧|GB/T 702-2008</t>
        </is>
      </c>
      <c r="E588" s="13" t="inlineStr">
        <is>
          <t>物资名称 热轧合金结构圆钢;物资简称 圆钢;牌号 30CrNi3;直径 Φ20;技术标准号 GB/T 3077-1999;加工工艺 热轧;热处理工艺 ;特殊要求 ;规格标准号 GB/T 702-2008</t>
        </is>
      </c>
      <c r="F588" s="12" t="inlineStr">
        <is>
          <t>千克</t>
        </is>
      </c>
      <c r="G588" s="11">
        <f>LEFT(D588,FIND("|",D588,1)-1)</f>
        <v/>
      </c>
      <c r="H588" s="11">
        <f>MID(D588,FIND("|",D588,FIND("|",D588,1))+1,FIND("|",D588,FIND("|",D588,1)+1)-FIND("|",D588,FIND("|",D588,1))-1)</f>
        <v/>
      </c>
      <c r="J588" s="11">
        <f>MID(D588,FIND(";",SUBSTITUTE(D588,"|",REPT(";",LEN(D588)),2))+1,FIND(";",SUBSTITUTE(D588,"|",REPT(";",LEN(D588)),3))-FIND(";",SUBSTITUTE(D588,"|",REPT(";",LEN(D588)),2))-1)</f>
        <v/>
      </c>
      <c r="K588" s="11">
        <f>MID(D588,FIND(";",SUBSTITUTE(D588,"|",REPT(";",LEN(D588)),3))+1,FIND(";",SUBSTITUTE(D588,"|",REPT(";",LEN(D588)),4))-FIND(";",SUBSTITUTE(D588,"|",REPT(";",LEN(D588)),3))-1)</f>
        <v/>
      </c>
      <c r="M588" s="11">
        <f>MID(D588,FIND(";",SUBSTITUTE(D588,"|",REPT(";",LEN(D588)),4))+1,FIND(";",SUBSTITUTE(D588,"|",REPT(";",LEN(D588)),5))-FIND(";",SUBSTITUTE(D588,"|",REPT(";",LEN(D588)),4))-1)</f>
        <v/>
      </c>
      <c r="N588" s="11">
        <f>MID(D588,FIND(";",SUBSTITUTE(D588,"|",REPT(";",LEN(D588)),6))+1,LEN(D588))</f>
        <v/>
      </c>
      <c r="O588" s="11">
        <f>MID(D588,FIND(";",SUBSTITUTE(D588,"|",REPT(";",LEN(D588)),5))+1,FIND(";",SUBSTITUTE(D588,"|",REPT(";",LEN(D588)),6))-FIND(";",SUBSTITUTE(D588,"|",REPT(";",LEN(D588)),5))-1)</f>
        <v/>
      </c>
    </row>
    <row r="589" ht="140" customHeight="1" s="21">
      <c r="A589" s="13" t="inlineStr">
        <is>
          <t>100201</t>
        </is>
      </c>
      <c r="B589" s="13" t="inlineStr">
        <is>
          <t>圆钢</t>
        </is>
      </c>
      <c r="C589" s="13" t="inlineStr">
        <is>
          <t>600600600</t>
        </is>
      </c>
      <c r="D589" s="13" t="inlineStr">
        <is>
          <t>热轧合金结构圆钢|圆钢|35CrMnSiA|GB/T 3077-1999|GB/T 702-2008</t>
        </is>
      </c>
      <c r="E589" s="13" t="inlineStr">
        <is>
          <t>物资名称 热轧合金结构圆钢;物资简称 圆钢;牌号 35CrMnSiA;直径 Φ;技术标准号 GB/T 3077-1999;加工工艺 ;热处理工艺 ;特殊要求 ;规格标准号 GB/T 702-2008</t>
        </is>
      </c>
      <c r="F589" s="12" t="inlineStr">
        <is>
          <t>千克</t>
        </is>
      </c>
      <c r="G589" s="11">
        <f>LEFT(D589,FIND("|",D589,1)-1)</f>
        <v/>
      </c>
      <c r="H589" s="11">
        <f>MID(D589,FIND("|",D589,FIND("|",D589,1))+1,FIND("|",D589,FIND("|",D589,1)+1)-FIND("|",D589,FIND("|",D589,1))-1)</f>
        <v/>
      </c>
      <c r="J589" s="11">
        <f>MID(D589,FIND(";",SUBSTITUTE(D589,"|",REPT(";",LEN(D589)),2))+1,FIND(";",SUBSTITUTE(D589,"|",REPT(";",LEN(D589)),3))-FIND(";",SUBSTITUTE(D589,"|",REPT(";",LEN(D589)),2))-1)</f>
        <v/>
      </c>
      <c r="M589" s="11">
        <f>MID(D589,FIND(";",SUBSTITUTE(D589,"|",REPT(";",LEN(D589)),3))+1,FIND(";",SUBSTITUTE(D589,"|",REPT(";",LEN(D589)),4))-FIND(";",SUBSTITUTE(D589,"|",REPT(";",LEN(D589)),3))-1)</f>
        <v/>
      </c>
      <c r="N589" s="11">
        <f>MID(D589,FIND(";",SUBSTITUTE(D589,"|",REPT(";",LEN(D589)),4))+1,LEN(D589))</f>
        <v/>
      </c>
    </row>
    <row r="590" ht="140" customHeight="1" s="21">
      <c r="A590" s="13" t="inlineStr">
        <is>
          <t>100201</t>
        </is>
      </c>
      <c r="B590" s="13" t="inlineStr">
        <is>
          <t>圆钢</t>
        </is>
      </c>
      <c r="C590" s="13" t="inlineStr">
        <is>
          <t>600600500</t>
        </is>
      </c>
      <c r="D590" s="13" t="inlineStr">
        <is>
          <t>热轧合金结构圆钢|圆钢|35CrMnSiA|Φ80|GB/T 3077-1999|热轧|退火|GB/T 702-2008</t>
        </is>
      </c>
      <c r="E590" s="13" t="inlineStr">
        <is>
          <t>物资名称 热轧合金结构圆钢;物资简称 圆钢;牌号 35CrMnSiA;直径 Φ80;技术标准号 GB/T 3077-1999;加工工艺 热轧;热处理工艺 退火;特殊要求 ;规格标准号 GB/T 702-2008</t>
        </is>
      </c>
      <c r="F590" s="12" t="inlineStr">
        <is>
          <t>千克</t>
        </is>
      </c>
      <c r="G590" s="11">
        <f>LEFT(D590,FIND("|",D590,1)-1)</f>
        <v/>
      </c>
      <c r="H590" s="11">
        <f>MID(D590,FIND("|",D590,FIND("|",D590,1))+1,FIND("|",D590,FIND("|",D590,1)+1)-FIND("|",D590,FIND("|",D590,1))-1)</f>
        <v/>
      </c>
      <c r="J590" s="11">
        <f>MID(D590,FIND(";",SUBSTITUTE(D590,"|",REPT(";",LEN(D590)),2))+1,FIND(";",SUBSTITUTE(D590,"|",REPT(";",LEN(D590)),3))-FIND(";",SUBSTITUTE(D590,"|",REPT(";",LEN(D590)),2))-1)</f>
        <v/>
      </c>
      <c r="K590" s="11">
        <f>MID(D590,FIND(";",SUBSTITUTE(D590,"|",REPT(";",LEN(D590)),3))+1,FIND(";",SUBSTITUTE(D590,"|",REPT(";",LEN(D590)),4))-FIND(";",SUBSTITUTE(D590,"|",REPT(";",LEN(D590)),3))-1)</f>
        <v/>
      </c>
      <c r="M590" s="11">
        <f>MID(D590,FIND(";",SUBSTITUTE(D590,"|",REPT(";",LEN(D590)),4))+1,FIND(";",SUBSTITUTE(D590,"|",REPT(";",LEN(D590)),5))-FIND(";",SUBSTITUTE(D590,"|",REPT(";",LEN(D590)),4))-1)</f>
        <v/>
      </c>
      <c r="N590" s="11">
        <f>MID(D590,FIND(";",SUBSTITUTE(D590,"|",REPT(";",LEN(D590)),7))+1,LEN(D590))</f>
        <v/>
      </c>
      <c r="O590" s="11">
        <f>MID(D590,FIND(";",SUBSTITUTE(D590,"|",REPT(";",LEN(D590)),5))+1,FIND(";",SUBSTITUTE(D590,"|",REPT(";",LEN(D590)),6))-FIND(";",SUBSTITUTE(D590,"|",REPT(";",LEN(D590)),5))-1)</f>
        <v/>
      </c>
      <c r="P590" s="11">
        <f>MID(D590,FIND(";",SUBSTITUTE(D590,"|",REPT(";",LEN(D590)),6))+1,FIND(";",SUBSTITUTE(D590,"|",REPT(";",LEN(D590)),7))-FIND(";",SUBSTITUTE(D590,"|",REPT(";",LEN(D590)),6))-1)</f>
        <v/>
      </c>
    </row>
    <row r="591" ht="126" customHeight="1" s="21">
      <c r="A591" s="13" t="inlineStr">
        <is>
          <t>100201</t>
        </is>
      </c>
      <c r="B591" s="13" t="inlineStr">
        <is>
          <t>圆钢</t>
        </is>
      </c>
      <c r="C591" s="13" t="inlineStr">
        <is>
          <t>600600400</t>
        </is>
      </c>
      <c r="D591" s="13" t="inlineStr">
        <is>
          <t>热轧圆钢|圆钢|Q235A|GB/T 700-2006|GB/T 702-2008</t>
        </is>
      </c>
      <c r="E591" s="13" t="inlineStr">
        <is>
          <t>物资名称 热轧圆钢;物资简称 圆钢;牌号 Q235A;直径 Φ;技术标准号 GB/T 700-2006;加工工艺 ;热处理工艺 ;特殊要求 ;规格标准号 GB/T 702-2008</t>
        </is>
      </c>
      <c r="F591" s="12" t="inlineStr">
        <is>
          <t>千克</t>
        </is>
      </c>
      <c r="G591" s="11">
        <f>LEFT(D591,FIND("|",D591,1)-1)</f>
        <v/>
      </c>
      <c r="H591" s="11">
        <f>MID(D591,FIND("|",D591,FIND("|",D591,1))+1,FIND("|",D591,FIND("|",D591,1)+1)-FIND("|",D591,FIND("|",D591,1))-1)</f>
        <v/>
      </c>
      <c r="J591" s="11">
        <f>MID(D591,FIND(";",SUBSTITUTE(D591,"|",REPT(";",LEN(D591)),2))+1,FIND(";",SUBSTITUTE(D591,"|",REPT(";",LEN(D591)),3))-FIND(";",SUBSTITUTE(D591,"|",REPT(";",LEN(D591)),2))-1)</f>
        <v/>
      </c>
      <c r="M591" s="11">
        <f>MID(D591,FIND(";",SUBSTITUTE(D591,"|",REPT(";",LEN(D591)),3))+1,FIND(";",SUBSTITUTE(D591,"|",REPT(";",LEN(D591)),4))-FIND(";",SUBSTITUTE(D591,"|",REPT(";",LEN(D591)),3))-1)</f>
        <v/>
      </c>
      <c r="N591" s="11">
        <f>MID(D591,FIND(";",SUBSTITUTE(D591,"|",REPT(";",LEN(D591)),4))+1,LEN(D591))</f>
        <v/>
      </c>
    </row>
    <row r="592" ht="126" customHeight="1" s="21">
      <c r="A592" s="13" t="inlineStr">
        <is>
          <t>100201</t>
        </is>
      </c>
      <c r="B592" s="13" t="inlineStr">
        <is>
          <t>圆钢</t>
        </is>
      </c>
      <c r="C592" s="13" t="inlineStr">
        <is>
          <t>600600300</t>
        </is>
      </c>
      <c r="D592" s="13" t="inlineStr">
        <is>
          <t>热轧圆钢|圆钢|Q235A|Φ10|GB/T 700-2006|热轧|GB/T 702-2008</t>
        </is>
      </c>
      <c r="E592" s="13" t="inlineStr">
        <is>
          <t>物资名称 热轧圆钢;物资简称 圆钢;牌号 Q235A;直径 Φ10;技术标准号 GB/T 700-2006;加工工艺 热轧;热处理工艺 ;特殊要求 ;规格标准号 GB/T 702-2008</t>
        </is>
      </c>
      <c r="F592" s="12" t="inlineStr">
        <is>
          <t>千克</t>
        </is>
      </c>
      <c r="G592" s="11">
        <f>LEFT(D592,FIND("|",D592,1)-1)</f>
        <v/>
      </c>
      <c r="H592" s="11">
        <f>MID(D592,FIND("|",D592,FIND("|",D592,1))+1,FIND("|",D592,FIND("|",D592,1)+1)-FIND("|",D592,FIND("|",D592,1))-1)</f>
        <v/>
      </c>
      <c r="J592" s="11">
        <f>MID(D592,FIND(";",SUBSTITUTE(D592,"|",REPT(";",LEN(D592)),2))+1,FIND(";",SUBSTITUTE(D592,"|",REPT(";",LEN(D592)),3))-FIND(";",SUBSTITUTE(D592,"|",REPT(";",LEN(D592)),2))-1)</f>
        <v/>
      </c>
      <c r="K592" s="11">
        <f>MID(D592,FIND(";",SUBSTITUTE(D592,"|",REPT(";",LEN(D592)),3))+1,FIND(";",SUBSTITUTE(D592,"|",REPT(";",LEN(D592)),4))-FIND(";",SUBSTITUTE(D592,"|",REPT(";",LEN(D592)),3))-1)</f>
        <v/>
      </c>
      <c r="M592" s="11">
        <f>MID(D592,FIND(";",SUBSTITUTE(D592,"|",REPT(";",LEN(D592)),4))+1,FIND(";",SUBSTITUTE(D592,"|",REPT(";",LEN(D592)),5))-FIND(";",SUBSTITUTE(D592,"|",REPT(";",LEN(D592)),4))-1)</f>
        <v/>
      </c>
      <c r="N592" s="11">
        <f>MID(D592,FIND(";",SUBSTITUTE(D592,"|",REPT(";",LEN(D592)),6))+1,LEN(D592))</f>
        <v/>
      </c>
      <c r="O592" s="11">
        <f>MID(D592,FIND(";",SUBSTITUTE(D592,"|",REPT(";",LEN(D592)),5))+1,FIND(";",SUBSTITUTE(D592,"|",REPT(";",LEN(D592)),6))-FIND(";",SUBSTITUTE(D592,"|",REPT(";",LEN(D592)),5))-1)</f>
        <v/>
      </c>
    </row>
    <row r="593" ht="112" customHeight="1" s="21">
      <c r="A593" s="13" t="inlineStr">
        <is>
          <t>100201</t>
        </is>
      </c>
      <c r="B593" s="13" t="inlineStr">
        <is>
          <t>圆钢</t>
        </is>
      </c>
      <c r="C593" s="13" t="inlineStr">
        <is>
          <t>600600200</t>
        </is>
      </c>
      <c r="D593" s="13" t="inlineStr">
        <is>
          <t>合金结构圆钢|圆钢|30CrMnSi|GB/T 3077-1999</t>
        </is>
      </c>
      <c r="E593" s="13" t="inlineStr">
        <is>
          <t xml:space="preserve">物资名称 合金结构圆钢;物资简称 圆钢;牌号 30CrMnSi;直径 Φ;技术标准号 GB/T 3077-1999;加工工艺 ;热处理工艺 ;特殊要求 ;规格标准号 </t>
        </is>
      </c>
      <c r="F593" s="12" t="inlineStr">
        <is>
          <t>千克</t>
        </is>
      </c>
      <c r="G593" s="11">
        <f>LEFT(D593,FIND("|",D593,1)-1)</f>
        <v/>
      </c>
      <c r="H593" s="11">
        <f>MID(D593,FIND("|",D593,FIND("|",D593,1))+1,FIND("|",D593,FIND("|",D593,1)+1)-FIND("|",D593,FIND("|",D593,1))-1)</f>
        <v/>
      </c>
      <c r="J593" s="11">
        <f>MID(D593,FIND(";",SUBSTITUTE(D593,"|",REPT(";",LEN(D593)),2))+1,FIND(";",SUBSTITUTE(D593,"|",REPT(";",LEN(D593)),3))-FIND(";",SUBSTITUTE(D593,"|",REPT(";",LEN(D593)),2))-1)</f>
        <v/>
      </c>
      <c r="M593" s="11">
        <f>MID(D593,FIND(";",SUBSTITUTE(D593,"|",REPT(";",LEN(D593)),3))+1,LEN(D593))</f>
        <v/>
      </c>
    </row>
    <row r="594" ht="140" customHeight="1" s="21">
      <c r="A594" s="13" t="inlineStr">
        <is>
          <t>100206</t>
        </is>
      </c>
      <c r="B594" s="13" t="inlineStr">
        <is>
          <t>角钢</t>
        </is>
      </c>
      <c r="C594" s="13" t="inlineStr">
        <is>
          <t>602383700</t>
        </is>
      </c>
      <c r="D594" s="13" t="inlineStr">
        <is>
          <t>热轧角钢|角钢|Q235A|∠80×80×6|GB/T 700-2006|热轧|GB/T 706-2016</t>
        </is>
      </c>
      <c r="E594" s="13" t="inlineStr">
        <is>
          <t>物资名称 热轧角钢;物资简称 角钢;牌号 Q235A;长边宽 ∠80;短边宽 80;厚度 6;技术标准号 GB/T 700-2006;加工工艺 热轧;热处理工艺 ;特殊要求 ;规格标准号 GB/T 706-2016</t>
        </is>
      </c>
      <c r="F594" s="12" t="inlineStr">
        <is>
          <t>千克</t>
        </is>
      </c>
      <c r="G594" s="11">
        <f>LEFT(D594,FIND("|",D594,1)-1)</f>
        <v/>
      </c>
      <c r="H594" s="11">
        <f>MID(D594,FIND("|",D594,FIND("|",D594,1))+1,FIND("|",D594,FIND("|",D594,1)+1)-FIND("|",D594,FIND("|",D594,1))-1)</f>
        <v/>
      </c>
      <c r="J594" s="11">
        <f>MID(D594,FIND(";",SUBSTITUTE(D594,"|",REPT(";",LEN(D594)),2))+1,FIND(";",SUBSTITUTE(D594,"|",REPT(";",LEN(D594)),3))-FIND(";",SUBSTITUTE(D594,"|",REPT(";",LEN(D594)),2))-1)</f>
        <v/>
      </c>
      <c r="K594" s="11">
        <f>MID(D594,FIND(";",SUBSTITUTE(D594,"|",REPT(";",LEN(D594)),3))+1,FIND(";",SUBSTITUTE(D594,"|",REPT(";",LEN(D594)),4))-FIND(";",SUBSTITUTE(D594,"|",REPT(";",LEN(D594)),3))-1)</f>
        <v/>
      </c>
      <c r="M594" s="11">
        <f>MID(D594,FIND(";",SUBSTITUTE(D594,"|",REPT(";",LEN(D594)),4))+1,FIND(";",SUBSTITUTE(D594,"|",REPT(";",LEN(D594)),5))-FIND(";",SUBSTITUTE(D594,"|",REPT(";",LEN(D594)),4))-1)</f>
        <v/>
      </c>
      <c r="N594" s="11">
        <f>MID(D594,FIND(";",SUBSTITUTE(D594,"|",REPT(";",LEN(D594)),6))+1,LEN(D594))</f>
        <v/>
      </c>
      <c r="O594" s="11">
        <f>MID(D594,FIND(";",SUBSTITUTE(D594,"|",REPT(";",LEN(D594)),5))+1,FIND(";",SUBSTITUTE(D594,"|",REPT(";",LEN(D594)),6))-FIND(";",SUBSTITUTE(D594,"|",REPT(";",LEN(D594)),5))-1)</f>
        <v/>
      </c>
    </row>
    <row r="595" ht="140" customHeight="1" s="21">
      <c r="A595" s="13" t="inlineStr">
        <is>
          <t>100206</t>
        </is>
      </c>
      <c r="B595" s="13" t="inlineStr">
        <is>
          <t>角钢</t>
        </is>
      </c>
      <c r="C595" s="13" t="inlineStr">
        <is>
          <t>602366600</t>
        </is>
      </c>
      <c r="D595" s="13" t="inlineStr">
        <is>
          <t>热轧角钢|角钢|Q235A|∠90×90×8|GB/T 700-2006|热轧|GB/T 706-2016</t>
        </is>
      </c>
      <c r="E595" s="13" t="inlineStr">
        <is>
          <t>物资名称 热轧角钢;物资简称 角钢;牌号 Q235A;长边宽 ∠90;短边宽 90;厚度 8;技术标准号 GB/T 700-2006;加工工艺 热轧;热处理工艺 ;特殊要求 ;规格标准号 GB/T 706-2016</t>
        </is>
      </c>
      <c r="F595" s="12" t="inlineStr">
        <is>
          <t>千克</t>
        </is>
      </c>
      <c r="G595" s="11">
        <f>LEFT(D595,FIND("|",D595,1)-1)</f>
        <v/>
      </c>
      <c r="H595" s="11">
        <f>MID(D595,FIND("|",D595,FIND("|",D595,1))+1,FIND("|",D595,FIND("|",D595,1)+1)-FIND("|",D595,FIND("|",D595,1))-1)</f>
        <v/>
      </c>
      <c r="J595" s="11">
        <f>MID(D595,FIND(";",SUBSTITUTE(D595,"|",REPT(";",LEN(D595)),2))+1,FIND(";",SUBSTITUTE(D595,"|",REPT(";",LEN(D595)),3))-FIND(";",SUBSTITUTE(D595,"|",REPT(";",LEN(D595)),2))-1)</f>
        <v/>
      </c>
      <c r="K595" s="11">
        <f>MID(D595,FIND(";",SUBSTITUTE(D595,"|",REPT(";",LEN(D595)),3))+1,FIND(";",SUBSTITUTE(D595,"|",REPT(";",LEN(D595)),4))-FIND(";",SUBSTITUTE(D595,"|",REPT(";",LEN(D595)),3))-1)</f>
        <v/>
      </c>
      <c r="M595" s="11">
        <f>MID(D595,FIND(";",SUBSTITUTE(D595,"|",REPT(";",LEN(D595)),4))+1,FIND(";",SUBSTITUTE(D595,"|",REPT(";",LEN(D595)),5))-FIND(";",SUBSTITUTE(D595,"|",REPT(";",LEN(D595)),4))-1)</f>
        <v/>
      </c>
      <c r="N595" s="11">
        <f>MID(D595,FIND(";",SUBSTITUTE(D595,"|",REPT(";",LEN(D595)),6))+1,LEN(D595))</f>
        <v/>
      </c>
      <c r="O595" s="11">
        <f>MID(D595,FIND(";",SUBSTITUTE(D595,"|",REPT(";",LEN(D595)),5))+1,FIND(";",SUBSTITUTE(D595,"|",REPT(";",LEN(D595)),6))-FIND(";",SUBSTITUTE(D595,"|",REPT(";",LEN(D595)),5))-1)</f>
        <v/>
      </c>
    </row>
    <row r="596" ht="140" customHeight="1" s="21">
      <c r="A596" s="13" t="inlineStr">
        <is>
          <t>100206</t>
        </is>
      </c>
      <c r="B596" s="13" t="inlineStr">
        <is>
          <t>角钢</t>
        </is>
      </c>
      <c r="C596" s="13" t="inlineStr">
        <is>
          <t>600999600</t>
        </is>
      </c>
      <c r="D596" s="13" t="inlineStr">
        <is>
          <t>热轧角钢|角钢|Q235|∠125×80×8|GB/T 700-2006|热轧|GB/T 706-2008</t>
        </is>
      </c>
      <c r="E596" s="13" t="inlineStr">
        <is>
          <t>物资名称 热轧角钢;物资简称 角钢;牌号 Q235;长边宽 ∠125;短边宽 80;厚度 8;技术标准号 GB/T 700-2006;加工工艺 热轧;热处理工艺 ;特殊要求 ;规格标准号 GB/T 706-2008</t>
        </is>
      </c>
      <c r="F596" s="12" t="inlineStr">
        <is>
          <t>千克</t>
        </is>
      </c>
      <c r="G596" s="11">
        <f>LEFT(D596,FIND("|",D596,1)-1)</f>
        <v/>
      </c>
      <c r="H596" s="11">
        <f>MID(D596,FIND("|",D596,FIND("|",D596,1))+1,FIND("|",D596,FIND("|",D596,1)+1)-FIND("|",D596,FIND("|",D596,1))-1)</f>
        <v/>
      </c>
      <c r="J596" s="11">
        <f>MID(D596,FIND(";",SUBSTITUTE(D596,"|",REPT(";",LEN(D596)),2))+1,FIND(";",SUBSTITUTE(D596,"|",REPT(";",LEN(D596)),3))-FIND(";",SUBSTITUTE(D596,"|",REPT(";",LEN(D596)),2))-1)</f>
        <v/>
      </c>
      <c r="K596" s="11">
        <f>MID(D596,FIND(";",SUBSTITUTE(D596,"|",REPT(";",LEN(D596)),3))+1,FIND(";",SUBSTITUTE(D596,"|",REPT(";",LEN(D596)),4))-FIND(";",SUBSTITUTE(D596,"|",REPT(";",LEN(D596)),3))-1)</f>
        <v/>
      </c>
      <c r="M596" s="11">
        <f>MID(D596,FIND(";",SUBSTITUTE(D596,"|",REPT(";",LEN(D596)),4))+1,FIND(";",SUBSTITUTE(D596,"|",REPT(";",LEN(D596)),5))-FIND(";",SUBSTITUTE(D596,"|",REPT(";",LEN(D596)),4))-1)</f>
        <v/>
      </c>
      <c r="N596" s="11">
        <f>MID(D596,FIND(";",SUBSTITUTE(D596,"|",REPT(";",LEN(D596)),6))+1,LEN(D596))</f>
        <v/>
      </c>
      <c r="O596" s="11">
        <f>MID(D596,FIND(";",SUBSTITUTE(D596,"|",REPT(";",LEN(D596)),5))+1,FIND(";",SUBSTITUTE(D596,"|",REPT(";",LEN(D596)),6))-FIND(";",SUBSTITUTE(D596,"|",REPT(";",LEN(D596)),5))-1)</f>
        <v/>
      </c>
    </row>
    <row r="597" ht="126" customHeight="1" s="21">
      <c r="A597" s="13" t="inlineStr">
        <is>
          <t>100206</t>
        </is>
      </c>
      <c r="B597" s="13" t="inlineStr">
        <is>
          <t>角钢</t>
        </is>
      </c>
      <c r="C597" s="13" t="inlineStr">
        <is>
          <t>600626000</t>
        </is>
      </c>
      <c r="D597" s="13" t="inlineStr">
        <is>
          <t>热轧角钢|角钢|Q235A|GB/T 700-2006|GB/T 706-2008</t>
        </is>
      </c>
      <c r="E597" s="13" t="inlineStr">
        <is>
          <t>物资名称 热轧角钢;物资简称 角钢;牌号 Q235A;长边宽 ∠;短边宽 ;厚度 ;技术标准号 GB/T 700-2006;加工工艺 ;热处理工艺 ;特殊要求 ;规格标准号 GB/T 706-2008</t>
        </is>
      </c>
      <c r="F597" s="12" t="inlineStr">
        <is>
          <t>千克</t>
        </is>
      </c>
      <c r="G597" s="11">
        <f>LEFT(D597,FIND("|",D597,1)-1)</f>
        <v/>
      </c>
      <c r="H597" s="11">
        <f>MID(D597,FIND("|",D597,FIND("|",D597,1))+1,FIND("|",D597,FIND("|",D597,1)+1)-FIND("|",D597,FIND("|",D597,1))-1)</f>
        <v/>
      </c>
      <c r="J597" s="11">
        <f>MID(D597,FIND(";",SUBSTITUTE(D597,"|",REPT(";",LEN(D597)),2))+1,FIND(";",SUBSTITUTE(D597,"|",REPT(";",LEN(D597)),3))-FIND(";",SUBSTITUTE(D597,"|",REPT(";",LEN(D597)),2))-1)</f>
        <v/>
      </c>
      <c r="M597" s="11">
        <f>MID(D597,FIND(";",SUBSTITUTE(D597,"|",REPT(";",LEN(D597)),3))+1,FIND(";",SUBSTITUTE(D597,"|",REPT(";",LEN(D597)),4))-FIND(";",SUBSTITUTE(D597,"|",REPT(";",LEN(D597)),3))-1)</f>
        <v/>
      </c>
      <c r="N597" s="11">
        <f>MID(D597,FIND(";",SUBSTITUTE(D597,"|",REPT(";",LEN(D597)),4))+1,LEN(D597))</f>
        <v/>
      </c>
    </row>
    <row r="598" ht="140" customHeight="1" s="21">
      <c r="A598" s="13" t="inlineStr">
        <is>
          <t>100206</t>
        </is>
      </c>
      <c r="B598" s="13" t="inlineStr">
        <is>
          <t>角钢</t>
        </is>
      </c>
      <c r="C598" s="13" t="inlineStr">
        <is>
          <t>600625900</t>
        </is>
      </c>
      <c r="D598" s="13" t="inlineStr">
        <is>
          <t>热轧角钢|角钢|Q235A|∠20×20×2|GB/T 700-2006|GB/T 706-2008</t>
        </is>
      </c>
      <c r="E598" s="13" t="inlineStr">
        <is>
          <t>物资名称 热轧角钢;物资简称 角钢;牌号 Q235A;长边宽 ∠20;短边宽 20;厚度 2;技术标准号 GB/T 700-2006;加工工艺 ;热处理工艺 ;特殊要求 ;规格标准号 GB/T 706-2008</t>
        </is>
      </c>
      <c r="F598" s="12" t="inlineStr">
        <is>
          <t>千克</t>
        </is>
      </c>
      <c r="G598" s="11">
        <f>LEFT(D598,FIND("|",D598,1)-1)</f>
        <v/>
      </c>
      <c r="H598" s="11">
        <f>MID(D598,FIND("|",D598,FIND("|",D598,1))+1,FIND("|",D598,FIND("|",D598,1)+1)-FIND("|",D598,FIND("|",D598,1))-1)</f>
        <v/>
      </c>
      <c r="J598" s="11">
        <f>MID(D598,FIND(";",SUBSTITUTE(D598,"|",REPT(";",LEN(D598)),2))+1,FIND(";",SUBSTITUTE(D598,"|",REPT(";",LEN(D598)),3))-FIND(";",SUBSTITUTE(D598,"|",REPT(";",LEN(D598)),2))-1)</f>
        <v/>
      </c>
      <c r="K598" s="11">
        <f>MID(D598,FIND(";",SUBSTITUTE(D598,"|",REPT(";",LEN(D598)),3))+1,FIND(";",SUBSTITUTE(D598,"|",REPT(";",LEN(D598)),4))-FIND(";",SUBSTITUTE(D598,"|",REPT(";",LEN(D598)),3))-1)</f>
        <v/>
      </c>
      <c r="M598" s="11">
        <f>MID(D598,FIND(";",SUBSTITUTE(D598,"|",REPT(";",LEN(D598)),4))+1,FIND(";",SUBSTITUTE(D598,"|",REPT(";",LEN(D598)),5))-FIND(";",SUBSTITUTE(D598,"|",REPT(";",LEN(D598)),4))-1)</f>
        <v/>
      </c>
      <c r="N598" s="11">
        <f>MID(D598,FIND(";",SUBSTITUTE(D598,"|",REPT(";",LEN(D598)),5))+1,LEN(D598))</f>
        <v/>
      </c>
    </row>
    <row r="599" ht="140" customHeight="1" s="21">
      <c r="A599" s="13" t="inlineStr">
        <is>
          <t>100206</t>
        </is>
      </c>
      <c r="B599" s="13" t="inlineStr">
        <is>
          <t>角钢</t>
        </is>
      </c>
      <c r="C599" s="13" t="inlineStr">
        <is>
          <t>600625800</t>
        </is>
      </c>
      <c r="D599" s="13" t="inlineStr">
        <is>
          <t>热轧角钢|角钢|Q235A|∠25×25×3|GB/T 700-2006|GB/T 706-2008</t>
        </is>
      </c>
      <c r="E599" s="13" t="inlineStr">
        <is>
          <t>物资名称 热轧角钢;物资简称 角钢;牌号 Q235A;长边宽 ∠25;短边宽 25;厚度 3;技术标准号 GB/T 700-2006;加工工艺 ;热处理工艺 ;特殊要求 ;规格标准号 GB/T 706-2008</t>
        </is>
      </c>
      <c r="F599" s="12" t="inlineStr">
        <is>
          <t>千克</t>
        </is>
      </c>
      <c r="G599" s="11">
        <f>LEFT(D599,FIND("|",D599,1)-1)</f>
        <v/>
      </c>
      <c r="H599" s="11">
        <f>MID(D599,FIND("|",D599,FIND("|",D599,1))+1,FIND("|",D599,FIND("|",D599,1)+1)-FIND("|",D599,FIND("|",D599,1))-1)</f>
        <v/>
      </c>
      <c r="J599" s="11">
        <f>MID(D599,FIND(";",SUBSTITUTE(D599,"|",REPT(";",LEN(D599)),2))+1,FIND(";",SUBSTITUTE(D599,"|",REPT(";",LEN(D599)),3))-FIND(";",SUBSTITUTE(D599,"|",REPT(";",LEN(D599)),2))-1)</f>
        <v/>
      </c>
      <c r="K599" s="11">
        <f>MID(D599,FIND(";",SUBSTITUTE(D599,"|",REPT(";",LEN(D599)),3))+1,FIND(";",SUBSTITUTE(D599,"|",REPT(";",LEN(D599)),4))-FIND(";",SUBSTITUTE(D599,"|",REPT(";",LEN(D599)),3))-1)</f>
        <v/>
      </c>
      <c r="M599" s="11">
        <f>MID(D599,FIND(";",SUBSTITUTE(D599,"|",REPT(";",LEN(D599)),4))+1,FIND(";",SUBSTITUTE(D599,"|",REPT(";",LEN(D599)),5))-FIND(";",SUBSTITUTE(D599,"|",REPT(";",LEN(D599)),4))-1)</f>
        <v/>
      </c>
      <c r="N599" s="11">
        <f>MID(D599,FIND(";",SUBSTITUTE(D599,"|",REPT(";",LEN(D599)),5))+1,LEN(D599))</f>
        <v/>
      </c>
    </row>
    <row r="600" ht="140" customHeight="1" s="21">
      <c r="A600" s="13" t="inlineStr">
        <is>
          <t>100206</t>
        </is>
      </c>
      <c r="B600" s="13" t="inlineStr">
        <is>
          <t>角钢</t>
        </is>
      </c>
      <c r="C600" s="13" t="inlineStr">
        <is>
          <t>600625700</t>
        </is>
      </c>
      <c r="D600" s="13" t="inlineStr">
        <is>
          <t>热轧角钢|角钢|Q235A|∠25×25×2|GB/T 700-2006|GB/T 706-2008</t>
        </is>
      </c>
      <c r="E600" s="13" t="inlineStr">
        <is>
          <t>物资名称 热轧角钢;物资简称 角钢;牌号 Q235A;长边宽 ∠25;短边宽 25;厚度 2;技术标准号 GB/T 700-2006;加工工艺 ;热处理工艺 ;特殊要求 ;规格标准号 GB/T 706-2008</t>
        </is>
      </c>
      <c r="F600" s="12" t="inlineStr">
        <is>
          <t>千克</t>
        </is>
      </c>
      <c r="G600" s="11">
        <f>LEFT(D600,FIND("|",D600,1)-1)</f>
        <v/>
      </c>
      <c r="H600" s="11">
        <f>MID(D600,FIND("|",D600,FIND("|",D600,1))+1,FIND("|",D600,FIND("|",D600,1)+1)-FIND("|",D600,FIND("|",D600,1))-1)</f>
        <v/>
      </c>
      <c r="J600" s="11">
        <f>MID(D600,FIND(";",SUBSTITUTE(D600,"|",REPT(";",LEN(D600)),2))+1,FIND(";",SUBSTITUTE(D600,"|",REPT(";",LEN(D600)),3))-FIND(";",SUBSTITUTE(D600,"|",REPT(";",LEN(D600)),2))-1)</f>
        <v/>
      </c>
      <c r="K600" s="11">
        <f>MID(D600,FIND(";",SUBSTITUTE(D600,"|",REPT(";",LEN(D600)),3))+1,FIND(";",SUBSTITUTE(D600,"|",REPT(";",LEN(D600)),4))-FIND(";",SUBSTITUTE(D600,"|",REPT(";",LEN(D600)),3))-1)</f>
        <v/>
      </c>
      <c r="M600" s="11">
        <f>MID(D600,FIND(";",SUBSTITUTE(D600,"|",REPT(";",LEN(D600)),4))+1,FIND(";",SUBSTITUTE(D600,"|",REPT(";",LEN(D600)),5))-FIND(";",SUBSTITUTE(D600,"|",REPT(";",LEN(D600)),4))-1)</f>
        <v/>
      </c>
      <c r="N600" s="11">
        <f>MID(D600,FIND(";",SUBSTITUTE(D600,"|",REPT(";",LEN(D600)),5))+1,LEN(D600))</f>
        <v/>
      </c>
    </row>
    <row r="601" ht="140" customHeight="1" s="21">
      <c r="A601" s="13" t="inlineStr">
        <is>
          <t>100206</t>
        </is>
      </c>
      <c r="B601" s="13" t="inlineStr">
        <is>
          <t>角钢</t>
        </is>
      </c>
      <c r="C601" s="13" t="inlineStr">
        <is>
          <t>600625600</t>
        </is>
      </c>
      <c r="D601" s="13" t="inlineStr">
        <is>
          <t>热轧角钢|角钢|Q235A|∠30×30×4|GB/T 700-2006|GB/T 706-2008</t>
        </is>
      </c>
      <c r="E601" s="13" t="inlineStr">
        <is>
          <t>物资名称 热轧角钢;物资简称 角钢;牌号 Q235A;长边宽 ∠30;短边宽 30;厚度 4;技术标准号 GB/T 700-2006;加工工艺 ;热处理工艺 ;特殊要求 ;规格标准号 GB/T 706-2008</t>
        </is>
      </c>
      <c r="F601" s="12" t="inlineStr">
        <is>
          <t>千克</t>
        </is>
      </c>
      <c r="G601" s="11">
        <f>LEFT(D601,FIND("|",D601,1)-1)</f>
        <v/>
      </c>
      <c r="H601" s="11">
        <f>MID(D601,FIND("|",D601,FIND("|",D601,1))+1,FIND("|",D601,FIND("|",D601,1)+1)-FIND("|",D601,FIND("|",D601,1))-1)</f>
        <v/>
      </c>
      <c r="J601" s="11">
        <f>MID(D601,FIND(";",SUBSTITUTE(D601,"|",REPT(";",LEN(D601)),2))+1,FIND(";",SUBSTITUTE(D601,"|",REPT(";",LEN(D601)),3))-FIND(";",SUBSTITUTE(D601,"|",REPT(";",LEN(D601)),2))-1)</f>
        <v/>
      </c>
      <c r="K601" s="11">
        <f>MID(D601,FIND(";",SUBSTITUTE(D601,"|",REPT(";",LEN(D601)),3))+1,FIND(";",SUBSTITUTE(D601,"|",REPT(";",LEN(D601)),4))-FIND(";",SUBSTITUTE(D601,"|",REPT(";",LEN(D601)),3))-1)</f>
        <v/>
      </c>
      <c r="M601" s="11">
        <f>MID(D601,FIND(";",SUBSTITUTE(D601,"|",REPT(";",LEN(D601)),4))+1,FIND(";",SUBSTITUTE(D601,"|",REPT(";",LEN(D601)),5))-FIND(";",SUBSTITUTE(D601,"|",REPT(";",LEN(D601)),4))-1)</f>
        <v/>
      </c>
      <c r="N601" s="11">
        <f>MID(D601,FIND(";",SUBSTITUTE(D601,"|",REPT(";",LEN(D601)),5))+1,LEN(D601))</f>
        <v/>
      </c>
    </row>
    <row r="602" ht="140" customHeight="1" s="21">
      <c r="A602" s="13" t="inlineStr">
        <is>
          <t>100206</t>
        </is>
      </c>
      <c r="B602" s="13" t="inlineStr">
        <is>
          <t>角钢</t>
        </is>
      </c>
      <c r="C602" s="13" t="inlineStr">
        <is>
          <t>600625500</t>
        </is>
      </c>
      <c r="D602" s="13" t="inlineStr">
        <is>
          <t>热轧角钢|角钢|Q235A|∠30×30×3|GB/T 700-2006|GB/T 706-2008</t>
        </is>
      </c>
      <c r="E602" s="13" t="inlineStr">
        <is>
          <t>物资名称 热轧角钢;物资简称 角钢;牌号 Q235A;长边宽 ∠30;短边宽 30;厚度 3;技术标准号 GB/T 700-2006;加工工艺 ;热处理工艺 ;特殊要求 ;规格标准号 GB/T 706-2008</t>
        </is>
      </c>
      <c r="F602" s="12" t="inlineStr">
        <is>
          <t>千克</t>
        </is>
      </c>
      <c r="G602" s="11">
        <f>LEFT(D602,FIND("|",D602,1)-1)</f>
        <v/>
      </c>
      <c r="H602" s="11">
        <f>MID(D602,FIND("|",D602,FIND("|",D602,1))+1,FIND("|",D602,FIND("|",D602,1)+1)-FIND("|",D602,FIND("|",D602,1))-1)</f>
        <v/>
      </c>
      <c r="J602" s="11">
        <f>MID(D602,FIND(";",SUBSTITUTE(D602,"|",REPT(";",LEN(D602)),2))+1,FIND(";",SUBSTITUTE(D602,"|",REPT(";",LEN(D602)),3))-FIND(";",SUBSTITUTE(D602,"|",REPT(";",LEN(D602)),2))-1)</f>
        <v/>
      </c>
      <c r="K602" s="11">
        <f>MID(D602,FIND(";",SUBSTITUTE(D602,"|",REPT(";",LEN(D602)),3))+1,FIND(";",SUBSTITUTE(D602,"|",REPT(";",LEN(D602)),4))-FIND(";",SUBSTITUTE(D602,"|",REPT(";",LEN(D602)),3))-1)</f>
        <v/>
      </c>
      <c r="M602" s="11">
        <f>MID(D602,FIND(";",SUBSTITUTE(D602,"|",REPT(";",LEN(D602)),4))+1,FIND(";",SUBSTITUTE(D602,"|",REPT(";",LEN(D602)),5))-FIND(";",SUBSTITUTE(D602,"|",REPT(";",LEN(D602)),4))-1)</f>
        <v/>
      </c>
      <c r="N602" s="11">
        <f>MID(D602,FIND(";",SUBSTITUTE(D602,"|",REPT(";",LEN(D602)),5))+1,LEN(D602))</f>
        <v/>
      </c>
    </row>
    <row r="603" ht="140" customHeight="1" s="21">
      <c r="A603" s="13" t="inlineStr">
        <is>
          <t>100206</t>
        </is>
      </c>
      <c r="B603" s="13" t="inlineStr">
        <is>
          <t>角钢</t>
        </is>
      </c>
      <c r="C603" s="13" t="inlineStr">
        <is>
          <t>600625400</t>
        </is>
      </c>
      <c r="D603" s="13" t="inlineStr">
        <is>
          <t>热轧角钢|角钢|Q235A|∠50×50×5|GB/T 700-2006|GB/T 706-2008</t>
        </is>
      </c>
      <c r="E603" s="13" t="inlineStr">
        <is>
          <t>物资名称 热轧角钢;物资简称 角钢;牌号 Q235A;长边宽 ∠50;短边宽 50;厚度 5;技术标准号 GB/T 700-2006;加工工艺 ;热处理工艺 ;特殊要求 ;规格标准号 GB/T 706-2008</t>
        </is>
      </c>
      <c r="F603" s="12" t="inlineStr">
        <is>
          <t>千克</t>
        </is>
      </c>
      <c r="G603" s="11">
        <f>LEFT(D603,FIND("|",D603,1)-1)</f>
        <v/>
      </c>
      <c r="H603" s="11">
        <f>MID(D603,FIND("|",D603,FIND("|",D603,1))+1,FIND("|",D603,FIND("|",D603,1)+1)-FIND("|",D603,FIND("|",D603,1))-1)</f>
        <v/>
      </c>
      <c r="J603" s="11">
        <f>MID(D603,FIND(";",SUBSTITUTE(D603,"|",REPT(";",LEN(D603)),2))+1,FIND(";",SUBSTITUTE(D603,"|",REPT(";",LEN(D603)),3))-FIND(";",SUBSTITUTE(D603,"|",REPT(";",LEN(D603)),2))-1)</f>
        <v/>
      </c>
      <c r="K603" s="11">
        <f>MID(D603,FIND(";",SUBSTITUTE(D603,"|",REPT(";",LEN(D603)),3))+1,FIND(";",SUBSTITUTE(D603,"|",REPT(";",LEN(D603)),4))-FIND(";",SUBSTITUTE(D603,"|",REPT(";",LEN(D603)),3))-1)</f>
        <v/>
      </c>
      <c r="M603" s="11">
        <f>MID(D603,FIND(";",SUBSTITUTE(D603,"|",REPT(";",LEN(D603)),4))+1,FIND(";",SUBSTITUTE(D603,"|",REPT(";",LEN(D603)),5))-FIND(";",SUBSTITUTE(D603,"|",REPT(";",LEN(D603)),4))-1)</f>
        <v/>
      </c>
      <c r="N603" s="11">
        <f>MID(D603,FIND(";",SUBSTITUTE(D603,"|",REPT(";",LEN(D603)),5))+1,LEN(D603))</f>
        <v/>
      </c>
    </row>
    <row r="604" ht="140" customHeight="1" s="21">
      <c r="A604" s="13" t="inlineStr">
        <is>
          <t>100206</t>
        </is>
      </c>
      <c r="B604" s="13" t="inlineStr">
        <is>
          <t>角钢</t>
        </is>
      </c>
      <c r="C604" s="13" t="inlineStr">
        <is>
          <t>600625300</t>
        </is>
      </c>
      <c r="D604" s="13" t="inlineStr">
        <is>
          <t>热轧角钢|角钢|Q235A|∠60×60×6|GB/T 700-2006|GB/T 706-2008</t>
        </is>
      </c>
      <c r="E604" s="13" t="inlineStr">
        <is>
          <t>物资名称 热轧角钢;物资简称 角钢;牌号 Q235A;长边宽 ∠60;短边宽 60;厚度 6;技术标准号 GB/T 700-2006;加工工艺 ;热处理工艺 ;特殊要求 ;规格标准号 GB/T 706-2008</t>
        </is>
      </c>
      <c r="F604" s="12" t="inlineStr">
        <is>
          <t>千克</t>
        </is>
      </c>
      <c r="G604" s="11">
        <f>LEFT(D604,FIND("|",D604,1)-1)</f>
        <v/>
      </c>
      <c r="H604" s="11">
        <f>MID(D604,FIND("|",D604,FIND("|",D604,1))+1,FIND("|",D604,FIND("|",D604,1)+1)-FIND("|",D604,FIND("|",D604,1))-1)</f>
        <v/>
      </c>
      <c r="J604" s="11">
        <f>MID(D604,FIND(";",SUBSTITUTE(D604,"|",REPT(";",LEN(D604)),2))+1,FIND(";",SUBSTITUTE(D604,"|",REPT(";",LEN(D604)),3))-FIND(";",SUBSTITUTE(D604,"|",REPT(";",LEN(D604)),2))-1)</f>
        <v/>
      </c>
      <c r="K604" s="11">
        <f>MID(D604,FIND(";",SUBSTITUTE(D604,"|",REPT(";",LEN(D604)),3))+1,FIND(";",SUBSTITUTE(D604,"|",REPT(";",LEN(D604)),4))-FIND(";",SUBSTITUTE(D604,"|",REPT(";",LEN(D604)),3))-1)</f>
        <v/>
      </c>
      <c r="M604" s="11">
        <f>MID(D604,FIND(";",SUBSTITUTE(D604,"|",REPT(";",LEN(D604)),4))+1,FIND(";",SUBSTITUTE(D604,"|",REPT(";",LEN(D604)),5))-FIND(";",SUBSTITUTE(D604,"|",REPT(";",LEN(D604)),4))-1)</f>
        <v/>
      </c>
      <c r="N604" s="11">
        <f>MID(D604,FIND(";",SUBSTITUTE(D604,"|",REPT(";",LEN(D604)),5))+1,LEN(D604))</f>
        <v/>
      </c>
    </row>
    <row r="605" ht="140" customHeight="1" s="21">
      <c r="A605" s="13" t="inlineStr">
        <is>
          <t>100206</t>
        </is>
      </c>
      <c r="B605" s="13" t="inlineStr">
        <is>
          <t>角钢</t>
        </is>
      </c>
      <c r="C605" s="13" t="inlineStr">
        <is>
          <t>600625200</t>
        </is>
      </c>
      <c r="D605" s="13" t="inlineStr">
        <is>
          <t>热轧角钢|角钢|Q235A|∠70×70×6|GB/T 700-2006|GB/T 706-2008</t>
        </is>
      </c>
      <c r="E605" s="13" t="inlineStr">
        <is>
          <t>物资名称 热轧角钢;物资简称 角钢;牌号 Q235A;长边宽 ∠70;短边宽 70;厚度 6;技术标准号 GB/T 700-2006;加工工艺 ;热处理工艺 ;特殊要求 ;规格标准号 GB/T 706-2008</t>
        </is>
      </c>
      <c r="F605" s="12" t="inlineStr">
        <is>
          <t>千克</t>
        </is>
      </c>
      <c r="G605" s="11">
        <f>LEFT(D605,FIND("|",D605,1)-1)</f>
        <v/>
      </c>
      <c r="H605" s="11">
        <f>MID(D605,FIND("|",D605,FIND("|",D605,1))+1,FIND("|",D605,FIND("|",D605,1)+1)-FIND("|",D605,FIND("|",D605,1))-1)</f>
        <v/>
      </c>
      <c r="J605" s="11">
        <f>MID(D605,FIND(";",SUBSTITUTE(D605,"|",REPT(";",LEN(D605)),2))+1,FIND(";",SUBSTITUTE(D605,"|",REPT(";",LEN(D605)),3))-FIND(";",SUBSTITUTE(D605,"|",REPT(";",LEN(D605)),2))-1)</f>
        <v/>
      </c>
      <c r="K605" s="11">
        <f>MID(D605,FIND(";",SUBSTITUTE(D605,"|",REPT(";",LEN(D605)),3))+1,FIND(";",SUBSTITUTE(D605,"|",REPT(";",LEN(D605)),4))-FIND(";",SUBSTITUTE(D605,"|",REPT(";",LEN(D605)),3))-1)</f>
        <v/>
      </c>
      <c r="M605" s="11">
        <f>MID(D605,FIND(";",SUBSTITUTE(D605,"|",REPT(";",LEN(D605)),4))+1,FIND(";",SUBSTITUTE(D605,"|",REPT(";",LEN(D605)),5))-FIND(";",SUBSTITUTE(D605,"|",REPT(";",LEN(D605)),4))-1)</f>
        <v/>
      </c>
      <c r="N605" s="11">
        <f>MID(D605,FIND(";",SUBSTITUTE(D605,"|",REPT(";",LEN(D605)),5))+1,LEN(D605))</f>
        <v/>
      </c>
    </row>
    <row r="606" ht="140" customHeight="1" s="21">
      <c r="A606" s="13" t="inlineStr">
        <is>
          <t>100206</t>
        </is>
      </c>
      <c r="B606" s="13" t="inlineStr">
        <is>
          <t>角钢</t>
        </is>
      </c>
      <c r="C606" s="13" t="inlineStr">
        <is>
          <t>600625100</t>
        </is>
      </c>
      <c r="D606" s="13" t="inlineStr">
        <is>
          <t>热轧角钢|角钢|Q235A|∠75×50×6|GB/T 700-2006|GB/T 706-2008</t>
        </is>
      </c>
      <c r="E606" s="13" t="inlineStr">
        <is>
          <t>物资名称 热轧角钢;物资简称 角钢;牌号 Q235A;长边宽 ∠75;短边宽 50;厚度 6;技术标准号 GB/T 700-2006;加工工艺 ;热处理工艺 ;特殊要求 ;规格标准号 GB/T 706-2008</t>
        </is>
      </c>
      <c r="F606" s="12" t="inlineStr">
        <is>
          <t>千克</t>
        </is>
      </c>
      <c r="G606" s="11">
        <f>LEFT(D606,FIND("|",D606,1)-1)</f>
        <v/>
      </c>
      <c r="H606" s="11">
        <f>MID(D606,FIND("|",D606,FIND("|",D606,1))+1,FIND("|",D606,FIND("|",D606,1)+1)-FIND("|",D606,FIND("|",D606,1))-1)</f>
        <v/>
      </c>
      <c r="J606" s="11">
        <f>MID(D606,FIND(";",SUBSTITUTE(D606,"|",REPT(";",LEN(D606)),2))+1,FIND(";",SUBSTITUTE(D606,"|",REPT(";",LEN(D606)),3))-FIND(";",SUBSTITUTE(D606,"|",REPT(";",LEN(D606)),2))-1)</f>
        <v/>
      </c>
      <c r="K606" s="11">
        <f>MID(D606,FIND(";",SUBSTITUTE(D606,"|",REPT(";",LEN(D606)),3))+1,FIND(";",SUBSTITUTE(D606,"|",REPT(";",LEN(D606)),4))-FIND(";",SUBSTITUTE(D606,"|",REPT(";",LEN(D606)),3))-1)</f>
        <v/>
      </c>
      <c r="M606" s="11">
        <f>MID(D606,FIND(";",SUBSTITUTE(D606,"|",REPT(";",LEN(D606)),4))+1,FIND(";",SUBSTITUTE(D606,"|",REPT(";",LEN(D606)),5))-FIND(";",SUBSTITUTE(D606,"|",REPT(";",LEN(D606)),4))-1)</f>
        <v/>
      </c>
      <c r="N606" s="11">
        <f>MID(D606,FIND(";",SUBSTITUTE(D606,"|",REPT(";",LEN(D606)),5))+1,LEN(D606))</f>
        <v/>
      </c>
    </row>
    <row r="607" ht="140" customHeight="1" s="21">
      <c r="A607" s="13" t="inlineStr">
        <is>
          <t>100206</t>
        </is>
      </c>
      <c r="B607" s="13" t="inlineStr">
        <is>
          <t>角钢</t>
        </is>
      </c>
      <c r="C607" s="13" t="inlineStr">
        <is>
          <t>600625000</t>
        </is>
      </c>
      <c r="D607" s="13" t="inlineStr">
        <is>
          <t>热轧角钢|角钢|Q235A|∠140×140×10|GB/T 700-2006|GB/T 706-2008</t>
        </is>
      </c>
      <c r="E607" s="13" t="inlineStr">
        <is>
          <t>物资名称 热轧角钢;物资简称 角钢;牌号 Q235A;长边宽 ∠140;短边宽 140;厚度 10;技术标准号 GB/T 700-2006;加工工艺 ;热处理工艺 ;特殊要求 ;规格标准号 GB/T 706-2008</t>
        </is>
      </c>
      <c r="F607" s="12" t="inlineStr">
        <is>
          <t>千克</t>
        </is>
      </c>
      <c r="G607" s="11">
        <f>LEFT(D607,FIND("|",D607,1)-1)</f>
        <v/>
      </c>
      <c r="H607" s="11">
        <f>MID(D607,FIND("|",D607,FIND("|",D607,1))+1,FIND("|",D607,FIND("|",D607,1)+1)-FIND("|",D607,FIND("|",D607,1))-1)</f>
        <v/>
      </c>
      <c r="J607" s="11">
        <f>MID(D607,FIND(";",SUBSTITUTE(D607,"|",REPT(";",LEN(D607)),2))+1,FIND(";",SUBSTITUTE(D607,"|",REPT(";",LEN(D607)),3))-FIND(";",SUBSTITUTE(D607,"|",REPT(";",LEN(D607)),2))-1)</f>
        <v/>
      </c>
      <c r="K607" s="11">
        <f>MID(D607,FIND(";",SUBSTITUTE(D607,"|",REPT(";",LEN(D607)),3))+1,FIND(";",SUBSTITUTE(D607,"|",REPT(";",LEN(D607)),4))-FIND(";",SUBSTITUTE(D607,"|",REPT(";",LEN(D607)),3))-1)</f>
        <v/>
      </c>
      <c r="M607" s="11">
        <f>MID(D607,FIND(";",SUBSTITUTE(D607,"|",REPT(";",LEN(D607)),4))+1,FIND(";",SUBSTITUTE(D607,"|",REPT(";",LEN(D607)),5))-FIND(";",SUBSTITUTE(D607,"|",REPT(";",LEN(D607)),4))-1)</f>
        <v/>
      </c>
      <c r="N607" s="11">
        <f>MID(D607,FIND(";",SUBSTITUTE(D607,"|",REPT(";",LEN(D607)),5))+1,LEN(D607))</f>
        <v/>
      </c>
    </row>
    <row r="608" ht="154" customHeight="1" s="21">
      <c r="A608" s="13" t="inlineStr">
        <is>
          <t>100301</t>
        </is>
      </c>
      <c r="B608" s="13" t="inlineStr">
        <is>
          <t>无缝钢管</t>
        </is>
      </c>
      <c r="C608" s="13" t="inlineStr">
        <is>
          <t>603523400</t>
        </is>
      </c>
      <c r="D608" s="13" t="inlineStr">
        <is>
          <t>结构用热轧优质碳素结构无缝钢管|钢管|45|Φ145×25|GB/T 8162-2018|热轧|GB/T 17395-2024</t>
        </is>
      </c>
      <c r="E608" s="13" t="inlineStr">
        <is>
          <t>物资名称 结构用热轧优质碳素结构无缝钢管;物资简称 钢管;牌号 45;外径 Φ145;壁厚 25;技术标准号 GB/T 8162-2018;加工工艺 热轧;热处理工艺 ;特殊要求 ;规格标准号 GB/T 17395-2024</t>
        </is>
      </c>
      <c r="F608" s="12" t="inlineStr">
        <is>
          <t>千克</t>
        </is>
      </c>
      <c r="G608" s="11">
        <f>LEFT(D608,FIND("|",D608,1)-1)</f>
        <v/>
      </c>
      <c r="H608" s="11">
        <f>MID(D608,FIND("|",D608,FIND("|",D608,1))+1,FIND("|",D608,FIND("|",D608,1)+1)-FIND("|",D608,FIND("|",D608,1))-1)</f>
        <v/>
      </c>
      <c r="J608" s="11">
        <f>MID(D608,FIND(";",SUBSTITUTE(D608,"|",REPT(";",LEN(D608)),2))+1,FIND(";",SUBSTITUTE(D608,"|",REPT(";",LEN(D608)),3))-FIND(";",SUBSTITUTE(D608,"|",REPT(";",LEN(D608)),2))-1)</f>
        <v/>
      </c>
      <c r="K608" s="11">
        <f>MID(D608,FIND(";",SUBSTITUTE(D608,"|",REPT(";",LEN(D608)),3))+1,FIND(";",SUBSTITUTE(D608,"|",REPT(";",LEN(D608)),4))-FIND(";",SUBSTITUTE(D608,"|",REPT(";",LEN(D608)),3))-1)</f>
        <v/>
      </c>
      <c r="M608" s="11">
        <f>MID(D608,FIND(";",SUBSTITUTE(D608,"|",REPT(";",LEN(D608)),4))+1,FIND(";",SUBSTITUTE(D608,"|",REPT(";",LEN(D608)),5))-FIND(";",SUBSTITUTE(D608,"|",REPT(";",LEN(D608)),4))-1)</f>
        <v/>
      </c>
      <c r="N608" s="11">
        <f>MID(D608,FIND(";",SUBSTITUTE(D608,"|",REPT(";",LEN(D608)),6))+1,LEN(D608))</f>
        <v/>
      </c>
      <c r="O608" s="11">
        <f>MID(D608,FIND(";",SUBSTITUTE(D608,"|",REPT(";",LEN(D608)),5))+1,FIND(";",SUBSTITUTE(D608,"|",REPT(";",LEN(D608)),6))-FIND(";",SUBSTITUTE(D608,"|",REPT(";",LEN(D608)),5))-1)</f>
        <v/>
      </c>
    </row>
    <row r="609" ht="126" customHeight="1" s="21">
      <c r="A609" s="13" t="inlineStr">
        <is>
          <t>100301</t>
        </is>
      </c>
      <c r="B609" s="13" t="inlineStr">
        <is>
          <t>无缝钢管</t>
        </is>
      </c>
      <c r="C609" s="13" t="inlineStr">
        <is>
          <t>603465900</t>
        </is>
      </c>
      <c r="D609" s="13" t="inlineStr">
        <is>
          <t>输送流体用无缝钢管|不锈钢管|0Cr18Ni9|Φ32×2|GB/T 8163-2018</t>
        </is>
      </c>
      <c r="E609" s="13" t="inlineStr">
        <is>
          <t>物资名称 输送流体用无缝钢管;物资简称 不锈钢管;牌号 0Cr18Ni9;外径 Φ32;壁厚 2;技术标准号 GB/T 8163-2018;加工工艺 ;热处理工艺 ;特殊要求 ;规格标准号</t>
        </is>
      </c>
      <c r="F609" s="12" t="inlineStr">
        <is>
          <t>千克</t>
        </is>
      </c>
      <c r="G609" s="11">
        <f>LEFT(D609,FIND("|",D609,1)-1)</f>
        <v/>
      </c>
      <c r="H609" s="11">
        <f>MID(D609,FIND("|",D609,FIND("|",D609,1))+1,FIND("|",D609,FIND("|",D609,1)+1)-FIND("|",D609,FIND("|",D609,1))-1)</f>
        <v/>
      </c>
      <c r="J609" s="11">
        <f>MID(D609,FIND(";",SUBSTITUTE(D609,"|",REPT(";",LEN(D609)),2))+1,FIND(";",SUBSTITUTE(D609,"|",REPT(";",LEN(D609)),3))-FIND(";",SUBSTITUTE(D609,"|",REPT(";",LEN(D609)),2))-1)</f>
        <v/>
      </c>
      <c r="K609" s="11">
        <f>MID(D609,FIND(";",SUBSTITUTE(D609,"|",REPT(";",LEN(D609)),3))+1,FIND(";",SUBSTITUTE(D609,"|",REPT(";",LEN(D609)),4))-FIND(";",SUBSTITUTE(D609,"|",REPT(";",LEN(D609)),3))-1)</f>
        <v/>
      </c>
      <c r="M609" s="11">
        <f>MID(D609,FIND(";",SUBSTITUTE(D609,"|",REPT(";",LEN(D609)),4))+1,LEN(D609))</f>
        <v/>
      </c>
    </row>
    <row r="610" ht="140" customHeight="1" s="21">
      <c r="A610" s="13" t="inlineStr">
        <is>
          <t>100301</t>
        </is>
      </c>
      <c r="B610" s="13" t="inlineStr">
        <is>
          <t>无缝钢管</t>
        </is>
      </c>
      <c r="C610" s="13" t="inlineStr">
        <is>
          <t>602290900</t>
        </is>
      </c>
      <c r="D610" s="13" t="inlineStr">
        <is>
          <t>航空用不锈钢无缝钢管|不锈钢管|1Cr18Ni9Ti|Φ32×2|GJB 2296A-2021</t>
        </is>
      </c>
      <c r="E610" s="13" t="inlineStr">
        <is>
          <t xml:space="preserve">物资名称 航空用不锈钢无缝钢管;物资简称 不锈钢管;牌号 1Cr18Ni9Ti;外径 Φ32;壁厚 2;技术标准号 GJB 2296A-2021;加工工艺 ;热处理工艺 ;特殊要求 ;规格标准号 </t>
        </is>
      </c>
      <c r="F610" s="12" t="inlineStr">
        <is>
          <t>千克</t>
        </is>
      </c>
      <c r="G610" s="11">
        <f>LEFT(D610,FIND("|",D610,1)-1)</f>
        <v/>
      </c>
      <c r="H610" s="11">
        <f>MID(D610,FIND("|",D610,FIND("|",D610,1))+1,FIND("|",D610,FIND("|",D610,1)+1)-FIND("|",D610,FIND("|",D610,1))-1)</f>
        <v/>
      </c>
      <c r="J610" s="11">
        <f>MID(D610,FIND(";",SUBSTITUTE(D610,"|",REPT(";",LEN(D610)),2))+1,FIND(";",SUBSTITUTE(D610,"|",REPT(";",LEN(D610)),3))-FIND(";",SUBSTITUTE(D610,"|",REPT(";",LEN(D610)),2))-1)</f>
        <v/>
      </c>
      <c r="K610" s="11">
        <f>MID(D610,FIND(";",SUBSTITUTE(D610,"|",REPT(";",LEN(D610)),3))+1,FIND(";",SUBSTITUTE(D610,"|",REPT(";",LEN(D610)),4))-FIND(";",SUBSTITUTE(D610,"|",REPT(";",LEN(D610)),3))-1)</f>
        <v/>
      </c>
      <c r="M610" s="11">
        <f>MID(D610,FIND(";",SUBSTITUTE(D610,"|",REPT(";",LEN(D610)),4))+1,LEN(D610))</f>
        <v/>
      </c>
    </row>
    <row r="611" ht="126" customHeight="1" s="21">
      <c r="A611" s="13" t="inlineStr">
        <is>
          <t>100301</t>
        </is>
      </c>
      <c r="B611" s="13" t="inlineStr">
        <is>
          <t>无缝钢管</t>
        </is>
      </c>
      <c r="C611" s="13" t="inlineStr">
        <is>
          <t>602290800</t>
        </is>
      </c>
      <c r="D611" s="13" t="inlineStr">
        <is>
          <t>航空用不锈钢无缝钢管|不锈钢管|1Cr18Ni9Ti|GJB 2296A-2021</t>
        </is>
      </c>
      <c r="E611" s="13" t="inlineStr">
        <is>
          <t xml:space="preserve">物资名称 航空用不锈钢无缝钢管;物资简称 不锈钢管;牌号 1Cr18Ni9Ti;外径 Φ;壁厚 ;技术标准号 GJB 2296A-2021;加工工艺 ;热处理工艺 ;特殊要求 ;规格标准号 </t>
        </is>
      </c>
      <c r="F611" s="12" t="inlineStr">
        <is>
          <t>千克</t>
        </is>
      </c>
      <c r="G611" s="11">
        <f>LEFT(D611,FIND("|",D611,1)-1)</f>
        <v/>
      </c>
      <c r="H611" s="11">
        <f>MID(D611,FIND("|",D611,FIND("|",D611,1))+1,FIND("|",D611,FIND("|",D611,1)+1)-FIND("|",D611,FIND("|",D611,1))-1)</f>
        <v/>
      </c>
      <c r="J611" s="11">
        <f>MID(D611,FIND(";",SUBSTITUTE(D611,"|",REPT(";",LEN(D611)),2))+1,FIND(";",SUBSTITUTE(D611,"|",REPT(";",LEN(D611)),3))-FIND(";",SUBSTITUTE(D611,"|",REPT(";",LEN(D611)),2))-1)</f>
        <v/>
      </c>
      <c r="M611" s="11">
        <f>MID(D611,FIND(";",SUBSTITUTE(D611,"|",REPT(";",LEN(D611)),3))+1,LEN(D611))</f>
        <v/>
      </c>
    </row>
    <row r="612" ht="140" customHeight="1" s="21">
      <c r="A612" s="13" t="inlineStr">
        <is>
          <t>100301</t>
        </is>
      </c>
      <c r="B612" s="13" t="inlineStr">
        <is>
          <t>无缝钢管</t>
        </is>
      </c>
      <c r="C612" s="13" t="inlineStr">
        <is>
          <t>602288500</t>
        </is>
      </c>
      <c r="D612" s="13" t="inlineStr">
        <is>
          <t>航空用不锈钢无缝钢管|不锈钢管|1Cr18Ni9Ti|Φ4×1|GJB 2296A-2005</t>
        </is>
      </c>
      <c r="E612" s="13" t="inlineStr">
        <is>
          <t xml:space="preserve">物资名称 航空用不锈钢无缝钢管;物资简称 不锈钢管;牌号 1Cr18Ni9Ti;外径 Φ4;壁厚 1;技术标准号 GJB 2296A-2005;加工工艺 ;热处理工艺 ;特殊要求 ;规格标准号 </t>
        </is>
      </c>
      <c r="F612" s="12" t="inlineStr">
        <is>
          <t>千克</t>
        </is>
      </c>
      <c r="G612" s="11">
        <f>LEFT(D612,FIND("|",D612,1)-1)</f>
        <v/>
      </c>
      <c r="H612" s="11">
        <f>MID(D612,FIND("|",D612,FIND("|",D612,1))+1,FIND("|",D612,FIND("|",D612,1)+1)-FIND("|",D612,FIND("|",D612,1))-1)</f>
        <v/>
      </c>
      <c r="J612" s="11">
        <f>MID(D612,FIND(";",SUBSTITUTE(D612,"|",REPT(";",LEN(D612)),2))+1,FIND(";",SUBSTITUTE(D612,"|",REPT(";",LEN(D612)),3))-FIND(";",SUBSTITUTE(D612,"|",REPT(";",LEN(D612)),2))-1)</f>
        <v/>
      </c>
      <c r="K612" s="11">
        <f>MID(D612,FIND(";",SUBSTITUTE(D612,"|",REPT(";",LEN(D612)),3))+1,FIND(";",SUBSTITUTE(D612,"|",REPT(";",LEN(D612)),4))-FIND(";",SUBSTITUTE(D612,"|",REPT(";",LEN(D612)),3))-1)</f>
        <v/>
      </c>
      <c r="M612" s="11">
        <f>MID(D612,FIND(";",SUBSTITUTE(D612,"|",REPT(";",LEN(D612)),4))+1,LEN(D612))</f>
        <v/>
      </c>
    </row>
    <row r="613" ht="140" customHeight="1" s="21">
      <c r="A613" s="13" t="inlineStr">
        <is>
          <t>100301</t>
        </is>
      </c>
      <c r="B613" s="13" t="inlineStr">
        <is>
          <t>无缝钢管</t>
        </is>
      </c>
      <c r="C613" s="13" t="inlineStr">
        <is>
          <t>602147400</t>
        </is>
      </c>
      <c r="D613" s="13" t="inlineStr">
        <is>
          <t>航空用不锈钢无缝钢管|不锈钢管|1Cr18Ni9Ti|Φ36×2|GJB 2296A-2005</t>
        </is>
      </c>
      <c r="E613" s="13" t="inlineStr">
        <is>
          <t xml:space="preserve">物资名称 航空用不锈钢无缝钢管;物资简称 不锈钢管;牌号 1Cr18Ni9Ti;外径 Φ36;壁厚 2;技术标准号 GJB 2296A-2005;加工工艺 ;热处理工艺 ;特殊要求 ;规格标准号 </t>
        </is>
      </c>
      <c r="F613" s="12" t="inlineStr">
        <is>
          <t>千克</t>
        </is>
      </c>
      <c r="G613" s="11">
        <f>LEFT(D613,FIND("|",D613,1)-1)</f>
        <v/>
      </c>
      <c r="H613" s="11">
        <f>MID(D613,FIND("|",D613,FIND("|",D613,1))+1,FIND("|",D613,FIND("|",D613,1)+1)-FIND("|",D613,FIND("|",D613,1))-1)</f>
        <v/>
      </c>
      <c r="J613" s="11">
        <f>MID(D613,FIND(";",SUBSTITUTE(D613,"|",REPT(";",LEN(D613)),2))+1,FIND(";",SUBSTITUTE(D613,"|",REPT(";",LEN(D613)),3))-FIND(";",SUBSTITUTE(D613,"|",REPT(";",LEN(D613)),2))-1)</f>
        <v/>
      </c>
      <c r="K613" s="11">
        <f>MID(D613,FIND(";",SUBSTITUTE(D613,"|",REPT(";",LEN(D613)),3))+1,FIND(";",SUBSTITUTE(D613,"|",REPT(";",LEN(D613)),4))-FIND(";",SUBSTITUTE(D613,"|",REPT(";",LEN(D613)),3))-1)</f>
        <v/>
      </c>
      <c r="M613" s="11">
        <f>MID(D613,FIND(";",SUBSTITUTE(D613,"|",REPT(";",LEN(D613)),4))+1,LEN(D613))</f>
        <v/>
      </c>
    </row>
    <row r="614" ht="98" customHeight="1" s="21">
      <c r="A614" s="13" t="inlineStr">
        <is>
          <t>100301</t>
        </is>
      </c>
      <c r="B614" s="13" t="inlineStr">
        <is>
          <t>无缝钢管</t>
        </is>
      </c>
      <c r="C614" s="13" t="inlineStr">
        <is>
          <t>601496300</t>
        </is>
      </c>
      <c r="D614" s="13" t="inlineStr">
        <is>
          <t>钢管|钢管|45|Φ203×50|-</t>
        </is>
      </c>
      <c r="E614" s="13" t="inlineStr">
        <is>
          <t xml:space="preserve">物资名称 钢管;物资简称 钢管;牌号 45;外径 Φ203;壁厚 50;技术标准号 -;加工工艺 ;热处理工艺 ;特殊要求 ;规格标准号 </t>
        </is>
      </c>
      <c r="F614" s="12" t="inlineStr">
        <is>
          <t>千克</t>
        </is>
      </c>
      <c r="G614" s="11">
        <f>LEFT(D614,FIND("|",D614,1)-1)</f>
        <v/>
      </c>
      <c r="H614" s="11">
        <f>MID(D614,FIND("|",D614,FIND("|",D614,1))+1,FIND("|",D614,FIND("|",D614,1)+1)-FIND("|",D614,FIND("|",D614,1))-1)</f>
        <v/>
      </c>
      <c r="J614" s="11">
        <f>MID(D614,FIND(";",SUBSTITUTE(D614,"|",REPT(";",LEN(D614)),2))+1,FIND(";",SUBSTITUTE(D614,"|",REPT(";",LEN(D614)),3))-FIND(";",SUBSTITUTE(D614,"|",REPT(";",LEN(D614)),2))-1)</f>
        <v/>
      </c>
      <c r="K614" s="11">
        <f>MID(D614,FIND(";",SUBSTITUTE(D614,"|",REPT(";",LEN(D614)),3))+1,FIND(";",SUBSTITUTE(D614,"|",REPT(";",LEN(D614)),4))-FIND(";",SUBSTITUTE(D614,"|",REPT(";",LEN(D614)),3))-1)</f>
        <v/>
      </c>
      <c r="M614" s="11">
        <f>MID(D614,FIND(";",SUBSTITUTE(D614,"|",REPT(";",LEN(D614)),4))+1,LEN(D614))</f>
        <v/>
      </c>
    </row>
    <row r="615" ht="140" customHeight="1" s="21">
      <c r="A615" s="13" t="inlineStr">
        <is>
          <t>100301</t>
        </is>
      </c>
      <c r="B615" s="13" t="inlineStr">
        <is>
          <t>无缝钢管</t>
        </is>
      </c>
      <c r="C615" s="13" t="inlineStr">
        <is>
          <t>601473200</t>
        </is>
      </c>
      <c r="D615" s="13" t="inlineStr">
        <is>
          <t>航空用不锈钢无缝钢管|不锈钢管|1Cr18Ni9Ti|Φ36×3|GJB 2296-1995</t>
        </is>
      </c>
      <c r="E615" s="13" t="inlineStr">
        <is>
          <t xml:space="preserve">物资名称 航空用不锈钢无缝钢管;物资简称 不锈钢管;牌号 1Cr18Ni9Ti;外径 Φ36;壁厚 3;技术标准号 GJB 2296-1995;加工工艺 ;热处理工艺 ;特殊要求 ;规格标准号 </t>
        </is>
      </c>
      <c r="F615" s="12" t="inlineStr">
        <is>
          <t>千克</t>
        </is>
      </c>
      <c r="G615" s="11">
        <f>LEFT(D615,FIND("|",D615,1)-1)</f>
        <v/>
      </c>
      <c r="H615" s="11">
        <f>MID(D615,FIND("|",D615,FIND("|",D615,1))+1,FIND("|",D615,FIND("|",D615,1)+1)-FIND("|",D615,FIND("|",D615,1))-1)</f>
        <v/>
      </c>
      <c r="J615" s="11">
        <f>MID(D615,FIND(";",SUBSTITUTE(D615,"|",REPT(";",LEN(D615)),2))+1,FIND(";",SUBSTITUTE(D615,"|",REPT(";",LEN(D615)),3))-FIND(";",SUBSTITUTE(D615,"|",REPT(";",LEN(D615)),2))-1)</f>
        <v/>
      </c>
      <c r="K615" s="11">
        <f>MID(D615,FIND(";",SUBSTITUTE(D615,"|",REPT(";",LEN(D615)),3))+1,FIND(";",SUBSTITUTE(D615,"|",REPT(";",LEN(D615)),4))-FIND(";",SUBSTITUTE(D615,"|",REPT(";",LEN(D615)),3))-1)</f>
        <v/>
      </c>
      <c r="M615" s="11">
        <f>MID(D615,FIND(";",SUBSTITUTE(D615,"|",REPT(";",LEN(D615)),4))+1,LEN(D615))</f>
        <v/>
      </c>
    </row>
    <row r="616" ht="126" customHeight="1" s="21">
      <c r="A616" s="13" t="inlineStr">
        <is>
          <t>100301</t>
        </is>
      </c>
      <c r="B616" s="13" t="inlineStr">
        <is>
          <t>无缝钢管</t>
        </is>
      </c>
      <c r="C616" s="13" t="inlineStr">
        <is>
          <t>601454500</t>
        </is>
      </c>
      <c r="D616" s="13" t="inlineStr">
        <is>
          <t>航空用不锈钢无缝钢管|钢管|1Cr18Ni9Ti|Φ45×4|GJB 2296-1995</t>
        </is>
      </c>
      <c r="E616" s="13" t="inlineStr">
        <is>
          <t xml:space="preserve">物资名称 航空用不锈钢无缝钢管;物资简称 钢管;牌号 1Cr18Ni9Ti;外径 Φ45;壁厚 4;技术标准号 GJB 2296-1995;加工工艺 ;热处理工艺 ;特殊要求 ;规格标准号 </t>
        </is>
      </c>
      <c r="F616" s="12" t="inlineStr">
        <is>
          <t>千克</t>
        </is>
      </c>
      <c r="G616" s="11">
        <f>LEFT(D616,FIND("|",D616,1)-1)</f>
        <v/>
      </c>
      <c r="H616" s="11">
        <f>MID(D616,FIND("|",D616,FIND("|",D616,1))+1,FIND("|",D616,FIND("|",D616,1)+1)-FIND("|",D616,FIND("|",D616,1))-1)</f>
        <v/>
      </c>
      <c r="J616" s="11">
        <f>MID(D616,FIND(";",SUBSTITUTE(D616,"|",REPT(";",LEN(D616)),2))+1,FIND(";",SUBSTITUTE(D616,"|",REPT(";",LEN(D616)),3))-FIND(";",SUBSTITUTE(D616,"|",REPT(";",LEN(D616)),2))-1)</f>
        <v/>
      </c>
      <c r="K616" s="11">
        <f>MID(D616,FIND(";",SUBSTITUTE(D616,"|",REPT(";",LEN(D616)),3))+1,FIND(";",SUBSTITUTE(D616,"|",REPT(";",LEN(D616)),4))-FIND(";",SUBSTITUTE(D616,"|",REPT(";",LEN(D616)),3))-1)</f>
        <v/>
      </c>
      <c r="M616" s="11">
        <f>MID(D616,FIND(";",SUBSTITUTE(D616,"|",REPT(";",LEN(D616)),4))+1,LEN(D616))</f>
        <v/>
      </c>
    </row>
    <row r="617" ht="126" customHeight="1" s="21">
      <c r="A617" s="13" t="inlineStr">
        <is>
          <t>100301</t>
        </is>
      </c>
      <c r="B617" s="13" t="inlineStr">
        <is>
          <t>无缝钢管</t>
        </is>
      </c>
      <c r="C617" s="13" t="inlineStr">
        <is>
          <t>601454400</t>
        </is>
      </c>
      <c r="D617" s="13" t="inlineStr">
        <is>
          <t>航空用不锈钢无缝钢管|钢管|1Cr18Ni9Ti|Φ6×1|GJB 2296-1995</t>
        </is>
      </c>
      <c r="E617" s="13" t="inlineStr">
        <is>
          <t xml:space="preserve">物资名称 航空用不锈钢无缝钢管;物资简称 钢管;牌号 1Cr18Ni9Ti;外径 Φ6;壁厚 1;技术标准号 GJB 2296-1995;加工工艺 ;热处理工艺 ;特殊要求 ;规格标准号 </t>
        </is>
      </c>
      <c r="F617" s="12" t="inlineStr">
        <is>
          <t>千克</t>
        </is>
      </c>
      <c r="G617" s="11">
        <f>LEFT(D617,FIND("|",D617,1)-1)</f>
        <v/>
      </c>
      <c r="H617" s="11">
        <f>MID(D617,FIND("|",D617,FIND("|",D617,1))+1,FIND("|",D617,FIND("|",D617,1)+1)-FIND("|",D617,FIND("|",D617,1))-1)</f>
        <v/>
      </c>
      <c r="J617" s="11">
        <f>MID(D617,FIND(";",SUBSTITUTE(D617,"|",REPT(";",LEN(D617)),2))+1,FIND(";",SUBSTITUTE(D617,"|",REPT(";",LEN(D617)),3))-FIND(";",SUBSTITUTE(D617,"|",REPT(";",LEN(D617)),2))-1)</f>
        <v/>
      </c>
      <c r="K617" s="11">
        <f>MID(D617,FIND(";",SUBSTITUTE(D617,"|",REPT(";",LEN(D617)),3))+1,FIND(";",SUBSTITUTE(D617,"|",REPT(";",LEN(D617)),4))-FIND(";",SUBSTITUTE(D617,"|",REPT(";",LEN(D617)),3))-1)</f>
        <v/>
      </c>
      <c r="M617" s="11">
        <f>MID(D617,FIND(";",SUBSTITUTE(D617,"|",REPT(";",LEN(D617)),4))+1,LEN(D617))</f>
        <v/>
      </c>
    </row>
    <row r="618" ht="126" customHeight="1" s="21">
      <c r="A618" s="13" t="inlineStr">
        <is>
          <t>100301</t>
        </is>
      </c>
      <c r="B618" s="13" t="inlineStr">
        <is>
          <t>无缝钢管</t>
        </is>
      </c>
      <c r="C618" s="13" t="inlineStr">
        <is>
          <t>601438800</t>
        </is>
      </c>
      <c r="D618" s="13" t="inlineStr">
        <is>
          <t>航空用不锈钢无缝钢管|钢管|1Cr18Ni9Ti|Φ25×2|GJB 2296-1995</t>
        </is>
      </c>
      <c r="E618" s="13" t="inlineStr">
        <is>
          <t xml:space="preserve">物资名称 航空用不锈钢无缝钢管;物资简称 钢管;牌号 1Cr18Ni9Ti;外径 Φ25;壁厚 2;技术标准号 GJB 2296-1995;加工工艺 ;热处理工艺 ;特殊要求 ;规格标准号 </t>
        </is>
      </c>
      <c r="F618" s="12" t="inlineStr">
        <is>
          <t>千克</t>
        </is>
      </c>
      <c r="G618" s="11">
        <f>LEFT(D618,FIND("|",D618,1)-1)</f>
        <v/>
      </c>
      <c r="H618" s="11">
        <f>MID(D618,FIND("|",D618,FIND("|",D618,1))+1,FIND("|",D618,FIND("|",D618,1)+1)-FIND("|",D618,FIND("|",D618,1))-1)</f>
        <v/>
      </c>
      <c r="J618" s="11">
        <f>MID(D618,FIND(";",SUBSTITUTE(D618,"|",REPT(";",LEN(D618)),2))+1,FIND(";",SUBSTITUTE(D618,"|",REPT(";",LEN(D618)),3))-FIND(";",SUBSTITUTE(D618,"|",REPT(";",LEN(D618)),2))-1)</f>
        <v/>
      </c>
      <c r="K618" s="11">
        <f>MID(D618,FIND(";",SUBSTITUTE(D618,"|",REPT(";",LEN(D618)),3))+1,FIND(";",SUBSTITUTE(D618,"|",REPT(";",LEN(D618)),4))-FIND(";",SUBSTITUTE(D618,"|",REPT(";",LEN(D618)),3))-1)</f>
        <v/>
      </c>
      <c r="M618" s="11">
        <f>MID(D618,FIND(";",SUBSTITUTE(D618,"|",REPT(";",LEN(D618)),4))+1,LEN(D618))</f>
        <v/>
      </c>
    </row>
    <row r="619" ht="126" customHeight="1" s="21">
      <c r="A619" s="13" t="inlineStr">
        <is>
          <t>100301</t>
        </is>
      </c>
      <c r="B619" s="13" t="inlineStr">
        <is>
          <t>无缝钢管</t>
        </is>
      </c>
      <c r="C619" s="13" t="inlineStr">
        <is>
          <t>601438700</t>
        </is>
      </c>
      <c r="D619" s="13" t="inlineStr">
        <is>
          <t>航空用不锈钢无缝钢管|钢管|1Cr18Ni9Ti|Φ32×2|GJB 2296-1995</t>
        </is>
      </c>
      <c r="E619" s="13" t="inlineStr">
        <is>
          <t xml:space="preserve">物资名称 航空用不锈钢无缝钢管;物资简称 钢管;牌号 1Cr18Ni9Ti;外径 Φ32;壁厚 2;技术标准号 GJB 2296-1995;加工工艺 ;热处理工艺 ;特殊要求 ;规格标准号 </t>
        </is>
      </c>
      <c r="F619" s="12" t="inlineStr">
        <is>
          <t>千克</t>
        </is>
      </c>
      <c r="G619" s="11">
        <f>LEFT(D619,FIND("|",D619,1)-1)</f>
        <v/>
      </c>
      <c r="H619" s="11">
        <f>MID(D619,FIND("|",D619,FIND("|",D619,1))+1,FIND("|",D619,FIND("|",D619,1)+1)-FIND("|",D619,FIND("|",D619,1))-1)</f>
        <v/>
      </c>
      <c r="J619" s="11">
        <f>MID(D619,FIND(";",SUBSTITUTE(D619,"|",REPT(";",LEN(D619)),2))+1,FIND(";",SUBSTITUTE(D619,"|",REPT(";",LEN(D619)),3))-FIND(";",SUBSTITUTE(D619,"|",REPT(";",LEN(D619)),2))-1)</f>
        <v/>
      </c>
      <c r="K619" s="11">
        <f>MID(D619,FIND(";",SUBSTITUTE(D619,"|",REPT(";",LEN(D619)),3))+1,FIND(";",SUBSTITUTE(D619,"|",REPT(";",LEN(D619)),4))-FIND(";",SUBSTITUTE(D619,"|",REPT(";",LEN(D619)),3))-1)</f>
        <v/>
      </c>
      <c r="M619" s="11">
        <f>MID(D619,FIND(";",SUBSTITUTE(D619,"|",REPT(";",LEN(D619)),4))+1,LEN(D619))</f>
        <v/>
      </c>
    </row>
    <row r="620" ht="126" customHeight="1" s="21">
      <c r="A620" s="13" t="inlineStr">
        <is>
          <t>100301</t>
        </is>
      </c>
      <c r="B620" s="13" t="inlineStr">
        <is>
          <t>无缝钢管</t>
        </is>
      </c>
      <c r="C620" s="13" t="inlineStr">
        <is>
          <t>601438600</t>
        </is>
      </c>
      <c r="D620" s="13" t="inlineStr">
        <is>
          <t>航空用不锈钢无缝钢管|钢管|1Cr18Ni9Ti|Φ42×2|GJB 2296-1995</t>
        </is>
      </c>
      <c r="E620" s="13" t="inlineStr">
        <is>
          <t xml:space="preserve">物资名称 航空用不锈钢无缝钢管;物资简称 钢管;牌号 1Cr18Ni9Ti;外径 Φ42;壁厚 2;技术标准号 GJB 2296-1995;加工工艺 ;热处理工艺 ;特殊要求 ;规格标准号 </t>
        </is>
      </c>
      <c r="F620" s="12" t="inlineStr">
        <is>
          <t>千克</t>
        </is>
      </c>
      <c r="G620" s="11">
        <f>LEFT(D620,FIND("|",D620,1)-1)</f>
        <v/>
      </c>
      <c r="H620" s="11">
        <f>MID(D620,FIND("|",D620,FIND("|",D620,1))+1,FIND("|",D620,FIND("|",D620,1)+1)-FIND("|",D620,FIND("|",D620,1))-1)</f>
        <v/>
      </c>
      <c r="J620" s="11">
        <f>MID(D620,FIND(";",SUBSTITUTE(D620,"|",REPT(";",LEN(D620)),2))+1,FIND(";",SUBSTITUTE(D620,"|",REPT(";",LEN(D620)),3))-FIND(";",SUBSTITUTE(D620,"|",REPT(";",LEN(D620)),2))-1)</f>
        <v/>
      </c>
      <c r="K620" s="11">
        <f>MID(D620,FIND(";",SUBSTITUTE(D620,"|",REPT(";",LEN(D620)),3))+1,FIND(";",SUBSTITUTE(D620,"|",REPT(";",LEN(D620)),4))-FIND(";",SUBSTITUTE(D620,"|",REPT(";",LEN(D620)),3))-1)</f>
        <v/>
      </c>
      <c r="M620" s="11">
        <f>MID(D620,FIND(";",SUBSTITUTE(D620,"|",REPT(";",LEN(D620)),4))+1,LEN(D620))</f>
        <v/>
      </c>
    </row>
    <row r="621" ht="126" customHeight="1" s="21">
      <c r="A621" s="13" t="inlineStr">
        <is>
          <t>100301</t>
        </is>
      </c>
      <c r="B621" s="13" t="inlineStr">
        <is>
          <t>无缝钢管</t>
        </is>
      </c>
      <c r="C621" s="13" t="inlineStr">
        <is>
          <t>601438500</t>
        </is>
      </c>
      <c r="D621" s="13" t="inlineStr">
        <is>
          <t>航空用不锈钢无缝钢管|钢管|1Cr18Ni9Ti|Φ36×2|GJB 2296-1995</t>
        </is>
      </c>
      <c r="E621" s="13" t="inlineStr">
        <is>
          <t xml:space="preserve">物资名称 航空用不锈钢无缝钢管;物资简称 钢管;牌号 1Cr18Ni9Ti;外径 Φ36;壁厚 2;技术标准号 GJB 2296-1995;加工工艺 ;热处理工艺 ;特殊要求 ;规格标准号 </t>
        </is>
      </c>
      <c r="F621" s="12" t="inlineStr">
        <is>
          <t>千克</t>
        </is>
      </c>
      <c r="G621" s="11">
        <f>LEFT(D621,FIND("|",D621,1)-1)</f>
        <v/>
      </c>
      <c r="H621" s="11">
        <f>MID(D621,FIND("|",D621,FIND("|",D621,1))+1,FIND("|",D621,FIND("|",D621,1)+1)-FIND("|",D621,FIND("|",D621,1))-1)</f>
        <v/>
      </c>
      <c r="J621" s="11">
        <f>MID(D621,FIND(";",SUBSTITUTE(D621,"|",REPT(";",LEN(D621)),2))+1,FIND(";",SUBSTITUTE(D621,"|",REPT(";",LEN(D621)),3))-FIND(";",SUBSTITUTE(D621,"|",REPT(";",LEN(D621)),2))-1)</f>
        <v/>
      </c>
      <c r="K621" s="11">
        <f>MID(D621,FIND(";",SUBSTITUTE(D621,"|",REPT(";",LEN(D621)),3))+1,FIND(";",SUBSTITUTE(D621,"|",REPT(";",LEN(D621)),4))-FIND(";",SUBSTITUTE(D621,"|",REPT(";",LEN(D621)),3))-1)</f>
        <v/>
      </c>
      <c r="M621" s="11">
        <f>MID(D621,FIND(";",SUBSTITUTE(D621,"|",REPT(";",LEN(D621)),4))+1,LEN(D621))</f>
        <v/>
      </c>
    </row>
    <row r="622" ht="126" customHeight="1" s="21">
      <c r="A622" s="13" t="inlineStr">
        <is>
          <t>100301</t>
        </is>
      </c>
      <c r="B622" s="13" t="inlineStr">
        <is>
          <t>无缝钢管</t>
        </is>
      </c>
      <c r="C622" s="13" t="inlineStr">
        <is>
          <t>601329800</t>
        </is>
      </c>
      <c r="D622" s="13" t="inlineStr">
        <is>
          <t>结构用不锈无缝钢管|钢管|1Cr18Ni9Ti|Φ10×1|空</t>
        </is>
      </c>
      <c r="E622" s="13" t="inlineStr">
        <is>
          <t xml:space="preserve">物资名称 结构用不锈无缝钢管;物资简称 钢管;牌号 1Cr18Ni9Ti;外径 Φ10;壁厚 1;技术标准号 空;加工工艺 ;热处理工艺 ;特殊要求 ;规格标准号 </t>
        </is>
      </c>
      <c r="F622" s="12" t="inlineStr">
        <is>
          <t>千克</t>
        </is>
      </c>
      <c r="G622" s="11">
        <f>LEFT(D622,FIND("|",D622,1)-1)</f>
        <v/>
      </c>
      <c r="H622" s="11">
        <f>MID(D622,FIND("|",D622,FIND("|",D622,1))+1,FIND("|",D622,FIND("|",D622,1)+1)-FIND("|",D622,FIND("|",D622,1))-1)</f>
        <v/>
      </c>
      <c r="J622" s="11">
        <f>MID(D622,FIND(";",SUBSTITUTE(D622,"|",REPT(";",LEN(D622)),2))+1,FIND(";",SUBSTITUTE(D622,"|",REPT(";",LEN(D622)),3))-FIND(";",SUBSTITUTE(D622,"|",REPT(";",LEN(D622)),2))-1)</f>
        <v/>
      </c>
      <c r="K622" s="11">
        <f>MID(D622,FIND(";",SUBSTITUTE(D622,"|",REPT(";",LEN(D622)),3))+1,FIND(";",SUBSTITUTE(D622,"|",REPT(";",LEN(D622)),4))-FIND(";",SUBSTITUTE(D622,"|",REPT(";",LEN(D622)),3))-1)</f>
        <v/>
      </c>
      <c r="M622" s="11">
        <f>MID(D622,FIND(";",SUBSTITUTE(D622,"|",REPT(";",LEN(D622)),4))+1,LEN(D622))</f>
        <v/>
      </c>
    </row>
    <row r="623" ht="126" customHeight="1" s="21">
      <c r="A623" s="13" t="inlineStr">
        <is>
          <t>100301</t>
        </is>
      </c>
      <c r="B623" s="13" t="inlineStr">
        <is>
          <t>无缝钢管</t>
        </is>
      </c>
      <c r="C623" s="13" t="inlineStr">
        <is>
          <t>601329700</t>
        </is>
      </c>
      <c r="D623" s="13" t="inlineStr">
        <is>
          <t>结构用不锈无缝钢管|钢管|1Cr18Ni9Ti|Φ12×1|空</t>
        </is>
      </c>
      <c r="E623" s="13" t="inlineStr">
        <is>
          <t xml:space="preserve">物资名称 结构用不锈无缝钢管;物资简称 钢管;牌号 1Cr18Ni9Ti;外径 Φ12;壁厚 1;技术标准号 空;加工工艺 ;热处理工艺 ;特殊要求 ;规格标准号 </t>
        </is>
      </c>
      <c r="F623" s="12" t="inlineStr">
        <is>
          <t>千克</t>
        </is>
      </c>
      <c r="G623" s="11">
        <f>LEFT(D623,FIND("|",D623,1)-1)</f>
        <v/>
      </c>
      <c r="H623" s="11">
        <f>MID(D623,FIND("|",D623,FIND("|",D623,1))+1,FIND("|",D623,FIND("|",D623,1)+1)-FIND("|",D623,FIND("|",D623,1))-1)</f>
        <v/>
      </c>
      <c r="J623" s="11">
        <f>MID(D623,FIND(";",SUBSTITUTE(D623,"|",REPT(";",LEN(D623)),2))+1,FIND(";",SUBSTITUTE(D623,"|",REPT(";",LEN(D623)),3))-FIND(";",SUBSTITUTE(D623,"|",REPT(";",LEN(D623)),2))-1)</f>
        <v/>
      </c>
      <c r="K623" s="11">
        <f>MID(D623,FIND(";",SUBSTITUTE(D623,"|",REPT(";",LEN(D623)),3))+1,FIND(";",SUBSTITUTE(D623,"|",REPT(";",LEN(D623)),4))-FIND(";",SUBSTITUTE(D623,"|",REPT(";",LEN(D623)),3))-1)</f>
        <v/>
      </c>
      <c r="M623" s="11">
        <f>MID(D623,FIND(";",SUBSTITUTE(D623,"|",REPT(";",LEN(D623)),4))+1,LEN(D623))</f>
        <v/>
      </c>
    </row>
    <row r="624" ht="126" customHeight="1" s="21">
      <c r="A624" s="13" t="inlineStr">
        <is>
          <t>100301</t>
        </is>
      </c>
      <c r="B624" s="13" t="inlineStr">
        <is>
          <t>无缝钢管</t>
        </is>
      </c>
      <c r="C624" s="13" t="inlineStr">
        <is>
          <t>601329600</t>
        </is>
      </c>
      <c r="D624" s="13" t="inlineStr">
        <is>
          <t>结构用不锈无缝钢管|钢管|1Cr18Ni9Ti|Φ2×0.5|空</t>
        </is>
      </c>
      <c r="E624" s="13" t="inlineStr">
        <is>
          <t xml:space="preserve">物资名称 结构用不锈无缝钢管;物资简称 钢管;牌号 1Cr18Ni9Ti;外径 Φ2;壁厚 0.5;技术标准号 空;加工工艺 ;热处理工艺 ;特殊要求 ;规格标准号 </t>
        </is>
      </c>
      <c r="F624" s="12" t="inlineStr">
        <is>
          <t>千克</t>
        </is>
      </c>
      <c r="G624" s="11">
        <f>LEFT(D624,FIND("|",D624,1)-1)</f>
        <v/>
      </c>
      <c r="H624" s="11">
        <f>MID(D624,FIND("|",D624,FIND("|",D624,1))+1,FIND("|",D624,FIND("|",D624,1)+1)-FIND("|",D624,FIND("|",D624,1))-1)</f>
        <v/>
      </c>
      <c r="J624" s="11">
        <f>MID(D624,FIND(";",SUBSTITUTE(D624,"|",REPT(";",LEN(D624)),2))+1,FIND(";",SUBSTITUTE(D624,"|",REPT(";",LEN(D624)),3))-FIND(";",SUBSTITUTE(D624,"|",REPT(";",LEN(D624)),2))-1)</f>
        <v/>
      </c>
      <c r="K624" s="11">
        <f>MID(D624,FIND(";",SUBSTITUTE(D624,"|",REPT(";",LEN(D624)),3))+1,FIND(";",SUBSTITUTE(D624,"|",REPT(";",LEN(D624)),4))-FIND(";",SUBSTITUTE(D624,"|",REPT(";",LEN(D624)),3))-1)</f>
        <v/>
      </c>
      <c r="M624" s="11">
        <f>MID(D624,FIND(";",SUBSTITUTE(D624,"|",REPT(";",LEN(D624)),4))+1,LEN(D624))</f>
        <v/>
      </c>
    </row>
    <row r="625" ht="126" customHeight="1" s="21">
      <c r="A625" s="13" t="inlineStr">
        <is>
          <t>100301</t>
        </is>
      </c>
      <c r="B625" s="13" t="inlineStr">
        <is>
          <t>无缝钢管</t>
        </is>
      </c>
      <c r="C625" s="13" t="inlineStr">
        <is>
          <t>601329500</t>
        </is>
      </c>
      <c r="D625" s="13" t="inlineStr">
        <is>
          <t>结构用不锈无缝钢管|钢管|1Cr18Ni9Ti|Φ34×5|空</t>
        </is>
      </c>
      <c r="E625" s="13" t="inlineStr">
        <is>
          <t xml:space="preserve">物资名称 结构用不锈无缝钢管;物资简称 钢管;牌号 1Cr18Ni9Ti;外径 Φ34;壁厚 5;技术标准号 空;加工工艺 ;热处理工艺 ;特殊要求 ;规格标准号 </t>
        </is>
      </c>
      <c r="F625" s="12" t="inlineStr">
        <is>
          <t>千克</t>
        </is>
      </c>
      <c r="G625" s="11">
        <f>LEFT(D625,FIND("|",D625,1)-1)</f>
        <v/>
      </c>
      <c r="H625" s="11">
        <f>MID(D625,FIND("|",D625,FIND("|",D625,1))+1,FIND("|",D625,FIND("|",D625,1)+1)-FIND("|",D625,FIND("|",D625,1))-1)</f>
        <v/>
      </c>
      <c r="J625" s="11">
        <f>MID(D625,FIND(";",SUBSTITUTE(D625,"|",REPT(";",LEN(D625)),2))+1,FIND(";",SUBSTITUTE(D625,"|",REPT(";",LEN(D625)),3))-FIND(";",SUBSTITUTE(D625,"|",REPT(";",LEN(D625)),2))-1)</f>
        <v/>
      </c>
      <c r="K625" s="11">
        <f>MID(D625,FIND(";",SUBSTITUTE(D625,"|",REPT(";",LEN(D625)),3))+1,FIND(";",SUBSTITUTE(D625,"|",REPT(";",LEN(D625)),4))-FIND(";",SUBSTITUTE(D625,"|",REPT(";",LEN(D625)),3))-1)</f>
        <v/>
      </c>
      <c r="M625" s="11">
        <f>MID(D625,FIND(";",SUBSTITUTE(D625,"|",REPT(";",LEN(D625)),4))+1,LEN(D625))</f>
        <v/>
      </c>
    </row>
    <row r="626" ht="126" customHeight="1" s="21">
      <c r="A626" s="13" t="inlineStr">
        <is>
          <t>100301</t>
        </is>
      </c>
      <c r="B626" s="13" t="inlineStr">
        <is>
          <t>无缝钢管</t>
        </is>
      </c>
      <c r="C626" s="13" t="inlineStr">
        <is>
          <t>601329400</t>
        </is>
      </c>
      <c r="D626" s="13" t="inlineStr">
        <is>
          <t>结构用不锈无缝钢管|钢管|1Cr18Ni9Ti|Φ6×1.5|空</t>
        </is>
      </c>
      <c r="E626" s="13" t="inlineStr">
        <is>
          <t xml:space="preserve">物资名称 结构用不锈无缝钢管;物资简称 钢管;牌号 1Cr18Ni9Ti;外径 Φ6;壁厚 1.5;技术标准号 空;加工工艺 ;热处理工艺 ;特殊要求 ;规格标准号 </t>
        </is>
      </c>
      <c r="F626" s="12" t="inlineStr">
        <is>
          <t>千克</t>
        </is>
      </c>
      <c r="G626" s="11">
        <f>LEFT(D626,FIND("|",D626,1)-1)</f>
        <v/>
      </c>
      <c r="H626" s="11">
        <f>MID(D626,FIND("|",D626,FIND("|",D626,1))+1,FIND("|",D626,FIND("|",D626,1)+1)-FIND("|",D626,FIND("|",D626,1))-1)</f>
        <v/>
      </c>
      <c r="J626" s="11">
        <f>MID(D626,FIND(";",SUBSTITUTE(D626,"|",REPT(";",LEN(D626)),2))+1,FIND(";",SUBSTITUTE(D626,"|",REPT(";",LEN(D626)),3))-FIND(";",SUBSTITUTE(D626,"|",REPT(";",LEN(D626)),2))-1)</f>
        <v/>
      </c>
      <c r="K626" s="11">
        <f>MID(D626,FIND(";",SUBSTITUTE(D626,"|",REPT(";",LEN(D626)),3))+1,FIND(";",SUBSTITUTE(D626,"|",REPT(";",LEN(D626)),4))-FIND(";",SUBSTITUTE(D626,"|",REPT(";",LEN(D626)),3))-1)</f>
        <v/>
      </c>
      <c r="M626" s="11">
        <f>MID(D626,FIND(";",SUBSTITUTE(D626,"|",REPT(";",LEN(D626)),4))+1,LEN(D626))</f>
        <v/>
      </c>
    </row>
    <row r="627" ht="112" customHeight="1" s="21">
      <c r="A627" s="13" t="inlineStr">
        <is>
          <t>100301</t>
        </is>
      </c>
      <c r="B627" s="13" t="inlineStr">
        <is>
          <t>无缝钢管</t>
        </is>
      </c>
      <c r="C627" s="13" t="inlineStr">
        <is>
          <t>601329300</t>
        </is>
      </c>
      <c r="D627" s="13" t="inlineStr">
        <is>
          <t>结构用不锈无缝钢管|钢管|1Cr18Ni9Ti|Φ6×1|空</t>
        </is>
      </c>
      <c r="E627" s="13" t="inlineStr">
        <is>
          <t xml:space="preserve">物资名称 结构用不锈无缝钢管;物资简称 钢管;牌号 1Cr18Ni9Ti;外径 Φ6;壁厚 1;技术标准号 空;加工工艺 ;热处理工艺 ;特殊要求 ;规格标准号 </t>
        </is>
      </c>
      <c r="F627" s="12" t="inlineStr">
        <is>
          <t>千克</t>
        </is>
      </c>
      <c r="G627" s="11">
        <f>LEFT(D627,FIND("|",D627,1)-1)</f>
        <v/>
      </c>
      <c r="H627" s="11">
        <f>MID(D627,FIND("|",D627,FIND("|",D627,1))+1,FIND("|",D627,FIND("|",D627,1)+1)-FIND("|",D627,FIND("|",D627,1))-1)</f>
        <v/>
      </c>
      <c r="J627" s="11">
        <f>MID(D627,FIND(";",SUBSTITUTE(D627,"|",REPT(";",LEN(D627)),2))+1,FIND(";",SUBSTITUTE(D627,"|",REPT(";",LEN(D627)),3))-FIND(";",SUBSTITUTE(D627,"|",REPT(";",LEN(D627)),2))-1)</f>
        <v/>
      </c>
      <c r="K627" s="11">
        <f>MID(D627,FIND(";",SUBSTITUTE(D627,"|",REPT(";",LEN(D627)),3))+1,FIND(";",SUBSTITUTE(D627,"|",REPT(";",LEN(D627)),4))-FIND(";",SUBSTITUTE(D627,"|",REPT(";",LEN(D627)),3))-1)</f>
        <v/>
      </c>
      <c r="M627" s="11">
        <f>MID(D627,FIND(";",SUBSTITUTE(D627,"|",REPT(";",LEN(D627)),4))+1,LEN(D627))</f>
        <v/>
      </c>
    </row>
    <row r="628" ht="112" customHeight="1" s="21">
      <c r="A628" s="13" t="inlineStr">
        <is>
          <t>100301</t>
        </is>
      </c>
      <c r="B628" s="13" t="inlineStr">
        <is>
          <t>无缝钢管</t>
        </is>
      </c>
      <c r="C628" s="13" t="inlineStr">
        <is>
          <t>601329200</t>
        </is>
      </c>
      <c r="D628" s="13" t="inlineStr">
        <is>
          <t>结构用不锈无缝钢管|钢管|1Cr18Ni9Ti|Φ8×1|空</t>
        </is>
      </c>
      <c r="E628" s="13" t="inlineStr">
        <is>
          <t xml:space="preserve">物资名称 结构用不锈无缝钢管;物资简称 钢管;牌号 1Cr18Ni9Ti;外径 Φ8;壁厚 1;技术标准号 空;加工工艺 ;热处理工艺 ;特殊要求 ;规格标准号 </t>
        </is>
      </c>
      <c r="F628" s="12" t="inlineStr">
        <is>
          <t>千克</t>
        </is>
      </c>
      <c r="G628" s="11">
        <f>LEFT(D628,FIND("|",D628,1)-1)</f>
        <v/>
      </c>
      <c r="H628" s="11">
        <f>MID(D628,FIND("|",D628,FIND("|",D628,1))+1,FIND("|",D628,FIND("|",D628,1)+1)-FIND("|",D628,FIND("|",D628,1))-1)</f>
        <v/>
      </c>
      <c r="J628" s="11">
        <f>MID(D628,FIND(";",SUBSTITUTE(D628,"|",REPT(";",LEN(D628)),2))+1,FIND(";",SUBSTITUTE(D628,"|",REPT(";",LEN(D628)),3))-FIND(";",SUBSTITUTE(D628,"|",REPT(";",LEN(D628)),2))-1)</f>
        <v/>
      </c>
      <c r="K628" s="11">
        <f>MID(D628,FIND(";",SUBSTITUTE(D628,"|",REPT(";",LEN(D628)),3))+1,FIND(";",SUBSTITUTE(D628,"|",REPT(";",LEN(D628)),4))-FIND(";",SUBSTITUTE(D628,"|",REPT(";",LEN(D628)),3))-1)</f>
        <v/>
      </c>
      <c r="M628" s="11">
        <f>MID(D628,FIND(";",SUBSTITUTE(D628,"|",REPT(";",LEN(D628)),4))+1,LEN(D628))</f>
        <v/>
      </c>
    </row>
    <row r="629" ht="112" customHeight="1" s="21">
      <c r="A629" s="13" t="inlineStr">
        <is>
          <t>100301</t>
        </is>
      </c>
      <c r="B629" s="13" t="inlineStr">
        <is>
          <t>无缝钢管</t>
        </is>
      </c>
      <c r="C629" s="13" t="inlineStr">
        <is>
          <t>601329100</t>
        </is>
      </c>
      <c r="D629" s="13" t="inlineStr">
        <is>
          <t>优质碳素结构无缝钢管|钢管|45#|Φ219×60|空</t>
        </is>
      </c>
      <c r="E629" s="13" t="inlineStr">
        <is>
          <t xml:space="preserve">物资名称 优质碳素结构无缝钢管;物资简称 钢管;牌号 45#;外径 Φ219;壁厚 60;技术标准号 空;加工工艺 ;热处理工艺 ;特殊要求 ;规格标准号 </t>
        </is>
      </c>
      <c r="F629" s="12" t="inlineStr">
        <is>
          <t>千克</t>
        </is>
      </c>
      <c r="G629" s="11">
        <f>LEFT(D629,FIND("|",D629,1)-1)</f>
        <v/>
      </c>
      <c r="H629" s="11">
        <f>MID(D629,FIND("|",D629,FIND("|",D629,1))+1,FIND("|",D629,FIND("|",D629,1)+1)-FIND("|",D629,FIND("|",D629,1))-1)</f>
        <v/>
      </c>
      <c r="J629" s="11">
        <f>MID(D629,FIND(";",SUBSTITUTE(D629,"|",REPT(";",LEN(D629)),2))+1,FIND(";",SUBSTITUTE(D629,"|",REPT(";",LEN(D629)),3))-FIND(";",SUBSTITUTE(D629,"|",REPT(";",LEN(D629)),2))-1)</f>
        <v/>
      </c>
      <c r="K629" s="11">
        <f>MID(D629,FIND(";",SUBSTITUTE(D629,"|",REPT(";",LEN(D629)),3))+1,FIND(";",SUBSTITUTE(D629,"|",REPT(";",LEN(D629)),4))-FIND(";",SUBSTITUTE(D629,"|",REPT(";",LEN(D629)),3))-1)</f>
        <v/>
      </c>
      <c r="M629" s="11">
        <f>MID(D629,FIND(";",SUBSTITUTE(D629,"|",REPT(";",LEN(D629)),4))+1,LEN(D629))</f>
        <v/>
      </c>
    </row>
    <row r="630" ht="112" customHeight="1" s="21">
      <c r="A630" s="13" t="inlineStr">
        <is>
          <t>100301</t>
        </is>
      </c>
      <c r="B630" s="13" t="inlineStr">
        <is>
          <t>无缝钢管</t>
        </is>
      </c>
      <c r="C630" s="13" t="inlineStr">
        <is>
          <t>601329000</t>
        </is>
      </c>
      <c r="D630" s="13" t="inlineStr">
        <is>
          <t>优质碳素结构无缝钢管|钢管|45#|Φ232×45|空</t>
        </is>
      </c>
      <c r="E630" s="13" t="inlineStr">
        <is>
          <t xml:space="preserve">物资名称 优质碳素结构无缝钢管;物资简称 钢管;牌号 45#;外径 Φ232;壁厚 45;技术标准号 空;加工工艺 ;热处理工艺 ;特殊要求 ;规格标准号 </t>
        </is>
      </c>
      <c r="F630" s="12" t="inlineStr">
        <is>
          <t>千克</t>
        </is>
      </c>
      <c r="G630" s="11">
        <f>LEFT(D630,FIND("|",D630,1)-1)</f>
        <v/>
      </c>
      <c r="H630" s="11">
        <f>MID(D630,FIND("|",D630,FIND("|",D630,1))+1,FIND("|",D630,FIND("|",D630,1)+1)-FIND("|",D630,FIND("|",D630,1))-1)</f>
        <v/>
      </c>
      <c r="J630" s="11">
        <f>MID(D630,FIND(";",SUBSTITUTE(D630,"|",REPT(";",LEN(D630)),2))+1,FIND(";",SUBSTITUTE(D630,"|",REPT(";",LEN(D630)),3))-FIND(";",SUBSTITUTE(D630,"|",REPT(";",LEN(D630)),2))-1)</f>
        <v/>
      </c>
      <c r="K630" s="11">
        <f>MID(D630,FIND(";",SUBSTITUTE(D630,"|",REPT(";",LEN(D630)),3))+1,FIND(";",SUBSTITUTE(D630,"|",REPT(";",LEN(D630)),4))-FIND(";",SUBSTITUTE(D630,"|",REPT(";",LEN(D630)),3))-1)</f>
        <v/>
      </c>
      <c r="M630" s="11">
        <f>MID(D630,FIND(";",SUBSTITUTE(D630,"|",REPT(";",LEN(D630)),4))+1,LEN(D630))</f>
        <v/>
      </c>
    </row>
    <row r="631" ht="154" customHeight="1" s="21">
      <c r="A631" s="13" t="inlineStr">
        <is>
          <t>100301</t>
        </is>
      </c>
      <c r="B631" s="13" t="inlineStr">
        <is>
          <t>无缝钢管</t>
        </is>
      </c>
      <c r="C631" s="13" t="inlineStr">
        <is>
          <t>601018300</t>
        </is>
      </c>
      <c r="D631" s="13" t="inlineStr">
        <is>
          <t>结构用热轧优质碳素结构无缝钢管|钢管|45|Φ180×25|GB/T 8162-2008|热轧</t>
        </is>
      </c>
      <c r="E631" s="13" t="inlineStr">
        <is>
          <t>物资名称 结构用热轧优质碳素结构无缝钢管;物资简称 钢管;牌号 45;外径 Φ180;壁厚 25;技术标准号 GB/T 8162-2008;加工工艺 热轧;热处理工艺 ;特殊要求 ;规格标准号 GB/T 17395-2008</t>
        </is>
      </c>
      <c r="F631" s="12" t="inlineStr">
        <is>
          <t>千克</t>
        </is>
      </c>
      <c r="G631" s="11">
        <f>LEFT(D631,FIND("|",D631,1)-1)</f>
        <v/>
      </c>
      <c r="H631" s="11">
        <f>MID(D631,FIND("|",D631,FIND("|",D631,1))+1,FIND("|",D631,FIND("|",D631,1)+1)-FIND("|",D631,FIND("|",D631,1))-1)</f>
        <v/>
      </c>
      <c r="J631" s="11">
        <f>MID(D631,FIND(";",SUBSTITUTE(D631,"|",REPT(";",LEN(D631)),2))+1,FIND(";",SUBSTITUTE(D631,"|",REPT(";",LEN(D631)),3))-FIND(";",SUBSTITUTE(D631,"|",REPT(";",LEN(D631)),2))-1)</f>
        <v/>
      </c>
      <c r="K631" s="11">
        <f>MID(D631,FIND(";",SUBSTITUTE(D631,"|",REPT(";",LEN(D631)),3))+1,FIND(";",SUBSTITUTE(D631,"|",REPT(";",LEN(D631)),4))-FIND(";",SUBSTITUTE(D631,"|",REPT(";",LEN(D631)),3))-1)</f>
        <v/>
      </c>
      <c r="M631" s="11">
        <f>MID(D631,FIND(";",SUBSTITUTE(D631,"|",REPT(";",LEN(D631)),4))+1,FIND(";",SUBSTITUTE(D631,"|",REPT(";",LEN(D631)),5))-FIND(";",SUBSTITUTE(D631,"|",REPT(";",LEN(D631)),4))-1)</f>
        <v/>
      </c>
      <c r="O631" s="11">
        <f>MID(D631,FIND(";",SUBSTITUTE(D631,"|",REPT(";",LEN(D631)),5))+1,LEN(D631))</f>
        <v/>
      </c>
    </row>
    <row r="632" ht="140" customHeight="1" s="21">
      <c r="A632" s="13" t="inlineStr">
        <is>
          <t>100301</t>
        </is>
      </c>
      <c r="B632" s="13" t="inlineStr">
        <is>
          <t>无缝钢管</t>
        </is>
      </c>
      <c r="C632" s="13" t="inlineStr">
        <is>
          <t>601003500</t>
        </is>
      </c>
      <c r="D632" s="13" t="inlineStr">
        <is>
          <t>航空用不锈钢无缝钢管|不锈钢管|1Cr18Ni9Ti|Φ25×3|GJB 2296-1995</t>
        </is>
      </c>
      <c r="E632" s="13" t="inlineStr">
        <is>
          <t xml:space="preserve">物资名称 航空用不锈钢无缝钢管;物资简称 不锈钢管;牌号 1Cr18Ni9Ti;外径 Φ25;壁厚 3;技术标准号 GJB 2296-1995;加工工艺 ;热处理工艺 ;特殊要求 ;规格标准号 </t>
        </is>
      </c>
      <c r="F632" s="12" t="inlineStr">
        <is>
          <t>千克</t>
        </is>
      </c>
      <c r="G632" s="11">
        <f>LEFT(D632,FIND("|",D632,1)-1)</f>
        <v/>
      </c>
      <c r="H632" s="11">
        <f>MID(D632,FIND("|",D632,FIND("|",D632,1))+1,FIND("|",D632,FIND("|",D632,1)+1)-FIND("|",D632,FIND("|",D632,1))-1)</f>
        <v/>
      </c>
      <c r="J632" s="11">
        <f>MID(D632,FIND(";",SUBSTITUTE(D632,"|",REPT(";",LEN(D632)),2))+1,FIND(";",SUBSTITUTE(D632,"|",REPT(";",LEN(D632)),3))-FIND(";",SUBSTITUTE(D632,"|",REPT(";",LEN(D632)),2))-1)</f>
        <v/>
      </c>
      <c r="K632" s="11">
        <f>MID(D632,FIND(";",SUBSTITUTE(D632,"|",REPT(";",LEN(D632)),3))+1,FIND(";",SUBSTITUTE(D632,"|",REPT(";",LEN(D632)),4))-FIND(";",SUBSTITUTE(D632,"|",REPT(";",LEN(D632)),3))-1)</f>
        <v/>
      </c>
      <c r="M632" s="11">
        <f>MID(D632,FIND(";",SUBSTITUTE(D632,"|",REPT(";",LEN(D632)),4))+1,LEN(D632))</f>
        <v/>
      </c>
    </row>
    <row r="633" ht="140" customHeight="1" s="21">
      <c r="A633" s="13" t="inlineStr">
        <is>
          <t>100301</t>
        </is>
      </c>
      <c r="B633" s="13" t="inlineStr">
        <is>
          <t>无缝钢管</t>
        </is>
      </c>
      <c r="C633" s="13" t="inlineStr">
        <is>
          <t>601003400</t>
        </is>
      </c>
      <c r="D633" s="13" t="inlineStr">
        <is>
          <t>航空用不锈钢无缝钢管|不锈钢管|1Cr18Ni9Ti|Φ42×3|GJB 2296-1995</t>
        </is>
      </c>
      <c r="E633" s="13" t="inlineStr">
        <is>
          <t xml:space="preserve">物资名称 航空用不锈钢无缝钢管;物资简称 不锈钢管;牌号 1Cr18Ni9Ti;外径 Φ42;壁厚 3;技术标准号 GJB 2296-1995;加工工艺 ;热处理工艺 ;特殊要求 ;规格标准号 </t>
        </is>
      </c>
      <c r="F633" s="12" t="inlineStr">
        <is>
          <t>千克</t>
        </is>
      </c>
      <c r="G633" s="11">
        <f>LEFT(D633,FIND("|",D633,1)-1)</f>
        <v/>
      </c>
      <c r="H633" s="11">
        <f>MID(D633,FIND("|",D633,FIND("|",D633,1))+1,FIND("|",D633,FIND("|",D633,1)+1)-FIND("|",D633,FIND("|",D633,1))-1)</f>
        <v/>
      </c>
      <c r="J633" s="11">
        <f>MID(D633,FIND(";",SUBSTITUTE(D633,"|",REPT(";",LEN(D633)),2))+1,FIND(";",SUBSTITUTE(D633,"|",REPT(";",LEN(D633)),3))-FIND(";",SUBSTITUTE(D633,"|",REPT(";",LEN(D633)),2))-1)</f>
        <v/>
      </c>
      <c r="K633" s="11">
        <f>MID(D633,FIND(";",SUBSTITUTE(D633,"|",REPT(";",LEN(D633)),3))+1,FIND(";",SUBSTITUTE(D633,"|",REPT(";",LEN(D633)),4))-FIND(";",SUBSTITUTE(D633,"|",REPT(";",LEN(D633)),3))-1)</f>
        <v/>
      </c>
      <c r="M633" s="11">
        <f>MID(D633,FIND(";",SUBSTITUTE(D633,"|",REPT(";",LEN(D633)),4))+1,LEN(D633))</f>
        <v/>
      </c>
    </row>
    <row r="634" ht="140" customHeight="1" s="21">
      <c r="A634" s="13" t="inlineStr">
        <is>
          <t>100301</t>
        </is>
      </c>
      <c r="B634" s="13" t="inlineStr">
        <is>
          <t>无缝钢管</t>
        </is>
      </c>
      <c r="C634" s="13" t="inlineStr">
        <is>
          <t>601003300</t>
        </is>
      </c>
      <c r="D634" s="13" t="inlineStr">
        <is>
          <t>航空用不锈钢无缝钢管|不锈钢管|1Cr18Ni9Ti|Φ32×3|GJB 2296-1995</t>
        </is>
      </c>
      <c r="E634" s="13" t="inlineStr">
        <is>
          <t xml:space="preserve">物资名称 航空用不锈钢无缝钢管;物资简称 不锈钢管;牌号 1Cr18Ni9Ti;外径 Φ32;壁厚 3;技术标准号 GJB 2296-1995;加工工艺 ;热处理工艺 ;特殊要求 ;规格标准号 </t>
        </is>
      </c>
      <c r="F634" s="12" t="inlineStr">
        <is>
          <t>千克</t>
        </is>
      </c>
      <c r="G634" s="11">
        <f>LEFT(D634,FIND("|",D634,1)-1)</f>
        <v/>
      </c>
      <c r="H634" s="11">
        <f>MID(D634,FIND("|",D634,FIND("|",D634,1))+1,FIND("|",D634,FIND("|",D634,1)+1)-FIND("|",D634,FIND("|",D634,1))-1)</f>
        <v/>
      </c>
      <c r="J634" s="11">
        <f>MID(D634,FIND(";",SUBSTITUTE(D634,"|",REPT(";",LEN(D634)),2))+1,FIND(";",SUBSTITUTE(D634,"|",REPT(";",LEN(D634)),3))-FIND(";",SUBSTITUTE(D634,"|",REPT(";",LEN(D634)),2))-1)</f>
        <v/>
      </c>
      <c r="K634" s="11">
        <f>MID(D634,FIND(";",SUBSTITUTE(D634,"|",REPT(";",LEN(D634)),3))+1,FIND(";",SUBSTITUTE(D634,"|",REPT(";",LEN(D634)),4))-FIND(";",SUBSTITUTE(D634,"|",REPT(";",LEN(D634)),3))-1)</f>
        <v/>
      </c>
      <c r="M634" s="11">
        <f>MID(D634,FIND(";",SUBSTITUTE(D634,"|",REPT(";",LEN(D634)),4))+1,LEN(D634))</f>
        <v/>
      </c>
    </row>
    <row r="635" ht="154" customHeight="1" s="21">
      <c r="A635" s="13" t="inlineStr">
        <is>
          <t>100301</t>
        </is>
      </c>
      <c r="B635" s="13" t="inlineStr">
        <is>
          <t>无缝钢管</t>
        </is>
      </c>
      <c r="C635" s="13" t="inlineStr">
        <is>
          <t>601000900</t>
        </is>
      </c>
      <c r="D635" s="13" t="inlineStr">
        <is>
          <t>结构用热轧优质碳素结构无缝钢管|钢管|45|Φ133×15|GB/T 8162-1999|热轧|退火|GB/T 17395-2008</t>
        </is>
      </c>
      <c r="E635" s="13" t="inlineStr">
        <is>
          <t>物资名称 结构用热轧优质碳素结构无缝钢管;物资简称 钢管;牌号 45;外径 Φ133;壁厚 15;技术标准号 GB/T 8162-1999;加工工艺 热轧;热处理工艺 退火;特殊要求 ;规格标准号 GB/T 17395-2008</t>
        </is>
      </c>
      <c r="F635" s="12" t="inlineStr">
        <is>
          <t>千克</t>
        </is>
      </c>
      <c r="G635" s="11">
        <f>LEFT(D635,FIND("|",D635,1)-1)</f>
        <v/>
      </c>
      <c r="H635" s="11">
        <f>MID(D635,FIND("|",D635,FIND("|",D635,1))+1,FIND("|",D635,FIND("|",D635,1)+1)-FIND("|",D635,FIND("|",D635,1))-1)</f>
        <v/>
      </c>
      <c r="J635" s="11">
        <f>MID(D635,FIND(";",SUBSTITUTE(D635,"|",REPT(";",LEN(D635)),2))+1,FIND(";",SUBSTITUTE(D635,"|",REPT(";",LEN(D635)),3))-FIND(";",SUBSTITUTE(D635,"|",REPT(";",LEN(D635)),2))-1)</f>
        <v/>
      </c>
      <c r="K635" s="11">
        <f>MID(D635,FIND(";",SUBSTITUTE(D635,"|",REPT(";",LEN(D635)),3))+1,FIND(";",SUBSTITUTE(D635,"|",REPT(";",LEN(D635)),4))-FIND(";",SUBSTITUTE(D635,"|",REPT(";",LEN(D635)),3))-1)</f>
        <v/>
      </c>
      <c r="M635" s="11">
        <f>MID(D635,FIND(";",SUBSTITUTE(D635,"|",REPT(";",LEN(D635)),4))+1,FIND(";",SUBSTITUTE(D635,"|",REPT(";",LEN(D635)),5))-FIND(";",SUBSTITUTE(D635,"|",REPT(";",LEN(D635)),4))-1)</f>
        <v/>
      </c>
      <c r="N635" s="11">
        <f>MID(D635,FIND(";",SUBSTITUTE(D635,"|",REPT(";",LEN(D635)),7))+1,LEN(D635))</f>
        <v/>
      </c>
      <c r="O635" s="11">
        <f>MID(D635,FIND(";",SUBSTITUTE(D635,"|",REPT(";",LEN(D635)),5))+1,FIND(";",SUBSTITUTE(D635,"|",REPT(";",LEN(D635)),6))-FIND(";",SUBSTITUTE(D635,"|",REPT(";",LEN(D635)),5))-1)</f>
        <v/>
      </c>
      <c r="P635" s="11">
        <f>MID(D635,FIND(";",SUBSTITUTE(D635,"|",REPT(";",LEN(D635)),6))+1,FIND(";",SUBSTITUTE(D635,"|",REPT(";",LEN(D635)),7))-FIND(";",SUBSTITUTE(D635,"|",REPT(";",LEN(D635)),6))-1)</f>
        <v/>
      </c>
    </row>
    <row r="636" ht="140" customHeight="1" s="21">
      <c r="A636" s="13" t="inlineStr">
        <is>
          <t>100301</t>
        </is>
      </c>
      <c r="B636" s="13" t="inlineStr">
        <is>
          <t>无缝钢管</t>
        </is>
      </c>
      <c r="C636" s="13" t="inlineStr">
        <is>
          <t>600996600</t>
        </is>
      </c>
      <c r="D636" s="13" t="inlineStr">
        <is>
          <t>航空用不锈钢无缝钢管|不锈钢管|1Cr18Ni9Ti|Φ28×4|GJB 2296-1995</t>
        </is>
      </c>
      <c r="E636" s="13" t="inlineStr">
        <is>
          <t xml:space="preserve">物资名称 航空用不锈钢无缝钢管;物资简称 不锈钢管;牌号 1Cr18Ni9Ti;外径 Φ28;壁厚 4;技术标准号 GJB 2296-1995;加工工艺 ;热处理工艺 ;特殊要求 ;规格标准号 </t>
        </is>
      </c>
      <c r="F636" s="12" t="inlineStr">
        <is>
          <t>千克</t>
        </is>
      </c>
      <c r="G636" s="11">
        <f>LEFT(D636,FIND("|",D636,1)-1)</f>
        <v/>
      </c>
      <c r="H636" s="11">
        <f>MID(D636,FIND("|",D636,FIND("|",D636,1))+1,FIND("|",D636,FIND("|",D636,1)+1)-FIND("|",D636,FIND("|",D636,1))-1)</f>
        <v/>
      </c>
      <c r="J636" s="11">
        <f>MID(D636,FIND(";",SUBSTITUTE(D636,"|",REPT(";",LEN(D636)),2))+1,FIND(";",SUBSTITUTE(D636,"|",REPT(";",LEN(D636)),3))-FIND(";",SUBSTITUTE(D636,"|",REPT(";",LEN(D636)),2))-1)</f>
        <v/>
      </c>
      <c r="K636" s="11">
        <f>MID(D636,FIND(";",SUBSTITUTE(D636,"|",REPT(";",LEN(D636)),3))+1,FIND(";",SUBSTITUTE(D636,"|",REPT(";",LEN(D636)),4))-FIND(";",SUBSTITUTE(D636,"|",REPT(";",LEN(D636)),3))-1)</f>
        <v/>
      </c>
      <c r="M636" s="11">
        <f>MID(D636,FIND(";",SUBSTITUTE(D636,"|",REPT(";",LEN(D636)),4))+1,LEN(D636))</f>
        <v/>
      </c>
    </row>
    <row r="637" ht="140" customHeight="1" s="21">
      <c r="A637" s="13" t="inlineStr">
        <is>
          <t>100301</t>
        </is>
      </c>
      <c r="B637" s="13" t="inlineStr">
        <is>
          <t>无缝钢管</t>
        </is>
      </c>
      <c r="C637" s="13" t="inlineStr">
        <is>
          <t>600988100</t>
        </is>
      </c>
      <c r="D637" s="13" t="inlineStr">
        <is>
          <t>航空用不锈钢无缝钢管|不锈钢管|1Cr18Ni9Ti|Φ34×3|GJB 2296-1995</t>
        </is>
      </c>
      <c r="E637" s="13" t="inlineStr">
        <is>
          <t xml:space="preserve">物资名称 航空用不锈钢无缝钢管;物资简称 不锈钢管;牌号 1Cr18Ni9Ti;外径 Φ34;壁厚 3;技术标准号 GJB 2296-1995;加工工艺 ;热处理工艺 ;特殊要求 ;规格标准号 </t>
        </is>
      </c>
      <c r="F637" s="12" t="inlineStr">
        <is>
          <t>千克</t>
        </is>
      </c>
      <c r="G637" s="11">
        <f>LEFT(D637,FIND("|",D637,1)-1)</f>
        <v/>
      </c>
      <c r="H637" s="11">
        <f>MID(D637,FIND("|",D637,FIND("|",D637,1))+1,FIND("|",D637,FIND("|",D637,1)+1)-FIND("|",D637,FIND("|",D637,1))-1)</f>
        <v/>
      </c>
      <c r="J637" s="11">
        <f>MID(D637,FIND(";",SUBSTITUTE(D637,"|",REPT(";",LEN(D637)),2))+1,FIND(";",SUBSTITUTE(D637,"|",REPT(";",LEN(D637)),3))-FIND(";",SUBSTITUTE(D637,"|",REPT(";",LEN(D637)),2))-1)</f>
        <v/>
      </c>
      <c r="K637" s="11">
        <f>MID(D637,FIND(";",SUBSTITUTE(D637,"|",REPT(";",LEN(D637)),3))+1,FIND(";",SUBSTITUTE(D637,"|",REPT(";",LEN(D637)),4))-FIND(";",SUBSTITUTE(D637,"|",REPT(";",LEN(D637)),3))-1)</f>
        <v/>
      </c>
      <c r="M637" s="11">
        <f>MID(D637,FIND(";",SUBSTITUTE(D637,"|",REPT(";",LEN(D637)),4))+1,LEN(D637))</f>
        <v/>
      </c>
    </row>
    <row r="638" ht="140" customHeight="1" s="21">
      <c r="A638" s="13" t="inlineStr">
        <is>
          <t>100301</t>
        </is>
      </c>
      <c r="B638" s="13" t="inlineStr">
        <is>
          <t>无缝钢管</t>
        </is>
      </c>
      <c r="C638" s="13" t="inlineStr">
        <is>
          <t>600988000</t>
        </is>
      </c>
      <c r="D638" s="13" t="inlineStr">
        <is>
          <t>航空用不锈钢无缝钢管|不锈钢管|1Cr18Ni9Ti|Φ27×3|GJB 2296-1995</t>
        </is>
      </c>
      <c r="E638" s="13" t="inlineStr">
        <is>
          <t xml:space="preserve">物资名称 航空用不锈钢无缝钢管;物资简称 不锈钢管;牌号 1Cr18Ni9Ti;外径 Φ27;壁厚 3;技术标准号 GJB 2296-1995;加工工艺 ;热处理工艺 ;特殊要求 ;规格标准号 </t>
        </is>
      </c>
      <c r="F638" s="12" t="inlineStr">
        <is>
          <t>千克</t>
        </is>
      </c>
      <c r="G638" s="11">
        <f>LEFT(D638,FIND("|",D638,1)-1)</f>
        <v/>
      </c>
      <c r="H638" s="11">
        <f>MID(D638,FIND("|",D638,FIND("|",D638,1))+1,FIND("|",D638,FIND("|",D638,1)+1)-FIND("|",D638,FIND("|",D638,1))-1)</f>
        <v/>
      </c>
      <c r="J638" s="11">
        <f>MID(D638,FIND(";",SUBSTITUTE(D638,"|",REPT(";",LEN(D638)),2))+1,FIND(";",SUBSTITUTE(D638,"|",REPT(";",LEN(D638)),3))-FIND(";",SUBSTITUTE(D638,"|",REPT(";",LEN(D638)),2))-1)</f>
        <v/>
      </c>
      <c r="K638" s="11">
        <f>MID(D638,FIND(";",SUBSTITUTE(D638,"|",REPT(";",LEN(D638)),3))+1,FIND(";",SUBSTITUTE(D638,"|",REPT(";",LEN(D638)),4))-FIND(";",SUBSTITUTE(D638,"|",REPT(";",LEN(D638)),3))-1)</f>
        <v/>
      </c>
      <c r="M638" s="11">
        <f>MID(D638,FIND(";",SUBSTITUTE(D638,"|",REPT(";",LEN(D638)),4))+1,LEN(D638))</f>
        <v/>
      </c>
    </row>
    <row r="639" ht="140" customHeight="1" s="21">
      <c r="A639" s="13" t="inlineStr">
        <is>
          <t>100301</t>
        </is>
      </c>
      <c r="B639" s="13" t="inlineStr">
        <is>
          <t>无缝钢管</t>
        </is>
      </c>
      <c r="C639" s="13" t="inlineStr">
        <is>
          <t>600985500</t>
        </is>
      </c>
      <c r="D639" s="13" t="inlineStr">
        <is>
          <t>结构用热轧优质碳素结构无缝钢管|钢管|45|Φ305×38|GB/T 8162-1999</t>
        </is>
      </c>
      <c r="E639" s="13" t="inlineStr">
        <is>
          <t xml:space="preserve">物资名称 结构用热轧优质碳素结构无缝钢管;物资简称 钢管;牌号 45;外径 Φ305;壁厚 38;技术标准号 GB/T 8162-1999;加工工艺 ;热处理工艺 ;特殊要求 ;规格标准号 </t>
        </is>
      </c>
      <c r="F639" s="12" t="inlineStr">
        <is>
          <t>千克</t>
        </is>
      </c>
      <c r="G639" s="11">
        <f>LEFT(D639,FIND("|",D639,1)-1)</f>
        <v/>
      </c>
      <c r="H639" s="11">
        <f>MID(D639,FIND("|",D639,FIND("|",D639,1))+1,FIND("|",D639,FIND("|",D639,1)+1)-FIND("|",D639,FIND("|",D639,1))-1)</f>
        <v/>
      </c>
      <c r="J639" s="11">
        <f>MID(D639,FIND(";",SUBSTITUTE(D639,"|",REPT(";",LEN(D639)),2))+1,FIND(";",SUBSTITUTE(D639,"|",REPT(";",LEN(D639)),3))-FIND(";",SUBSTITUTE(D639,"|",REPT(";",LEN(D639)),2))-1)</f>
        <v/>
      </c>
      <c r="K639" s="11">
        <f>MID(D639,FIND(";",SUBSTITUTE(D639,"|",REPT(";",LEN(D639)),3))+1,FIND(";",SUBSTITUTE(D639,"|",REPT(";",LEN(D639)),4))-FIND(";",SUBSTITUTE(D639,"|",REPT(";",LEN(D639)),3))-1)</f>
        <v/>
      </c>
      <c r="M639" s="11">
        <f>MID(D639,FIND(";",SUBSTITUTE(D639,"|",REPT(";",LEN(D639)),4))+1,LEN(D639))</f>
        <v/>
      </c>
    </row>
    <row r="640" ht="112" customHeight="1" s="21">
      <c r="A640" s="13" t="inlineStr">
        <is>
          <t>100301</t>
        </is>
      </c>
      <c r="B640" s="13" t="inlineStr">
        <is>
          <t>无缝钢管</t>
        </is>
      </c>
      <c r="C640" s="13" t="inlineStr">
        <is>
          <t>600985400</t>
        </is>
      </c>
      <c r="D640" s="13" t="inlineStr">
        <is>
          <t>合金结构无缝钢管|钢管|20|Φ80×6|GB/T 699-1999</t>
        </is>
      </c>
      <c r="E640" s="13" t="inlineStr">
        <is>
          <t xml:space="preserve">物资名称 合金结构无缝钢管;物资简称 钢管;牌号 20;外径 Φ80;壁厚 6;技术标准号 GB/T 699-1999;加工工艺 ;热处理工艺 ;特殊要求 ;规格标准号 </t>
        </is>
      </c>
      <c r="F640" s="12" t="inlineStr">
        <is>
          <t>千克</t>
        </is>
      </c>
      <c r="G640" s="11">
        <f>LEFT(D640,FIND("|",D640,1)-1)</f>
        <v/>
      </c>
      <c r="H640" s="11">
        <f>MID(D640,FIND("|",D640,FIND("|",D640,1))+1,FIND("|",D640,FIND("|",D640,1)+1)-FIND("|",D640,FIND("|",D640,1))-1)</f>
        <v/>
      </c>
      <c r="J640" s="11">
        <f>MID(D640,FIND(";",SUBSTITUTE(D640,"|",REPT(";",LEN(D640)),2))+1,FIND(";",SUBSTITUTE(D640,"|",REPT(";",LEN(D640)),3))-FIND(";",SUBSTITUTE(D640,"|",REPT(";",LEN(D640)),2))-1)</f>
        <v/>
      </c>
      <c r="K640" s="11">
        <f>MID(D640,FIND(";",SUBSTITUTE(D640,"|",REPT(";",LEN(D640)),3))+1,FIND(";",SUBSTITUTE(D640,"|",REPT(";",LEN(D640)),4))-FIND(";",SUBSTITUTE(D640,"|",REPT(";",LEN(D640)),3))-1)</f>
        <v/>
      </c>
      <c r="M640" s="11">
        <f>MID(D640,FIND(";",SUBSTITUTE(D640,"|",REPT(";",LEN(D640)),4))+1,LEN(D640))</f>
        <v/>
      </c>
    </row>
    <row r="641" ht="126" customHeight="1" s="21">
      <c r="A641" s="13" t="inlineStr">
        <is>
          <t>100301</t>
        </is>
      </c>
      <c r="B641" s="13" t="inlineStr">
        <is>
          <t>无缝钢管</t>
        </is>
      </c>
      <c r="C641" s="13" t="inlineStr">
        <is>
          <t>600985300</t>
        </is>
      </c>
      <c r="D641" s="13" t="inlineStr">
        <is>
          <t>结构用热轧优质碳素结构无缝钢管|钢管|20|Φ130×7|GB/T 8162-1999</t>
        </is>
      </c>
      <c r="E641" s="13" t="inlineStr">
        <is>
          <t xml:space="preserve">物资名称 结构用热轧优质碳素结构无缝钢管;物资简称 钢管;牌号 20;外径 Φ130;壁厚 7;技术标准号 GB/T 8162-1999;加工工艺 ;热处理工艺 ;特殊要求 ;规格标准号 </t>
        </is>
      </c>
      <c r="F641" s="12" t="inlineStr">
        <is>
          <t>千克</t>
        </is>
      </c>
      <c r="G641" s="11">
        <f>LEFT(D641,FIND("|",D641,1)-1)</f>
        <v/>
      </c>
      <c r="H641" s="11">
        <f>MID(D641,FIND("|",D641,FIND("|",D641,1))+1,FIND("|",D641,FIND("|",D641,1)+1)-FIND("|",D641,FIND("|",D641,1))-1)</f>
        <v/>
      </c>
      <c r="J641" s="11">
        <f>MID(D641,FIND(";",SUBSTITUTE(D641,"|",REPT(";",LEN(D641)),2))+1,FIND(";",SUBSTITUTE(D641,"|",REPT(";",LEN(D641)),3))-FIND(";",SUBSTITUTE(D641,"|",REPT(";",LEN(D641)),2))-1)</f>
        <v/>
      </c>
      <c r="K641" s="11">
        <f>MID(D641,FIND(";",SUBSTITUTE(D641,"|",REPT(";",LEN(D641)),3))+1,FIND(";",SUBSTITUTE(D641,"|",REPT(";",LEN(D641)),4))-FIND(";",SUBSTITUTE(D641,"|",REPT(";",LEN(D641)),3))-1)</f>
        <v/>
      </c>
      <c r="M641" s="11">
        <f>MID(D641,FIND(";",SUBSTITUTE(D641,"|",REPT(";",LEN(D641)),4))+1,LEN(D641))</f>
        <v/>
      </c>
    </row>
    <row r="642" ht="112" customHeight="1" s="21">
      <c r="A642" s="13" t="inlineStr">
        <is>
          <t>100301</t>
        </is>
      </c>
      <c r="B642" s="13" t="inlineStr">
        <is>
          <t>无缝钢管</t>
        </is>
      </c>
      <c r="C642" s="13" t="inlineStr">
        <is>
          <t>600985200</t>
        </is>
      </c>
      <c r="D642" s="13" t="inlineStr">
        <is>
          <t>合金结构无缝钢管|钢管|20|Φ36×4|GB/T 699-1999</t>
        </is>
      </c>
      <c r="E642" s="13" t="inlineStr">
        <is>
          <t xml:space="preserve">物资名称 合金结构无缝钢管;物资简称 钢管;牌号 20;外径 Φ36;壁厚 4;技术标准号 GB/T 699-1999;加工工艺 ;热处理工艺 ;特殊要求 ;规格标准号 </t>
        </is>
      </c>
      <c r="F642" s="12" t="inlineStr">
        <is>
          <t>千克</t>
        </is>
      </c>
      <c r="G642" s="11">
        <f>LEFT(D642,FIND("|",D642,1)-1)</f>
        <v/>
      </c>
      <c r="H642" s="11">
        <f>MID(D642,FIND("|",D642,FIND("|",D642,1))+1,FIND("|",D642,FIND("|",D642,1)+1)-FIND("|",D642,FIND("|",D642,1))-1)</f>
        <v/>
      </c>
      <c r="J642" s="11">
        <f>MID(D642,FIND(";",SUBSTITUTE(D642,"|",REPT(";",LEN(D642)),2))+1,FIND(";",SUBSTITUTE(D642,"|",REPT(";",LEN(D642)),3))-FIND(";",SUBSTITUTE(D642,"|",REPT(";",LEN(D642)),2))-1)</f>
        <v/>
      </c>
      <c r="K642" s="11">
        <f>MID(D642,FIND(";",SUBSTITUTE(D642,"|",REPT(";",LEN(D642)),3))+1,FIND(";",SUBSTITUTE(D642,"|",REPT(";",LEN(D642)),4))-FIND(";",SUBSTITUTE(D642,"|",REPT(";",LEN(D642)),3))-1)</f>
        <v/>
      </c>
      <c r="M642" s="11">
        <f>MID(D642,FIND(";",SUBSTITUTE(D642,"|",REPT(";",LEN(D642)),4))+1,LEN(D642))</f>
        <v/>
      </c>
    </row>
    <row r="643" ht="112" customHeight="1" s="21">
      <c r="A643" s="13" t="inlineStr">
        <is>
          <t>100301</t>
        </is>
      </c>
      <c r="B643" s="13" t="inlineStr">
        <is>
          <t>无缝钢管</t>
        </is>
      </c>
      <c r="C643" s="13" t="inlineStr">
        <is>
          <t>600985100</t>
        </is>
      </c>
      <c r="D643" s="13" t="inlineStr">
        <is>
          <t>合金结构无缝钢管|钢管|20|Φ68×8|GB/T 699-1999</t>
        </is>
      </c>
      <c r="E643" s="13" t="inlineStr">
        <is>
          <t xml:space="preserve">物资名称 合金结构无缝钢管;物资简称 钢管;牌号 20;外径 Φ68;壁厚 8;技术标准号 GB/T 699-1999;加工工艺 ;热处理工艺 ;特殊要求 ;规格标准号 </t>
        </is>
      </c>
      <c r="F643" s="12" t="inlineStr">
        <is>
          <t>千克</t>
        </is>
      </c>
      <c r="G643" s="11">
        <f>LEFT(D643,FIND("|",D643,1)-1)</f>
        <v/>
      </c>
      <c r="H643" s="11">
        <f>MID(D643,FIND("|",D643,FIND("|",D643,1))+1,FIND("|",D643,FIND("|",D643,1)+1)-FIND("|",D643,FIND("|",D643,1))-1)</f>
        <v/>
      </c>
      <c r="J643" s="11">
        <f>MID(D643,FIND(";",SUBSTITUTE(D643,"|",REPT(";",LEN(D643)),2))+1,FIND(";",SUBSTITUTE(D643,"|",REPT(";",LEN(D643)),3))-FIND(";",SUBSTITUTE(D643,"|",REPT(";",LEN(D643)),2))-1)</f>
        <v/>
      </c>
      <c r="K643" s="11">
        <f>MID(D643,FIND(";",SUBSTITUTE(D643,"|",REPT(";",LEN(D643)),3))+1,FIND(";",SUBSTITUTE(D643,"|",REPT(";",LEN(D643)),4))-FIND(";",SUBSTITUTE(D643,"|",REPT(";",LEN(D643)),3))-1)</f>
        <v/>
      </c>
      <c r="M643" s="11">
        <f>MID(D643,FIND(";",SUBSTITUTE(D643,"|",REPT(";",LEN(D643)),4))+1,LEN(D643))</f>
        <v/>
      </c>
    </row>
    <row r="644" ht="112" customHeight="1" s="21">
      <c r="A644" s="13" t="inlineStr">
        <is>
          <t>100301</t>
        </is>
      </c>
      <c r="B644" s="13" t="inlineStr">
        <is>
          <t>无缝钢管</t>
        </is>
      </c>
      <c r="C644" s="13" t="inlineStr">
        <is>
          <t>600985000</t>
        </is>
      </c>
      <c r="D644" s="13" t="inlineStr">
        <is>
          <t>合金结构无缝钢管|钢管|20|Φ65×5|GB/T 699-1999</t>
        </is>
      </c>
      <c r="E644" s="13" t="inlineStr">
        <is>
          <t xml:space="preserve">物资名称 合金结构无缝钢管;物资简称 钢管;牌号 20;外径 Φ65;壁厚 5;技术标准号 GB/T 699-1999;加工工艺 ;热处理工艺 ;特殊要求 ;规格标准号 </t>
        </is>
      </c>
      <c r="F644" s="12" t="inlineStr">
        <is>
          <t>千克</t>
        </is>
      </c>
      <c r="G644" s="11">
        <f>LEFT(D644,FIND("|",D644,1)-1)</f>
        <v/>
      </c>
      <c r="H644" s="11">
        <f>MID(D644,FIND("|",D644,FIND("|",D644,1))+1,FIND("|",D644,FIND("|",D644,1)+1)-FIND("|",D644,FIND("|",D644,1))-1)</f>
        <v/>
      </c>
      <c r="J644" s="11">
        <f>MID(D644,FIND(";",SUBSTITUTE(D644,"|",REPT(";",LEN(D644)),2))+1,FIND(";",SUBSTITUTE(D644,"|",REPT(";",LEN(D644)),3))-FIND(";",SUBSTITUTE(D644,"|",REPT(";",LEN(D644)),2))-1)</f>
        <v/>
      </c>
      <c r="K644" s="11">
        <f>MID(D644,FIND(";",SUBSTITUTE(D644,"|",REPT(";",LEN(D644)),3))+1,FIND(";",SUBSTITUTE(D644,"|",REPT(";",LEN(D644)),4))-FIND(";",SUBSTITUTE(D644,"|",REPT(";",LEN(D644)),3))-1)</f>
        <v/>
      </c>
      <c r="M644" s="11">
        <f>MID(D644,FIND(";",SUBSTITUTE(D644,"|",REPT(";",LEN(D644)),4))+1,LEN(D644))</f>
        <v/>
      </c>
    </row>
    <row r="645" ht="154" customHeight="1" s="21">
      <c r="A645" s="13" t="inlineStr">
        <is>
          <t>100301</t>
        </is>
      </c>
      <c r="B645" s="13" t="inlineStr">
        <is>
          <t>无缝钢管</t>
        </is>
      </c>
      <c r="C645" s="13" t="inlineStr">
        <is>
          <t>600947600</t>
        </is>
      </c>
      <c r="D645" s="13" t="inlineStr">
        <is>
          <t>结构用热轧优质碳素结构无缝钢管|钢管|45|Φ205×48|GB/T 8162-2008|热轧|GB/T 17395-2008</t>
        </is>
      </c>
      <c r="E645" s="13" t="inlineStr">
        <is>
          <t>物资名称 结构用热轧优质碳素结构无缝钢管;物资简称 钢管;牌号 45;外径 Φ205;壁厚 48;技术标准号 GB/T 8162-2008;加工工艺 热轧;热处理工艺 ;特殊要求 ;规格标准号 GB/T 17395-2008</t>
        </is>
      </c>
      <c r="F645" s="12" t="inlineStr">
        <is>
          <t>千克</t>
        </is>
      </c>
      <c r="G645" s="11">
        <f>LEFT(D645,FIND("|",D645,1)-1)</f>
        <v/>
      </c>
      <c r="H645" s="11">
        <f>MID(D645,FIND("|",D645,FIND("|",D645,1))+1,FIND("|",D645,FIND("|",D645,1)+1)-FIND("|",D645,FIND("|",D645,1))-1)</f>
        <v/>
      </c>
      <c r="J645" s="11">
        <f>MID(D645,FIND(";",SUBSTITUTE(D645,"|",REPT(";",LEN(D645)),2))+1,FIND(";",SUBSTITUTE(D645,"|",REPT(";",LEN(D645)),3))-FIND(";",SUBSTITUTE(D645,"|",REPT(";",LEN(D645)),2))-1)</f>
        <v/>
      </c>
      <c r="K645" s="11">
        <f>MID(D645,FIND(";",SUBSTITUTE(D645,"|",REPT(";",LEN(D645)),3))+1,FIND(";",SUBSTITUTE(D645,"|",REPT(";",LEN(D645)),4))-FIND(";",SUBSTITUTE(D645,"|",REPT(";",LEN(D645)),3))-1)</f>
        <v/>
      </c>
      <c r="M645" s="11">
        <f>MID(D645,FIND(";",SUBSTITUTE(D645,"|",REPT(";",LEN(D645)),4))+1,FIND(";",SUBSTITUTE(D645,"|",REPT(";",LEN(D645)),5))-FIND(";",SUBSTITUTE(D645,"|",REPT(";",LEN(D645)),4))-1)</f>
        <v/>
      </c>
      <c r="N645" s="11">
        <f>MID(D645,FIND(";",SUBSTITUTE(D645,"|",REPT(";",LEN(D645)),6))+1,LEN(D645))</f>
        <v/>
      </c>
      <c r="O645" s="11">
        <f>MID(D645,FIND(";",SUBSTITUTE(D645,"|",REPT(";",LEN(D645)),5))+1,FIND(";",SUBSTITUTE(D645,"|",REPT(";",LEN(D645)),6))-FIND(";",SUBSTITUTE(D645,"|",REPT(";",LEN(D645)),5))-1)</f>
        <v/>
      </c>
    </row>
    <row r="646" ht="112" customHeight="1" s="21">
      <c r="A646" s="13" t="inlineStr">
        <is>
          <t>100301</t>
        </is>
      </c>
      <c r="B646" s="13" t="inlineStr">
        <is>
          <t>无缝钢管</t>
        </is>
      </c>
      <c r="C646" s="13" t="inlineStr">
        <is>
          <t>600919400</t>
        </is>
      </c>
      <c r="D646" s="13" t="inlineStr">
        <is>
          <t>钢管|钢管|40Cr|Φ325×28|GB/T 8162-1999</t>
        </is>
      </c>
      <c r="E646" s="13" t="inlineStr">
        <is>
          <t xml:space="preserve">物资名称 钢管;物资简称 钢管;牌号 40Cr;外径 Φ325;壁厚 28;技术标准号 GB/T 8162-1999;加工工艺 ;热处理工艺 ;特殊要求 ;规格标准号 </t>
        </is>
      </c>
      <c r="F646" s="12" t="inlineStr">
        <is>
          <t>千克</t>
        </is>
      </c>
      <c r="G646" s="11">
        <f>LEFT(D646,FIND("|",D646,1)-1)</f>
        <v/>
      </c>
      <c r="H646" s="11">
        <f>MID(D646,FIND("|",D646,FIND("|",D646,1))+1,FIND("|",D646,FIND("|",D646,1)+1)-FIND("|",D646,FIND("|",D646,1))-1)</f>
        <v/>
      </c>
      <c r="J646" s="11">
        <f>MID(D646,FIND(";",SUBSTITUTE(D646,"|",REPT(";",LEN(D646)),2))+1,FIND(";",SUBSTITUTE(D646,"|",REPT(";",LEN(D646)),3))-FIND(";",SUBSTITUTE(D646,"|",REPT(";",LEN(D646)),2))-1)</f>
        <v/>
      </c>
      <c r="K646" s="11">
        <f>MID(D646,FIND(";",SUBSTITUTE(D646,"|",REPT(";",LEN(D646)),3))+1,FIND(";",SUBSTITUTE(D646,"|",REPT(";",LEN(D646)),4))-FIND(";",SUBSTITUTE(D646,"|",REPT(";",LEN(D646)),3))-1)</f>
        <v/>
      </c>
      <c r="M646" s="11">
        <f>MID(D646,FIND(";",SUBSTITUTE(D646,"|",REPT(";",LEN(D646)),4))+1,LEN(D646))</f>
        <v/>
      </c>
    </row>
    <row r="647" ht="112" customHeight="1" s="21">
      <c r="A647" s="13" t="inlineStr">
        <is>
          <t>100301</t>
        </is>
      </c>
      <c r="B647" s="13" t="inlineStr">
        <is>
          <t>无缝钢管</t>
        </is>
      </c>
      <c r="C647" s="13" t="inlineStr">
        <is>
          <t>600919300</t>
        </is>
      </c>
      <c r="D647" s="13" t="inlineStr">
        <is>
          <t>钢管|钢管|45|GB/T 8162-1999</t>
        </is>
      </c>
      <c r="E647" s="13" t="inlineStr">
        <is>
          <t xml:space="preserve">物资名称 钢管;物资简称 钢管;牌号 45;外径 Φ;壁厚 ;技术标准号 GB/T 8162-1999;加工工艺 ;热处理工艺 ;特殊要求 ;规格标准号 </t>
        </is>
      </c>
      <c r="F647" s="12" t="inlineStr">
        <is>
          <t>千克</t>
        </is>
      </c>
      <c r="G647" s="11">
        <f>LEFT(D647,FIND("|",D647,1)-1)</f>
        <v/>
      </c>
      <c r="H647" s="11">
        <f>MID(D647,FIND("|",D647,FIND("|",D647,1))+1,FIND("|",D647,FIND("|",D647,1)+1)-FIND("|",D647,FIND("|",D647,1))-1)</f>
        <v/>
      </c>
      <c r="J647" s="11">
        <f>MID(D647,FIND(";",SUBSTITUTE(D647,"|",REPT(";",LEN(D647)),2))+1,FIND(";",SUBSTITUTE(D647,"|",REPT(";",LEN(D647)),3))-FIND(";",SUBSTITUTE(D647,"|",REPT(";",LEN(D647)),2))-1)</f>
        <v/>
      </c>
      <c r="M647" s="11">
        <f>MID(D647,FIND(";",SUBSTITUTE(D647,"|",REPT(";",LEN(D647)),3))+1,LEN(D647))</f>
        <v/>
      </c>
    </row>
    <row r="648" ht="112" customHeight="1" s="21">
      <c r="A648" s="13" t="inlineStr">
        <is>
          <t>100301</t>
        </is>
      </c>
      <c r="B648" s="13" t="inlineStr">
        <is>
          <t>无缝钢管</t>
        </is>
      </c>
      <c r="C648" s="13" t="inlineStr">
        <is>
          <t>600918400</t>
        </is>
      </c>
      <c r="D648" s="13" t="inlineStr">
        <is>
          <t>钢管|钢管|20|GB/T 8162-1999</t>
        </is>
      </c>
      <c r="E648" s="13" t="inlineStr">
        <is>
          <t xml:space="preserve">物资名称 钢管;物资简称 钢管;牌号 20;外径 Φ;壁厚 ;技术标准号 GB/T 8162-1999;加工工艺 ;热处理工艺 ;特殊要求 ;规格标准号 </t>
        </is>
      </c>
      <c r="F648" s="12" t="inlineStr">
        <is>
          <t>千克</t>
        </is>
      </c>
      <c r="G648" s="11">
        <f>LEFT(D648,FIND("|",D648,1)-1)</f>
        <v/>
      </c>
      <c r="H648" s="11">
        <f>MID(D648,FIND("|",D648,FIND("|",D648,1))+1,FIND("|",D648,FIND("|",D648,1)+1)-FIND("|",D648,FIND("|",D648,1))-1)</f>
        <v/>
      </c>
      <c r="J648" s="11">
        <f>MID(D648,FIND(";",SUBSTITUTE(D648,"|",REPT(";",LEN(D648)),2))+1,FIND(";",SUBSTITUTE(D648,"|",REPT(";",LEN(D648)),3))-FIND(";",SUBSTITUTE(D648,"|",REPT(";",LEN(D648)),2))-1)</f>
        <v/>
      </c>
      <c r="M648" s="11">
        <f>MID(D648,FIND(";",SUBSTITUTE(D648,"|",REPT(";",LEN(D648)),3))+1,LEN(D648))</f>
        <v/>
      </c>
    </row>
    <row r="649" ht="126" customHeight="1" s="21">
      <c r="A649" s="13" t="inlineStr">
        <is>
          <t>100301</t>
        </is>
      </c>
      <c r="B649" s="13" t="inlineStr">
        <is>
          <t>无缝钢管</t>
        </is>
      </c>
      <c r="C649" s="13" t="inlineStr">
        <is>
          <t>600917800</t>
        </is>
      </c>
      <c r="D649" s="13" t="inlineStr">
        <is>
          <t>结构用热轧合金结构无缝钢管|钢管|40Cr|GB/T 8162-1999</t>
        </is>
      </c>
      <c r="E649" s="13" t="inlineStr">
        <is>
          <t xml:space="preserve">物资名称 结构用热轧合金结构无缝钢管;物资简称 钢管;牌号 40Cr;外径 Φ;壁厚 ;技术标准号 GB/T 8162-1999;加工工艺 ;热处理工艺 ;特殊要求 ;规格标准号 </t>
        </is>
      </c>
      <c r="F649" s="12" t="inlineStr">
        <is>
          <t>千克</t>
        </is>
      </c>
      <c r="G649" s="11">
        <f>LEFT(D649,FIND("|",D649,1)-1)</f>
        <v/>
      </c>
      <c r="H649" s="11">
        <f>MID(D649,FIND("|",D649,FIND("|",D649,1))+1,FIND("|",D649,FIND("|",D649,1)+1)-FIND("|",D649,FIND("|",D649,1))-1)</f>
        <v/>
      </c>
      <c r="J649" s="11">
        <f>MID(D649,FIND(";",SUBSTITUTE(D649,"|",REPT(";",LEN(D649)),2))+1,FIND(";",SUBSTITUTE(D649,"|",REPT(";",LEN(D649)),3))-FIND(";",SUBSTITUTE(D649,"|",REPT(";",LEN(D649)),2))-1)</f>
        <v/>
      </c>
      <c r="M649" s="11">
        <f>MID(D649,FIND(";",SUBSTITUTE(D649,"|",REPT(";",LEN(D649)),3))+1,LEN(D649))</f>
        <v/>
      </c>
    </row>
    <row r="650" ht="154" customHeight="1" s="21">
      <c r="A650" s="13" t="inlineStr">
        <is>
          <t>100301</t>
        </is>
      </c>
      <c r="B650" s="13" t="inlineStr">
        <is>
          <t>无缝钢管</t>
        </is>
      </c>
      <c r="C650" s="13" t="inlineStr">
        <is>
          <t>600901400</t>
        </is>
      </c>
      <c r="D650" s="13" t="inlineStr">
        <is>
          <t>结构用热轧合金结构无缝钢管|钢管|40Cr|Φ315×40|GB/T 8162-2008|热轧|GB/T 17395-2008</t>
        </is>
      </c>
      <c r="E650" s="13" t="inlineStr">
        <is>
          <t>物资名称 结构用热轧合金结构无缝钢管;物资简称 钢管;牌号 40Cr;外径 Φ315;壁厚 40;技术标准号 GB/T 8162-2008;加工工艺 热轧;热处理工艺 ;特殊要求 ;规格标准号 GB/T 17395-2008</t>
        </is>
      </c>
      <c r="F650" s="12" t="inlineStr">
        <is>
          <t>千克</t>
        </is>
      </c>
      <c r="G650" s="11">
        <f>LEFT(D650,FIND("|",D650,1)-1)</f>
        <v/>
      </c>
      <c r="H650" s="11">
        <f>MID(D650,FIND("|",D650,FIND("|",D650,1))+1,FIND("|",D650,FIND("|",D650,1)+1)-FIND("|",D650,FIND("|",D650,1))-1)</f>
        <v/>
      </c>
      <c r="J650" s="11">
        <f>MID(D650,FIND(";",SUBSTITUTE(D650,"|",REPT(";",LEN(D650)),2))+1,FIND(";",SUBSTITUTE(D650,"|",REPT(";",LEN(D650)),3))-FIND(";",SUBSTITUTE(D650,"|",REPT(";",LEN(D650)),2))-1)</f>
        <v/>
      </c>
      <c r="K650" s="11">
        <f>MID(D650,FIND(";",SUBSTITUTE(D650,"|",REPT(";",LEN(D650)),3))+1,FIND(";",SUBSTITUTE(D650,"|",REPT(";",LEN(D650)),4))-FIND(";",SUBSTITUTE(D650,"|",REPT(";",LEN(D650)),3))-1)</f>
        <v/>
      </c>
      <c r="M650" s="11">
        <f>MID(D650,FIND(";",SUBSTITUTE(D650,"|",REPT(";",LEN(D650)),4))+1,FIND(";",SUBSTITUTE(D650,"|",REPT(";",LEN(D650)),5))-FIND(";",SUBSTITUTE(D650,"|",REPT(";",LEN(D650)),4))-1)</f>
        <v/>
      </c>
      <c r="N650" s="11">
        <f>MID(D650,FIND(";",SUBSTITUTE(D650,"|",REPT(";",LEN(D650)),6))+1,LEN(D650))</f>
        <v/>
      </c>
      <c r="O650" s="11">
        <f>MID(D650,FIND(";",SUBSTITUTE(D650,"|",REPT(";",LEN(D650)),5))+1,FIND(";",SUBSTITUTE(D650,"|",REPT(";",LEN(D650)),6))-FIND(";",SUBSTITUTE(D650,"|",REPT(";",LEN(D650)),5))-1)</f>
        <v/>
      </c>
    </row>
    <row r="651" ht="126" customHeight="1" s="21">
      <c r="A651" s="13" t="inlineStr">
        <is>
          <t>100301</t>
        </is>
      </c>
      <c r="B651" s="13" t="inlineStr">
        <is>
          <t>无缝钢管</t>
        </is>
      </c>
      <c r="C651" s="13" t="inlineStr">
        <is>
          <t>600844300</t>
        </is>
      </c>
      <c r="D651" s="13" t="inlineStr">
        <is>
          <t>航空用不锈钢无缝钢管|不锈钢|1Cr18Ni9Ti|Φ4×1|GJB 2296-1995</t>
        </is>
      </c>
      <c r="E651" s="13" t="inlineStr">
        <is>
          <t xml:space="preserve">物资名称 航空用不锈钢无缝钢管;物资简称 不锈钢;牌号 1Cr18Ni9Ti;外径 Φ4;壁厚 1;技术标准号 GJB 2296-1995;加工工艺 ;热处理工艺 ;特殊要求 ;规格标准号 </t>
        </is>
      </c>
      <c r="F651" s="12" t="inlineStr">
        <is>
          <t>千克</t>
        </is>
      </c>
      <c r="G651" s="11">
        <f>LEFT(D651,FIND("|",D651,1)-1)</f>
        <v/>
      </c>
      <c r="H651" s="11">
        <f>MID(D651,FIND("|",D651,FIND("|",D651,1))+1,FIND("|",D651,FIND("|",D651,1)+1)-FIND("|",D651,FIND("|",D651,1))-1)</f>
        <v/>
      </c>
      <c r="J651" s="11">
        <f>MID(D651,FIND(";",SUBSTITUTE(D651,"|",REPT(";",LEN(D651)),2))+1,FIND(";",SUBSTITUTE(D651,"|",REPT(";",LEN(D651)),3))-FIND(";",SUBSTITUTE(D651,"|",REPT(";",LEN(D651)),2))-1)</f>
        <v/>
      </c>
      <c r="K651" s="11">
        <f>MID(D651,FIND(";",SUBSTITUTE(D651,"|",REPT(";",LEN(D651)),3))+1,FIND(";",SUBSTITUTE(D651,"|",REPT(";",LEN(D651)),4))-FIND(";",SUBSTITUTE(D651,"|",REPT(";",LEN(D651)),3))-1)</f>
        <v/>
      </c>
      <c r="M651" s="11">
        <f>MID(D651,FIND(";",SUBSTITUTE(D651,"|",REPT(";",LEN(D651)),4))+1,LEN(D651))</f>
        <v/>
      </c>
    </row>
    <row r="652" ht="126" customHeight="1" s="21">
      <c r="A652" s="13" t="inlineStr">
        <is>
          <t>100301</t>
        </is>
      </c>
      <c r="B652" s="13" t="inlineStr">
        <is>
          <t>无缝钢管</t>
        </is>
      </c>
      <c r="C652" s="13" t="inlineStr">
        <is>
          <t>600839700</t>
        </is>
      </c>
      <c r="D652" s="13" t="inlineStr">
        <is>
          <t>航空用不锈钢无缝钢管|不锈钢|1Cr18Ni9Ti|GJB 2296-1995</t>
        </is>
      </c>
      <c r="E652" s="13" t="inlineStr">
        <is>
          <t xml:space="preserve">物资名称 航空用不锈钢无缝钢管;物资简称 不锈钢;牌号 1Cr18Ni9Ti;外径 Φ;壁厚 ;技术标准号 GJB 2296-1995;加工工艺 ;热处理工艺 ;特殊要求 ;规格标准号 </t>
        </is>
      </c>
      <c r="F652" s="12" t="inlineStr">
        <is>
          <t>千克</t>
        </is>
      </c>
      <c r="G652" s="11">
        <f>LEFT(D652,FIND("|",D652,1)-1)</f>
        <v/>
      </c>
      <c r="H652" s="11">
        <f>MID(D652,FIND("|",D652,FIND("|",D652,1))+1,FIND("|",D652,FIND("|",D652,1)+1)-FIND("|",D652,FIND("|",D652,1))-1)</f>
        <v/>
      </c>
      <c r="J652" s="11">
        <f>MID(D652,FIND(";",SUBSTITUTE(D652,"|",REPT(";",LEN(D652)),2))+1,FIND(";",SUBSTITUTE(D652,"|",REPT(";",LEN(D652)),3))-FIND(";",SUBSTITUTE(D652,"|",REPT(";",LEN(D652)),2))-1)</f>
        <v/>
      </c>
      <c r="M652" s="11">
        <f>MID(D652,FIND(";",SUBSTITUTE(D652,"|",REPT(";",LEN(D652)),3))+1,LEN(D652))</f>
        <v/>
      </c>
    </row>
    <row r="653" ht="154" customHeight="1" s="21">
      <c r="A653" s="13" t="inlineStr">
        <is>
          <t>100301</t>
        </is>
      </c>
      <c r="B653" s="13" t="inlineStr">
        <is>
          <t>无缝钢管</t>
        </is>
      </c>
      <c r="C653" s="13" t="inlineStr">
        <is>
          <t>600823800</t>
        </is>
      </c>
      <c r="D653" s="13" t="inlineStr">
        <is>
          <t>结构用热轧合金结构无缝钢管|钢管|40Cr|Φ273×30|GB/T 8162-1999|热轧|GB/T 17395-2008</t>
        </is>
      </c>
      <c r="E653" s="13" t="inlineStr">
        <is>
          <t>物资名称 结构用热轧合金结构无缝钢管;物资简称 钢管;牌号 40Cr;外径 Φ273;壁厚 30;技术标准号 GB/T 8162-1999;加工工艺 热轧;热处理工艺 ;特殊要求 ;规格标准号 GB/T 17395-2008</t>
        </is>
      </c>
      <c r="F653" s="12" t="inlineStr">
        <is>
          <t>千克</t>
        </is>
      </c>
      <c r="G653" s="11">
        <f>LEFT(D653,FIND("|",D653,1)-1)</f>
        <v/>
      </c>
      <c r="H653" s="11">
        <f>MID(D653,FIND("|",D653,FIND("|",D653,1))+1,FIND("|",D653,FIND("|",D653,1)+1)-FIND("|",D653,FIND("|",D653,1))-1)</f>
        <v/>
      </c>
      <c r="J653" s="11">
        <f>MID(D653,FIND(";",SUBSTITUTE(D653,"|",REPT(";",LEN(D653)),2))+1,FIND(";",SUBSTITUTE(D653,"|",REPT(";",LEN(D653)),3))-FIND(";",SUBSTITUTE(D653,"|",REPT(";",LEN(D653)),2))-1)</f>
        <v/>
      </c>
      <c r="K653" s="11">
        <f>MID(D653,FIND(";",SUBSTITUTE(D653,"|",REPT(";",LEN(D653)),3))+1,FIND(";",SUBSTITUTE(D653,"|",REPT(";",LEN(D653)),4))-FIND(";",SUBSTITUTE(D653,"|",REPT(";",LEN(D653)),3))-1)</f>
        <v/>
      </c>
      <c r="M653" s="11">
        <f>MID(D653,FIND(";",SUBSTITUTE(D653,"|",REPT(";",LEN(D653)),4))+1,FIND(";",SUBSTITUTE(D653,"|",REPT(";",LEN(D653)),5))-FIND(";",SUBSTITUTE(D653,"|",REPT(";",LEN(D653)),4))-1)</f>
        <v/>
      </c>
      <c r="N653" s="11">
        <f>MID(D653,FIND(";",SUBSTITUTE(D653,"|",REPT(";",LEN(D653)),6))+1,LEN(D653))</f>
        <v/>
      </c>
      <c r="O653" s="11">
        <f>MID(D653,FIND(";",SUBSTITUTE(D653,"|",REPT(";",LEN(D653)),5))+1,FIND(";",SUBSTITUTE(D653,"|",REPT(";",LEN(D653)),6))-FIND(";",SUBSTITUTE(D653,"|",REPT(";",LEN(D653)),5))-1)</f>
        <v/>
      </c>
    </row>
    <row r="654" ht="140" customHeight="1" s="21">
      <c r="A654" s="13" t="inlineStr">
        <is>
          <t>100301</t>
        </is>
      </c>
      <c r="B654" s="13" t="inlineStr">
        <is>
          <t>无缝钢管</t>
        </is>
      </c>
      <c r="C654" s="13" t="inlineStr">
        <is>
          <t>600629800</t>
        </is>
      </c>
      <c r="D654" s="13" t="inlineStr">
        <is>
          <t>结构用热轧优质碳素结构无缝钢管|钢管|20|GB/T 8162-2008|GB/T 17395-2008</t>
        </is>
      </c>
      <c r="E654" s="13" t="inlineStr">
        <is>
          <t>物资名称 结构用热轧优质碳素结构无缝钢管;物资简称 钢管;牌号 20;外径 Φ;壁厚 ;技术标准号 GB/T 8162-2008;加工工艺 ;热处理工艺 ;特殊要求 ;规格标准号 GB/T 17395-2008</t>
        </is>
      </c>
      <c r="F654" s="12" t="inlineStr">
        <is>
          <t>千克</t>
        </is>
      </c>
      <c r="G654" s="11">
        <f>LEFT(D654,FIND("|",D654,1)-1)</f>
        <v/>
      </c>
      <c r="H654" s="11">
        <f>MID(D654,FIND("|",D654,FIND("|",D654,1))+1,FIND("|",D654,FIND("|",D654,1)+1)-FIND("|",D654,FIND("|",D654,1))-1)</f>
        <v/>
      </c>
      <c r="J654" s="11">
        <f>MID(D654,FIND(";",SUBSTITUTE(D654,"|",REPT(";",LEN(D654)),2))+1,FIND(";",SUBSTITUTE(D654,"|",REPT(";",LEN(D654)),3))-FIND(";",SUBSTITUTE(D654,"|",REPT(";",LEN(D654)),2))-1)</f>
        <v/>
      </c>
      <c r="K654" s="11">
        <f>MID(D654,FIND(";",SUBSTITUTE(D654,"|",REPT(";",LEN(D654)),3))+1,FIND(";",SUBSTITUTE(D654,"|",REPT(";",LEN(D654)),4))-FIND(";",SUBSTITUTE(D654,"|",REPT(";",LEN(D654)),3))-1)</f>
        <v/>
      </c>
      <c r="M654" s="11">
        <f>MID(D654,FIND(";",SUBSTITUTE(D654,"|",REPT(";",LEN(D654)),3))+1,FIND(";",SUBSTITUTE(D654,"|",REPT(";",LEN(D654)),4))-FIND(";",SUBSTITUTE(D654,"|",REPT(";",LEN(D654)),3))-1)</f>
        <v/>
      </c>
      <c r="N654" s="11">
        <f>MID(D654,FIND(";",SUBSTITUTE(D654,"|",REPT(";",LEN(D654)),4))+1,LEN(D654))</f>
        <v/>
      </c>
    </row>
    <row r="655" ht="154" customHeight="1" s="21">
      <c r="A655" s="13" t="inlineStr">
        <is>
          <t>100301</t>
        </is>
      </c>
      <c r="B655" s="13" t="inlineStr">
        <is>
          <t>无缝钢管</t>
        </is>
      </c>
      <c r="C655" s="13" t="inlineStr">
        <is>
          <t>600629700</t>
        </is>
      </c>
      <c r="D655" s="13" t="inlineStr">
        <is>
          <t>结构用热轧优质碳素结构无缝钢管|钢管|20|Φ38×6|GB/T 8162-2008|热轧|GB/T 17395-2008</t>
        </is>
      </c>
      <c r="E655" s="13" t="inlineStr">
        <is>
          <t>物资名称 结构用热轧优质碳素结构无缝钢管;物资简称 钢管;牌号 20;外径 Φ38;壁厚 6;技术标准号 GB/T 8162-2008;加工工艺 热轧;热处理工艺 ;特殊要求 ;规格标准号 GB/T 17395-2008</t>
        </is>
      </c>
      <c r="F655" s="12" t="inlineStr">
        <is>
          <t>千克</t>
        </is>
      </c>
      <c r="G655" s="11">
        <f>LEFT(D655,FIND("|",D655,1)-1)</f>
        <v/>
      </c>
      <c r="H655" s="11">
        <f>MID(D655,FIND("|",D655,FIND("|",D655,1))+1,FIND("|",D655,FIND("|",D655,1)+1)-FIND("|",D655,FIND("|",D655,1))-1)</f>
        <v/>
      </c>
      <c r="J655" s="11">
        <f>MID(D655,FIND(";",SUBSTITUTE(D655,"|",REPT(";",LEN(D655)),2))+1,FIND(";",SUBSTITUTE(D655,"|",REPT(";",LEN(D655)),3))-FIND(";",SUBSTITUTE(D655,"|",REPT(";",LEN(D655)),2))-1)</f>
        <v/>
      </c>
      <c r="K655" s="11">
        <f>MID(D655,FIND(";",SUBSTITUTE(D655,"|",REPT(";",LEN(D655)),3))+1,FIND(";",SUBSTITUTE(D655,"|",REPT(";",LEN(D655)),4))-FIND(";",SUBSTITUTE(D655,"|",REPT(";",LEN(D655)),3))-1)</f>
        <v/>
      </c>
      <c r="M655" s="11">
        <f>MID(D655,FIND(";",SUBSTITUTE(D655,"|",REPT(";",LEN(D655)),4))+1,FIND(";",SUBSTITUTE(D655,"|",REPT(";",LEN(D655)),5))-FIND(";",SUBSTITUTE(D655,"|",REPT(";",LEN(D655)),4))-1)</f>
        <v/>
      </c>
      <c r="N655" s="11">
        <f>MID(D655,FIND(";",SUBSTITUTE(D655,"|",REPT(";",LEN(D655)),6))+1,LEN(D655))</f>
        <v/>
      </c>
      <c r="O655" s="11">
        <f>MID(D655,FIND(";",SUBSTITUTE(D655,"|",REPT(";",LEN(D655)),5))+1,FIND(";",SUBSTITUTE(D655,"|",REPT(";",LEN(D655)),6))-FIND(";",SUBSTITUTE(D655,"|",REPT(";",LEN(D655)),5))-1)</f>
        <v/>
      </c>
    </row>
    <row r="656" ht="154" customHeight="1" s="21">
      <c r="A656" s="13" t="inlineStr">
        <is>
          <t>100301</t>
        </is>
      </c>
      <c r="B656" s="13" t="inlineStr">
        <is>
          <t>无缝钢管</t>
        </is>
      </c>
      <c r="C656" s="13" t="inlineStr">
        <is>
          <t>600629600</t>
        </is>
      </c>
      <c r="D656" s="13" t="inlineStr">
        <is>
          <t>结构用热轧优质碳素结构无缝钢管|钢管|20|Φ54×8|GB/T 8162-2008|热轧|退火|GB/T 17395-2008</t>
        </is>
      </c>
      <c r="E656" s="13" t="inlineStr">
        <is>
          <t>物资名称 结构用热轧优质碳素结构无缝钢管;物资简称 钢管;牌号 20;外径 Φ54;壁厚 8;技术标准号 GB/T 8162-2008;加工工艺 热轧;热处理工艺 退火;特殊要求 ;规格标准号 GB/T 17395-2008</t>
        </is>
      </c>
      <c r="F656" s="12" t="inlineStr">
        <is>
          <t>千克</t>
        </is>
      </c>
      <c r="G656" s="11">
        <f>LEFT(D656,FIND("|",D656,1)-1)</f>
        <v/>
      </c>
      <c r="H656" s="11">
        <f>MID(D656,FIND("|",D656,FIND("|",D656,1))+1,FIND("|",D656,FIND("|",D656,1)+1)-FIND("|",D656,FIND("|",D656,1))-1)</f>
        <v/>
      </c>
      <c r="J656" s="11">
        <f>MID(D656,FIND(";",SUBSTITUTE(D656,"|",REPT(";",LEN(D656)),2))+1,FIND(";",SUBSTITUTE(D656,"|",REPT(";",LEN(D656)),3))-FIND(";",SUBSTITUTE(D656,"|",REPT(";",LEN(D656)),2))-1)</f>
        <v/>
      </c>
      <c r="K656" s="11">
        <f>MID(D656,FIND(";",SUBSTITUTE(D656,"|",REPT(";",LEN(D656)),3))+1,FIND(";",SUBSTITUTE(D656,"|",REPT(";",LEN(D656)),4))-FIND(";",SUBSTITUTE(D656,"|",REPT(";",LEN(D656)),3))-1)</f>
        <v/>
      </c>
      <c r="M656" s="11">
        <f>MID(D656,FIND(";",SUBSTITUTE(D656,"|",REPT(";",LEN(D656)),4))+1,FIND(";",SUBSTITUTE(D656,"|",REPT(";",LEN(D656)),5))-FIND(";",SUBSTITUTE(D656,"|",REPT(";",LEN(D656)),4))-1)</f>
        <v/>
      </c>
      <c r="N656" s="11">
        <f>MID(D656,FIND(";",SUBSTITUTE(D656,"|",REPT(";",LEN(D656)),7))+1,LEN(D656))</f>
        <v/>
      </c>
      <c r="O656" s="11">
        <f>MID(D656,FIND(";",SUBSTITUTE(D656,"|",REPT(";",LEN(D656)),5))+1,FIND(";",SUBSTITUTE(D656,"|",REPT(";",LEN(D656)),6))-FIND(";",SUBSTITUTE(D656,"|",REPT(";",LEN(D656)),5))-1)</f>
        <v/>
      </c>
      <c r="P656" s="11">
        <f>MID(D656,FIND(";",SUBSTITUTE(D656,"|",REPT(";",LEN(D656)),6))+1,FIND(";",SUBSTITUTE(D656,"|",REPT(";",LEN(D656)),7))-FIND(";",SUBSTITUTE(D656,"|",REPT(";",LEN(D656)),6))-1)</f>
        <v/>
      </c>
    </row>
    <row r="657" ht="154" customHeight="1" s="21">
      <c r="A657" s="13" t="inlineStr">
        <is>
          <t>100301</t>
        </is>
      </c>
      <c r="B657" s="13" t="inlineStr">
        <is>
          <t>无缝钢管</t>
        </is>
      </c>
      <c r="C657" s="13" t="inlineStr">
        <is>
          <t>600629500</t>
        </is>
      </c>
      <c r="D657" s="13" t="inlineStr">
        <is>
          <t>结构用热轧优质碳素结构无缝钢管|钢管|20|Φ65×5|GB/T 8162-2008|热轧|GB/T 17395-2008</t>
        </is>
      </c>
      <c r="E657" s="13" t="inlineStr">
        <is>
          <t>物资名称 结构用热轧优质碳素结构无缝钢管;物资简称 钢管;牌号 20;外径 Φ65;壁厚 5;技术标准号 GB/T 8162-2008;加工工艺 热轧;热处理工艺 ;特殊要求 ;规格标准号 GB/T 17395-2008</t>
        </is>
      </c>
      <c r="F657" s="12" t="inlineStr">
        <is>
          <t>千克</t>
        </is>
      </c>
      <c r="G657" s="11">
        <f>LEFT(D657,FIND("|",D657,1)-1)</f>
        <v/>
      </c>
      <c r="H657" s="11">
        <f>MID(D657,FIND("|",D657,FIND("|",D657,1))+1,FIND("|",D657,FIND("|",D657,1)+1)-FIND("|",D657,FIND("|",D657,1))-1)</f>
        <v/>
      </c>
      <c r="J657" s="11">
        <f>MID(D657,FIND(";",SUBSTITUTE(D657,"|",REPT(";",LEN(D657)),2))+1,FIND(";",SUBSTITUTE(D657,"|",REPT(";",LEN(D657)),3))-FIND(";",SUBSTITUTE(D657,"|",REPT(";",LEN(D657)),2))-1)</f>
        <v/>
      </c>
      <c r="K657" s="11">
        <f>MID(D657,FIND(";",SUBSTITUTE(D657,"|",REPT(";",LEN(D657)),3))+1,FIND(";",SUBSTITUTE(D657,"|",REPT(";",LEN(D657)),4))-FIND(";",SUBSTITUTE(D657,"|",REPT(";",LEN(D657)),3))-1)</f>
        <v/>
      </c>
      <c r="M657" s="11">
        <f>MID(D657,FIND(";",SUBSTITUTE(D657,"|",REPT(";",LEN(D657)),4))+1,FIND(";",SUBSTITUTE(D657,"|",REPT(";",LEN(D657)),5))-FIND(";",SUBSTITUTE(D657,"|",REPT(";",LEN(D657)),4))-1)</f>
        <v/>
      </c>
      <c r="N657" s="11">
        <f>MID(D657,FIND(";",SUBSTITUTE(D657,"|",REPT(";",LEN(D657)),6))+1,LEN(D657))</f>
        <v/>
      </c>
      <c r="O657" s="11">
        <f>MID(D657,FIND(";",SUBSTITUTE(D657,"|",REPT(";",LEN(D657)),5))+1,FIND(";",SUBSTITUTE(D657,"|",REPT(";",LEN(D657)),6))-FIND(";",SUBSTITUTE(D657,"|",REPT(";",LEN(D657)),5))-1)</f>
        <v/>
      </c>
    </row>
    <row r="658" ht="154" customHeight="1" s="21">
      <c r="A658" s="13" t="inlineStr">
        <is>
          <t>100301</t>
        </is>
      </c>
      <c r="B658" s="13" t="inlineStr">
        <is>
          <t>无缝钢管</t>
        </is>
      </c>
      <c r="C658" s="13" t="inlineStr">
        <is>
          <t>600629400</t>
        </is>
      </c>
      <c r="D658" s="13" t="inlineStr">
        <is>
          <t>结构用热轧优质碳素结构无缝钢管|钢管|20|Φ68×8|GB/T 8162-2008|热轧|GB/T 17395-2008</t>
        </is>
      </c>
      <c r="E658" s="13" t="inlineStr">
        <is>
          <t>物资名称 结构用热轧优质碳素结构无缝钢管;物资简称 钢管;牌号 20;外径 Φ68;壁厚 8;技术标准号 GB/T 8162-2008;加工工艺 热轧;热处理工艺 ;特殊要求 ;规格标准号 GB/T 17395-2008</t>
        </is>
      </c>
      <c r="F658" s="12" t="inlineStr">
        <is>
          <t>千克</t>
        </is>
      </c>
      <c r="G658" s="11">
        <f>LEFT(D658,FIND("|",D658,1)-1)</f>
        <v/>
      </c>
      <c r="H658" s="11">
        <f>MID(D658,FIND("|",D658,FIND("|",D658,1))+1,FIND("|",D658,FIND("|",D658,1)+1)-FIND("|",D658,FIND("|",D658,1))-1)</f>
        <v/>
      </c>
      <c r="J658" s="11">
        <f>MID(D658,FIND(";",SUBSTITUTE(D658,"|",REPT(";",LEN(D658)),2))+1,FIND(";",SUBSTITUTE(D658,"|",REPT(";",LEN(D658)),3))-FIND(";",SUBSTITUTE(D658,"|",REPT(";",LEN(D658)),2))-1)</f>
        <v/>
      </c>
      <c r="K658" s="11">
        <f>MID(D658,FIND(";",SUBSTITUTE(D658,"|",REPT(";",LEN(D658)),3))+1,FIND(";",SUBSTITUTE(D658,"|",REPT(";",LEN(D658)),4))-FIND(";",SUBSTITUTE(D658,"|",REPT(";",LEN(D658)),3))-1)</f>
        <v/>
      </c>
      <c r="M658" s="11">
        <f>MID(D658,FIND(";",SUBSTITUTE(D658,"|",REPT(";",LEN(D658)),4))+1,FIND(";",SUBSTITUTE(D658,"|",REPT(";",LEN(D658)),5))-FIND(";",SUBSTITUTE(D658,"|",REPT(";",LEN(D658)),4))-1)</f>
        <v/>
      </c>
      <c r="N658" s="11">
        <f>MID(D658,FIND(";",SUBSTITUTE(D658,"|",REPT(";",LEN(D658)),6))+1,LEN(D658))</f>
        <v/>
      </c>
      <c r="O658" s="11">
        <f>MID(D658,FIND(";",SUBSTITUTE(D658,"|",REPT(";",LEN(D658)),5))+1,FIND(";",SUBSTITUTE(D658,"|",REPT(";",LEN(D658)),6))-FIND(";",SUBSTITUTE(D658,"|",REPT(";",LEN(D658)),5))-1)</f>
        <v/>
      </c>
    </row>
    <row r="659" ht="154" customHeight="1" s="21">
      <c r="A659" s="13" t="inlineStr">
        <is>
          <t>100301</t>
        </is>
      </c>
      <c r="B659" s="13" t="inlineStr">
        <is>
          <t>无缝钢管</t>
        </is>
      </c>
      <c r="C659" s="13" t="inlineStr">
        <is>
          <t>600629300</t>
        </is>
      </c>
      <c r="D659" s="13" t="inlineStr">
        <is>
          <t>结构用热轧优质碳素结构无缝钢管|钢管|20|Φ80×6|GB/T 8162-2008|热轧|GB/T 17395-2008</t>
        </is>
      </c>
      <c r="E659" s="13" t="inlineStr">
        <is>
          <t>物资名称 结构用热轧优质碳素结构无缝钢管;物资简称 钢管;牌号 20;外径 Φ80;壁厚 6;技术标准号 GB/T 8162-2008;加工工艺 热轧;热处理工艺 ;特殊要求 ;规格标准号 GB/T 17395-2008</t>
        </is>
      </c>
      <c r="F659" s="12" t="inlineStr">
        <is>
          <t>千克</t>
        </is>
      </c>
      <c r="G659" s="11">
        <f>LEFT(D659,FIND("|",D659,1)-1)</f>
        <v/>
      </c>
      <c r="H659" s="11">
        <f>MID(D659,FIND("|",D659,FIND("|",D659,1))+1,FIND("|",D659,FIND("|",D659,1)+1)-FIND("|",D659,FIND("|",D659,1))-1)</f>
        <v/>
      </c>
      <c r="J659" s="11">
        <f>MID(D659,FIND(";",SUBSTITUTE(D659,"|",REPT(";",LEN(D659)),2))+1,FIND(";",SUBSTITUTE(D659,"|",REPT(";",LEN(D659)),3))-FIND(";",SUBSTITUTE(D659,"|",REPT(";",LEN(D659)),2))-1)</f>
        <v/>
      </c>
      <c r="K659" s="11">
        <f>MID(D659,FIND(";",SUBSTITUTE(D659,"|",REPT(";",LEN(D659)),3))+1,FIND(";",SUBSTITUTE(D659,"|",REPT(";",LEN(D659)),4))-FIND(";",SUBSTITUTE(D659,"|",REPT(";",LEN(D659)),3))-1)</f>
        <v/>
      </c>
      <c r="M659" s="11">
        <f>MID(D659,FIND(";",SUBSTITUTE(D659,"|",REPT(";",LEN(D659)),4))+1,FIND(";",SUBSTITUTE(D659,"|",REPT(";",LEN(D659)),5))-FIND(";",SUBSTITUTE(D659,"|",REPT(";",LEN(D659)),4))-1)</f>
        <v/>
      </c>
      <c r="N659" s="11">
        <f>MID(D659,FIND(";",SUBSTITUTE(D659,"|",REPT(";",LEN(D659)),6))+1,LEN(D659))</f>
        <v/>
      </c>
      <c r="O659" s="11">
        <f>MID(D659,FIND(";",SUBSTITUTE(D659,"|",REPT(";",LEN(D659)),5))+1,FIND(";",SUBSTITUTE(D659,"|",REPT(";",LEN(D659)),6))-FIND(";",SUBSTITUTE(D659,"|",REPT(";",LEN(D659)),5))-1)</f>
        <v/>
      </c>
    </row>
    <row r="660" ht="154" customHeight="1" s="21">
      <c r="A660" s="13" t="inlineStr">
        <is>
          <t>100301</t>
        </is>
      </c>
      <c r="B660" s="13" t="inlineStr">
        <is>
          <t>无缝钢管</t>
        </is>
      </c>
      <c r="C660" s="13" t="inlineStr">
        <is>
          <t>600629200</t>
        </is>
      </c>
      <c r="D660" s="13" t="inlineStr">
        <is>
          <t>结构用热轧优质碳素结构无缝钢管|钢管|20|Φ89×10|GB/T 8162-2008|热轧|GB/T 17395-2008</t>
        </is>
      </c>
      <c r="E660" s="13" t="inlineStr">
        <is>
          <t>物资名称 结构用热轧优质碳素结构无缝钢管;物资简称 钢管;牌号 20;外径 Φ89;壁厚 10;技术标准号 GB/T 8162-2008;加工工艺 热轧;热处理工艺 ;特殊要求 ;规格标准号 GB/T 17395-2008</t>
        </is>
      </c>
      <c r="F660" s="12" t="inlineStr">
        <is>
          <t>千克</t>
        </is>
      </c>
      <c r="G660" s="11">
        <f>LEFT(D660,FIND("|",D660,1)-1)</f>
        <v/>
      </c>
      <c r="H660" s="11">
        <f>MID(D660,FIND("|",D660,FIND("|",D660,1))+1,FIND("|",D660,FIND("|",D660,1)+1)-FIND("|",D660,FIND("|",D660,1))-1)</f>
        <v/>
      </c>
      <c r="J660" s="11">
        <f>MID(D660,FIND(";",SUBSTITUTE(D660,"|",REPT(";",LEN(D660)),2))+1,FIND(";",SUBSTITUTE(D660,"|",REPT(";",LEN(D660)),3))-FIND(";",SUBSTITUTE(D660,"|",REPT(";",LEN(D660)),2))-1)</f>
        <v/>
      </c>
      <c r="K660" s="11">
        <f>MID(D660,FIND(";",SUBSTITUTE(D660,"|",REPT(";",LEN(D660)),3))+1,FIND(";",SUBSTITUTE(D660,"|",REPT(";",LEN(D660)),4))-FIND(";",SUBSTITUTE(D660,"|",REPT(";",LEN(D660)),3))-1)</f>
        <v/>
      </c>
      <c r="M660" s="11">
        <f>MID(D660,FIND(";",SUBSTITUTE(D660,"|",REPT(";",LEN(D660)),4))+1,FIND(";",SUBSTITUTE(D660,"|",REPT(";",LEN(D660)),5))-FIND(";",SUBSTITUTE(D660,"|",REPT(";",LEN(D660)),4))-1)</f>
        <v/>
      </c>
      <c r="N660" s="11">
        <f>MID(D660,FIND(";",SUBSTITUTE(D660,"|",REPT(";",LEN(D660)),6))+1,LEN(D660))</f>
        <v/>
      </c>
      <c r="O660" s="11">
        <f>MID(D660,FIND(";",SUBSTITUTE(D660,"|",REPT(";",LEN(D660)),5))+1,FIND(";",SUBSTITUTE(D660,"|",REPT(";",LEN(D660)),6))-FIND(";",SUBSTITUTE(D660,"|",REPT(";",LEN(D660)),5))-1)</f>
        <v/>
      </c>
    </row>
    <row r="661" ht="154" customHeight="1" s="21">
      <c r="A661" s="13" t="inlineStr">
        <is>
          <t>100301</t>
        </is>
      </c>
      <c r="B661" s="13" t="inlineStr">
        <is>
          <t>无缝钢管</t>
        </is>
      </c>
      <c r="C661" s="13" t="inlineStr">
        <is>
          <t>600629100</t>
        </is>
      </c>
      <c r="D661" s="13" t="inlineStr">
        <is>
          <t>结构用热轧优质碳素结构无缝钢管|钢管|20|Φ130×8|GB/T 8162-2008|热轧|GB/T 17395-2008</t>
        </is>
      </c>
      <c r="E661" s="13" t="inlineStr">
        <is>
          <t>物资名称 结构用热轧优质碳素结构无缝钢管;物资简称 钢管;牌号 20;外径 Φ130;壁厚 8;技术标准号 GB/T 8162-2008;加工工艺 热轧;热处理工艺 ;特殊要求 ;规格标准号 GB/T 17395-2008</t>
        </is>
      </c>
      <c r="F661" s="12" t="inlineStr">
        <is>
          <t>千克</t>
        </is>
      </c>
      <c r="G661" s="11">
        <f>LEFT(D661,FIND("|",D661,1)-1)</f>
        <v/>
      </c>
      <c r="H661" s="11">
        <f>MID(D661,FIND("|",D661,FIND("|",D661,1))+1,FIND("|",D661,FIND("|",D661,1)+1)-FIND("|",D661,FIND("|",D661,1))-1)</f>
        <v/>
      </c>
      <c r="J661" s="11">
        <f>MID(D661,FIND(";",SUBSTITUTE(D661,"|",REPT(";",LEN(D661)),2))+1,FIND(";",SUBSTITUTE(D661,"|",REPT(";",LEN(D661)),3))-FIND(";",SUBSTITUTE(D661,"|",REPT(";",LEN(D661)),2))-1)</f>
        <v/>
      </c>
      <c r="K661" s="11">
        <f>MID(D661,FIND(";",SUBSTITUTE(D661,"|",REPT(";",LEN(D661)),3))+1,FIND(";",SUBSTITUTE(D661,"|",REPT(";",LEN(D661)),4))-FIND(";",SUBSTITUTE(D661,"|",REPT(";",LEN(D661)),3))-1)</f>
        <v/>
      </c>
      <c r="M661" s="11">
        <f>MID(D661,FIND(";",SUBSTITUTE(D661,"|",REPT(";",LEN(D661)),4))+1,FIND(";",SUBSTITUTE(D661,"|",REPT(";",LEN(D661)),5))-FIND(";",SUBSTITUTE(D661,"|",REPT(";",LEN(D661)),4))-1)</f>
        <v/>
      </c>
      <c r="N661" s="11">
        <f>MID(D661,FIND(";",SUBSTITUTE(D661,"|",REPT(";",LEN(D661)),6))+1,LEN(D661))</f>
        <v/>
      </c>
      <c r="O661" s="11">
        <f>MID(D661,FIND(";",SUBSTITUTE(D661,"|",REPT(";",LEN(D661)),5))+1,FIND(";",SUBSTITUTE(D661,"|",REPT(";",LEN(D661)),6))-FIND(";",SUBSTITUTE(D661,"|",REPT(";",LEN(D661)),5))-1)</f>
        <v/>
      </c>
    </row>
    <row r="662" ht="154" customHeight="1" s="21">
      <c r="A662" s="13" t="inlineStr">
        <is>
          <t>100301</t>
        </is>
      </c>
      <c r="B662" s="13" t="inlineStr">
        <is>
          <t>无缝钢管</t>
        </is>
      </c>
      <c r="C662" s="13" t="inlineStr">
        <is>
          <t>600629000</t>
        </is>
      </c>
      <c r="D662" s="13" t="inlineStr">
        <is>
          <t>结构用热轧优质碳素结构无缝钢管|钢管|20|Φ133×10|GB/T 8162-2008|热轧|GB/T 17395-2008</t>
        </is>
      </c>
      <c r="E662" s="13" t="inlineStr">
        <is>
          <t>物资名称 结构用热轧优质碳素结构无缝钢管;物资简称 钢管;牌号 20;外径 Φ133;壁厚 10;技术标准号 GB/T 8162-2008;加工工艺 热轧;热处理工艺 ;特殊要求 ;规格标准号 GB/T 17395-2008</t>
        </is>
      </c>
      <c r="F662" s="12" t="inlineStr">
        <is>
          <t>千克</t>
        </is>
      </c>
      <c r="G662" s="11">
        <f>LEFT(D662,FIND("|",D662,1)-1)</f>
        <v/>
      </c>
      <c r="H662" s="11">
        <f>MID(D662,FIND("|",D662,FIND("|",D662,1))+1,FIND("|",D662,FIND("|",D662,1)+1)-FIND("|",D662,FIND("|",D662,1))-1)</f>
        <v/>
      </c>
      <c r="J662" s="11">
        <f>MID(D662,FIND(";",SUBSTITUTE(D662,"|",REPT(";",LEN(D662)),2))+1,FIND(";",SUBSTITUTE(D662,"|",REPT(";",LEN(D662)),3))-FIND(";",SUBSTITUTE(D662,"|",REPT(";",LEN(D662)),2))-1)</f>
        <v/>
      </c>
      <c r="K662" s="11">
        <f>MID(D662,FIND(";",SUBSTITUTE(D662,"|",REPT(";",LEN(D662)),3))+1,FIND(";",SUBSTITUTE(D662,"|",REPT(";",LEN(D662)),4))-FIND(";",SUBSTITUTE(D662,"|",REPT(";",LEN(D662)),3))-1)</f>
        <v/>
      </c>
      <c r="M662" s="11">
        <f>MID(D662,FIND(";",SUBSTITUTE(D662,"|",REPT(";",LEN(D662)),4))+1,FIND(";",SUBSTITUTE(D662,"|",REPT(";",LEN(D662)),5))-FIND(";",SUBSTITUTE(D662,"|",REPT(";",LEN(D662)),4))-1)</f>
        <v/>
      </c>
      <c r="N662" s="11">
        <f>MID(D662,FIND(";",SUBSTITUTE(D662,"|",REPT(";",LEN(D662)),6))+1,LEN(D662))</f>
        <v/>
      </c>
      <c r="O662" s="11">
        <f>MID(D662,FIND(";",SUBSTITUTE(D662,"|",REPT(";",LEN(D662)),5))+1,FIND(";",SUBSTITUTE(D662,"|",REPT(";",LEN(D662)),6))-FIND(";",SUBSTITUTE(D662,"|",REPT(";",LEN(D662)),5))-1)</f>
        <v/>
      </c>
    </row>
    <row r="663" ht="140" customHeight="1" s="21">
      <c r="A663" s="13" t="inlineStr">
        <is>
          <t>100301</t>
        </is>
      </c>
      <c r="B663" s="13" t="inlineStr">
        <is>
          <t>无缝钢管</t>
        </is>
      </c>
      <c r="C663" s="13" t="inlineStr">
        <is>
          <t>600628900</t>
        </is>
      </c>
      <c r="D663" s="13" t="inlineStr">
        <is>
          <t>结构用热轧优质碳素结构无缝钢管|钢管|45|GB/T 8162-2008|GB/T 17395-2008</t>
        </is>
      </c>
      <c r="E663" s="13" t="inlineStr">
        <is>
          <t>物资名称 结构用热轧优质碳素结构无缝钢管;物资简称 钢管;牌号 45;外径 Φ;壁厚 ;技术标准号 GB/T 8162-2008;加工工艺 ;热处理工艺 ;特殊要求 ;规格标准号 GB/T 17395-2008</t>
        </is>
      </c>
      <c r="F663" s="12" t="inlineStr">
        <is>
          <t>千克</t>
        </is>
      </c>
      <c r="G663" s="11">
        <f>LEFT(D663,FIND("|",D663,1)-1)</f>
        <v/>
      </c>
      <c r="H663" s="11">
        <f>MID(D663,FIND("|",D663,FIND("|",D663,1))+1,FIND("|",D663,FIND("|",D663,1)+1)-FIND("|",D663,FIND("|",D663,1))-1)</f>
        <v/>
      </c>
      <c r="J663" s="11">
        <f>MID(D663,FIND(";",SUBSTITUTE(D663,"|",REPT(";",LEN(D663)),2))+1,FIND(";",SUBSTITUTE(D663,"|",REPT(";",LEN(D663)),3))-FIND(";",SUBSTITUTE(D663,"|",REPT(";",LEN(D663)),2))-1)</f>
        <v/>
      </c>
      <c r="M663" s="11">
        <f>MID(D663,FIND(";",SUBSTITUTE(D663,"|",REPT(";",LEN(D663)),3))+1,FIND(";",SUBSTITUTE(D663,"|",REPT(";",LEN(D663)),4))-FIND(";",SUBSTITUTE(D663,"|",REPT(";",LEN(D663)),3))-1)</f>
        <v/>
      </c>
      <c r="N663" s="11">
        <f>MID(D663,FIND(";",SUBSTITUTE(D663,"|",REPT(";",LEN(D663)),4))+1,LEN(D663))</f>
        <v/>
      </c>
    </row>
    <row r="664" ht="154" customHeight="1" s="21">
      <c r="A664" s="13" t="inlineStr">
        <is>
          <t>100301</t>
        </is>
      </c>
      <c r="B664" s="13" t="inlineStr">
        <is>
          <t>无缝钢管</t>
        </is>
      </c>
      <c r="C664" s="13" t="inlineStr">
        <is>
          <t>600628800</t>
        </is>
      </c>
      <c r="D664" s="13" t="inlineStr">
        <is>
          <t>结构用热轧优质碳素结构无缝钢管|钢管|45|Φ133×16|GB/T 8162-2008|热轧|退火|GB/T 17395-2008</t>
        </is>
      </c>
      <c r="E664" s="13" t="inlineStr">
        <is>
          <t>物资名称 结构用热轧优质碳素结构无缝钢管;物资简称 钢管;牌号 45;外径 Φ133;壁厚 16;技术标准号 GB/T 8162-2008;加工工艺 热轧;热处理工艺 退火;特殊要求 ;规格标准号 GB/T 17395-2008</t>
        </is>
      </c>
      <c r="F664" s="12" t="inlineStr">
        <is>
          <t>千克</t>
        </is>
      </c>
      <c r="G664" s="11">
        <f>LEFT(D664,FIND("|",D664,1)-1)</f>
        <v/>
      </c>
      <c r="H664" s="11">
        <f>MID(D664,FIND("|",D664,FIND("|",D664,1))+1,FIND("|",D664,FIND("|",D664,1)+1)-FIND("|",D664,FIND("|",D664,1))-1)</f>
        <v/>
      </c>
      <c r="J664" s="11">
        <f>MID(D664,FIND(";",SUBSTITUTE(D664,"|",REPT(";",LEN(D664)),2))+1,FIND(";",SUBSTITUTE(D664,"|",REPT(";",LEN(D664)),3))-FIND(";",SUBSTITUTE(D664,"|",REPT(";",LEN(D664)),2))-1)</f>
        <v/>
      </c>
      <c r="K664" s="11">
        <f>MID(D664,FIND(";",SUBSTITUTE(D664,"|",REPT(";",LEN(D664)),3))+1,FIND(";",SUBSTITUTE(D664,"|",REPT(";",LEN(D664)),4))-FIND(";",SUBSTITUTE(D664,"|",REPT(";",LEN(D664)),3))-1)</f>
        <v/>
      </c>
      <c r="M664" s="11">
        <f>MID(D664,FIND(";",SUBSTITUTE(D664,"|",REPT(";",LEN(D664)),4))+1,FIND(";",SUBSTITUTE(D664,"|",REPT(";",LEN(D664)),5))-FIND(";",SUBSTITUTE(D664,"|",REPT(";",LEN(D664)),4))-1)</f>
        <v/>
      </c>
      <c r="N664" s="11">
        <f>MID(D664,FIND(";",SUBSTITUTE(D664,"|",REPT(";",LEN(D664)),7))+1,LEN(D664))</f>
        <v/>
      </c>
      <c r="O664" s="11">
        <f>MID(D664,FIND(";",SUBSTITUTE(D664,"|",REPT(";",LEN(D664)),5))+1,FIND(";",SUBSTITUTE(D664,"|",REPT(";",LEN(D664)),6))-FIND(";",SUBSTITUTE(D664,"|",REPT(";",LEN(D664)),5))-1)</f>
        <v/>
      </c>
      <c r="P664" s="11">
        <f>MID(D664,FIND(";",SUBSTITUTE(D664,"|",REPT(";",LEN(D664)),6))+1,FIND(";",SUBSTITUTE(D664,"|",REPT(";",LEN(D664)),7))-FIND(";",SUBSTITUTE(D664,"|",REPT(";",LEN(D664)),6))-1)</f>
        <v/>
      </c>
    </row>
    <row r="665" ht="154" customHeight="1" s="21">
      <c r="A665" s="13" t="inlineStr">
        <is>
          <t>100301</t>
        </is>
      </c>
      <c r="B665" s="13" t="inlineStr">
        <is>
          <t>无缝钢管</t>
        </is>
      </c>
      <c r="C665" s="13" t="inlineStr">
        <is>
          <t>600628700</t>
        </is>
      </c>
      <c r="D665" s="13" t="inlineStr">
        <is>
          <t>结构用热轧优质碳素结构无缝钢管|钢管|45|Φ194×35|GB/T 8162-2008|热轧|GB/T 17395-2008</t>
        </is>
      </c>
      <c r="E665" s="13" t="inlineStr">
        <is>
          <t>物资名称 结构用热轧优质碳素结构无缝钢管;物资简称 钢管;牌号 45;外径 Φ194;壁厚 35;技术标准号 GB/T 8162-2008;加工工艺 热轧;热处理工艺 ;特殊要求 ;规格标准号 GB/T 17395-2008</t>
        </is>
      </c>
      <c r="F665" s="12" t="inlineStr">
        <is>
          <t>千克</t>
        </is>
      </c>
      <c r="G665" s="11">
        <f>LEFT(D665,FIND("|",D665,1)-1)</f>
        <v/>
      </c>
      <c r="H665" s="11">
        <f>MID(D665,FIND("|",D665,FIND("|",D665,1))+1,FIND("|",D665,FIND("|",D665,1)+1)-FIND("|",D665,FIND("|",D665,1))-1)</f>
        <v/>
      </c>
      <c r="J665" s="11">
        <f>MID(D665,FIND(";",SUBSTITUTE(D665,"|",REPT(";",LEN(D665)),2))+1,FIND(";",SUBSTITUTE(D665,"|",REPT(";",LEN(D665)),3))-FIND(";",SUBSTITUTE(D665,"|",REPT(";",LEN(D665)),2))-1)</f>
        <v/>
      </c>
      <c r="K665" s="11">
        <f>MID(D665,FIND(";",SUBSTITUTE(D665,"|",REPT(";",LEN(D665)),3))+1,FIND(";",SUBSTITUTE(D665,"|",REPT(";",LEN(D665)),4))-FIND(";",SUBSTITUTE(D665,"|",REPT(";",LEN(D665)),3))-1)</f>
        <v/>
      </c>
      <c r="M665" s="11">
        <f>MID(D665,FIND(";",SUBSTITUTE(D665,"|",REPT(";",LEN(D665)),4))+1,FIND(";",SUBSTITUTE(D665,"|",REPT(";",LEN(D665)),5))-FIND(";",SUBSTITUTE(D665,"|",REPT(";",LEN(D665)),4))-1)</f>
        <v/>
      </c>
      <c r="N665" s="11">
        <f>MID(D665,FIND(";",SUBSTITUTE(D665,"|",REPT(";",LEN(D665)),6))+1,LEN(D665))</f>
        <v/>
      </c>
      <c r="O665" s="11">
        <f>MID(D665,FIND(";",SUBSTITUTE(D665,"|",REPT(";",LEN(D665)),5))+1,FIND(";",SUBSTITUTE(D665,"|",REPT(";",LEN(D665)),6))-FIND(";",SUBSTITUTE(D665,"|",REPT(";",LEN(D665)),5))-1)</f>
        <v/>
      </c>
    </row>
    <row r="666" ht="154" customHeight="1" s="21">
      <c r="A666" s="13" t="inlineStr">
        <is>
          <t>100301</t>
        </is>
      </c>
      <c r="B666" s="13" t="inlineStr">
        <is>
          <t>无缝钢管</t>
        </is>
      </c>
      <c r="C666" s="13" t="inlineStr">
        <is>
          <t>600628600</t>
        </is>
      </c>
      <c r="D666" s="13" t="inlineStr">
        <is>
          <t>结构用热轧优质碳素结构无缝钢管|钢管|45|Φ195×20|GB/T 8162-2008|热轧|GB/T 17395-2008</t>
        </is>
      </c>
      <c r="E666" s="13" t="inlineStr">
        <is>
          <t>物资名称 结构用热轧优质碳素结构无缝钢管;物资简称 钢管;牌号 45;外径 Φ195;壁厚 20;技术标准号 GB/T 8162-2008;加工工艺 热轧;热处理工艺 ;特殊要求 ;规格标准号 GB/T 17395-2008</t>
        </is>
      </c>
      <c r="F666" s="12" t="inlineStr">
        <is>
          <t>千克</t>
        </is>
      </c>
      <c r="G666" s="11">
        <f>LEFT(D666,FIND("|",D666,1)-1)</f>
        <v/>
      </c>
      <c r="H666" s="11">
        <f>MID(D666,FIND("|",D666,FIND("|",D666,1))+1,FIND("|",D666,FIND("|",D666,1)+1)-FIND("|",D666,FIND("|",D666,1))-1)</f>
        <v/>
      </c>
      <c r="J666" s="11">
        <f>MID(D666,FIND(";",SUBSTITUTE(D666,"|",REPT(";",LEN(D666)),2))+1,FIND(";",SUBSTITUTE(D666,"|",REPT(";",LEN(D666)),3))-FIND(";",SUBSTITUTE(D666,"|",REPT(";",LEN(D666)),2))-1)</f>
        <v/>
      </c>
      <c r="K666" s="11">
        <f>MID(D666,FIND(";",SUBSTITUTE(D666,"|",REPT(";",LEN(D666)),3))+1,FIND(";",SUBSTITUTE(D666,"|",REPT(";",LEN(D666)),4))-FIND(";",SUBSTITUTE(D666,"|",REPT(";",LEN(D666)),3))-1)</f>
        <v/>
      </c>
      <c r="M666" s="11">
        <f>MID(D666,FIND(";",SUBSTITUTE(D666,"|",REPT(";",LEN(D666)),4))+1,FIND(";",SUBSTITUTE(D666,"|",REPT(";",LEN(D666)),5))-FIND(";",SUBSTITUTE(D666,"|",REPT(";",LEN(D666)),4))-1)</f>
        <v/>
      </c>
      <c r="N666" s="11">
        <f>MID(D666,FIND(";",SUBSTITUTE(D666,"|",REPT(";",LEN(D666)),6))+1,LEN(D666))</f>
        <v/>
      </c>
      <c r="O666" s="11">
        <f>MID(D666,FIND(";",SUBSTITUTE(D666,"|",REPT(";",LEN(D666)),5))+1,FIND(";",SUBSTITUTE(D666,"|",REPT(";",LEN(D666)),6))-FIND(";",SUBSTITUTE(D666,"|",REPT(";",LEN(D666)),5))-1)</f>
        <v/>
      </c>
    </row>
    <row r="667" ht="154" customHeight="1" s="21">
      <c r="A667" s="13" t="inlineStr">
        <is>
          <t>100301</t>
        </is>
      </c>
      <c r="B667" s="13" t="inlineStr">
        <is>
          <t>无缝钢管</t>
        </is>
      </c>
      <c r="C667" s="13" t="inlineStr">
        <is>
          <t>600628500</t>
        </is>
      </c>
      <c r="D667" s="13" t="inlineStr">
        <is>
          <t>结构用热轧优质碳素结构无缝钢管|钢管|45|Φ325×28|GB/T 8162-2008|热轧|GB/T 17395-2008</t>
        </is>
      </c>
      <c r="E667" s="13" t="inlineStr">
        <is>
          <t>物资名称 结构用热轧优质碳素结构无缝钢管;物资简称 钢管;牌号 45;外径 Φ325;壁厚 28;技术标准号 GB/T 8162-2008;加工工艺 热轧;热处理工艺 ;特殊要求 ;规格标准号 GB/T 17395-2008</t>
        </is>
      </c>
      <c r="F667" s="12" t="inlineStr">
        <is>
          <t>千克</t>
        </is>
      </c>
      <c r="G667" s="11">
        <f>LEFT(D667,FIND("|",D667,1)-1)</f>
        <v/>
      </c>
      <c r="H667" s="11">
        <f>MID(D667,FIND("|",D667,FIND("|",D667,1))+1,FIND("|",D667,FIND("|",D667,1)+1)-FIND("|",D667,FIND("|",D667,1))-1)</f>
        <v/>
      </c>
      <c r="J667" s="11">
        <f>MID(D667,FIND(";",SUBSTITUTE(D667,"|",REPT(";",LEN(D667)),2))+1,FIND(";",SUBSTITUTE(D667,"|",REPT(";",LEN(D667)),3))-FIND(";",SUBSTITUTE(D667,"|",REPT(";",LEN(D667)),2))-1)</f>
        <v/>
      </c>
      <c r="K667" s="11">
        <f>MID(D667,FIND(";",SUBSTITUTE(D667,"|",REPT(";",LEN(D667)),3))+1,FIND(";",SUBSTITUTE(D667,"|",REPT(";",LEN(D667)),4))-FIND(";",SUBSTITUTE(D667,"|",REPT(";",LEN(D667)),3))-1)</f>
        <v/>
      </c>
      <c r="M667" s="11">
        <f>MID(D667,FIND(";",SUBSTITUTE(D667,"|",REPT(";",LEN(D667)),4))+1,FIND(";",SUBSTITUTE(D667,"|",REPT(";",LEN(D667)),5))-FIND(";",SUBSTITUTE(D667,"|",REPT(";",LEN(D667)),4))-1)</f>
        <v/>
      </c>
      <c r="N667" s="11">
        <f>MID(D667,FIND(";",SUBSTITUTE(D667,"|",REPT(";",LEN(D667)),6))+1,LEN(D667))</f>
        <v/>
      </c>
      <c r="O667" s="11">
        <f>MID(D667,FIND(";",SUBSTITUTE(D667,"|",REPT(";",LEN(D667)),5))+1,FIND(";",SUBSTITUTE(D667,"|",REPT(";",LEN(D667)),6))-FIND(";",SUBSTITUTE(D667,"|",REPT(";",LEN(D667)),5))-1)</f>
        <v/>
      </c>
    </row>
    <row r="668" ht="140" customHeight="1" s="21">
      <c r="A668" s="13" t="inlineStr">
        <is>
          <t>100301</t>
        </is>
      </c>
      <c r="B668" s="13" t="inlineStr">
        <is>
          <t>无缝钢管</t>
        </is>
      </c>
      <c r="C668" s="13" t="inlineStr">
        <is>
          <t>600628400</t>
        </is>
      </c>
      <c r="D668" s="13" t="inlineStr">
        <is>
          <t>结构用热轧合金结构无缝钢管|钢管|40Cr|GB/T 8162-2008|GB/T 17395-2008</t>
        </is>
      </c>
      <c r="E668" s="13" t="inlineStr">
        <is>
          <t>物资名称 结构用热轧合金结构无缝钢管;物资简称 钢管;牌号 40Cr;外径 Φ;壁厚 ;技术标准号 GB/T 8162-2008;加工工艺 ;热处理工艺 ;特殊要求 ;规格标准号 GB/T 17395-2008</t>
        </is>
      </c>
      <c r="F668" s="12" t="inlineStr">
        <is>
          <t>千克</t>
        </is>
      </c>
      <c r="G668" s="11">
        <f>LEFT(D668,FIND("|",D668,1)-1)</f>
        <v/>
      </c>
      <c r="H668" s="11">
        <f>MID(D668,FIND("|",D668,FIND("|",D668,1))+1,FIND("|",D668,FIND("|",D668,1)+1)-FIND("|",D668,FIND("|",D668,1))-1)</f>
        <v/>
      </c>
      <c r="J668" s="11">
        <f>MID(D668,FIND(";",SUBSTITUTE(D668,"|",REPT(";",LEN(D668)),2))+1,FIND(";",SUBSTITUTE(D668,"|",REPT(";",LEN(D668)),3))-FIND(";",SUBSTITUTE(D668,"|",REPT(";",LEN(D668)),2))-1)</f>
        <v/>
      </c>
      <c r="M668" s="11">
        <f>MID(D668,FIND(";",SUBSTITUTE(D668,"|",REPT(";",LEN(D668)),3))+1,FIND(";",SUBSTITUTE(D668,"|",REPT(";",LEN(D668)),4))-FIND(";",SUBSTITUTE(D668,"|",REPT(";",LEN(D668)),3))-1)</f>
        <v/>
      </c>
      <c r="N668" s="11">
        <f>MID(D668,FIND(";",SUBSTITUTE(D668,"|",REPT(";",LEN(D668)),4))+1,LEN(D668))</f>
        <v/>
      </c>
    </row>
    <row r="669" ht="154" customHeight="1" s="21">
      <c r="A669" s="13" t="inlineStr">
        <is>
          <t>100301</t>
        </is>
      </c>
      <c r="B669" s="13" t="inlineStr">
        <is>
          <t>无缝钢管</t>
        </is>
      </c>
      <c r="C669" s="13" t="inlineStr">
        <is>
          <t>600628300</t>
        </is>
      </c>
      <c r="D669" s="13" t="inlineStr">
        <is>
          <t>结构用热轧合金结构无缝钢管|钢管|40Cr|Φ121×13.5|GB/T 8162-2008|热轧|GB/T 17395-2008</t>
        </is>
      </c>
      <c r="E669" s="13" t="inlineStr">
        <is>
          <t>物资名称 结构用热轧合金结构无缝钢管;物资简称 钢管;牌号 40Cr;外径 Φ121;壁厚 13.5;技术标准号 GB/T 8162-2008;加工工艺 热轧;热处理工艺 ;特殊要求 ;规格标准号 GB/T 17395-2008</t>
        </is>
      </c>
      <c r="F669" s="12" t="inlineStr">
        <is>
          <t>千克</t>
        </is>
      </c>
      <c r="G669" s="11">
        <f>LEFT(D669,FIND("|",D669,1)-1)</f>
        <v/>
      </c>
      <c r="H669" s="11">
        <f>MID(D669,FIND("|",D669,FIND("|",D669,1))+1,FIND("|",D669,FIND("|",D669,1)+1)-FIND("|",D669,FIND("|",D669,1))-1)</f>
        <v/>
      </c>
      <c r="J669" s="11">
        <f>MID(D669,FIND(";",SUBSTITUTE(D669,"|",REPT(";",LEN(D669)),2))+1,FIND(";",SUBSTITUTE(D669,"|",REPT(";",LEN(D669)),3))-FIND(";",SUBSTITUTE(D669,"|",REPT(";",LEN(D669)),2))-1)</f>
        <v/>
      </c>
      <c r="K669" s="11">
        <f>MID(D669,FIND(";",SUBSTITUTE(D669,"|",REPT(";",LEN(D669)),3))+1,FIND(";",SUBSTITUTE(D669,"|",REPT(";",LEN(D669)),4))-FIND(";",SUBSTITUTE(D669,"|",REPT(";",LEN(D669)),3))-1)</f>
        <v/>
      </c>
      <c r="M669" s="11">
        <f>MID(D669,FIND(";",SUBSTITUTE(D669,"|",REPT(";",LEN(D669)),4))+1,FIND(";",SUBSTITUTE(D669,"|",REPT(";",LEN(D669)),5))-FIND(";",SUBSTITUTE(D669,"|",REPT(";",LEN(D669)),4))-1)</f>
        <v/>
      </c>
      <c r="N669" s="11">
        <f>MID(D669,FIND(";",SUBSTITUTE(D669,"|",REPT(";",LEN(D669)),6))+1,LEN(D669))</f>
        <v/>
      </c>
      <c r="O669" s="11">
        <f>MID(D669,FIND(";",SUBSTITUTE(D669,"|",REPT(";",LEN(D669)),5))+1,FIND(";",SUBSTITUTE(D669,"|",REPT(";",LEN(D669)),6))-FIND(";",SUBSTITUTE(D669,"|",REPT(";",LEN(D669)),5))-1)</f>
        <v/>
      </c>
    </row>
    <row r="670" ht="154" customHeight="1" s="21">
      <c r="A670" s="13" t="inlineStr">
        <is>
          <t>100301</t>
        </is>
      </c>
      <c r="B670" s="13" t="inlineStr">
        <is>
          <t>无缝钢管</t>
        </is>
      </c>
      <c r="C670" s="13" t="inlineStr">
        <is>
          <t>600628200</t>
        </is>
      </c>
      <c r="D670" s="13" t="inlineStr">
        <is>
          <t>结构用热轧合金结构无缝钢管|钢管|40Cr|Φ205×38|GB/T 8162-2008|热轧|GB/T 17395-2008</t>
        </is>
      </c>
      <c r="E670" s="13" t="inlineStr">
        <is>
          <t>物资名称 结构用热轧合金结构无缝钢管;物资简称 钢管;牌号 40Cr;外径 Φ205;壁厚 38;技术标准号 GB/T 8162-2008;加工工艺 热轧;热处理工艺 ;特殊要求 ;规格标准号 GB/T 17395-2008</t>
        </is>
      </c>
      <c r="F670" s="12" t="inlineStr">
        <is>
          <t>千克</t>
        </is>
      </c>
      <c r="G670" s="11">
        <f>LEFT(D670,FIND("|",D670,1)-1)</f>
        <v/>
      </c>
      <c r="H670" s="11">
        <f>MID(D670,FIND("|",D670,FIND("|",D670,1))+1,FIND("|",D670,FIND("|",D670,1)+1)-FIND("|",D670,FIND("|",D670,1))-1)</f>
        <v/>
      </c>
      <c r="J670" s="11">
        <f>MID(D670,FIND(";",SUBSTITUTE(D670,"|",REPT(";",LEN(D670)),2))+1,FIND(";",SUBSTITUTE(D670,"|",REPT(";",LEN(D670)),3))-FIND(";",SUBSTITUTE(D670,"|",REPT(";",LEN(D670)),2))-1)</f>
        <v/>
      </c>
      <c r="K670" s="11">
        <f>MID(D670,FIND(";",SUBSTITUTE(D670,"|",REPT(";",LEN(D670)),3))+1,FIND(";",SUBSTITUTE(D670,"|",REPT(";",LEN(D670)),4))-FIND(";",SUBSTITUTE(D670,"|",REPT(";",LEN(D670)),3))-1)</f>
        <v/>
      </c>
      <c r="M670" s="11">
        <f>MID(D670,FIND(";",SUBSTITUTE(D670,"|",REPT(";",LEN(D670)),4))+1,FIND(";",SUBSTITUTE(D670,"|",REPT(";",LEN(D670)),5))-FIND(";",SUBSTITUTE(D670,"|",REPT(";",LEN(D670)),4))-1)</f>
        <v/>
      </c>
      <c r="N670" s="11">
        <f>MID(D670,FIND(";",SUBSTITUTE(D670,"|",REPT(";",LEN(D670)),6))+1,LEN(D670))</f>
        <v/>
      </c>
      <c r="O670" s="11">
        <f>MID(D670,FIND(";",SUBSTITUTE(D670,"|",REPT(";",LEN(D670)),5))+1,FIND(";",SUBSTITUTE(D670,"|",REPT(";",LEN(D670)),6))-FIND(";",SUBSTITUTE(D670,"|",REPT(";",LEN(D670)),5))-1)</f>
        <v/>
      </c>
    </row>
    <row r="671" ht="154" customHeight="1" s="21">
      <c r="A671" s="13" t="inlineStr">
        <is>
          <t>100301</t>
        </is>
      </c>
      <c r="B671" s="13" t="inlineStr">
        <is>
          <t>无缝钢管</t>
        </is>
      </c>
      <c r="C671" s="13" t="inlineStr">
        <is>
          <t>600628100</t>
        </is>
      </c>
      <c r="D671" s="13" t="inlineStr">
        <is>
          <t>结构用热轧合金结构无缝钢管|钢管|40Cr|Φ273×30|GB/T 8162-2008|热轧|GB/T 17395-2008</t>
        </is>
      </c>
      <c r="E671" s="13" t="inlineStr">
        <is>
          <t>物资名称 结构用热轧合金结构无缝钢管;物资简称 钢管;牌号 40Cr;外径 Φ273;壁厚 30;技术标准号 GB/T 8162-2008;加工工艺 热轧;热处理工艺 ;特殊要求 ;规格标准号 GB/T 17395-2008</t>
        </is>
      </c>
      <c r="F671" s="12" t="inlineStr">
        <is>
          <t>千克</t>
        </is>
      </c>
      <c r="G671" s="11">
        <f>LEFT(D671,FIND("|",D671,1)-1)</f>
        <v/>
      </c>
      <c r="H671" s="11">
        <f>MID(D671,FIND("|",D671,FIND("|",D671,1))+1,FIND("|",D671,FIND("|",D671,1)+1)-FIND("|",D671,FIND("|",D671,1))-1)</f>
        <v/>
      </c>
      <c r="J671" s="11">
        <f>MID(D671,FIND(";",SUBSTITUTE(D671,"|",REPT(";",LEN(D671)),2))+1,FIND(";",SUBSTITUTE(D671,"|",REPT(";",LEN(D671)),3))-FIND(";",SUBSTITUTE(D671,"|",REPT(";",LEN(D671)),2))-1)</f>
        <v/>
      </c>
      <c r="K671" s="11">
        <f>MID(D671,FIND(";",SUBSTITUTE(D671,"|",REPT(";",LEN(D671)),3))+1,FIND(";",SUBSTITUTE(D671,"|",REPT(";",LEN(D671)),4))-FIND(";",SUBSTITUTE(D671,"|",REPT(";",LEN(D671)),3))-1)</f>
        <v/>
      </c>
      <c r="M671" s="11">
        <f>MID(D671,FIND(";",SUBSTITUTE(D671,"|",REPT(";",LEN(D671)),4))+1,FIND(";",SUBSTITUTE(D671,"|",REPT(";",LEN(D671)),5))-FIND(";",SUBSTITUTE(D671,"|",REPT(";",LEN(D671)),4))-1)</f>
        <v/>
      </c>
      <c r="N671" s="11">
        <f>MID(D671,FIND(";",SUBSTITUTE(D671,"|",REPT(";",LEN(D671)),6))+1,LEN(D671))</f>
        <v/>
      </c>
      <c r="O671" s="11">
        <f>MID(D671,FIND(";",SUBSTITUTE(D671,"|",REPT(";",LEN(D671)),5))+1,FIND(";",SUBSTITUTE(D671,"|",REPT(";",LEN(D671)),6))-FIND(";",SUBSTITUTE(D671,"|",REPT(";",LEN(D671)),5))-1)</f>
        <v/>
      </c>
    </row>
    <row r="672" ht="154" customHeight="1" s="21">
      <c r="A672" s="13" t="inlineStr">
        <is>
          <t>100301</t>
        </is>
      </c>
      <c r="B672" s="13" t="inlineStr">
        <is>
          <t>无缝钢管</t>
        </is>
      </c>
      <c r="C672" s="13" t="inlineStr">
        <is>
          <t>600628000</t>
        </is>
      </c>
      <c r="D672" s="13" t="inlineStr">
        <is>
          <t>结构用热轧合金结构无缝钢管|钢管|40Cr|Φ325×45|GB/T 8162-2008|热轧|GB/T 17395-2008</t>
        </is>
      </c>
      <c r="E672" s="13" t="inlineStr">
        <is>
          <t>物资名称 结构用热轧合金结构无缝钢管;物资简称 钢管;牌号 40Cr;外径 Φ325;壁厚 45;技术标准号 GB/T 8162-2008;加工工艺 热轧;热处理工艺 ;特殊要求 ;规格标准号 GB/T 17395-2008</t>
        </is>
      </c>
      <c r="F672" s="12" t="inlineStr">
        <is>
          <t>千克</t>
        </is>
      </c>
      <c r="G672" s="11">
        <f>LEFT(D672,FIND("|",D672,1)-1)</f>
        <v/>
      </c>
      <c r="H672" s="11">
        <f>MID(D672,FIND("|",D672,FIND("|",D672,1))+1,FIND("|",D672,FIND("|",D672,1)+1)-FIND("|",D672,FIND("|",D672,1))-1)</f>
        <v/>
      </c>
      <c r="J672" s="11">
        <f>MID(D672,FIND(";",SUBSTITUTE(D672,"|",REPT(";",LEN(D672)),2))+1,FIND(";",SUBSTITUTE(D672,"|",REPT(";",LEN(D672)),3))-FIND(";",SUBSTITUTE(D672,"|",REPT(";",LEN(D672)),2))-1)</f>
        <v/>
      </c>
      <c r="K672" s="11">
        <f>MID(D672,FIND(";",SUBSTITUTE(D672,"|",REPT(";",LEN(D672)),3))+1,FIND(";",SUBSTITUTE(D672,"|",REPT(";",LEN(D672)),4))-FIND(";",SUBSTITUTE(D672,"|",REPT(";",LEN(D672)),3))-1)</f>
        <v/>
      </c>
      <c r="M672" s="11">
        <f>MID(D672,FIND(";",SUBSTITUTE(D672,"|",REPT(";",LEN(D672)),4))+1,FIND(";",SUBSTITUTE(D672,"|",REPT(";",LEN(D672)),5))-FIND(";",SUBSTITUTE(D672,"|",REPT(";",LEN(D672)),4))-1)</f>
        <v/>
      </c>
      <c r="N672" s="11">
        <f>MID(D672,FIND(";",SUBSTITUTE(D672,"|",REPT(";",LEN(D672)),6))+1,LEN(D672))</f>
        <v/>
      </c>
      <c r="O672" s="11">
        <f>MID(D672,FIND(";",SUBSTITUTE(D672,"|",REPT(";",LEN(D672)),5))+1,FIND(";",SUBSTITUTE(D672,"|",REPT(";",LEN(D672)),6))-FIND(";",SUBSTITUTE(D672,"|",REPT(";",LEN(D672)),5))-1)</f>
        <v/>
      </c>
    </row>
    <row r="673" ht="126" customHeight="1" s="21">
      <c r="A673" s="13" t="inlineStr">
        <is>
          <t>100301</t>
        </is>
      </c>
      <c r="B673" s="13" t="inlineStr">
        <is>
          <t>无缝钢管</t>
        </is>
      </c>
      <c r="C673" s="13" t="inlineStr">
        <is>
          <t>600627900</t>
        </is>
      </c>
      <c r="D673" s="13" t="inlineStr">
        <is>
          <t>结构用热轧不锈无缝钢管|钢管|1Cr18Ni9Ti|GB/T 14975-2002</t>
        </is>
      </c>
      <c r="E673" s="13" t="inlineStr">
        <is>
          <t xml:space="preserve">物资名称 结构用热轧不锈无缝钢管;物资简称 钢管;牌号 1Cr18Ni9Ti;外径 Φ;壁厚 ;技术标准号 GB/T 14975-2002;加工工艺 ;热处理工艺 ;特殊要求 ;规格标准号 </t>
        </is>
      </c>
      <c r="F673" s="12" t="inlineStr">
        <is>
          <t>千克</t>
        </is>
      </c>
      <c r="G673" s="11">
        <f>LEFT(D673,FIND("|",D673,1)-1)</f>
        <v/>
      </c>
      <c r="H673" s="11">
        <f>MID(D673,FIND("|",D673,FIND("|",D673,1))+1,FIND("|",D673,FIND("|",D673,1)+1)-FIND("|",D673,FIND("|",D673,1))-1)</f>
        <v/>
      </c>
      <c r="J673" s="11">
        <f>MID(D673,FIND(";",SUBSTITUTE(D673,"|",REPT(";",LEN(D673)),2))+1,FIND(";",SUBSTITUTE(D673,"|",REPT(";",LEN(D673)),3))-FIND(";",SUBSTITUTE(D673,"|",REPT(";",LEN(D673)),2))-1)</f>
        <v/>
      </c>
      <c r="M673" s="11">
        <f>MID(D673,FIND(";",SUBSTITUTE(D673,"|",REPT(";",LEN(D673)),3))+1,LEN(D673))</f>
        <v/>
      </c>
    </row>
    <row r="674" ht="140" customHeight="1" s="21">
      <c r="A674" s="13" t="inlineStr">
        <is>
          <t>100301</t>
        </is>
      </c>
      <c r="B674" s="13" t="inlineStr">
        <is>
          <t>无缝钢管</t>
        </is>
      </c>
      <c r="C674" s="13" t="inlineStr">
        <is>
          <t>600627800</t>
        </is>
      </c>
      <c r="D674" s="13" t="inlineStr">
        <is>
          <t>结构用热轧不锈无缝钢管|钢管|1Cr18Ni9Ti|Φ2×0.5|GB/T 14975-2002|热轧</t>
        </is>
      </c>
      <c r="E674" s="13" t="inlineStr">
        <is>
          <t xml:space="preserve">物资名称 结构用热轧不锈无缝钢管;物资简称 钢管;牌号 1Cr18Ni9Ti;外径 Φ2;壁厚 0.5;技术标准号 GB/T 14975-2002;加工工艺 热轧;热处理工艺 ;特殊要求 ;规格标准号 </t>
        </is>
      </c>
      <c r="F674" s="12" t="inlineStr">
        <is>
          <t>千克</t>
        </is>
      </c>
      <c r="G674" s="11">
        <f>LEFT(D674,FIND("|",D674,1)-1)</f>
        <v/>
      </c>
      <c r="H674" s="11">
        <f>MID(D674,FIND("|",D674,FIND("|",D674,1))+1,FIND("|",D674,FIND("|",D674,1)+1)-FIND("|",D674,FIND("|",D674,1))-1)</f>
        <v/>
      </c>
      <c r="J674" s="11">
        <f>MID(D674,FIND(";",SUBSTITUTE(D674,"|",REPT(";",LEN(D674)),2))+1,FIND(";",SUBSTITUTE(D674,"|",REPT(";",LEN(D674)),3))-FIND(";",SUBSTITUTE(D674,"|",REPT(";",LEN(D674)),2))-1)</f>
        <v/>
      </c>
      <c r="K674" s="11">
        <f>MID(D674,FIND(";",SUBSTITUTE(D674,"|",REPT(";",LEN(D674)),3))+1,FIND(";",SUBSTITUTE(D674,"|",REPT(";",LEN(D674)),4))-FIND(";",SUBSTITUTE(D674,"|",REPT(";",LEN(D674)),3))-1)</f>
        <v/>
      </c>
      <c r="M674" s="11">
        <f>MID(D674,FIND(";",SUBSTITUTE(D674,"|",REPT(";",LEN(D674)),4))+1,FIND(";",SUBSTITUTE(D674,"|",REPT(";",LEN(D674)),5))-FIND(";",SUBSTITUTE(D674,"|",REPT(";",LEN(D674)),4))-1)</f>
        <v/>
      </c>
      <c r="O674" s="11">
        <f>MID(D674,FIND(";",SUBSTITUTE(D674,"|",REPT(";",LEN(D674)),5))+1,LEN(D674))</f>
        <v/>
      </c>
    </row>
    <row r="675" ht="140" customHeight="1" s="21">
      <c r="A675" s="13" t="inlineStr">
        <is>
          <t>100301</t>
        </is>
      </c>
      <c r="B675" s="13" t="inlineStr">
        <is>
          <t>无缝钢管</t>
        </is>
      </c>
      <c r="C675" s="13" t="inlineStr">
        <is>
          <t>600627700</t>
        </is>
      </c>
      <c r="D675" s="13" t="inlineStr">
        <is>
          <t>结构用热轧不锈无缝钢管|钢管|1Cr18Ni9Ti|Φ4×1|GB/T 14975-2002|热轧</t>
        </is>
      </c>
      <c r="E675" s="13" t="inlineStr">
        <is>
          <t xml:space="preserve">物资名称 结构用热轧不锈无缝钢管;物资简称 钢管;牌号 1Cr18Ni9Ti;外径 Φ4;壁厚 1;技术标准号 GB/T 14975-2002;加工工艺 热轧;热处理工艺 ;特殊要求 ;规格标准号 </t>
        </is>
      </c>
      <c r="F675" s="12" t="inlineStr">
        <is>
          <t>千克</t>
        </is>
      </c>
      <c r="G675" s="11">
        <f>LEFT(D675,FIND("|",D675,1)-1)</f>
        <v/>
      </c>
      <c r="H675" s="11">
        <f>MID(D675,FIND("|",D675,FIND("|",D675,1))+1,FIND("|",D675,FIND("|",D675,1)+1)-FIND("|",D675,FIND("|",D675,1))-1)</f>
        <v/>
      </c>
      <c r="J675" s="11">
        <f>MID(D675,FIND(";",SUBSTITUTE(D675,"|",REPT(";",LEN(D675)),2))+1,FIND(";",SUBSTITUTE(D675,"|",REPT(";",LEN(D675)),3))-FIND(";",SUBSTITUTE(D675,"|",REPT(";",LEN(D675)),2))-1)</f>
        <v/>
      </c>
      <c r="K675" s="11">
        <f>MID(D675,FIND(";",SUBSTITUTE(D675,"|",REPT(";",LEN(D675)),3))+1,FIND(";",SUBSTITUTE(D675,"|",REPT(";",LEN(D675)),4))-FIND(";",SUBSTITUTE(D675,"|",REPT(";",LEN(D675)),3))-1)</f>
        <v/>
      </c>
      <c r="M675" s="11">
        <f>MID(D675,FIND(";",SUBSTITUTE(D675,"|",REPT(";",LEN(D675)),4))+1,FIND(";",SUBSTITUTE(D675,"|",REPT(";",LEN(D675)),5))-FIND(";",SUBSTITUTE(D675,"|",REPT(";",LEN(D675)),4))-1)</f>
        <v/>
      </c>
      <c r="O675" s="11">
        <f>MID(D675,FIND(";",SUBSTITUTE(D675,"|",REPT(";",LEN(D675)),5))+1,LEN(D675))</f>
        <v/>
      </c>
    </row>
    <row r="676" ht="140" customHeight="1" s="21">
      <c r="A676" s="13" t="inlineStr">
        <is>
          <t>100301</t>
        </is>
      </c>
      <c r="B676" s="13" t="inlineStr">
        <is>
          <t>无缝钢管</t>
        </is>
      </c>
      <c r="C676" s="13" t="inlineStr">
        <is>
          <t>600627600</t>
        </is>
      </c>
      <c r="D676" s="13" t="inlineStr">
        <is>
          <t>结构用热轧不锈无缝钢管|钢管|1Cr18Ni9Ti|Φ6×1|GB/T 14975-2002|热轧</t>
        </is>
      </c>
      <c r="E676" s="13" t="inlineStr">
        <is>
          <t xml:space="preserve">物资名称 结构用热轧不锈无缝钢管;物资简称 钢管;牌号 1Cr18Ni9Ti;外径 Φ6;壁厚 1;技术标准号 GB/T 14975-2002;加工工艺 热轧;热处理工艺 ;特殊要求 ;规格标准号 </t>
        </is>
      </c>
      <c r="F676" s="12" t="inlineStr">
        <is>
          <t>千克</t>
        </is>
      </c>
      <c r="G676" s="11">
        <f>LEFT(D676,FIND("|",D676,1)-1)</f>
        <v/>
      </c>
      <c r="H676" s="11">
        <f>MID(D676,FIND("|",D676,FIND("|",D676,1))+1,FIND("|",D676,FIND("|",D676,1)+1)-FIND("|",D676,FIND("|",D676,1))-1)</f>
        <v/>
      </c>
      <c r="J676" s="11">
        <f>MID(D676,FIND(";",SUBSTITUTE(D676,"|",REPT(";",LEN(D676)),2))+1,FIND(";",SUBSTITUTE(D676,"|",REPT(";",LEN(D676)),3))-FIND(";",SUBSTITUTE(D676,"|",REPT(";",LEN(D676)),2))-1)</f>
        <v/>
      </c>
      <c r="K676" s="11">
        <f>MID(D676,FIND(";",SUBSTITUTE(D676,"|",REPT(";",LEN(D676)),3))+1,FIND(";",SUBSTITUTE(D676,"|",REPT(";",LEN(D676)),4))-FIND(";",SUBSTITUTE(D676,"|",REPT(";",LEN(D676)),3))-1)</f>
        <v/>
      </c>
      <c r="M676" s="11">
        <f>MID(D676,FIND(";",SUBSTITUTE(D676,"|",REPT(";",LEN(D676)),4))+1,FIND(";",SUBSTITUTE(D676,"|",REPT(";",LEN(D676)),5))-FIND(";",SUBSTITUTE(D676,"|",REPT(";",LEN(D676)),4))-1)</f>
        <v/>
      </c>
      <c r="O676" s="11">
        <f>MID(D676,FIND(";",SUBSTITUTE(D676,"|",REPT(";",LEN(D676)),5))+1,LEN(D676))</f>
        <v/>
      </c>
    </row>
    <row r="677" ht="140" customHeight="1" s="21">
      <c r="A677" s="13" t="inlineStr">
        <is>
          <t>100301</t>
        </is>
      </c>
      <c r="B677" s="13" t="inlineStr">
        <is>
          <t>无缝钢管</t>
        </is>
      </c>
      <c r="C677" s="13" t="inlineStr">
        <is>
          <t>600627500</t>
        </is>
      </c>
      <c r="D677" s="13" t="inlineStr">
        <is>
          <t>结构用热轧不锈无缝钢管|钢管|1Cr18Ni9Ti|Φ6×1.5|GB/T 14975-2002|热轧</t>
        </is>
      </c>
      <c r="E677" s="13" t="inlineStr">
        <is>
          <t xml:space="preserve">物资名称 结构用热轧不锈无缝钢管;物资简称 钢管;牌号 1Cr18Ni9Ti;外径 Φ6;壁厚 1.5;技术标准号 GB/T 14975-2002;加工工艺 热轧;热处理工艺 ;特殊要求 ;规格标准号 </t>
        </is>
      </c>
      <c r="F677" s="12" t="inlineStr">
        <is>
          <t>千克</t>
        </is>
      </c>
      <c r="G677" s="11">
        <f>LEFT(D677,FIND("|",D677,1)-1)</f>
        <v/>
      </c>
      <c r="H677" s="11">
        <f>MID(D677,FIND("|",D677,FIND("|",D677,1))+1,FIND("|",D677,FIND("|",D677,1)+1)-FIND("|",D677,FIND("|",D677,1))-1)</f>
        <v/>
      </c>
      <c r="J677" s="11">
        <f>MID(D677,FIND(";",SUBSTITUTE(D677,"|",REPT(";",LEN(D677)),2))+1,FIND(";",SUBSTITUTE(D677,"|",REPT(";",LEN(D677)),3))-FIND(";",SUBSTITUTE(D677,"|",REPT(";",LEN(D677)),2))-1)</f>
        <v/>
      </c>
      <c r="K677" s="11">
        <f>MID(D677,FIND(";",SUBSTITUTE(D677,"|",REPT(";",LEN(D677)),3))+1,FIND(";",SUBSTITUTE(D677,"|",REPT(";",LEN(D677)),4))-FIND(";",SUBSTITUTE(D677,"|",REPT(";",LEN(D677)),3))-1)</f>
        <v/>
      </c>
      <c r="M677" s="11">
        <f>MID(D677,FIND(";",SUBSTITUTE(D677,"|",REPT(";",LEN(D677)),4))+1,FIND(";",SUBSTITUTE(D677,"|",REPT(";",LEN(D677)),5))-FIND(";",SUBSTITUTE(D677,"|",REPT(";",LEN(D677)),4))-1)</f>
        <v/>
      </c>
      <c r="O677" s="11">
        <f>MID(D677,FIND(";",SUBSTITUTE(D677,"|",REPT(";",LEN(D677)),5))+1,LEN(D677))</f>
        <v/>
      </c>
    </row>
    <row r="678" ht="140" customHeight="1" s="21">
      <c r="A678" s="13" t="inlineStr">
        <is>
          <t>100301</t>
        </is>
      </c>
      <c r="B678" s="13" t="inlineStr">
        <is>
          <t>无缝钢管</t>
        </is>
      </c>
      <c r="C678" s="13" t="inlineStr">
        <is>
          <t>600627400</t>
        </is>
      </c>
      <c r="D678" s="13" t="inlineStr">
        <is>
          <t>结构用热轧不锈无缝钢管|钢管|1Cr18Ni9Ti|Φ8×1|GB/T 14975-2002|热轧</t>
        </is>
      </c>
      <c r="E678" s="13" t="inlineStr">
        <is>
          <t xml:space="preserve">物资名称 结构用热轧不锈无缝钢管;物资简称 钢管;牌号 1Cr18Ni9Ti;外径 Φ8;壁厚 1;技术标准号 GB/T 14975-2002;加工工艺 热轧;热处理工艺 ;特殊要求 ;规格标准号 </t>
        </is>
      </c>
      <c r="F678" s="12" t="inlineStr">
        <is>
          <t>千克</t>
        </is>
      </c>
      <c r="G678" s="11">
        <f>LEFT(D678,FIND("|",D678,1)-1)</f>
        <v/>
      </c>
      <c r="H678" s="11">
        <f>MID(D678,FIND("|",D678,FIND("|",D678,1))+1,FIND("|",D678,FIND("|",D678,1)+1)-FIND("|",D678,FIND("|",D678,1))-1)</f>
        <v/>
      </c>
      <c r="J678" s="11">
        <f>MID(D678,FIND(";",SUBSTITUTE(D678,"|",REPT(";",LEN(D678)),2))+1,FIND(";",SUBSTITUTE(D678,"|",REPT(";",LEN(D678)),3))-FIND(";",SUBSTITUTE(D678,"|",REPT(";",LEN(D678)),2))-1)</f>
        <v/>
      </c>
      <c r="K678" s="11">
        <f>MID(D678,FIND(";",SUBSTITUTE(D678,"|",REPT(";",LEN(D678)),3))+1,FIND(";",SUBSTITUTE(D678,"|",REPT(";",LEN(D678)),4))-FIND(";",SUBSTITUTE(D678,"|",REPT(";",LEN(D678)),3))-1)</f>
        <v/>
      </c>
      <c r="M678" s="11">
        <f>MID(D678,FIND(";",SUBSTITUTE(D678,"|",REPT(";",LEN(D678)),4))+1,FIND(";",SUBSTITUTE(D678,"|",REPT(";",LEN(D678)),5))-FIND(";",SUBSTITUTE(D678,"|",REPT(";",LEN(D678)),4))-1)</f>
        <v/>
      </c>
      <c r="O678" s="11">
        <f>MID(D678,FIND(";",SUBSTITUTE(D678,"|",REPT(";",LEN(D678)),5))+1,LEN(D678))</f>
        <v/>
      </c>
    </row>
    <row r="679" ht="140" customHeight="1" s="21">
      <c r="A679" s="13" t="inlineStr">
        <is>
          <t>100301</t>
        </is>
      </c>
      <c r="B679" s="13" t="inlineStr">
        <is>
          <t>无缝钢管</t>
        </is>
      </c>
      <c r="C679" s="13" t="inlineStr">
        <is>
          <t>600627300</t>
        </is>
      </c>
      <c r="D679" s="13" t="inlineStr">
        <is>
          <t>结构用热轧不锈无缝钢管|钢管|1Cr18Ni9Ti|Φ8×2|GB/T 14975-2002|热轧</t>
        </is>
      </c>
      <c r="E679" s="13" t="inlineStr">
        <is>
          <t xml:space="preserve">物资名称 结构用热轧不锈无缝钢管;物资简称 钢管;牌号 1Cr18Ni9Ti;外径 Φ8;壁厚 2;技术标准号 GB/T 14975-2002;加工工艺 热轧;热处理工艺 ;特殊要求 ;规格标准号 </t>
        </is>
      </c>
      <c r="F679" s="12" t="inlineStr">
        <is>
          <t>千克</t>
        </is>
      </c>
      <c r="G679" s="11">
        <f>LEFT(D679,FIND("|",D679,1)-1)</f>
        <v/>
      </c>
      <c r="H679" s="11">
        <f>MID(D679,FIND("|",D679,FIND("|",D679,1))+1,FIND("|",D679,FIND("|",D679,1)+1)-FIND("|",D679,FIND("|",D679,1))-1)</f>
        <v/>
      </c>
      <c r="J679" s="11">
        <f>MID(D679,FIND(";",SUBSTITUTE(D679,"|",REPT(";",LEN(D679)),2))+1,FIND(";",SUBSTITUTE(D679,"|",REPT(";",LEN(D679)),3))-FIND(";",SUBSTITUTE(D679,"|",REPT(";",LEN(D679)),2))-1)</f>
        <v/>
      </c>
      <c r="K679" s="11">
        <f>MID(D679,FIND(";",SUBSTITUTE(D679,"|",REPT(";",LEN(D679)),3))+1,FIND(";",SUBSTITUTE(D679,"|",REPT(";",LEN(D679)),4))-FIND(";",SUBSTITUTE(D679,"|",REPT(";",LEN(D679)),3))-1)</f>
        <v/>
      </c>
      <c r="M679" s="11">
        <f>MID(D679,FIND(";",SUBSTITUTE(D679,"|",REPT(";",LEN(D679)),4))+1,FIND(";",SUBSTITUTE(D679,"|",REPT(";",LEN(D679)),5))-FIND(";",SUBSTITUTE(D679,"|",REPT(";",LEN(D679)),4))-1)</f>
        <v/>
      </c>
      <c r="O679" s="11">
        <f>MID(D679,FIND(";",SUBSTITUTE(D679,"|",REPT(";",LEN(D679)),5))+1,LEN(D679))</f>
        <v/>
      </c>
    </row>
    <row r="680" ht="140" customHeight="1" s="21">
      <c r="A680" s="13" t="inlineStr">
        <is>
          <t>100301</t>
        </is>
      </c>
      <c r="B680" s="13" t="inlineStr">
        <is>
          <t>无缝钢管</t>
        </is>
      </c>
      <c r="C680" s="13" t="inlineStr">
        <is>
          <t>600627200</t>
        </is>
      </c>
      <c r="D680" s="13" t="inlineStr">
        <is>
          <t>结构用热轧不锈无缝钢管|钢管|1Cr18Ni9Ti|Φ10×1|GB/T 14975-2002|热轧</t>
        </is>
      </c>
      <c r="E680" s="13" t="inlineStr">
        <is>
          <t xml:space="preserve">物资名称 结构用热轧不锈无缝钢管;物资简称 钢管;牌号 1Cr18Ni9Ti;外径 Φ10;壁厚 1;技术标准号 GB/T 14975-2002;加工工艺 热轧;热处理工艺 ;特殊要求 ;规格标准号 </t>
        </is>
      </c>
      <c r="F680" s="12" t="inlineStr">
        <is>
          <t>千克</t>
        </is>
      </c>
      <c r="G680" s="11">
        <f>LEFT(D680,FIND("|",D680,1)-1)</f>
        <v/>
      </c>
      <c r="H680" s="11">
        <f>MID(D680,FIND("|",D680,FIND("|",D680,1))+1,FIND("|",D680,FIND("|",D680,1)+1)-FIND("|",D680,FIND("|",D680,1))-1)</f>
        <v/>
      </c>
      <c r="J680" s="11">
        <f>MID(D680,FIND(";",SUBSTITUTE(D680,"|",REPT(";",LEN(D680)),2))+1,FIND(";",SUBSTITUTE(D680,"|",REPT(";",LEN(D680)),3))-FIND(";",SUBSTITUTE(D680,"|",REPT(";",LEN(D680)),2))-1)</f>
        <v/>
      </c>
      <c r="K680" s="11">
        <f>MID(D680,FIND(";",SUBSTITUTE(D680,"|",REPT(";",LEN(D680)),3))+1,FIND(";",SUBSTITUTE(D680,"|",REPT(";",LEN(D680)),4))-FIND(";",SUBSTITUTE(D680,"|",REPT(";",LEN(D680)),3))-1)</f>
        <v/>
      </c>
      <c r="M680" s="11">
        <f>MID(D680,FIND(";",SUBSTITUTE(D680,"|",REPT(";",LEN(D680)),4))+1,FIND(";",SUBSTITUTE(D680,"|",REPT(";",LEN(D680)),5))-FIND(";",SUBSTITUTE(D680,"|",REPT(";",LEN(D680)),4))-1)</f>
        <v/>
      </c>
      <c r="O680" s="11">
        <f>MID(D680,FIND(";",SUBSTITUTE(D680,"|",REPT(";",LEN(D680)),5))+1,LEN(D680))</f>
        <v/>
      </c>
    </row>
    <row r="681" ht="140" customHeight="1" s="21">
      <c r="A681" s="13" t="inlineStr">
        <is>
          <t>100301</t>
        </is>
      </c>
      <c r="B681" s="13" t="inlineStr">
        <is>
          <t>无缝钢管</t>
        </is>
      </c>
      <c r="C681" s="13" t="inlineStr">
        <is>
          <t>600627100</t>
        </is>
      </c>
      <c r="D681" s="13" t="inlineStr">
        <is>
          <t>结构用热轧不锈无缝钢管|钢管|1Cr18Ni9Ti|Φ12×1|GB/T 14975-2002|热轧</t>
        </is>
      </c>
      <c r="E681" s="13" t="inlineStr">
        <is>
          <t xml:space="preserve">物资名称 结构用热轧不锈无缝钢管;物资简称 钢管;牌号 1Cr18Ni9Ti;外径 Φ12;壁厚 1;技术标准号 GB/T 14975-2002;加工工艺 热轧;热处理工艺 ;特殊要求 ;规格标准号 </t>
        </is>
      </c>
      <c r="F681" s="12" t="inlineStr">
        <is>
          <t>千克</t>
        </is>
      </c>
      <c r="G681" s="11">
        <f>LEFT(D681,FIND("|",D681,1)-1)</f>
        <v/>
      </c>
      <c r="H681" s="11">
        <f>MID(D681,FIND("|",D681,FIND("|",D681,1))+1,FIND("|",D681,FIND("|",D681,1)+1)-FIND("|",D681,FIND("|",D681,1))-1)</f>
        <v/>
      </c>
      <c r="J681" s="11">
        <f>MID(D681,FIND(";",SUBSTITUTE(D681,"|",REPT(";",LEN(D681)),2))+1,FIND(";",SUBSTITUTE(D681,"|",REPT(";",LEN(D681)),3))-FIND(";",SUBSTITUTE(D681,"|",REPT(";",LEN(D681)),2))-1)</f>
        <v/>
      </c>
      <c r="K681" s="11">
        <f>MID(D681,FIND(";",SUBSTITUTE(D681,"|",REPT(";",LEN(D681)),3))+1,FIND(";",SUBSTITUTE(D681,"|",REPT(";",LEN(D681)),4))-FIND(";",SUBSTITUTE(D681,"|",REPT(";",LEN(D681)),3))-1)</f>
        <v/>
      </c>
      <c r="M681" s="11">
        <f>MID(D681,FIND(";",SUBSTITUTE(D681,"|",REPT(";",LEN(D681)),4))+1,FIND(";",SUBSTITUTE(D681,"|",REPT(";",LEN(D681)),5))-FIND(";",SUBSTITUTE(D681,"|",REPT(";",LEN(D681)),4))-1)</f>
        <v/>
      </c>
      <c r="O681" s="11">
        <f>MID(D681,FIND(";",SUBSTITUTE(D681,"|",REPT(";",LEN(D681)),5))+1,LEN(D681))</f>
        <v/>
      </c>
    </row>
    <row r="682" ht="140" customHeight="1" s="21">
      <c r="A682" s="13" t="inlineStr">
        <is>
          <t>100301</t>
        </is>
      </c>
      <c r="B682" s="13" t="inlineStr">
        <is>
          <t>无缝钢管</t>
        </is>
      </c>
      <c r="C682" s="13" t="inlineStr">
        <is>
          <t>600627000</t>
        </is>
      </c>
      <c r="D682" s="13" t="inlineStr">
        <is>
          <t>结构用热轧不锈无缝钢管|钢管|1Cr18Ni9Ti|Φ45×4|GB/T 14975-2002|热轧</t>
        </is>
      </c>
      <c r="E682" s="13" t="inlineStr">
        <is>
          <t xml:space="preserve">物资名称 结构用热轧不锈无缝钢管;物资简称 钢管;牌号 1Cr18Ni9Ti;外径 Φ45;壁厚 4;技术标准号 GB/T 14975-2002;加工工艺 热轧;热处理工艺 ;特殊要求 ;规格标准号 </t>
        </is>
      </c>
      <c r="F682" s="12" t="inlineStr">
        <is>
          <t>千克</t>
        </is>
      </c>
      <c r="G682" s="11">
        <f>LEFT(D682,FIND("|",D682,1)-1)</f>
        <v/>
      </c>
      <c r="H682" s="11">
        <f>MID(D682,FIND("|",D682,FIND("|",D682,1))+1,FIND("|",D682,FIND("|",D682,1)+1)-FIND("|",D682,FIND("|",D682,1))-1)</f>
        <v/>
      </c>
      <c r="J682" s="11">
        <f>MID(D682,FIND(";",SUBSTITUTE(D682,"|",REPT(";",LEN(D682)),2))+1,FIND(";",SUBSTITUTE(D682,"|",REPT(";",LEN(D682)),3))-FIND(";",SUBSTITUTE(D682,"|",REPT(";",LEN(D682)),2))-1)</f>
        <v/>
      </c>
      <c r="K682" s="11">
        <f>MID(D682,FIND(";",SUBSTITUTE(D682,"|",REPT(";",LEN(D682)),3))+1,FIND(";",SUBSTITUTE(D682,"|",REPT(";",LEN(D682)),4))-FIND(";",SUBSTITUTE(D682,"|",REPT(";",LEN(D682)),3))-1)</f>
        <v/>
      </c>
      <c r="M682" s="11">
        <f>MID(D682,FIND(";",SUBSTITUTE(D682,"|",REPT(";",LEN(D682)),4))+1,FIND(";",SUBSTITUTE(D682,"|",REPT(";",LEN(D682)),5))-FIND(";",SUBSTITUTE(D682,"|",REPT(";",LEN(D682)),4))-1)</f>
        <v/>
      </c>
      <c r="O682" s="11">
        <f>MID(D682,FIND(";",SUBSTITUTE(D682,"|",REPT(";",LEN(D682)),5))+1,LEN(D682))</f>
        <v/>
      </c>
    </row>
    <row r="683" ht="140" customHeight="1" s="21">
      <c r="A683" s="13" t="inlineStr">
        <is>
          <t>100301</t>
        </is>
      </c>
      <c r="B683" s="13" t="inlineStr">
        <is>
          <t>无缝钢管</t>
        </is>
      </c>
      <c r="C683" s="13" t="inlineStr">
        <is>
          <t>600626900</t>
        </is>
      </c>
      <c r="D683" s="13" t="inlineStr">
        <is>
          <t>结构用热轧不锈无缝钢管|钢管|1Cr18Ni9Ti|Φ89×6|GB/T 14975-2002|热轧</t>
        </is>
      </c>
      <c r="E683" s="13" t="inlineStr">
        <is>
          <t xml:space="preserve">物资名称 结构用热轧不锈无缝钢管;物资简称 钢管;牌号 1Cr18Ni9Ti;外径 Φ89;壁厚 6;技术标准号 GB/T 14975-2002;加工工艺 热轧;热处理工艺 ;特殊要求 ;规格标准号 </t>
        </is>
      </c>
      <c r="F683" s="12" t="inlineStr">
        <is>
          <t>千克</t>
        </is>
      </c>
      <c r="G683" s="11">
        <f>LEFT(D683,FIND("|",D683,1)-1)</f>
        <v/>
      </c>
      <c r="H683" s="11">
        <f>MID(D683,FIND("|",D683,FIND("|",D683,1))+1,FIND("|",D683,FIND("|",D683,1)+1)-FIND("|",D683,FIND("|",D683,1))-1)</f>
        <v/>
      </c>
      <c r="J683" s="11">
        <f>MID(D683,FIND(";",SUBSTITUTE(D683,"|",REPT(";",LEN(D683)),2))+1,FIND(";",SUBSTITUTE(D683,"|",REPT(";",LEN(D683)),3))-FIND(";",SUBSTITUTE(D683,"|",REPT(";",LEN(D683)),2))-1)</f>
        <v/>
      </c>
      <c r="K683" s="11">
        <f>MID(D683,FIND(";",SUBSTITUTE(D683,"|",REPT(";",LEN(D683)),3))+1,FIND(";",SUBSTITUTE(D683,"|",REPT(";",LEN(D683)),4))-FIND(";",SUBSTITUTE(D683,"|",REPT(";",LEN(D683)),3))-1)</f>
        <v/>
      </c>
      <c r="M683" s="11">
        <f>MID(D683,FIND(";",SUBSTITUTE(D683,"|",REPT(";",LEN(D683)),4))+1,FIND(";",SUBSTITUTE(D683,"|",REPT(";",LEN(D683)),5))-FIND(";",SUBSTITUTE(D683,"|",REPT(";",LEN(D683)),4))-1)</f>
        <v/>
      </c>
      <c r="O683" s="11">
        <f>MID(D683,FIND(";",SUBSTITUTE(D683,"|",REPT(";",LEN(D683)),5))+1,LEN(D683))</f>
        <v/>
      </c>
    </row>
    <row r="684" ht="140" customHeight="1" s="21">
      <c r="A684" s="13" t="inlineStr">
        <is>
          <t>100301</t>
        </is>
      </c>
      <c r="B684" s="13" t="inlineStr">
        <is>
          <t>无缝钢管</t>
        </is>
      </c>
      <c r="C684" s="13" t="inlineStr">
        <is>
          <t>600626800</t>
        </is>
      </c>
      <c r="D684" s="13" t="inlineStr">
        <is>
          <t>结构用热轧不锈无缝钢管|钢管|1Cr18Ni9Ti|Φ25×2.5|GB/T 14975-2002|热轧</t>
        </is>
      </c>
      <c r="E684" s="13" t="inlineStr">
        <is>
          <t xml:space="preserve">物资名称 结构用热轧不锈无缝钢管;物资简称 钢管;牌号 1Cr18Ni9Ti;外径 Φ25;壁厚 2.5;技术标准号 GB/T 14975-2002;加工工艺 热轧;热处理工艺 ;特殊要求 ;规格标准号 </t>
        </is>
      </c>
      <c r="F684" s="12" t="inlineStr">
        <is>
          <t>千克</t>
        </is>
      </c>
      <c r="G684" s="11">
        <f>LEFT(D684,FIND("|",D684,1)-1)</f>
        <v/>
      </c>
      <c r="H684" s="11">
        <f>MID(D684,FIND("|",D684,FIND("|",D684,1))+1,FIND("|",D684,FIND("|",D684,1)+1)-FIND("|",D684,FIND("|",D684,1))-1)</f>
        <v/>
      </c>
      <c r="J684" s="11">
        <f>MID(D684,FIND(";",SUBSTITUTE(D684,"|",REPT(";",LEN(D684)),2))+1,FIND(";",SUBSTITUTE(D684,"|",REPT(";",LEN(D684)),3))-FIND(";",SUBSTITUTE(D684,"|",REPT(";",LEN(D684)),2))-1)</f>
        <v/>
      </c>
      <c r="K684" s="11">
        <f>MID(D684,FIND(";",SUBSTITUTE(D684,"|",REPT(";",LEN(D684)),3))+1,FIND(";",SUBSTITUTE(D684,"|",REPT(";",LEN(D684)),4))-FIND(";",SUBSTITUTE(D684,"|",REPT(";",LEN(D684)),3))-1)</f>
        <v/>
      </c>
      <c r="M684" s="11">
        <f>MID(D684,FIND(";",SUBSTITUTE(D684,"|",REPT(";",LEN(D684)),4))+1,FIND(";",SUBSTITUTE(D684,"|",REPT(";",LEN(D684)),5))-FIND(";",SUBSTITUTE(D684,"|",REPT(";",LEN(D684)),4))-1)</f>
        <v/>
      </c>
      <c r="O684" s="11">
        <f>MID(D684,FIND(";",SUBSTITUTE(D684,"|",REPT(";",LEN(D684)),5))+1,LEN(D684))</f>
        <v/>
      </c>
    </row>
    <row r="685" ht="140" customHeight="1" s="21">
      <c r="A685" s="13" t="inlineStr">
        <is>
          <t>100301</t>
        </is>
      </c>
      <c r="B685" s="13" t="inlineStr">
        <is>
          <t>无缝钢管</t>
        </is>
      </c>
      <c r="C685" s="13" t="inlineStr">
        <is>
          <t>600626700</t>
        </is>
      </c>
      <c r="D685" s="13" t="inlineStr">
        <is>
          <t>结构用热轧不锈无缝钢管|钢管|1Cr18Ni9Ti|Φ32×3|GB/T 14975-2002|热轧</t>
        </is>
      </c>
      <c r="E685" s="13" t="inlineStr">
        <is>
          <t xml:space="preserve">物资名称 结构用热轧不锈无缝钢管;物资简称 钢管;牌号 1Cr18Ni9Ti;外径 Φ32;壁厚 3;技术标准号 GB/T 14975-2002;加工工艺 热轧;热处理工艺 ;特殊要求 ;规格标准号 </t>
        </is>
      </c>
      <c r="F685" s="12" t="inlineStr">
        <is>
          <t>千克</t>
        </is>
      </c>
      <c r="G685" s="11">
        <f>LEFT(D685,FIND("|",D685,1)-1)</f>
        <v/>
      </c>
      <c r="H685" s="11">
        <f>MID(D685,FIND("|",D685,FIND("|",D685,1))+1,FIND("|",D685,FIND("|",D685,1)+1)-FIND("|",D685,FIND("|",D685,1))-1)</f>
        <v/>
      </c>
      <c r="J685" s="11">
        <f>MID(D685,FIND(";",SUBSTITUTE(D685,"|",REPT(";",LEN(D685)),2))+1,FIND(";",SUBSTITUTE(D685,"|",REPT(";",LEN(D685)),3))-FIND(";",SUBSTITUTE(D685,"|",REPT(";",LEN(D685)),2))-1)</f>
        <v/>
      </c>
      <c r="K685" s="11">
        <f>MID(D685,FIND(";",SUBSTITUTE(D685,"|",REPT(";",LEN(D685)),3))+1,FIND(";",SUBSTITUTE(D685,"|",REPT(";",LEN(D685)),4))-FIND(";",SUBSTITUTE(D685,"|",REPT(";",LEN(D685)),3))-1)</f>
        <v/>
      </c>
      <c r="M685" s="11">
        <f>MID(D685,FIND(";",SUBSTITUTE(D685,"|",REPT(";",LEN(D685)),4))+1,FIND(";",SUBSTITUTE(D685,"|",REPT(";",LEN(D685)),5))-FIND(";",SUBSTITUTE(D685,"|",REPT(";",LEN(D685)),4))-1)</f>
        <v/>
      </c>
      <c r="O685" s="11">
        <f>MID(D685,FIND(";",SUBSTITUTE(D685,"|",REPT(";",LEN(D685)),5))+1,LEN(D685))</f>
        <v/>
      </c>
    </row>
    <row r="686" ht="140" customHeight="1" s="21">
      <c r="A686" s="13" t="inlineStr">
        <is>
          <t>100301</t>
        </is>
      </c>
      <c r="B686" s="13" t="inlineStr">
        <is>
          <t>无缝钢管</t>
        </is>
      </c>
      <c r="C686" s="13" t="inlineStr">
        <is>
          <t>600626600</t>
        </is>
      </c>
      <c r="D686" s="13" t="inlineStr">
        <is>
          <t>结构用热轧不锈无缝钢管|钢管|1Cr18Ni9Ti|Φ34×3|GB/T 14975-2002|热轧</t>
        </is>
      </c>
      <c r="E686" s="13" t="inlineStr">
        <is>
          <t xml:space="preserve">物资名称 结构用热轧不锈无缝钢管;物资简称 钢管;牌号 1Cr18Ni9Ti;外径 Φ34;壁厚 3;技术标准号 GB/T 14975-2002;加工工艺 热轧;热处理工艺 ;特殊要求 ;规格标准号 </t>
        </is>
      </c>
      <c r="F686" s="12" t="inlineStr">
        <is>
          <t>千克</t>
        </is>
      </c>
      <c r="G686" s="11">
        <f>LEFT(D686,FIND("|",D686,1)-1)</f>
        <v/>
      </c>
      <c r="H686" s="11">
        <f>MID(D686,FIND("|",D686,FIND("|",D686,1))+1,FIND("|",D686,FIND("|",D686,1)+1)-FIND("|",D686,FIND("|",D686,1))-1)</f>
        <v/>
      </c>
      <c r="J686" s="11">
        <f>MID(D686,FIND(";",SUBSTITUTE(D686,"|",REPT(";",LEN(D686)),2))+1,FIND(";",SUBSTITUTE(D686,"|",REPT(";",LEN(D686)),3))-FIND(";",SUBSTITUTE(D686,"|",REPT(";",LEN(D686)),2))-1)</f>
        <v/>
      </c>
      <c r="K686" s="11">
        <f>MID(D686,FIND(";",SUBSTITUTE(D686,"|",REPT(";",LEN(D686)),3))+1,FIND(";",SUBSTITUTE(D686,"|",REPT(";",LEN(D686)),4))-FIND(";",SUBSTITUTE(D686,"|",REPT(";",LEN(D686)),3))-1)</f>
        <v/>
      </c>
      <c r="M686" s="11">
        <f>MID(D686,FIND(";",SUBSTITUTE(D686,"|",REPT(";",LEN(D686)),4))+1,FIND(";",SUBSTITUTE(D686,"|",REPT(";",LEN(D686)),5))-FIND(";",SUBSTITUTE(D686,"|",REPT(";",LEN(D686)),4))-1)</f>
        <v/>
      </c>
      <c r="O686" s="11">
        <f>MID(D686,FIND(";",SUBSTITUTE(D686,"|",REPT(";",LEN(D686)),5))+1,LEN(D686))</f>
        <v/>
      </c>
    </row>
    <row r="687" ht="140" customHeight="1" s="21">
      <c r="A687" s="13" t="inlineStr">
        <is>
          <t>100301</t>
        </is>
      </c>
      <c r="B687" s="13" t="inlineStr">
        <is>
          <t>无缝钢管</t>
        </is>
      </c>
      <c r="C687" s="13" t="inlineStr">
        <is>
          <t>600626500</t>
        </is>
      </c>
      <c r="D687" s="13" t="inlineStr">
        <is>
          <t>结构用热轧不锈无缝钢管|钢管|1Cr18Ni9Ti|Φ28×4|GB/T 14975-2002|热轧</t>
        </is>
      </c>
      <c r="E687" s="13" t="inlineStr">
        <is>
          <t xml:space="preserve">物资名称 结构用热轧不锈无缝钢管;物资简称 钢管;牌号 1Cr18Ni9Ti;外径 Φ28;壁厚 4;技术标准号 GB/T 14975-2002;加工工艺 热轧;热处理工艺 ;特殊要求 ;规格标准号 </t>
        </is>
      </c>
      <c r="F687" s="12" t="inlineStr">
        <is>
          <t>千克</t>
        </is>
      </c>
      <c r="G687" s="11">
        <f>LEFT(D687,FIND("|",D687,1)-1)</f>
        <v/>
      </c>
      <c r="H687" s="11">
        <f>MID(D687,FIND("|",D687,FIND("|",D687,1))+1,FIND("|",D687,FIND("|",D687,1)+1)-FIND("|",D687,FIND("|",D687,1))-1)</f>
        <v/>
      </c>
      <c r="J687" s="11">
        <f>MID(D687,FIND(";",SUBSTITUTE(D687,"|",REPT(";",LEN(D687)),2))+1,FIND(";",SUBSTITUTE(D687,"|",REPT(";",LEN(D687)),3))-FIND(";",SUBSTITUTE(D687,"|",REPT(";",LEN(D687)),2))-1)</f>
        <v/>
      </c>
      <c r="K687" s="11">
        <f>MID(D687,FIND(";",SUBSTITUTE(D687,"|",REPT(";",LEN(D687)),3))+1,FIND(";",SUBSTITUTE(D687,"|",REPT(";",LEN(D687)),4))-FIND(";",SUBSTITUTE(D687,"|",REPT(";",LEN(D687)),3))-1)</f>
        <v/>
      </c>
      <c r="M687" s="11">
        <f>MID(D687,FIND(";",SUBSTITUTE(D687,"|",REPT(";",LEN(D687)),4))+1,FIND(";",SUBSTITUTE(D687,"|",REPT(";",LEN(D687)),5))-FIND(";",SUBSTITUTE(D687,"|",REPT(";",LEN(D687)),4))-1)</f>
        <v/>
      </c>
      <c r="O687" s="11">
        <f>MID(D687,FIND(";",SUBSTITUTE(D687,"|",REPT(";",LEN(D687)),5))+1,LEN(D687))</f>
        <v/>
      </c>
    </row>
    <row r="688" ht="140" customHeight="1" s="21">
      <c r="A688" s="13" t="inlineStr">
        <is>
          <t>100301</t>
        </is>
      </c>
      <c r="B688" s="13" t="inlineStr">
        <is>
          <t>无缝钢管</t>
        </is>
      </c>
      <c r="C688" s="13" t="inlineStr">
        <is>
          <t>600626400</t>
        </is>
      </c>
      <c r="D688" s="13" t="inlineStr">
        <is>
          <t>结构用热轧不锈无缝钢管|钢管|1Cr18Ni9Ti|Φ27×3|GB/T 14975-2002|热轧</t>
        </is>
      </c>
      <c r="E688" s="13" t="inlineStr">
        <is>
          <t xml:space="preserve">物资名称 结构用热轧不锈无缝钢管;物资简称 钢管;牌号 1Cr18Ni9Ti;外径 Φ27;壁厚 3;技术标准号 GB/T 14975-2002;加工工艺 热轧;热处理工艺 ;特殊要求 ;规格标准号 </t>
        </is>
      </c>
      <c r="F688" s="12" t="inlineStr">
        <is>
          <t>千克</t>
        </is>
      </c>
      <c r="G688" s="11">
        <f>LEFT(D688,FIND("|",D688,1)-1)</f>
        <v/>
      </c>
      <c r="H688" s="11">
        <f>MID(D688,FIND("|",D688,FIND("|",D688,1))+1,FIND("|",D688,FIND("|",D688,1)+1)-FIND("|",D688,FIND("|",D688,1))-1)</f>
        <v/>
      </c>
      <c r="J688" s="11">
        <f>MID(D688,FIND(";",SUBSTITUTE(D688,"|",REPT(";",LEN(D688)),2))+1,FIND(";",SUBSTITUTE(D688,"|",REPT(";",LEN(D688)),3))-FIND(";",SUBSTITUTE(D688,"|",REPT(";",LEN(D688)),2))-1)</f>
        <v/>
      </c>
      <c r="K688" s="11">
        <f>MID(D688,FIND(";",SUBSTITUTE(D688,"|",REPT(";",LEN(D688)),3))+1,FIND(";",SUBSTITUTE(D688,"|",REPT(";",LEN(D688)),4))-FIND(";",SUBSTITUTE(D688,"|",REPT(";",LEN(D688)),3))-1)</f>
        <v/>
      </c>
      <c r="M688" s="11">
        <f>MID(D688,FIND(";",SUBSTITUTE(D688,"|",REPT(";",LEN(D688)),4))+1,FIND(";",SUBSTITUTE(D688,"|",REPT(";",LEN(D688)),5))-FIND(";",SUBSTITUTE(D688,"|",REPT(";",LEN(D688)),4))-1)</f>
        <v/>
      </c>
      <c r="O688" s="11">
        <f>MID(D688,FIND(";",SUBSTITUTE(D688,"|",REPT(";",LEN(D688)),5))+1,LEN(D688))</f>
        <v/>
      </c>
    </row>
    <row r="689" ht="140" customHeight="1" s="21">
      <c r="A689" s="13" t="inlineStr">
        <is>
          <t>100301</t>
        </is>
      </c>
      <c r="B689" s="13" t="inlineStr">
        <is>
          <t>无缝钢管</t>
        </is>
      </c>
      <c r="C689" s="13" t="inlineStr">
        <is>
          <t>600626300</t>
        </is>
      </c>
      <c r="D689" s="13" t="inlineStr">
        <is>
          <t>结构用热轧不锈无缝钢管|钢管|1Cr18Ni9Ti|Φ25×3|GB/T 14975-2002|热轧</t>
        </is>
      </c>
      <c r="E689" s="13" t="inlineStr">
        <is>
          <t xml:space="preserve">物资名称 结构用热轧不锈无缝钢管;物资简称 钢管;牌号 1Cr18Ni9Ti;外径 Φ25;壁厚 3;技术标准号 GB/T 14975-2002;加工工艺 热轧;热处理工艺 ;特殊要求 ;规格标准号 </t>
        </is>
      </c>
      <c r="F689" s="12" t="inlineStr">
        <is>
          <t>千克</t>
        </is>
      </c>
      <c r="G689" s="11">
        <f>LEFT(D689,FIND("|",D689,1)-1)</f>
        <v/>
      </c>
      <c r="H689" s="11">
        <f>MID(D689,FIND("|",D689,FIND("|",D689,1))+1,FIND("|",D689,FIND("|",D689,1)+1)-FIND("|",D689,FIND("|",D689,1))-1)</f>
        <v/>
      </c>
      <c r="J689" s="11">
        <f>MID(D689,FIND(";",SUBSTITUTE(D689,"|",REPT(";",LEN(D689)),2))+1,FIND(";",SUBSTITUTE(D689,"|",REPT(";",LEN(D689)),3))-FIND(";",SUBSTITUTE(D689,"|",REPT(";",LEN(D689)),2))-1)</f>
        <v/>
      </c>
      <c r="K689" s="11">
        <f>MID(D689,FIND(";",SUBSTITUTE(D689,"|",REPT(";",LEN(D689)),3))+1,FIND(";",SUBSTITUTE(D689,"|",REPT(";",LEN(D689)),4))-FIND(";",SUBSTITUTE(D689,"|",REPT(";",LEN(D689)),3))-1)</f>
        <v/>
      </c>
      <c r="M689" s="11">
        <f>MID(D689,FIND(";",SUBSTITUTE(D689,"|",REPT(";",LEN(D689)),4))+1,FIND(";",SUBSTITUTE(D689,"|",REPT(";",LEN(D689)),5))-FIND(";",SUBSTITUTE(D689,"|",REPT(";",LEN(D689)),4))-1)</f>
        <v/>
      </c>
      <c r="O689" s="11">
        <f>MID(D689,FIND(";",SUBSTITUTE(D689,"|",REPT(";",LEN(D689)),5))+1,LEN(D689))</f>
        <v/>
      </c>
    </row>
    <row r="690" ht="140" customHeight="1" s="21">
      <c r="A690" s="13" t="inlineStr">
        <is>
          <t>100301</t>
        </is>
      </c>
      <c r="B690" s="13" t="inlineStr">
        <is>
          <t>无缝钢管</t>
        </is>
      </c>
      <c r="C690" s="13" t="inlineStr">
        <is>
          <t>600626200</t>
        </is>
      </c>
      <c r="D690" s="13" t="inlineStr">
        <is>
          <t>结构用热轧不锈无缝钢管|钢管|1Cr18Ni9Ti|Φ42×3|GB/T 14975-2002|热轧</t>
        </is>
      </c>
      <c r="E690" s="13" t="inlineStr">
        <is>
          <t xml:space="preserve">物资名称 结构用热轧不锈无缝钢管;物资简称 钢管;牌号 1Cr18Ni9Ti;外径 Φ42;壁厚 3;技术标准号 GB/T 14975-2002;加工工艺 热轧;热处理工艺 ;特殊要求 ;规格标准号 </t>
        </is>
      </c>
      <c r="F690" s="12" t="inlineStr">
        <is>
          <t>千克</t>
        </is>
      </c>
      <c r="G690" s="11">
        <f>LEFT(D690,FIND("|",D690,1)-1)</f>
        <v/>
      </c>
      <c r="H690" s="11">
        <f>MID(D690,FIND("|",D690,FIND("|",D690,1))+1,FIND("|",D690,FIND("|",D690,1)+1)-FIND("|",D690,FIND("|",D690,1))-1)</f>
        <v/>
      </c>
      <c r="J690" s="11">
        <f>MID(D690,FIND(";",SUBSTITUTE(D690,"|",REPT(";",LEN(D690)),2))+1,FIND(";",SUBSTITUTE(D690,"|",REPT(";",LEN(D690)),3))-FIND(";",SUBSTITUTE(D690,"|",REPT(";",LEN(D690)),2))-1)</f>
        <v/>
      </c>
      <c r="K690" s="11">
        <f>MID(D690,FIND(";",SUBSTITUTE(D690,"|",REPT(";",LEN(D690)),3))+1,FIND(";",SUBSTITUTE(D690,"|",REPT(";",LEN(D690)),4))-FIND(";",SUBSTITUTE(D690,"|",REPT(";",LEN(D690)),3))-1)</f>
        <v/>
      </c>
      <c r="M690" s="11">
        <f>MID(D690,FIND(";",SUBSTITUTE(D690,"|",REPT(";",LEN(D690)),4))+1,FIND(";",SUBSTITUTE(D690,"|",REPT(";",LEN(D690)),5))-FIND(";",SUBSTITUTE(D690,"|",REPT(";",LEN(D690)),4))-1)</f>
        <v/>
      </c>
      <c r="O690" s="11">
        <f>MID(D690,FIND(";",SUBSTITUTE(D690,"|",REPT(";",LEN(D690)),5))+1,LEN(D690))</f>
        <v/>
      </c>
    </row>
    <row r="691" ht="140" customHeight="1" s="21">
      <c r="A691" s="13" t="inlineStr">
        <is>
          <t>100301</t>
        </is>
      </c>
      <c r="B691" s="13" t="inlineStr">
        <is>
          <t>无缝钢管</t>
        </is>
      </c>
      <c r="C691" s="13" t="inlineStr">
        <is>
          <t>600626100</t>
        </is>
      </c>
      <c r="D691" s="13" t="inlineStr">
        <is>
          <t>结构用热轧不锈无缝钢管|钢管|1Cr18Ni9Ti|Φ60×6|GB/T 14975-2002|热轧</t>
        </is>
      </c>
      <c r="E691" s="13" t="inlineStr">
        <is>
          <t xml:space="preserve">物资名称 结构用热轧不锈无缝钢管;物资简称 钢管;牌号 1Cr18Ni9Ti;外径 Φ60;壁厚 6;技术标准号 GB/T 14975-2002;加工工艺 热轧;热处理工艺 ;特殊要求 ;规格标准号 </t>
        </is>
      </c>
      <c r="F691" s="12" t="inlineStr">
        <is>
          <t>千克</t>
        </is>
      </c>
      <c r="G691" s="11">
        <f>LEFT(D691,FIND("|",D691,1)-1)</f>
        <v/>
      </c>
      <c r="H691" s="11">
        <f>MID(D691,FIND("|",D691,FIND("|",D691,1))+1,FIND("|",D691,FIND("|",D691,1)+1)-FIND("|",D691,FIND("|",D691,1))-1)</f>
        <v/>
      </c>
      <c r="J691" s="11">
        <f>MID(D691,FIND(";",SUBSTITUTE(D691,"|",REPT(";",LEN(D691)),2))+1,FIND(";",SUBSTITUTE(D691,"|",REPT(";",LEN(D691)),3))-FIND(";",SUBSTITUTE(D691,"|",REPT(";",LEN(D691)),2))-1)</f>
        <v/>
      </c>
      <c r="K691" s="11">
        <f>MID(D691,FIND(";",SUBSTITUTE(D691,"|",REPT(";",LEN(D691)),3))+1,FIND(";",SUBSTITUTE(D691,"|",REPT(";",LEN(D691)),4))-FIND(";",SUBSTITUTE(D691,"|",REPT(";",LEN(D691)),3))-1)</f>
        <v/>
      </c>
      <c r="M691" s="11">
        <f>MID(D691,FIND(";",SUBSTITUTE(D691,"|",REPT(";",LEN(D691)),4))+1,FIND(";",SUBSTITUTE(D691,"|",REPT(";",LEN(D691)),5))-FIND(";",SUBSTITUTE(D691,"|",REPT(";",LEN(D691)),4))-1)</f>
        <v/>
      </c>
      <c r="O691" s="11">
        <f>MID(D691,FIND(";",SUBSTITUTE(D691,"|",REPT(";",LEN(D691)),5))+1,LEN(D691))</f>
        <v/>
      </c>
    </row>
  </sheetData>
  <mergeCells count="1">
    <mergeCell ref="A2:P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pane ySplit="1" topLeftCell="A168" activePane="bottomLeft" state="frozen"/>
      <selection activeCell="A1" sqref="A1"/>
      <selection pane="bottomLeft" activeCell="M3" sqref="M3"/>
    </sheetView>
  </sheetViews>
  <sheetFormatPr baseColWidth="8" defaultColWidth="9" defaultRowHeight="54.85" customHeight="1"/>
  <cols>
    <col width="20" customWidth="1" style="2" min="1" max="3"/>
    <col width="70" customWidth="1" style="2" min="4" max="4"/>
    <col width="60.7363636363636" customWidth="1" style="2" min="5" max="5"/>
    <col width="14.4" customWidth="1" style="3" min="6" max="6"/>
    <col width="42.1363636363636" customWidth="1" style="21" min="7" max="7"/>
    <col width="13.5363636363636" customWidth="1" style="21" min="8" max="8"/>
    <col width="17" customWidth="1" style="21" min="10" max="10"/>
    <col width="16.5363636363636" customWidth="1" style="21" min="11" max="11"/>
    <col width="19.9363636363636" customWidth="1" style="21" min="12" max="12"/>
    <col width="16.9363636363636" customWidth="1" style="21" min="13" max="13"/>
    <col width="16.4636363636364" customWidth="1" style="21" min="17" max="17"/>
  </cols>
  <sheetData>
    <row r="1" s="21">
      <c r="A1" s="4" t="inlineStr">
        <is>
          <t>类别编码</t>
        </is>
      </c>
      <c r="B1" s="4" t="inlineStr">
        <is>
          <t>类别名称</t>
        </is>
      </c>
      <c r="C1" s="4" t="inlineStr">
        <is>
          <t>物料代码</t>
        </is>
      </c>
      <c r="D1" s="4" t="inlineStr">
        <is>
          <t>长描述</t>
        </is>
      </c>
      <c r="E1" s="4" t="inlineStr">
        <is>
          <t>全描述</t>
        </is>
      </c>
      <c r="F1" s="4" t="inlineStr">
        <is>
          <t>计量单位</t>
        </is>
      </c>
      <c r="G1" s="5" t="inlineStr">
        <is>
          <t>物资名称</t>
        </is>
      </c>
      <c r="H1" s="6" t="inlineStr">
        <is>
          <t>物资简称</t>
        </is>
      </c>
      <c r="I1" s="6" t="inlineStr">
        <is>
          <t>物资别名</t>
        </is>
      </c>
      <c r="J1" s="6" t="inlineStr">
        <is>
          <t>牌号</t>
        </is>
      </c>
      <c r="K1" s="6" t="inlineStr">
        <is>
          <t>规格</t>
        </is>
      </c>
      <c r="L1" s="6" t="inlineStr">
        <is>
          <t>技术标准号</t>
        </is>
      </c>
      <c r="M1" s="6" t="inlineStr">
        <is>
          <t>规格标准号</t>
        </is>
      </c>
      <c r="N1" s="6" t="inlineStr">
        <is>
          <t>加工工艺</t>
        </is>
      </c>
      <c r="O1" s="6" t="inlineStr">
        <is>
          <t>热处理工艺</t>
        </is>
      </c>
      <c r="P1" s="6" t="inlineStr">
        <is>
          <t>力学性能</t>
        </is>
      </c>
      <c r="Q1" s="6" t="inlineStr">
        <is>
          <t>特殊要求</t>
        </is>
      </c>
    </row>
    <row r="2" s="21">
      <c r="A2" s="8" t="inlineStr">
        <is>
          <t>100501</t>
        </is>
      </c>
      <c r="B2" s="8" t="inlineStr">
        <is>
          <t>钢丝</t>
        </is>
      </c>
      <c r="C2" s="8" t="inlineStr">
        <is>
          <t>603548500</t>
        </is>
      </c>
      <c r="D2" s="8" t="inlineStr">
        <is>
          <t>不锈钢丝|钢丝|12Cr18Ni9|Φ0.8|GB/T 4240-2019|软态</t>
        </is>
      </c>
      <c r="E2" s="8" t="inlineStr">
        <is>
          <t>物资名称 不锈钢丝;物资简称 钢丝;牌号 12Cr18Ni9;直径 Φ0.8;技术标准号 GB/T 4240-2019;抗拉强度 ;加工工艺 ;表面状态 ;特殊要求 软态;规格标准号</t>
        </is>
      </c>
      <c r="F2" s="4" t="inlineStr">
        <is>
          <t>米</t>
        </is>
      </c>
      <c r="G2" s="0">
        <f>LEFT(D2,FIND("|",D2,1)-1)</f>
        <v/>
      </c>
      <c r="H2" s="0">
        <f>MID(D2,FIND("|",D2,FIND("|",D2,1))+1,FIND("|",D2,FIND("|",D2,1)+1)-FIND("|",D2,FIND("|",D2,1))-1)</f>
        <v/>
      </c>
      <c r="J2" s="0">
        <f>MID(D2,FIND(";",SUBSTITUTE(D2,"|",REPT(";",LEN(D2)),2))+1,FIND(";",SUBSTITUTE(D2,"|",REPT(";",LEN(D2)),3))-FIND(";",SUBSTITUTE(D2,"|",REPT(";",LEN(D2)),2))-1)</f>
        <v/>
      </c>
      <c r="K2" s="0">
        <f>MID(D2,FIND(";",SUBSTITUTE(D2,"|",REPT(";",LEN(D2)),3))+1,FIND(";",SUBSTITUTE(D2,"|",REPT(";",LEN(D2)),4))-FIND(";",SUBSTITUTE(D2,"|",REPT(";",LEN(D2)),3))-1)</f>
        <v/>
      </c>
      <c r="L2" s="0">
        <f>MID(D2,FIND(";",SUBSTITUTE(D2,"|",REPT(";",LEN(D2)),4))+1,FIND(";",SUBSTITUTE(D2,"|",REPT(";",LEN(D2)),5))-FIND(";",SUBSTITUTE(D2,"|",REPT(";",LEN(D2)),4))-1)</f>
        <v/>
      </c>
      <c r="Q2" s="0">
        <f>MID(D2,FIND(";",SUBSTITUTE(D2,"|",REPT(";",LEN(D2)),5))+1,LEN(D2))</f>
        <v/>
      </c>
    </row>
    <row r="3" s="21">
      <c r="A3" s="8" t="inlineStr">
        <is>
          <t>100501</t>
        </is>
      </c>
      <c r="B3" s="8" t="inlineStr">
        <is>
          <t>钢丝</t>
        </is>
      </c>
      <c r="C3" s="8" t="inlineStr">
        <is>
          <t>603543600</t>
        </is>
      </c>
      <c r="D3" s="8" t="inlineStr">
        <is>
          <t>冷拉碳素弹簧钢丝|钢丝|T9A|Φ2.5|GB/T 4357-2022|冷拉|DM,h11|GB/T 342-2017</t>
        </is>
      </c>
      <c r="E3" s="8" t="inlineStr">
        <is>
          <t>物资名称 重要用途碳素弹簧钢丝;物资简称 钢丝;牌号 T9A;直径 Φ2.5;技术标准号 YB/T 5311-2010;抗拉强度 ;加工工艺 ;表面状态 ;特殊要求 F,h11;规格标准号 GB/T 342-1997</t>
        </is>
      </c>
      <c r="F3" s="4" t="inlineStr">
        <is>
          <t>千克</t>
        </is>
      </c>
      <c r="G3" s="0">
        <f>LEFT(D3,FIND("|",D3,1)-1)</f>
        <v/>
      </c>
      <c r="H3" s="0">
        <f>MID(D3,FIND("|",D3,FIND("|",D3,1))+1,FIND("|",D3,FIND("|",D3,1)+1)-FIND("|",D3,FIND("|",D3,1))-1)</f>
        <v/>
      </c>
      <c r="J3" s="0">
        <f>MID(D3,FIND(";",SUBSTITUTE(D3,"|",REPT(";",LEN(D3)),2))+1,FIND(";",SUBSTITUTE(D3,"|",REPT(";",LEN(D3)),3))-FIND(";",SUBSTITUTE(D3,"|",REPT(";",LEN(D3)),2))-1)</f>
        <v/>
      </c>
      <c r="K3" s="0">
        <f>MID(D3,FIND(";",SUBSTITUTE(D3,"|",REPT(";",LEN(D3)),3))+1,FIND(";",SUBSTITUTE(D3,"|",REPT(";",LEN(D3)),4))-FIND(";",SUBSTITUTE(D3,"|",REPT(";",LEN(D3)),3))-1)</f>
        <v/>
      </c>
      <c r="L3" s="0">
        <f>MID(D3,FIND(";",SUBSTITUTE(D3,"|",REPT(";",LEN(D3)),4))+1,FIND(";",SUBSTITUTE(D3,"|",REPT(";",LEN(D3)),5))-FIND(";",SUBSTITUTE(D3,"|",REPT(";",LEN(D3)),4))-1)</f>
        <v/>
      </c>
      <c r="M3" s="0">
        <f>MID(D3,FIND(";",SUBSTITUTE(D3,"|",REPT(";",LEN(D3)),7))+1,LEN(D3))</f>
        <v/>
      </c>
      <c r="N3" s="0">
        <f>MID(D3,FIND(";",SUBSTITUTE(D3,"|",REPT(";",LEN(D3)),5))+1,FIND(";",SUBSTITUTE(D3,"|",REPT(";",LEN(D3)),6))-FIND(";",SUBSTITUTE(D3,"|",REPT(";",LEN(D3)),5))-1)</f>
        <v/>
      </c>
      <c r="Q3" s="0">
        <f>MID(D3,FIND(";",SUBSTITUTE(D3,"|",REPT(";",LEN(D3)),6))+1,FIND(";",SUBSTITUTE(D3,"|",REPT(";",LEN(D3)),7))-FIND(";",SUBSTITUTE(D3,"|",REPT(";",LEN(D3)),6))-1)</f>
        <v/>
      </c>
    </row>
    <row r="4" s="21">
      <c r="A4" s="8" t="inlineStr">
        <is>
          <t>100501</t>
        </is>
      </c>
      <c r="B4" s="8" t="inlineStr">
        <is>
          <t>钢丝</t>
        </is>
      </c>
      <c r="C4" s="8" t="inlineStr">
        <is>
          <t>603543500</t>
        </is>
      </c>
      <c r="D4" s="8" t="inlineStr">
        <is>
          <t>冷拉碳素弹簧钢丝|钢丝|T9A|Φ0.8|GB/T 4357-2022|冷拉|DM,h11|GB/T 342-2017</t>
        </is>
      </c>
      <c r="E4" s="8" t="inlineStr">
        <is>
          <t>物资名称 重要用途碳素弹簧钢丝;物资简称 钢丝;牌号 T9A;直径 Φ0.8;技术标准号 YB/T 5311-2010;抗拉强度 ;加工工艺 ;表面状态 ;特殊要求 F,h11;规格标准号 GB/T 342-1997</t>
        </is>
      </c>
      <c r="F4" s="4" t="inlineStr">
        <is>
          <t>千克</t>
        </is>
      </c>
      <c r="G4" s="0">
        <f>LEFT(D4,FIND("|",D4,1)-1)</f>
        <v/>
      </c>
      <c r="H4" s="0">
        <f>MID(D4,FIND("|",D4,FIND("|",D4,1))+1,FIND("|",D4,FIND("|",D4,1)+1)-FIND("|",D4,FIND("|",D4,1))-1)</f>
        <v/>
      </c>
      <c r="J4" s="0">
        <f>MID(D4,FIND(";",SUBSTITUTE(D4,"|",REPT(";",LEN(D4)),2))+1,FIND(";",SUBSTITUTE(D4,"|",REPT(";",LEN(D4)),3))-FIND(";",SUBSTITUTE(D4,"|",REPT(";",LEN(D4)),2))-1)</f>
        <v/>
      </c>
      <c r="K4" s="0">
        <f>MID(D4,FIND(";",SUBSTITUTE(D4,"|",REPT(";",LEN(D4)),3))+1,FIND(";",SUBSTITUTE(D4,"|",REPT(";",LEN(D4)),4))-FIND(";",SUBSTITUTE(D4,"|",REPT(";",LEN(D4)),3))-1)</f>
        <v/>
      </c>
      <c r="L4" s="0">
        <f>MID(D4,FIND(";",SUBSTITUTE(D4,"|",REPT(";",LEN(D4)),4))+1,FIND(";",SUBSTITUTE(D4,"|",REPT(";",LEN(D4)),5))-FIND(";",SUBSTITUTE(D4,"|",REPT(";",LEN(D4)),4))-1)</f>
        <v/>
      </c>
    </row>
    <row r="5" s="21">
      <c r="A5" s="8" t="inlineStr">
        <is>
          <t>100501</t>
        </is>
      </c>
      <c r="B5" s="8" t="inlineStr">
        <is>
          <t>钢丝</t>
        </is>
      </c>
      <c r="C5" s="8" t="inlineStr">
        <is>
          <t>603541500</t>
        </is>
      </c>
      <c r="D5" s="8" t="inlineStr">
        <is>
          <t>冷拉碳素弹簧钢丝|钢丝|65Mn|Φ1.6|GB/T 4357-2009|DM|冷拉</t>
        </is>
      </c>
      <c r="E5" s="8" t="inlineStr">
        <is>
          <t>物资名称 冷拉碳素弹簧钢丝;物资简称 钢丝;牌号 65Mn;直径 Φ1.6;技术标准号 GB/T 4357-2009;抗拉强度 DM;加工工艺 冷拉;表面状态 ;特殊要求 ;规格标准号</t>
        </is>
      </c>
      <c r="F5" s="4" t="inlineStr">
        <is>
          <t>千克</t>
        </is>
      </c>
      <c r="G5" s="0">
        <f>LEFT(D5,FIND("|",D5,1)-1)</f>
        <v/>
      </c>
      <c r="H5" s="0">
        <f>MID(D5,FIND("|",D5,FIND("|",D5,1))+1,FIND("|",D5,FIND("|",D5,1)+1)-FIND("|",D5,FIND("|",D5,1))-1)</f>
        <v/>
      </c>
      <c r="J5" s="0">
        <f>MID(D5,FIND(";",SUBSTITUTE(D5,"|",REPT(";",LEN(D5)),2))+1,FIND(";",SUBSTITUTE(D5,"|",REPT(";",LEN(D5)),3))-FIND(";",SUBSTITUTE(D5,"|",REPT(";",LEN(D5)),2))-1)</f>
        <v/>
      </c>
      <c r="K5" s="0">
        <f>MID(D5,FIND(";",SUBSTITUTE(D5,"|",REPT(";",LEN(D5)),3))+1,FIND(";",SUBSTITUTE(D5,"|",REPT(";",LEN(D5)),4))-FIND(";",SUBSTITUTE(D5,"|",REPT(";",LEN(D5)),3))-1)</f>
        <v/>
      </c>
      <c r="L5" s="0">
        <f>MID(D5,FIND(";",SUBSTITUTE(D5,"|",REPT(";",LEN(D5)),4))+1,FIND(";",SUBSTITUTE(D5,"|",REPT(";",LEN(D5)),5))-FIND(";",SUBSTITUTE(D5,"|",REPT(";",LEN(D5)),4))-1)</f>
        <v/>
      </c>
    </row>
    <row r="6" s="21">
      <c r="A6" s="8" t="inlineStr">
        <is>
          <t>100501</t>
        </is>
      </c>
      <c r="B6" s="8" t="inlineStr">
        <is>
          <t>钢丝</t>
        </is>
      </c>
      <c r="C6" s="8" t="inlineStr">
        <is>
          <t>603536700</t>
        </is>
      </c>
      <c r="D6" s="8" t="inlineStr">
        <is>
          <t>重要用途碳素弹簧钢丝|钢丝|T9A|YB/T 5311-2010|F</t>
        </is>
      </c>
      <c r="E6" s="8" t="inlineStr">
        <is>
          <t>物资名称 重要用途碳素弹簧钢丝;物资简称 钢丝;牌号 T9A;直径 Φ;技术标准号 YB/T 5311-2010;抗拉强度 ;加工工艺 ;表面状态 ;特殊要求 F;规格标准号</t>
        </is>
      </c>
      <c r="F6" s="4" t="inlineStr">
        <is>
          <t>千克</t>
        </is>
      </c>
      <c r="G6" s="0">
        <f>LEFT(D6,FIND("|",D6,1)-1)</f>
        <v/>
      </c>
      <c r="H6" s="0">
        <f>MID(D6,FIND("|",D6,FIND("|",D6,1))+1,FIND("|",D6,FIND("|",D6,1)+1)-FIND("|",D6,FIND("|",D6,1))-1)</f>
        <v/>
      </c>
      <c r="J6" s="0">
        <f>MID(D6,FIND(";",SUBSTITUTE(D6,"|",REPT(";",LEN(D6)),2))+1,FIND(";",SUBSTITUTE(D6,"|",REPT(";",LEN(D6)),3))-FIND(";",SUBSTITUTE(D6,"|",REPT(";",LEN(D6)),2))-1)</f>
        <v/>
      </c>
      <c r="L6" s="0">
        <f>MID(D6,FIND(";",SUBSTITUTE(D6,"|",REPT(";",LEN(D6)),3))+1,FIND(";",SUBSTITUTE(D6,"|",REPT(";",LEN(D6)),4))-FIND(";",SUBSTITUTE(D6,"|",REPT(";",LEN(D6)),3))-1)</f>
        <v/>
      </c>
      <c r="Q6" s="0">
        <f>MID(D6,FIND(";",SUBSTITUTE(D6,"|",REPT(";",LEN(D6)),4))+1,LEN(D6))</f>
        <v/>
      </c>
    </row>
    <row r="7" s="21">
      <c r="A7" s="8" t="inlineStr">
        <is>
          <t>100501</t>
        </is>
      </c>
      <c r="B7" s="8" t="inlineStr">
        <is>
          <t>钢丝</t>
        </is>
      </c>
      <c r="C7" s="8" t="inlineStr">
        <is>
          <t>603536600</t>
        </is>
      </c>
      <c r="D7" s="8" t="inlineStr">
        <is>
          <t>冷拉碳素弹簧钢丝|钢丝|T9A|GB/T 4357-2009|SM|冷拉</t>
        </is>
      </c>
      <c r="E7" s="8" t="inlineStr">
        <is>
          <t>物资名称 冷拉碳素弹簧钢丝;物资简称 钢丝;牌号 T9A;直径 Φ;技术标准号 GB/T 4357-2009;抗拉强度 SM;加工工艺 冷拉;表面状态 ;特殊要求 ;规格标准号</t>
        </is>
      </c>
      <c r="F7" s="4" t="inlineStr">
        <is>
          <t>千克</t>
        </is>
      </c>
      <c r="G7" s="0">
        <f>LEFT(D7,FIND("|",D7,1)-1)</f>
        <v/>
      </c>
      <c r="H7" s="0">
        <f>MID(D7,FIND("|",D7,FIND("|",D7,1))+1,FIND("|",D7,FIND("|",D7,1)+1)-FIND("|",D7,FIND("|",D7,1))-1)</f>
        <v/>
      </c>
      <c r="J7" s="0">
        <f>MID(D7,FIND(";",SUBSTITUTE(D7,"|",REPT(";",LEN(D7)),2))+1,FIND(";",SUBSTITUTE(D7,"|",REPT(";",LEN(D7)),3))-FIND(";",SUBSTITUTE(D7,"|",REPT(";",LEN(D7)),2))-1)</f>
        <v/>
      </c>
      <c r="L7" s="0">
        <f>MID(D7,FIND(";",SUBSTITUTE(D7,"|",REPT(";",LEN(D7)),3))+1,FIND(";",SUBSTITUTE(D7,"|",REPT(";",LEN(D7)),4))-FIND(";",SUBSTITUTE(D7,"|",REPT(";",LEN(D7)),3))-1)</f>
        <v/>
      </c>
      <c r="N7" s="0">
        <f>MID(D7,FIND(";",SUBSTITUTE(D7,"|",REPT(";",LEN(D7)),5))+1,LEN(D7))</f>
        <v/>
      </c>
      <c r="P7" s="0">
        <f>MID(D7,FIND(";",SUBSTITUTE(D7,"|",REPT(";",LEN(D7)),4))+1,FIND(";",SUBSTITUTE(D7,"|",REPT(";",LEN(D7)),5))-FIND(";",SUBSTITUTE(D7,"|",REPT(";",LEN(D7)),4))-1)</f>
        <v/>
      </c>
    </row>
    <row r="8" s="21">
      <c r="A8" s="8" t="inlineStr">
        <is>
          <t>100501</t>
        </is>
      </c>
      <c r="B8" s="8" t="inlineStr">
        <is>
          <t>钢丝</t>
        </is>
      </c>
      <c r="C8" s="8" t="inlineStr">
        <is>
          <t>603171700</t>
        </is>
      </c>
      <c r="D8" s="8" t="inlineStr">
        <is>
          <t>冷拉不锈钢丝|钢丝|12Cr18Ni9|Φ1|GB/T 4240-2009|冷拉|软态</t>
        </is>
      </c>
      <c r="E8" s="8" t="inlineStr">
        <is>
          <t>物资名称 冷拉不锈钢丝;物资简称 钢丝;牌号 12Cr18Ni9;直径 Φ1;技术标准号 GB/T 4240-2009;抗拉强度 ;加工工艺 冷拉;表面状态 ;特殊要求 软态;规格标准号</t>
        </is>
      </c>
      <c r="F8" s="4" t="inlineStr">
        <is>
          <t>米</t>
        </is>
      </c>
      <c r="G8" s="0">
        <f>LEFT(D8,FIND("|",D8,1)-1)</f>
        <v/>
      </c>
      <c r="H8" s="0">
        <f>MID(D8,FIND("|",D8,FIND("|",D8,1))+1,FIND("|",D8,FIND("|",D8,1)+1)-FIND("|",D8,FIND("|",D8,1))-1)</f>
        <v/>
      </c>
      <c r="J8" s="0">
        <f>MID(D8,FIND(";",SUBSTITUTE(D8,"|",REPT(";",LEN(D8)),2))+1,FIND(";",SUBSTITUTE(D8,"|",REPT(";",LEN(D8)),3))-FIND(";",SUBSTITUTE(D8,"|",REPT(";",LEN(D8)),2))-1)</f>
        <v/>
      </c>
      <c r="K8" s="0">
        <f>MID(D8,FIND(";",SUBSTITUTE(D8,"|",REPT(";",LEN(D8)),3))+1,FIND(";",SUBSTITUTE(D8,"|",REPT(";",LEN(D8)),4))-FIND(";",SUBSTITUTE(D8,"|",REPT(";",LEN(D8)),3))-1)</f>
        <v/>
      </c>
      <c r="L8" s="0">
        <f>MID(D8,FIND(";",SUBSTITUTE(D8,"|",REPT(";",LEN(D8)),4))+1,FIND(";",SUBSTITUTE(D8,"|",REPT(";",LEN(D8)),5))-FIND(";",SUBSTITUTE(D8,"|",REPT(";",LEN(D8)),4))-1)</f>
        <v/>
      </c>
      <c r="N8" s="0">
        <f>MID(D8,FIND(";",SUBSTITUTE(D8,"|",REPT(";",LEN(D8)),5))+1,FIND(";",SUBSTITUTE(D8,"|",REPT(";",LEN(D8)),6))-FIND(";",SUBSTITUTE(D8,"|",REPT(";",LEN(D8)),5))-1)</f>
        <v/>
      </c>
      <c r="Q8" s="0">
        <f>MID(D8,FIND(";",SUBSTITUTE(D8,"|",REPT(";",LEN(D8)),6))+1,LEN(D8))</f>
        <v/>
      </c>
    </row>
    <row r="9" s="21">
      <c r="A9" s="8" t="inlineStr">
        <is>
          <t>100501</t>
        </is>
      </c>
      <c r="B9" s="8" t="inlineStr">
        <is>
          <t>钢丝</t>
        </is>
      </c>
      <c r="C9" s="8" t="inlineStr">
        <is>
          <t>602888700</t>
        </is>
      </c>
      <c r="D9" s="8" t="inlineStr">
        <is>
          <t>不锈钢丝|钢丝|12Cr18Ni9|Φ0.5|GB/T 4240-2019</t>
        </is>
      </c>
      <c r="E9" s="8" t="inlineStr">
        <is>
          <t>物资名称 不锈钢丝;物资简称 钢丝;牌号 12Cr18Ni9;直径 Φ0.5;技术标准号 GB/T 4240-2019;抗拉强度 ;加工工艺 ;表面状态 ;特殊要求 ;规格标准号</t>
        </is>
      </c>
      <c r="F9" s="4" t="inlineStr">
        <is>
          <t>米</t>
        </is>
      </c>
      <c r="G9" s="0">
        <f>LEFT(D9,FIND("|",D9,1)-1)</f>
        <v/>
      </c>
      <c r="H9" s="0">
        <f>MID(D9,FIND("|",D9,FIND("|",D9,1))+1,FIND("|",D9,FIND("|",D9,1)+1)-FIND("|",D9,FIND("|",D9,1))-1)</f>
        <v/>
      </c>
      <c r="J9" s="0">
        <f>MID(D9,FIND(";",SUBSTITUTE(D9,"|",REPT(";",LEN(D9)),2))+1,FIND(";",SUBSTITUTE(D9,"|",REPT(";",LEN(D9)),3))-FIND(";",SUBSTITUTE(D9,"|",REPT(";",LEN(D9)),2))-1)</f>
        <v/>
      </c>
      <c r="K9" s="0">
        <f>MID(D9,FIND(";",SUBSTITUTE(D9,"|",REPT(";",LEN(D9)),3))+1,FIND(";",SUBSTITUTE(D9,"|",REPT(";",LEN(D9)),4))-FIND(";",SUBSTITUTE(D9,"|",REPT(";",LEN(D9)),3))-1)</f>
        <v/>
      </c>
      <c r="L9" s="0">
        <f>MID(D9,FIND(";",SUBSTITUTE(D9,"|",REPT(";",LEN(D9)),4))+1,LEN(D9))</f>
        <v/>
      </c>
    </row>
    <row r="10" s="21">
      <c r="A10" s="8" t="inlineStr">
        <is>
          <t>100501</t>
        </is>
      </c>
      <c r="B10" s="8" t="inlineStr">
        <is>
          <t>钢丝</t>
        </is>
      </c>
      <c r="C10" s="8" t="inlineStr">
        <is>
          <t>602888600</t>
        </is>
      </c>
      <c r="D10" s="8" t="inlineStr">
        <is>
          <t>不锈钢丝|钢丝|12Cr18Ni9|Φ1|GB/T 4240-2019</t>
        </is>
      </c>
      <c r="E10" s="8" t="inlineStr">
        <is>
          <t>物资名称 不锈钢丝;物资简称 钢丝;牌号 12Cr18Ni9;直径 Φ1;技术标准号 GB/T 4240-2019;抗拉强度 ;加工工艺 ;表面状态 ;特殊要求 ;规格标准号</t>
        </is>
      </c>
      <c r="F10" s="4" t="inlineStr">
        <is>
          <t>米</t>
        </is>
      </c>
      <c r="G10" s="0">
        <f>LEFT(D10,FIND("|",D10,1)-1)</f>
        <v/>
      </c>
      <c r="H10" s="0">
        <f>MID(D10,FIND("|",D10,FIND("|",D10,1))+1,FIND("|",D10,FIND("|",D10,1)+1)-FIND("|",D10,FIND("|",D10,1))-1)</f>
        <v/>
      </c>
      <c r="J10" s="0">
        <f>MID(D10,FIND(";",SUBSTITUTE(D10,"|",REPT(";",LEN(D10)),2))+1,FIND(";",SUBSTITUTE(D10,"|",REPT(";",LEN(D10)),3))-FIND(";",SUBSTITUTE(D10,"|",REPT(";",LEN(D10)),2))-1)</f>
        <v/>
      </c>
      <c r="K10" s="0">
        <f>MID(D10,FIND(";",SUBSTITUTE(D10,"|",REPT(";",LEN(D10)),3))+1,FIND(";",SUBSTITUTE(D10,"|",REPT(";",LEN(D10)),4))-FIND(";",SUBSTITUTE(D10,"|",REPT(";",LEN(D10)),3))-1)</f>
        <v/>
      </c>
      <c r="L10" s="0">
        <f>MID(D10,FIND(";",SUBSTITUTE(D10,"|",REPT(";",LEN(D10)),4))+1,LEN(D10))</f>
        <v/>
      </c>
    </row>
    <row r="11" s="21">
      <c r="A11" s="8" t="inlineStr">
        <is>
          <t>100501</t>
        </is>
      </c>
      <c r="B11" s="8" t="inlineStr">
        <is>
          <t>钢丝</t>
        </is>
      </c>
      <c r="C11" s="8" t="inlineStr">
        <is>
          <t>602469700</t>
        </is>
      </c>
      <c r="D11" s="8" t="inlineStr">
        <is>
          <t>不锈钢丝|钢丝|06Cr19Ni10|Φ0.5|GB/T 4240-2019|软态</t>
        </is>
      </c>
      <c r="E11" s="8" t="inlineStr">
        <is>
          <t xml:space="preserve">物资名称 不锈钢丝;物资简称 钢丝;牌号 06Cr19Ni10;直径 Φ0.5;技术标准号 GB/T 4240-2019;抗拉强度 ;加工工艺 ;表面状态 ;特殊要求 软态;规格标准号 </t>
        </is>
      </c>
      <c r="F11" s="4" t="inlineStr">
        <is>
          <t>米</t>
        </is>
      </c>
      <c r="G11" s="0">
        <f>LEFT(D11,FIND("|",D11,1)-1)</f>
        <v/>
      </c>
      <c r="H11" s="0">
        <f>MID(D11,FIND("|",D11,FIND("|",D11,1))+1,FIND("|",D11,FIND("|",D11,1)+1)-FIND("|",D11,FIND("|",D11,1))-1)</f>
        <v/>
      </c>
      <c r="J11" s="0">
        <f>MID(D11,FIND(";",SUBSTITUTE(D11,"|",REPT(";",LEN(D11)),2))+1,FIND(";",SUBSTITUTE(D11,"|",REPT(";",LEN(D11)),3))-FIND(";",SUBSTITUTE(D11,"|",REPT(";",LEN(D11)),2))-1)</f>
        <v/>
      </c>
      <c r="K11" s="0">
        <f>MID(D11,FIND(";",SUBSTITUTE(D11,"|",REPT(";",LEN(D11)),3))+1,FIND(";",SUBSTITUTE(D11,"|",REPT(";",LEN(D11)),4))-FIND(";",SUBSTITUTE(D11,"|",REPT(";",LEN(D11)),3))-1)</f>
        <v/>
      </c>
      <c r="L11" s="0">
        <f>MID(D11,FIND(";",SUBSTITUTE(D11,"|",REPT(";",LEN(D11)),4))+1,FIND(";",SUBSTITUTE(D11,"|",REPT(";",LEN(D11)),5))-FIND(";",SUBSTITUTE(D11,"|",REPT(";",LEN(D11)),4))-1)</f>
        <v/>
      </c>
      <c r="Q11" s="0">
        <f>MID(D11,FIND(";",SUBSTITUTE(D11,"|",REPT(";",LEN(D11)),5))+1,LEN(D11))</f>
        <v/>
      </c>
    </row>
    <row r="12" s="21">
      <c r="A12" s="8" t="inlineStr">
        <is>
          <t>100501</t>
        </is>
      </c>
      <c r="B12" s="8" t="inlineStr">
        <is>
          <t>钢丝</t>
        </is>
      </c>
      <c r="C12" s="8" t="inlineStr">
        <is>
          <t>602377500</t>
        </is>
      </c>
      <c r="D12" s="8" t="inlineStr">
        <is>
          <t>冷拉碳素弹簧钢丝|钢丝|65Mn-DM|Φ0.9|GB/T 4357-2009|冷拉</t>
        </is>
      </c>
      <c r="E12" s="8" t="inlineStr">
        <is>
          <t xml:space="preserve">物资名称 冷拉碳素弹簧钢丝;物资简称 钢丝;牌号 65Mn-DM;直径 Φ0.9;技术标准号 GB/T 4357-2009;抗拉强度 ;加工工艺 冷拉;表面状态 ;特殊要求 ;规格标准号 </t>
        </is>
      </c>
      <c r="F12" s="4" t="inlineStr">
        <is>
          <t>千克</t>
        </is>
      </c>
      <c r="G12" s="0">
        <f>LEFT(D12,FIND("|",D12,1)-1)</f>
        <v/>
      </c>
      <c r="H12" s="0">
        <f>MID(D12,FIND("|",D12,FIND("|",D12,1))+1,FIND("|",D12,FIND("|",D12,1)+1)-FIND("|",D12,FIND("|",D12,1))-1)</f>
        <v/>
      </c>
      <c r="J12" s="0">
        <f>MID(D12,FIND(";",SUBSTITUTE(D12,"|",REPT(";",LEN(D12)),2))+1,FIND(";",SUBSTITUTE(D12,"|",REPT(";",LEN(D12)),3))-FIND(";",SUBSTITUTE(D12,"|",REPT(";",LEN(D12)),2))-1)</f>
        <v/>
      </c>
      <c r="K12" s="0">
        <f>MID(D12,FIND(";",SUBSTITUTE(D12,"|",REPT(";",LEN(D12)),3))+1,FIND(";",SUBSTITUTE(D12,"|",REPT(";",LEN(D12)),4))-FIND(";",SUBSTITUTE(D12,"|",REPT(";",LEN(D12)),3))-1)</f>
        <v/>
      </c>
      <c r="L12" s="0">
        <f>MID(D12,FIND(";",SUBSTITUTE(D12,"|",REPT(";",LEN(D12)),4))+1,FIND(";",SUBSTITUTE(D12,"|",REPT(";",LEN(D12)),5))-FIND(";",SUBSTITUTE(D12,"|",REPT(";",LEN(D12)),4))-1)</f>
        <v/>
      </c>
      <c r="N12" s="0">
        <f>MID(D12,FIND(";",SUBSTITUTE(D12,"|",REPT(";",LEN(D12)),5))+1,LEN(D12))</f>
        <v/>
      </c>
    </row>
    <row r="13" s="21">
      <c r="A13" s="8" t="inlineStr">
        <is>
          <t>100501</t>
        </is>
      </c>
      <c r="B13" s="8" t="inlineStr">
        <is>
          <t>钢丝</t>
        </is>
      </c>
      <c r="C13" s="8" t="inlineStr">
        <is>
          <t>602324700</t>
        </is>
      </c>
      <c r="D13" s="8" t="inlineStr">
        <is>
          <t>碳素弹簧钢丝|钢丝|65Mn|Φ0.9|GB/T 4357-1989|C|h11|GB/T 342-1997</t>
        </is>
      </c>
      <c r="E13" s="8" t="inlineStr">
        <is>
          <t>物资名称 碳素弹簧钢丝;物资简称 钢丝;牌号 65Mn;直径 Φ0.9;技术标准号 GB/T 4357-1989;抗拉强度 C;加工工艺 ;表面状态 ;特殊要求 h11;规格标准号 GB/T 342-1997</t>
        </is>
      </c>
      <c r="F13" s="4" t="inlineStr">
        <is>
          <t>千克</t>
        </is>
      </c>
      <c r="G13" s="0">
        <f>LEFT(D13,FIND("|",D13,1)-1)</f>
        <v/>
      </c>
      <c r="H13" s="0">
        <f>MID(D13,FIND("|",D13,FIND("|",D13,1))+1,FIND("|",D13,FIND("|",D13,1)+1)-FIND("|",D13,FIND("|",D13,1))-1)</f>
        <v/>
      </c>
      <c r="J13" s="0">
        <f>MID(D13,FIND(";",SUBSTITUTE(D13,"|",REPT(";",LEN(D13)),2))+1,FIND(";",SUBSTITUTE(D13,"|",REPT(";",LEN(D13)),3))-FIND(";",SUBSTITUTE(D13,"|",REPT(";",LEN(D13)),2))-1)</f>
        <v/>
      </c>
      <c r="K13" s="0">
        <f>MID(D13,FIND(";",SUBSTITUTE(D13,"|",REPT(";",LEN(D13)),3))+1,FIND(";",SUBSTITUTE(D13,"|",REPT(";",LEN(D13)),4))-FIND(";",SUBSTITUTE(D13,"|",REPT(";",LEN(D13)),3))-1)</f>
        <v/>
      </c>
      <c r="L13" s="0">
        <f>MID(D13,FIND(";",SUBSTITUTE(D13,"|",REPT(";",LEN(D13)),4))+1,FIND(";",SUBSTITUTE(D13,"|",REPT(";",LEN(D13)),5))-FIND(";",SUBSTITUTE(D13,"|",REPT(";",LEN(D13)),4))-1)</f>
        <v/>
      </c>
      <c r="M13" s="0">
        <f>MID(D13,FIND(";",SUBSTITUTE(D13,"|",REPT(";",LEN(D13)),7))+1,LEN(D13))</f>
        <v/>
      </c>
      <c r="P13" s="0">
        <f>MID(D13,FIND(";",SUBSTITUTE(D13,"|",REPT(";",LEN(D13)),5))+1,FIND(";",SUBSTITUTE(D13,"|",REPT(";",LEN(D13)),6))-FIND(";",SUBSTITUTE(D13,"|",REPT(";",LEN(D13)),5))-1)</f>
        <v/>
      </c>
      <c r="Q13" s="0">
        <f>MID(D13,FIND(";",SUBSTITUTE(D13,"|",REPT(";",LEN(D13)),6))+1,FIND(";",SUBSTITUTE(D13,"|",REPT(";",LEN(D13)),7))-FIND(";",SUBSTITUTE(D13,"|",REPT(";",LEN(D13)),6))-1)</f>
        <v/>
      </c>
    </row>
    <row r="14" s="21">
      <c r="A14" s="8" t="inlineStr">
        <is>
          <t>100501</t>
        </is>
      </c>
      <c r="B14" s="8" t="inlineStr">
        <is>
          <t>钢丝</t>
        </is>
      </c>
      <c r="C14" s="8" t="inlineStr">
        <is>
          <t>602324600</t>
        </is>
      </c>
      <c r="D14" s="8" t="inlineStr">
        <is>
          <t>碳素弹簧钢丝|钢丝|65Mn|Φ1.6|GB/T 4357-1989|C|h11|GB/T 342-1997</t>
        </is>
      </c>
      <c r="E14" s="8" t="inlineStr">
        <is>
          <t>物资名称 碳素弹簧钢丝;物资简称 钢丝;牌号 65Mn;直径 Φ1.6;技术标准号 GB/T 4357-1989;抗拉强度 C;加工工艺 ;表面状态 ;特殊要求 h11;规格标准号 GB/T 342-1997</t>
        </is>
      </c>
      <c r="F14" s="4" t="inlineStr">
        <is>
          <t>千克</t>
        </is>
      </c>
      <c r="G14" s="0">
        <f>LEFT(D14,FIND("|",D14,1)-1)</f>
        <v/>
      </c>
      <c r="H14" s="0">
        <f>MID(D14,FIND("|",D14,FIND("|",D14,1))+1,FIND("|",D14,FIND("|",D14,1)+1)-FIND("|",D14,FIND("|",D14,1))-1)</f>
        <v/>
      </c>
      <c r="J14" s="0">
        <f>MID(D14,FIND(";",SUBSTITUTE(D14,"|",REPT(";",LEN(D14)),2))+1,FIND(";",SUBSTITUTE(D14,"|",REPT(";",LEN(D14)),3))-FIND(";",SUBSTITUTE(D14,"|",REPT(";",LEN(D14)),2))-1)</f>
        <v/>
      </c>
      <c r="K14" s="0">
        <f>MID(D14,FIND(";",SUBSTITUTE(D14,"|",REPT(";",LEN(D14)),3))+1,FIND(";",SUBSTITUTE(D14,"|",REPT(";",LEN(D14)),4))-FIND(";",SUBSTITUTE(D14,"|",REPT(";",LEN(D14)),3))-1)</f>
        <v/>
      </c>
      <c r="L14" s="0">
        <f>MID(D14,FIND(";",SUBSTITUTE(D14,"|",REPT(";",LEN(D14)),4))+1,FIND(";",SUBSTITUTE(D14,"|",REPT(";",LEN(D14)),5))-FIND(";",SUBSTITUTE(D14,"|",REPT(";",LEN(D14)),4))-1)</f>
        <v/>
      </c>
      <c r="M14" s="0">
        <f>MID(D14,FIND(";",SUBSTITUTE(D14,"|",REPT(";",LEN(D14)),7))+1,LEN(D14))</f>
        <v/>
      </c>
      <c r="P14" s="0">
        <f>MID(D14,FIND(";",SUBSTITUTE(D14,"|",REPT(";",LEN(D14)),5))+1,FIND(";",SUBSTITUTE(D14,"|",REPT(";",LEN(D14)),6))-FIND(";",SUBSTITUTE(D14,"|",REPT(";",LEN(D14)),5))-1)</f>
        <v/>
      </c>
      <c r="Q14" s="0">
        <f>MID(D14,FIND(";",SUBSTITUTE(D14,"|",REPT(";",LEN(D14)),6))+1,FIND(";",SUBSTITUTE(D14,"|",REPT(";",LEN(D14)),7))-FIND(";",SUBSTITUTE(D14,"|",REPT(";",LEN(D14)),6))-1)</f>
        <v/>
      </c>
    </row>
    <row r="15" s="21">
      <c r="A15" s="8" t="inlineStr">
        <is>
          <t>100501</t>
        </is>
      </c>
      <c r="B15" s="8" t="inlineStr">
        <is>
          <t>钢丝</t>
        </is>
      </c>
      <c r="C15" s="8" t="inlineStr">
        <is>
          <t>601432400</t>
        </is>
      </c>
      <c r="D15" s="8" t="inlineStr">
        <is>
          <t>一般用途低碳钢丝|镀锌钢丝|Φ1|YB/T 5294-2009</t>
        </is>
      </c>
      <c r="E15" s="8" t="inlineStr">
        <is>
          <t xml:space="preserve">物资名称 一般用途低碳钢丝;物资简称 镀锌钢丝;牌号 ;直径 Φ1;技术标准号 YB/T 5294-2009;抗拉强度 ;加工工艺 ;表面状态 ;特殊要求 ;规格标准号 </t>
        </is>
      </c>
      <c r="F15" s="4" t="inlineStr">
        <is>
          <t>米</t>
        </is>
      </c>
      <c r="G15" s="0">
        <f>LEFT(D15,FIND("|",D15,1)-1)</f>
        <v/>
      </c>
      <c r="H15" s="0">
        <f>MID(D15,FIND("|",D15,FIND("|",D15,1))+1,FIND("|",D15,FIND("|",D15,1)+1)-FIND("|",D15,FIND("|",D15,1))-1)</f>
        <v/>
      </c>
      <c r="K15" s="0">
        <f>MID(D15,FIND(";",SUBSTITUTE(D15,"|",REPT(";",LEN(D15)),2))+1,FIND(";",SUBSTITUTE(D15,"|",REPT(";",LEN(D15)),3))-FIND(";",SUBSTITUTE(D15,"|",REPT(";",LEN(D15)),2))-1)</f>
        <v/>
      </c>
      <c r="L15" s="0">
        <f>MID(D15,FIND(";",SUBSTITUTE(D15,"|",REPT(";",LEN(D15)),3))+1,LEN(D15))</f>
        <v/>
      </c>
    </row>
    <row r="16" s="21">
      <c r="A16" s="8" t="inlineStr">
        <is>
          <t>100501</t>
        </is>
      </c>
      <c r="B16" s="8" t="inlineStr">
        <is>
          <t>钢丝</t>
        </is>
      </c>
      <c r="C16" s="8" t="inlineStr">
        <is>
          <t>601432300</t>
        </is>
      </c>
      <c r="D16" s="8" t="inlineStr">
        <is>
          <t>碳素弹簧钢丝|钢丝|65Mn|Φ0.8|GB/T 4357-1989|C|h11|GB/T 342-1997</t>
        </is>
      </c>
      <c r="E16" s="8" t="inlineStr">
        <is>
          <t>物资名称 碳素弹簧钢丝;物资简称 钢丝;牌号 65Mn;直径 Φ0.8;技术标准号 GB/T 4357-1989;抗拉强度 C;加工工艺 ;表面状态 ;特殊要求 h11;规格标准号 GB/T 342-1997</t>
        </is>
      </c>
      <c r="F16" s="4" t="inlineStr">
        <is>
          <t>千克</t>
        </is>
      </c>
      <c r="G16" s="0">
        <f>LEFT(D16,FIND("|",D16,1)-1)</f>
        <v/>
      </c>
      <c r="H16" s="0">
        <f>MID(D16,FIND("|",D16,FIND("|",D16,1))+1,FIND("|",D16,FIND("|",D16,1)+1)-FIND("|",D16,FIND("|",D16,1))-1)</f>
        <v/>
      </c>
      <c r="J16" s="0">
        <f>MID(D16,FIND(";",SUBSTITUTE(D16,"|",REPT(";",LEN(D16)),2))+1,FIND(";",SUBSTITUTE(D16,"|",REPT(";",LEN(D16)),3))-FIND(";",SUBSTITUTE(D16,"|",REPT(";",LEN(D16)),2))-1)</f>
        <v/>
      </c>
      <c r="K16" s="0">
        <f>MID(D16,FIND(";",SUBSTITUTE(D16,"|",REPT(";",LEN(D16)),3))+1,FIND(";",SUBSTITUTE(D16,"|",REPT(";",LEN(D16)),4))-FIND(";",SUBSTITUTE(D16,"|",REPT(";",LEN(D16)),3))-1)</f>
        <v/>
      </c>
      <c r="L16" s="0">
        <f>MID(D16,FIND(";",SUBSTITUTE(D16,"|",REPT(";",LEN(D16)),4))+1,FIND(";",SUBSTITUTE(D16,"|",REPT(";",LEN(D16)),5))-FIND(";",SUBSTITUTE(D16,"|",REPT(";",LEN(D16)),4))-1)</f>
        <v/>
      </c>
      <c r="M16" s="0">
        <f>MID(D16,FIND(";",SUBSTITUTE(D16,"|",REPT(";",LEN(D16)),7))+1,LEN(D16))</f>
        <v/>
      </c>
      <c r="P16" s="0">
        <f>MID(D16,FIND(";",SUBSTITUTE(D16,"|",REPT(";",LEN(D16)),5))+1,FIND(";",SUBSTITUTE(D16,"|",REPT(";",LEN(D16)),6))-FIND(";",SUBSTITUTE(D16,"|",REPT(";",LEN(D16)),5))-1)</f>
        <v/>
      </c>
      <c r="Q16" s="0">
        <f>MID(D16,FIND(";",SUBSTITUTE(D16,"|",REPT(";",LEN(D16)),6))+1,FIND(";",SUBSTITUTE(D16,"|",REPT(";",LEN(D16)),7))-FIND(";",SUBSTITUTE(D16,"|",REPT(";",LEN(D16)),6))-1)</f>
        <v/>
      </c>
    </row>
    <row r="17" s="21">
      <c r="A17" s="8" t="inlineStr">
        <is>
          <t>100501</t>
        </is>
      </c>
      <c r="B17" s="8" t="inlineStr">
        <is>
          <t>钢丝</t>
        </is>
      </c>
      <c r="C17" s="8" t="inlineStr">
        <is>
          <t>601417900</t>
        </is>
      </c>
      <c r="D17" s="8" t="inlineStr">
        <is>
          <t>碳素弹簧钢丝C级|钢丝|70-C|Φ1.0-11|GB/T 4357-1989|GB/T 342-1997</t>
        </is>
      </c>
      <c r="E17" s="8" t="inlineStr">
        <is>
          <t>物资名称 碳素弹簧钢丝C级;物资简称 钢丝;牌号 70-C;直径 Φ1.0-11;技术标准号 GB/T 4357-1989;抗拉强度 ;加工工艺 ;表面状态 ;特殊要求 ;规格标准号 GB/T 342-1997</t>
        </is>
      </c>
      <c r="F17" s="4" t="inlineStr">
        <is>
          <t>千克</t>
        </is>
      </c>
      <c r="G17" s="0">
        <f>LEFT(D17,FIND("|",D17,1)-1)</f>
        <v/>
      </c>
      <c r="H17" s="0">
        <f>MID(D17,FIND("|",D17,FIND("|",D17,1))+1,FIND("|",D17,FIND("|",D17,1)+1)-FIND("|",D17,FIND("|",D17,1))-1)</f>
        <v/>
      </c>
      <c r="J17" s="0">
        <f>MID(D17,FIND(";",SUBSTITUTE(D17,"|",REPT(";",LEN(D17)),2))+1,FIND(";",SUBSTITUTE(D17,"|",REPT(";",LEN(D17)),3))-FIND(";",SUBSTITUTE(D17,"|",REPT(";",LEN(D17)),2))-1)</f>
        <v/>
      </c>
      <c r="K17" s="0">
        <f>MID(D17,FIND(";",SUBSTITUTE(D17,"|",REPT(";",LEN(D17)),3))+1,FIND(";",SUBSTITUTE(D17,"|",REPT(";",LEN(D17)),4))-FIND(";",SUBSTITUTE(D17,"|",REPT(";",LEN(D17)),3))-1)</f>
        <v/>
      </c>
      <c r="L17" s="0">
        <f>MID(D17,FIND(";",SUBSTITUTE(D17,"|",REPT(";",LEN(D17)),4))+1,FIND(";",SUBSTITUTE(D17,"|",REPT(";",LEN(D17)),5))-FIND(";",SUBSTITUTE(D17,"|",REPT(";",LEN(D17)),4))-1)</f>
        <v/>
      </c>
      <c r="M17" s="0">
        <f>MID(D17,FIND(";",SUBSTITUTE(D17,"|",REPT(";",LEN(D17)),5))+1,LEN(D17))</f>
        <v/>
      </c>
    </row>
    <row r="18" s="21">
      <c r="A18" s="8" t="inlineStr">
        <is>
          <t>100501</t>
        </is>
      </c>
      <c r="B18" s="8" t="inlineStr">
        <is>
          <t>钢丝</t>
        </is>
      </c>
      <c r="C18" s="8" t="inlineStr">
        <is>
          <t>601341900</t>
        </is>
      </c>
      <c r="D18" s="8" t="inlineStr">
        <is>
          <t>钢丝|钢丝|0Cr18Ni9|Φ8|空</t>
        </is>
      </c>
      <c r="E18" s="8" t="inlineStr">
        <is>
          <t xml:space="preserve">物资名称 钢丝;物资简称 钢丝;牌号 0Cr18Ni9;直径 Φ8;技术标准号 空;抗拉强度 ;加工工艺 ;表面状态 ;特殊要求 ;规格标准号 </t>
        </is>
      </c>
      <c r="F18" s="4" t="inlineStr">
        <is>
          <t>千克</t>
        </is>
      </c>
      <c r="G18" s="0">
        <f>LEFT(D18,FIND("|",D18,1)-1)</f>
        <v/>
      </c>
      <c r="H18" s="0">
        <f>MID(D18,FIND("|",D18,FIND("|",D18,1))+1,FIND("|",D18,FIND("|",D18,1)+1)-FIND("|",D18,FIND("|",D18,1))-1)</f>
        <v/>
      </c>
      <c r="J18" s="0">
        <f>MID(D18,FIND(";",SUBSTITUTE(D18,"|",REPT(";",LEN(D18)),2))+1,FIND(";",SUBSTITUTE(D18,"|",REPT(";",LEN(D18)),3))-FIND(";",SUBSTITUTE(D18,"|",REPT(";",LEN(D18)),2))-1)</f>
        <v/>
      </c>
      <c r="K18" s="0">
        <f>MID(D18,FIND(";",SUBSTITUTE(D18,"|",REPT(";",LEN(D18)),3))+1,FIND(";",SUBSTITUTE(D18,"|",REPT(";",LEN(D18)),4))-FIND(";",SUBSTITUTE(D18,"|",REPT(";",LEN(D18)),3))-1)</f>
        <v/>
      </c>
      <c r="L18" s="0">
        <f>MID(D18,FIND(";",SUBSTITUTE(D18,"|",REPT(";",LEN(D18)),4))+1,LEN(D18))</f>
        <v/>
      </c>
    </row>
    <row r="19" s="21">
      <c r="A19" s="8" t="inlineStr">
        <is>
          <t>100501</t>
        </is>
      </c>
      <c r="B19" s="8" t="inlineStr">
        <is>
          <t>钢丝</t>
        </is>
      </c>
      <c r="C19" s="8" t="inlineStr">
        <is>
          <t>601341800</t>
        </is>
      </c>
      <c r="D19" s="8" t="inlineStr">
        <is>
          <t>钢丝|钢丝|10＃|Φ0.5|101/2002-1-4</t>
        </is>
      </c>
      <c r="E19" s="8" t="inlineStr">
        <is>
          <t xml:space="preserve">物资名称 钢丝;物资简称 钢丝;牌号 10＃;直径 Φ0.5;技术标准号 101/2002-1-4;抗拉强度 ;加工工艺 ;表面状态 ;特殊要求 ;规格标准号 </t>
        </is>
      </c>
      <c r="F19" s="4" t="inlineStr">
        <is>
          <t>千克</t>
        </is>
      </c>
      <c r="G19" s="0">
        <f>LEFT(D19,FIND("|",D19,1)-1)</f>
        <v/>
      </c>
      <c r="H19" s="0">
        <f>MID(D19,FIND("|",D19,FIND("|",D19,1))+1,FIND("|",D19,FIND("|",D19,1)+1)-FIND("|",D19,FIND("|",D19,1))-1)</f>
        <v/>
      </c>
      <c r="J19" s="0">
        <f>MID(D19,FIND(";",SUBSTITUTE(D19,"|",REPT(";",LEN(D19)),2))+1,FIND(";",SUBSTITUTE(D19,"|",REPT(";",LEN(D19)),3))-FIND(";",SUBSTITUTE(D19,"|",REPT(";",LEN(D19)),2))-1)</f>
        <v/>
      </c>
      <c r="K19" s="0">
        <f>MID(D19,FIND(";",SUBSTITUTE(D19,"|",REPT(";",LEN(D19)),3))+1,FIND(";",SUBSTITUTE(D19,"|",REPT(";",LEN(D19)),4))-FIND(";",SUBSTITUTE(D19,"|",REPT(";",LEN(D19)),3))-1)</f>
        <v/>
      </c>
      <c r="L19" s="0">
        <f>MID(D19,FIND(";",SUBSTITUTE(D19,"|",REPT(";",LEN(D19)),4))+1,LEN(D19))</f>
        <v/>
      </c>
    </row>
    <row r="20" s="21">
      <c r="A20" s="8" t="inlineStr">
        <is>
          <t>100501</t>
        </is>
      </c>
      <c r="B20" s="8" t="inlineStr">
        <is>
          <t>钢丝</t>
        </is>
      </c>
      <c r="C20" s="8" t="inlineStr">
        <is>
          <t>601341700</t>
        </is>
      </c>
      <c r="D20" s="8" t="inlineStr">
        <is>
          <t>钢丝|钢丝|1Cr17Ni2|Φ4|503/2002-6-17</t>
        </is>
      </c>
      <c r="E20" s="8" t="inlineStr">
        <is>
          <t xml:space="preserve">物资名称 钢丝;物资简称 钢丝;牌号 1Cr17Ni2;直径 Φ4;技术标准号 503/2002-6-17;抗拉强度 ;加工工艺 ;表面状态 ;特殊要求 ;规格标准号 </t>
        </is>
      </c>
      <c r="F20" s="4" t="inlineStr">
        <is>
          <t>千克</t>
        </is>
      </c>
      <c r="G20" s="0">
        <f>LEFT(D20,FIND("|",D20,1)-1)</f>
        <v/>
      </c>
      <c r="H20" s="0">
        <f>MID(D20,FIND("|",D20,FIND("|",D20,1))+1,FIND("|",D20,FIND("|",D20,1)+1)-FIND("|",D20,FIND("|",D20,1))-1)</f>
        <v/>
      </c>
      <c r="J20" s="0">
        <f>MID(D20,FIND(";",SUBSTITUTE(D20,"|",REPT(";",LEN(D20)),2))+1,FIND(";",SUBSTITUTE(D20,"|",REPT(";",LEN(D20)),3))-FIND(";",SUBSTITUTE(D20,"|",REPT(";",LEN(D20)),2))-1)</f>
        <v/>
      </c>
      <c r="K20" s="0">
        <f>MID(D20,FIND(";",SUBSTITUTE(D20,"|",REPT(";",LEN(D20)),3))+1,FIND(";",SUBSTITUTE(D20,"|",REPT(";",LEN(D20)),4))-FIND(";",SUBSTITUTE(D20,"|",REPT(";",LEN(D20)),3))-1)</f>
        <v/>
      </c>
      <c r="L20" s="0">
        <f>MID(D20,FIND(";",SUBSTITUTE(D20,"|",REPT(";",LEN(D20)),4))+1,LEN(D20))</f>
        <v/>
      </c>
    </row>
    <row r="21" s="21">
      <c r="A21" s="8" t="inlineStr">
        <is>
          <t>100501</t>
        </is>
      </c>
      <c r="B21" s="8" t="inlineStr">
        <is>
          <t>钢丝</t>
        </is>
      </c>
      <c r="C21" s="8" t="inlineStr">
        <is>
          <t>601341600</t>
        </is>
      </c>
      <c r="D21" s="8" t="inlineStr">
        <is>
          <t>钢丝|钢丝|1Cr17Ni2|Φ5|503/2002-6-18</t>
        </is>
      </c>
      <c r="E21" s="8" t="inlineStr">
        <is>
          <t xml:space="preserve">物资名称 钢丝;物资简称 钢丝;牌号 1Cr17Ni2;直径 Φ5;技术标准号 503/2002-6-18;抗拉强度 ;加工工艺 ;表面状态 ;特殊要求 ;规格标准号 </t>
        </is>
      </c>
      <c r="F21" s="4" t="inlineStr">
        <is>
          <t>千克</t>
        </is>
      </c>
      <c r="G21" s="0">
        <f>LEFT(D21,FIND("|",D21,1)-1)</f>
        <v/>
      </c>
      <c r="H21" s="0">
        <f>MID(D21,FIND("|",D21,FIND("|",D21,1))+1,FIND("|",D21,FIND("|",D21,1)+1)-FIND("|",D21,FIND("|",D21,1))-1)</f>
        <v/>
      </c>
      <c r="J21" s="0">
        <f>MID(D21,FIND(";",SUBSTITUTE(D21,"|",REPT(";",LEN(D21)),2))+1,FIND(";",SUBSTITUTE(D21,"|",REPT(";",LEN(D21)),3))-FIND(";",SUBSTITUTE(D21,"|",REPT(";",LEN(D21)),2))-1)</f>
        <v/>
      </c>
      <c r="K21" s="0">
        <f>MID(D21,FIND(";",SUBSTITUTE(D21,"|",REPT(";",LEN(D21)),3))+1,FIND(";",SUBSTITUTE(D21,"|",REPT(";",LEN(D21)),4))-FIND(";",SUBSTITUTE(D21,"|",REPT(";",LEN(D21)),3))-1)</f>
        <v/>
      </c>
      <c r="L21" s="0">
        <f>MID(D21,FIND(";",SUBSTITUTE(D21,"|",REPT(";",LEN(D21)),4))+1,LEN(D21))</f>
        <v/>
      </c>
    </row>
    <row r="22" s="21">
      <c r="A22" s="8" t="inlineStr">
        <is>
          <t>100501</t>
        </is>
      </c>
      <c r="B22" s="8" t="inlineStr">
        <is>
          <t>钢丝</t>
        </is>
      </c>
      <c r="C22" s="8" t="inlineStr">
        <is>
          <t>601341500</t>
        </is>
      </c>
      <c r="D22" s="8" t="inlineStr">
        <is>
          <t>钢丝|钢丝|1Cr18Ni9|Φ0.5|空</t>
        </is>
      </c>
      <c r="E22" s="8" t="inlineStr">
        <is>
          <t xml:space="preserve">物资名称 钢丝;物资简称 钢丝;牌号 1Cr18Ni9;直径 Φ0.5;技术标准号 空;抗拉强度 ;加工工艺 ;表面状态 ;特殊要求 ;规格标准号 </t>
        </is>
      </c>
      <c r="F22" s="4" t="inlineStr">
        <is>
          <t>千克</t>
        </is>
      </c>
      <c r="G22" s="0">
        <f>LEFT(D22,FIND("|",D22,1)-1)</f>
        <v/>
      </c>
      <c r="H22" s="0">
        <f>MID(D22,FIND("|",D22,FIND("|",D22,1))+1,FIND("|",D22,FIND("|",D22,1)+1)-FIND("|",D22,FIND("|",D22,1))-1)</f>
        <v/>
      </c>
      <c r="J22" s="0">
        <f>MID(D22,FIND(";",SUBSTITUTE(D22,"|",REPT(";",LEN(D22)),2))+1,FIND(";",SUBSTITUTE(D22,"|",REPT(";",LEN(D22)),3))-FIND(";",SUBSTITUTE(D22,"|",REPT(";",LEN(D22)),2))-1)</f>
        <v/>
      </c>
      <c r="K22" s="0">
        <f>MID(D22,FIND(";",SUBSTITUTE(D22,"|",REPT(";",LEN(D22)),3))+1,FIND(";",SUBSTITUTE(D22,"|",REPT(";",LEN(D22)),4))-FIND(";",SUBSTITUTE(D22,"|",REPT(";",LEN(D22)),3))-1)</f>
        <v/>
      </c>
      <c r="L22" s="0">
        <f>MID(D22,FIND(";",SUBSTITUTE(D22,"|",REPT(";",LEN(D22)),4))+1,LEN(D22))</f>
        <v/>
      </c>
    </row>
    <row r="23" s="21">
      <c r="A23" s="8" t="inlineStr">
        <is>
          <t>100501</t>
        </is>
      </c>
      <c r="B23" s="8" t="inlineStr">
        <is>
          <t>钢丝</t>
        </is>
      </c>
      <c r="C23" s="8" t="inlineStr">
        <is>
          <t>601341400</t>
        </is>
      </c>
      <c r="D23" s="8" t="inlineStr">
        <is>
          <t>钢丝|钢丝|1Cr18Ni9|Φ3|401/92-6-40</t>
        </is>
      </c>
      <c r="E23" s="8" t="inlineStr">
        <is>
          <t xml:space="preserve">物资名称 钢丝;物资简称 钢丝;牌号 1Cr18Ni9;直径 Φ3;技术标准号 401/92-6-40;抗拉强度 ;加工工艺 ;表面状态 ;特殊要求 ;规格标准号 </t>
        </is>
      </c>
      <c r="F23" s="4" t="inlineStr">
        <is>
          <t>千克</t>
        </is>
      </c>
      <c r="G23" s="0">
        <f>LEFT(D23,FIND("|",D23,1)-1)</f>
        <v/>
      </c>
      <c r="H23" s="0">
        <f>MID(D23,FIND("|",D23,FIND("|",D23,1))+1,FIND("|",D23,FIND("|",D23,1)+1)-FIND("|",D23,FIND("|",D23,1))-1)</f>
        <v/>
      </c>
      <c r="J23" s="0">
        <f>MID(D23,FIND(";",SUBSTITUTE(D23,"|",REPT(";",LEN(D23)),2))+1,FIND(";",SUBSTITUTE(D23,"|",REPT(";",LEN(D23)),3))-FIND(";",SUBSTITUTE(D23,"|",REPT(";",LEN(D23)),2))-1)</f>
        <v/>
      </c>
      <c r="K23" s="0">
        <f>MID(D23,FIND(";",SUBSTITUTE(D23,"|",REPT(";",LEN(D23)),3))+1,FIND(";",SUBSTITUTE(D23,"|",REPT(";",LEN(D23)),4))-FIND(";",SUBSTITUTE(D23,"|",REPT(";",LEN(D23)),3))-1)</f>
        <v/>
      </c>
      <c r="L23" s="0">
        <f>MID(D23,FIND(";",SUBSTITUTE(D23,"|",REPT(";",LEN(D23)),4))+1,LEN(D23))</f>
        <v/>
      </c>
    </row>
    <row r="24" s="21">
      <c r="A24" s="8" t="inlineStr">
        <is>
          <t>100501</t>
        </is>
      </c>
      <c r="B24" s="8" t="inlineStr">
        <is>
          <t>钢丝</t>
        </is>
      </c>
      <c r="C24" s="8" t="inlineStr">
        <is>
          <t>601341300</t>
        </is>
      </c>
      <c r="D24" s="8" t="inlineStr">
        <is>
          <t>钢丝|钢丝|1Cr18Ni9-A|Φ0.8|506/06-7-189</t>
        </is>
      </c>
      <c r="E24" s="8" t="inlineStr">
        <is>
          <t xml:space="preserve">物资名称 钢丝;物资简称 钢丝;牌号 1Cr18Ni9-A;直径 Φ0.8;技术标准号 506/06-7-189;抗拉强度 ;加工工艺 ;表面状态 ;特殊要求 ;规格标准号 </t>
        </is>
      </c>
      <c r="F24" s="4" t="inlineStr">
        <is>
          <t>千克</t>
        </is>
      </c>
      <c r="G24" s="0">
        <f>LEFT(D24,FIND("|",D24,1)-1)</f>
        <v/>
      </c>
      <c r="H24" s="0">
        <f>MID(D24,FIND("|",D24,FIND("|",D24,1))+1,FIND("|",D24,FIND("|",D24,1)+1)-FIND("|",D24,FIND("|",D24,1))-1)</f>
        <v/>
      </c>
      <c r="J24" s="0">
        <f>MID(D24,FIND(";",SUBSTITUTE(D24,"|",REPT(";",LEN(D24)),2))+1,FIND(";",SUBSTITUTE(D24,"|",REPT(";",LEN(D24)),3))-FIND(";",SUBSTITUTE(D24,"|",REPT(";",LEN(D24)),2))-1)</f>
        <v/>
      </c>
      <c r="K24" s="0">
        <f>MID(D24,FIND(";",SUBSTITUTE(D24,"|",REPT(";",LEN(D24)),3))+1,FIND(";",SUBSTITUTE(D24,"|",REPT(";",LEN(D24)),4))-FIND(";",SUBSTITUTE(D24,"|",REPT(";",LEN(D24)),3))-1)</f>
        <v/>
      </c>
      <c r="L24" s="0">
        <f>MID(D24,FIND(";",SUBSTITUTE(D24,"|",REPT(";",LEN(D24)),4))+1,LEN(D24))</f>
        <v/>
      </c>
    </row>
    <row r="25" s="21">
      <c r="A25" s="8" t="inlineStr">
        <is>
          <t>100501</t>
        </is>
      </c>
      <c r="B25" s="8" t="inlineStr">
        <is>
          <t>钢丝</t>
        </is>
      </c>
      <c r="C25" s="8" t="inlineStr">
        <is>
          <t>601341200</t>
        </is>
      </c>
      <c r="D25" s="8" t="inlineStr">
        <is>
          <t>钢丝|钢丝|20＃|Φ2.5|104/78-12-134</t>
        </is>
      </c>
      <c r="E25" s="8" t="inlineStr">
        <is>
          <t xml:space="preserve">物资名称 钢丝;物资简称 钢丝;牌号 20＃;直径 Φ2.5;技术标准号 104/78-12-134;抗拉强度 ;加工工艺 ;表面状态 ;特殊要求 ;规格标准号 </t>
        </is>
      </c>
      <c r="F25" s="4" t="inlineStr">
        <is>
          <t>千克</t>
        </is>
      </c>
      <c r="G25" s="0">
        <f>LEFT(D25,FIND("|",D25,1)-1)</f>
        <v/>
      </c>
      <c r="H25" s="0">
        <f>MID(D25,FIND("|",D25,FIND("|",D25,1))+1,FIND("|",D25,FIND("|",D25,1)+1)-FIND("|",D25,FIND("|",D25,1))-1)</f>
        <v/>
      </c>
      <c r="J25" s="0">
        <f>MID(D25,FIND(";",SUBSTITUTE(D25,"|",REPT(";",LEN(D25)),2))+1,FIND(";",SUBSTITUTE(D25,"|",REPT(";",LEN(D25)),3))-FIND(";",SUBSTITUTE(D25,"|",REPT(";",LEN(D25)),2))-1)</f>
        <v/>
      </c>
      <c r="K25" s="0">
        <f>MID(D25,FIND(";",SUBSTITUTE(D25,"|",REPT(";",LEN(D25)),3))+1,FIND(";",SUBSTITUTE(D25,"|",REPT(";",LEN(D25)),4))-FIND(";",SUBSTITUTE(D25,"|",REPT(";",LEN(D25)),3))-1)</f>
        <v/>
      </c>
      <c r="L25" s="0">
        <f>MID(D25,FIND(";",SUBSTITUTE(D25,"|",REPT(";",LEN(D25)),4))+1,LEN(D25))</f>
        <v/>
      </c>
    </row>
    <row r="26" s="21">
      <c r="A26" s="8" t="inlineStr">
        <is>
          <t>100501</t>
        </is>
      </c>
      <c r="B26" s="8" t="inlineStr">
        <is>
          <t>钢丝</t>
        </is>
      </c>
      <c r="C26" s="8" t="inlineStr">
        <is>
          <t>601341100</t>
        </is>
      </c>
      <c r="D26" s="8" t="inlineStr">
        <is>
          <t>钢丝|钢丝|20＃|Φ2|101/74-11-46</t>
        </is>
      </c>
      <c r="E26" s="8" t="inlineStr">
        <is>
          <t xml:space="preserve">物资名称 钢丝;物资简称 钢丝;牌号 20＃;直径 Φ2;技术标准号 101/74-11-46;抗拉强度 ;加工工艺 ;表面状态 ;特殊要求 ;规格标准号 </t>
        </is>
      </c>
      <c r="F26" s="4" t="inlineStr">
        <is>
          <t>千克</t>
        </is>
      </c>
      <c r="G26" s="0">
        <f>LEFT(D26,FIND("|",D26,1)-1)</f>
        <v/>
      </c>
      <c r="H26" s="0">
        <f>MID(D26,FIND("|",D26,FIND("|",D26,1))+1,FIND("|",D26,FIND("|",D26,1)+1)-FIND("|",D26,FIND("|",D26,1))-1)</f>
        <v/>
      </c>
      <c r="J26" s="0">
        <f>MID(D26,FIND(";",SUBSTITUTE(D26,"|",REPT(";",LEN(D26)),2))+1,FIND(";",SUBSTITUTE(D26,"|",REPT(";",LEN(D26)),3))-FIND(";",SUBSTITUTE(D26,"|",REPT(";",LEN(D26)),2))-1)</f>
        <v/>
      </c>
      <c r="K26" s="0">
        <f>MID(D26,FIND(";",SUBSTITUTE(D26,"|",REPT(";",LEN(D26)),3))+1,FIND(";",SUBSTITUTE(D26,"|",REPT(";",LEN(D26)),4))-FIND(";",SUBSTITUTE(D26,"|",REPT(";",LEN(D26)),3))-1)</f>
        <v/>
      </c>
      <c r="L26" s="0">
        <f>MID(D26,FIND(";",SUBSTITUTE(D26,"|",REPT(";",LEN(D26)),4))+1,LEN(D26))</f>
        <v/>
      </c>
    </row>
    <row r="27" s="21">
      <c r="A27" s="8" t="inlineStr">
        <is>
          <t>100501</t>
        </is>
      </c>
      <c r="B27" s="8" t="inlineStr">
        <is>
          <t>钢丝</t>
        </is>
      </c>
      <c r="C27" s="8" t="inlineStr">
        <is>
          <t>601341000</t>
        </is>
      </c>
      <c r="D27" s="8" t="inlineStr">
        <is>
          <t>钢丝|钢丝|20＃|Φ3|101/76-11-103</t>
        </is>
      </c>
      <c r="E27" s="8" t="inlineStr">
        <is>
          <t xml:space="preserve">物资名称 钢丝;物资简称 钢丝;牌号 20＃;直径 Φ3;技术标准号 101/76-11-103;抗拉强度 ;加工工艺 ;表面状态 ;特殊要求 ;规格标准号 </t>
        </is>
      </c>
      <c r="F27" s="4" t="inlineStr">
        <is>
          <t>千克</t>
        </is>
      </c>
      <c r="G27" s="0">
        <f>LEFT(D27,FIND("|",D27,1)-1)</f>
        <v/>
      </c>
      <c r="H27" s="0">
        <f>MID(D27,FIND("|",D27,FIND("|",D27,1))+1,FIND("|",D27,FIND("|",D27,1)+1)-FIND("|",D27,FIND("|",D27,1))-1)</f>
        <v/>
      </c>
      <c r="J27" s="0">
        <f>MID(D27,FIND(";",SUBSTITUTE(D27,"|",REPT(";",LEN(D27)),2))+1,FIND(";",SUBSTITUTE(D27,"|",REPT(";",LEN(D27)),3))-FIND(";",SUBSTITUTE(D27,"|",REPT(";",LEN(D27)),2))-1)</f>
        <v/>
      </c>
      <c r="K27" s="0">
        <f>MID(D27,FIND(";",SUBSTITUTE(D27,"|",REPT(";",LEN(D27)),3))+1,FIND(";",SUBSTITUTE(D27,"|",REPT(";",LEN(D27)),4))-FIND(";",SUBSTITUTE(D27,"|",REPT(";",LEN(D27)),3))-1)</f>
        <v/>
      </c>
      <c r="L27" s="0">
        <f>MID(D27,FIND(";",SUBSTITUTE(D27,"|",REPT(";",LEN(D27)),4))+1,LEN(D27))</f>
        <v/>
      </c>
    </row>
    <row r="28" s="21">
      <c r="A28" s="8" t="inlineStr">
        <is>
          <t>100501</t>
        </is>
      </c>
      <c r="B28" s="8" t="inlineStr">
        <is>
          <t>钢丝</t>
        </is>
      </c>
      <c r="C28" s="8" t="inlineStr">
        <is>
          <t>601340900</t>
        </is>
      </c>
      <c r="D28" s="8" t="inlineStr">
        <is>
          <t>钢丝|钢丝|20＃|Φ5|101/69-12-276</t>
        </is>
      </c>
      <c r="E28" s="8" t="inlineStr">
        <is>
          <t xml:space="preserve">物资名称 钢丝;物资简称 钢丝;牌号 20＃;直径 Φ5;技术标准号 101/69-12-276;抗拉强度 ;加工工艺 ;表面状态 ;特殊要求 ;规格标准号 </t>
        </is>
      </c>
      <c r="F28" s="4" t="inlineStr">
        <is>
          <t>千克</t>
        </is>
      </c>
      <c r="G28" s="0">
        <f>LEFT(D28,FIND("|",D28,1)-1)</f>
        <v/>
      </c>
      <c r="H28" s="0">
        <f>MID(D28,FIND("|",D28,FIND("|",D28,1))+1,FIND("|",D28,FIND("|",D28,1)+1)-FIND("|",D28,FIND("|",D28,1))-1)</f>
        <v/>
      </c>
      <c r="J28" s="0">
        <f>MID(D28,FIND(";",SUBSTITUTE(D28,"|",REPT(";",LEN(D28)),2))+1,FIND(";",SUBSTITUTE(D28,"|",REPT(";",LEN(D28)),3))-FIND(";",SUBSTITUTE(D28,"|",REPT(";",LEN(D28)),2))-1)</f>
        <v/>
      </c>
      <c r="K28" s="0">
        <f>MID(D28,FIND(";",SUBSTITUTE(D28,"|",REPT(";",LEN(D28)),3))+1,FIND(";",SUBSTITUTE(D28,"|",REPT(";",LEN(D28)),4))-FIND(";",SUBSTITUTE(D28,"|",REPT(";",LEN(D28)),3))-1)</f>
        <v/>
      </c>
      <c r="L28" s="0">
        <f>MID(D28,FIND(";",SUBSTITUTE(D28,"|",REPT(";",LEN(D28)),4))+1,LEN(D28))</f>
        <v/>
      </c>
    </row>
    <row r="29" s="21">
      <c r="A29" s="8" t="inlineStr">
        <is>
          <t>100501</t>
        </is>
      </c>
      <c r="B29" s="8" t="inlineStr">
        <is>
          <t>钢丝</t>
        </is>
      </c>
      <c r="C29" s="8" t="inlineStr">
        <is>
          <t>601340800</t>
        </is>
      </c>
      <c r="D29" s="8" t="inlineStr">
        <is>
          <t>钢丝|钢丝|20＃|Φ5|101/79-10-114</t>
        </is>
      </c>
      <c r="E29" s="8" t="inlineStr">
        <is>
          <t xml:space="preserve">物资名称 钢丝;物资简称 钢丝;牌号 20＃;直径 Φ5;技术标准号 101/79-10-114;抗拉强度 ;加工工艺 ;表面状态 ;特殊要求 ;规格标准号 </t>
        </is>
      </c>
      <c r="F29" s="4" t="inlineStr">
        <is>
          <t>千克</t>
        </is>
      </c>
      <c r="G29" s="0">
        <f>LEFT(D29,FIND("|",D29,1)-1)</f>
        <v/>
      </c>
      <c r="H29" s="0">
        <f>MID(D29,FIND("|",D29,FIND("|",D29,1))+1,FIND("|",D29,FIND("|",D29,1)+1)-FIND("|",D29,FIND("|",D29,1))-1)</f>
        <v/>
      </c>
      <c r="J29" s="0">
        <f>MID(D29,FIND(";",SUBSTITUTE(D29,"|",REPT(";",LEN(D29)),2))+1,FIND(";",SUBSTITUTE(D29,"|",REPT(";",LEN(D29)),3))-FIND(";",SUBSTITUTE(D29,"|",REPT(";",LEN(D29)),2))-1)</f>
        <v/>
      </c>
      <c r="K29" s="0">
        <f>MID(D29,FIND(";",SUBSTITUTE(D29,"|",REPT(";",LEN(D29)),3))+1,FIND(";",SUBSTITUTE(D29,"|",REPT(";",LEN(D29)),4))-FIND(";",SUBSTITUTE(D29,"|",REPT(";",LEN(D29)),3))-1)</f>
        <v/>
      </c>
      <c r="L29" s="0">
        <f>MID(D29,FIND(";",SUBSTITUTE(D29,"|",REPT(";",LEN(D29)),4))+1,LEN(D29))</f>
        <v/>
      </c>
    </row>
    <row r="30" s="21">
      <c r="A30" s="8" t="inlineStr">
        <is>
          <t>100501</t>
        </is>
      </c>
      <c r="B30" s="8" t="inlineStr">
        <is>
          <t>钢丝</t>
        </is>
      </c>
      <c r="C30" s="8" t="inlineStr">
        <is>
          <t>601340700</t>
        </is>
      </c>
      <c r="D30" s="8" t="inlineStr">
        <is>
          <t>钢丝|钢丝|2Cr13|Φ4|空</t>
        </is>
      </c>
      <c r="E30" s="8" t="inlineStr">
        <is>
          <t xml:space="preserve">物资名称 钢丝;物资简称 钢丝;牌号 2Cr13;直径 Φ4;技术标准号 空;抗拉强度 ;加工工艺 ;表面状态 ;特殊要求 ;规格标准号 </t>
        </is>
      </c>
      <c r="F30" s="4" t="inlineStr">
        <is>
          <t>千克</t>
        </is>
      </c>
      <c r="G30" s="0">
        <f>LEFT(D30,FIND("|",D30,1)-1)</f>
        <v/>
      </c>
      <c r="H30" s="0">
        <f>MID(D30,FIND("|",D30,FIND("|",D30,1))+1,FIND("|",D30,FIND("|",D30,1)+1)-FIND("|",D30,FIND("|",D30,1))-1)</f>
        <v/>
      </c>
      <c r="J30" s="0">
        <f>MID(D30,FIND(";",SUBSTITUTE(D30,"|",REPT(";",LEN(D30)),2))+1,FIND(";",SUBSTITUTE(D30,"|",REPT(";",LEN(D30)),3))-FIND(";",SUBSTITUTE(D30,"|",REPT(";",LEN(D30)),2))-1)</f>
        <v/>
      </c>
      <c r="K30" s="0">
        <f>MID(D30,FIND(";",SUBSTITUTE(D30,"|",REPT(";",LEN(D30)),3))+1,FIND(";",SUBSTITUTE(D30,"|",REPT(";",LEN(D30)),4))-FIND(";",SUBSTITUTE(D30,"|",REPT(";",LEN(D30)),3))-1)</f>
        <v/>
      </c>
      <c r="L30" s="0">
        <f>MID(D30,FIND(";",SUBSTITUTE(D30,"|",REPT(";",LEN(D30)),4))+1,LEN(D30))</f>
        <v/>
      </c>
    </row>
    <row r="31" s="21">
      <c r="A31" s="8" t="inlineStr">
        <is>
          <t>100501</t>
        </is>
      </c>
      <c r="B31" s="8" t="inlineStr">
        <is>
          <t>钢丝</t>
        </is>
      </c>
      <c r="C31" s="8" t="inlineStr">
        <is>
          <t>601340600</t>
        </is>
      </c>
      <c r="D31" s="8" t="inlineStr">
        <is>
          <t>钢丝|钢丝|2Cr13|Φ5|107/07-8-3</t>
        </is>
      </c>
      <c r="E31" s="8" t="inlineStr">
        <is>
          <t xml:space="preserve">物资名称 钢丝;物资简称 钢丝;牌号 2Cr13;直径 Φ5;技术标准号 107/07-8-3;抗拉强度 ;加工工艺 ;表面状态 ;特殊要求 ;规格标准号 </t>
        </is>
      </c>
      <c r="F31" s="4" t="inlineStr">
        <is>
          <t>千克</t>
        </is>
      </c>
      <c r="G31" s="0">
        <f>LEFT(D31,FIND("|",D31,1)-1)</f>
        <v/>
      </c>
      <c r="H31" s="0">
        <f>MID(D31,FIND("|",D31,FIND("|",D31,1))+1,FIND("|",D31,FIND("|",D31,1)+1)-FIND("|",D31,FIND("|",D31,1))-1)</f>
        <v/>
      </c>
      <c r="J31" s="0">
        <f>MID(D31,FIND(";",SUBSTITUTE(D31,"|",REPT(";",LEN(D31)),2))+1,FIND(";",SUBSTITUTE(D31,"|",REPT(";",LEN(D31)),3))-FIND(";",SUBSTITUTE(D31,"|",REPT(";",LEN(D31)),2))-1)</f>
        <v/>
      </c>
      <c r="K31" s="0">
        <f>MID(D31,FIND(";",SUBSTITUTE(D31,"|",REPT(";",LEN(D31)),3))+1,FIND(";",SUBSTITUTE(D31,"|",REPT(";",LEN(D31)),4))-FIND(";",SUBSTITUTE(D31,"|",REPT(";",LEN(D31)),3))-1)</f>
        <v/>
      </c>
      <c r="L31" s="0">
        <f>MID(D31,FIND(";",SUBSTITUTE(D31,"|",REPT(";",LEN(D31)),4))+1,LEN(D31))</f>
        <v/>
      </c>
    </row>
    <row r="32" s="21">
      <c r="A32" s="8" t="inlineStr">
        <is>
          <t>100501</t>
        </is>
      </c>
      <c r="B32" s="8" t="inlineStr">
        <is>
          <t>钢丝</t>
        </is>
      </c>
      <c r="C32" s="8" t="inlineStr">
        <is>
          <t>601340500</t>
        </is>
      </c>
      <c r="D32" s="8" t="inlineStr">
        <is>
          <t>钢丝|钢丝|2Cr13|Φ6|101/68-12-215</t>
        </is>
      </c>
      <c r="E32" s="8" t="inlineStr">
        <is>
          <t xml:space="preserve">物资名称 钢丝;物资简称 钢丝;牌号 2Cr13;直径 Φ6;技术标准号 101/68-12-215;抗拉强度 ;加工工艺 ;表面状态 ;特殊要求 ;规格标准号 </t>
        </is>
      </c>
      <c r="F32" s="4" t="inlineStr">
        <is>
          <t>千克</t>
        </is>
      </c>
      <c r="G32" s="0">
        <f>LEFT(D32,FIND("|",D32,1)-1)</f>
        <v/>
      </c>
      <c r="H32" s="0">
        <f>MID(D32,FIND("|",D32,FIND("|",D32,1))+1,FIND("|",D32,FIND("|",D32,1)+1)-FIND("|",D32,FIND("|",D32,1))-1)</f>
        <v/>
      </c>
      <c r="J32" s="0">
        <f>MID(D32,FIND(";",SUBSTITUTE(D32,"|",REPT(";",LEN(D32)),2))+1,FIND(";",SUBSTITUTE(D32,"|",REPT(";",LEN(D32)),3))-FIND(";",SUBSTITUTE(D32,"|",REPT(";",LEN(D32)),2))-1)</f>
        <v/>
      </c>
      <c r="K32" s="0">
        <f>MID(D32,FIND(";",SUBSTITUTE(D32,"|",REPT(";",LEN(D32)),3))+1,FIND(";",SUBSTITUTE(D32,"|",REPT(";",LEN(D32)),4))-FIND(";",SUBSTITUTE(D32,"|",REPT(";",LEN(D32)),3))-1)</f>
        <v/>
      </c>
      <c r="L32" s="0">
        <f>MID(D32,FIND(";",SUBSTITUTE(D32,"|",REPT(";",LEN(D32)),4))+1,LEN(D32))</f>
        <v/>
      </c>
    </row>
    <row r="33" s="21">
      <c r="A33" s="8" t="inlineStr">
        <is>
          <t>100501</t>
        </is>
      </c>
      <c r="B33" s="8" t="inlineStr">
        <is>
          <t>钢丝</t>
        </is>
      </c>
      <c r="C33" s="8" t="inlineStr">
        <is>
          <t>601340400</t>
        </is>
      </c>
      <c r="D33" s="8" t="inlineStr">
        <is>
          <t>钢丝|钢丝|2Cr13|Φ7|101/67-4-126</t>
        </is>
      </c>
      <c r="E33" s="8" t="inlineStr">
        <is>
          <t xml:space="preserve">物资名称 钢丝;物资简称 钢丝;牌号 2Cr13;直径 Φ7;技术标准号 101/67-4-126;抗拉强度 ;加工工艺 ;表面状态 ;特殊要求 ;规格标准号 </t>
        </is>
      </c>
      <c r="F33" s="4" t="inlineStr">
        <is>
          <t>千克</t>
        </is>
      </c>
      <c r="G33" s="0">
        <f>LEFT(D33,FIND("|",D33,1)-1)</f>
        <v/>
      </c>
      <c r="H33" s="0">
        <f>MID(D33,FIND("|",D33,FIND("|",D33,1))+1,FIND("|",D33,FIND("|",D33,1)+1)-FIND("|",D33,FIND("|",D33,1))-1)</f>
        <v/>
      </c>
      <c r="J33" s="0">
        <f>MID(D33,FIND(";",SUBSTITUTE(D33,"|",REPT(";",LEN(D33)),2))+1,FIND(";",SUBSTITUTE(D33,"|",REPT(";",LEN(D33)),3))-FIND(";",SUBSTITUTE(D33,"|",REPT(";",LEN(D33)),2))-1)</f>
        <v/>
      </c>
      <c r="K33" s="0">
        <f>MID(D33,FIND(";",SUBSTITUTE(D33,"|",REPT(";",LEN(D33)),3))+1,FIND(";",SUBSTITUTE(D33,"|",REPT(";",LEN(D33)),4))-FIND(";",SUBSTITUTE(D33,"|",REPT(";",LEN(D33)),3))-1)</f>
        <v/>
      </c>
      <c r="L33" s="0">
        <f>MID(D33,FIND(";",SUBSTITUTE(D33,"|",REPT(";",LEN(D33)),4))+1,LEN(D33))</f>
        <v/>
      </c>
    </row>
    <row r="34" s="21">
      <c r="A34" s="8" t="inlineStr">
        <is>
          <t>100501</t>
        </is>
      </c>
      <c r="B34" s="8" t="inlineStr">
        <is>
          <t>钢丝</t>
        </is>
      </c>
      <c r="C34" s="8" t="inlineStr">
        <is>
          <t>601340300</t>
        </is>
      </c>
      <c r="D34" s="8" t="inlineStr">
        <is>
          <t>钢丝|钢丝|2Cr13Ni2|Φ2.5|101/66-11-449</t>
        </is>
      </c>
      <c r="E34" s="8" t="inlineStr">
        <is>
          <t xml:space="preserve">物资名称 钢丝;物资简称 钢丝;牌号 2Cr13Ni2;直径 Φ2.5;技术标准号 101/66-11-449;抗拉强度 ;加工工艺 ;表面状态 ;特殊要求 ;规格标准号 </t>
        </is>
      </c>
      <c r="F34" s="4" t="inlineStr">
        <is>
          <t>千克</t>
        </is>
      </c>
      <c r="G34" s="0">
        <f>LEFT(D34,FIND("|",D34,1)-1)</f>
        <v/>
      </c>
      <c r="H34" s="0">
        <f>MID(D34,FIND("|",D34,FIND("|",D34,1))+1,FIND("|",D34,FIND("|",D34,1)+1)-FIND("|",D34,FIND("|",D34,1))-1)</f>
        <v/>
      </c>
      <c r="J34" s="0">
        <f>MID(D34,FIND(";",SUBSTITUTE(D34,"|",REPT(";",LEN(D34)),2))+1,FIND(";",SUBSTITUTE(D34,"|",REPT(";",LEN(D34)),3))-FIND(";",SUBSTITUTE(D34,"|",REPT(";",LEN(D34)),2))-1)</f>
        <v/>
      </c>
      <c r="K34" s="0">
        <f>MID(D34,FIND(";",SUBSTITUTE(D34,"|",REPT(";",LEN(D34)),3))+1,FIND(";",SUBSTITUTE(D34,"|",REPT(";",LEN(D34)),4))-FIND(";",SUBSTITUTE(D34,"|",REPT(";",LEN(D34)),3))-1)</f>
        <v/>
      </c>
      <c r="L34" s="0">
        <f>MID(D34,FIND(";",SUBSTITUTE(D34,"|",REPT(";",LEN(D34)),4))+1,LEN(D34))</f>
        <v/>
      </c>
    </row>
    <row r="35" s="21">
      <c r="A35" s="8" t="inlineStr">
        <is>
          <t>100501</t>
        </is>
      </c>
      <c r="B35" s="8" t="inlineStr">
        <is>
          <t>钢丝</t>
        </is>
      </c>
      <c r="C35" s="8" t="inlineStr">
        <is>
          <t>601340200</t>
        </is>
      </c>
      <c r="D35" s="8" t="inlineStr">
        <is>
          <t>钢丝|钢丝|2Cr13Ni2|Φ3|101/66-7-277</t>
        </is>
      </c>
      <c r="E35" s="8" t="inlineStr">
        <is>
          <t xml:space="preserve">物资名称 钢丝;物资简称 钢丝;牌号 2Cr13Ni2;直径 Φ3;技术标准号 101/66-7-277;抗拉强度 ;加工工艺 ;表面状态 ;特殊要求 ;规格标准号 </t>
        </is>
      </c>
      <c r="F35" s="4" t="inlineStr">
        <is>
          <t>千克</t>
        </is>
      </c>
      <c r="G35" s="0">
        <f>LEFT(D35,FIND("|",D35,1)-1)</f>
        <v/>
      </c>
      <c r="H35" s="0">
        <f>MID(D35,FIND("|",D35,FIND("|",D35,1))+1,FIND("|",D35,FIND("|",D35,1)+1)-FIND("|",D35,FIND("|",D35,1))-1)</f>
        <v/>
      </c>
      <c r="J35" s="0">
        <f>MID(D35,FIND(";",SUBSTITUTE(D35,"|",REPT(";",LEN(D35)),2))+1,FIND(";",SUBSTITUTE(D35,"|",REPT(";",LEN(D35)),3))-FIND(";",SUBSTITUTE(D35,"|",REPT(";",LEN(D35)),2))-1)</f>
        <v/>
      </c>
      <c r="K35" s="0">
        <f>MID(D35,FIND(";",SUBSTITUTE(D35,"|",REPT(";",LEN(D35)),3))+1,FIND(";",SUBSTITUTE(D35,"|",REPT(";",LEN(D35)),4))-FIND(";",SUBSTITUTE(D35,"|",REPT(";",LEN(D35)),3))-1)</f>
        <v/>
      </c>
      <c r="L35" s="0">
        <f>MID(D35,FIND(";",SUBSTITUTE(D35,"|",REPT(";",LEN(D35)),4))+1,LEN(D35))</f>
        <v/>
      </c>
    </row>
    <row r="36" s="21">
      <c r="A36" s="8" t="inlineStr">
        <is>
          <t>100501</t>
        </is>
      </c>
      <c r="B36" s="8" t="inlineStr">
        <is>
          <t>钢丝</t>
        </is>
      </c>
      <c r="C36" s="8" t="inlineStr">
        <is>
          <t>601340100</t>
        </is>
      </c>
      <c r="D36" s="8" t="inlineStr">
        <is>
          <t>钢丝|钢丝|2Cr13Ni2|Φ1.5|101/74-12-63</t>
        </is>
      </c>
      <c r="E36" s="8" t="inlineStr">
        <is>
          <t xml:space="preserve">物资名称 钢丝;物资简称 钢丝;牌号 2Cr13Ni2;直径 Φ1.5;技术标准号 101/74-12-63;抗拉强度 ;加工工艺 ;表面状态 ;特殊要求 ;规格标准号 </t>
        </is>
      </c>
      <c r="F36" s="4" t="inlineStr">
        <is>
          <t>千克</t>
        </is>
      </c>
      <c r="G36" s="0">
        <f>LEFT(D36,FIND("|",D36,1)-1)</f>
        <v/>
      </c>
      <c r="H36" s="0">
        <f>MID(D36,FIND("|",D36,FIND("|",D36,1))+1,FIND("|",D36,FIND("|",D36,1)+1)-FIND("|",D36,FIND("|",D36,1))-1)</f>
        <v/>
      </c>
      <c r="J36" s="0">
        <f>MID(D36,FIND(";",SUBSTITUTE(D36,"|",REPT(";",LEN(D36)),2))+1,FIND(";",SUBSTITUTE(D36,"|",REPT(";",LEN(D36)),3))-FIND(";",SUBSTITUTE(D36,"|",REPT(";",LEN(D36)),2))-1)</f>
        <v/>
      </c>
      <c r="K36" s="0">
        <f>MID(D36,FIND(";",SUBSTITUTE(D36,"|",REPT(";",LEN(D36)),3))+1,FIND(";",SUBSTITUTE(D36,"|",REPT(";",LEN(D36)),4))-FIND(";",SUBSTITUTE(D36,"|",REPT(";",LEN(D36)),3))-1)</f>
        <v/>
      </c>
      <c r="L36" s="0">
        <f>MID(D36,FIND(";",SUBSTITUTE(D36,"|",REPT(";",LEN(D36)),4))+1,LEN(D36))</f>
        <v/>
      </c>
    </row>
    <row r="37" s="21">
      <c r="A37" s="8" t="inlineStr">
        <is>
          <t>100501</t>
        </is>
      </c>
      <c r="B37" s="8" t="inlineStr">
        <is>
          <t>钢丝</t>
        </is>
      </c>
      <c r="C37" s="8" t="inlineStr">
        <is>
          <t>601340000</t>
        </is>
      </c>
      <c r="D37" s="8" t="inlineStr">
        <is>
          <t>钢丝|钢丝|2Cr13Ni2|Φ6|107/05-12-10</t>
        </is>
      </c>
      <c r="E37" s="8" t="inlineStr">
        <is>
          <t xml:space="preserve">物资名称 钢丝;物资简称 钢丝;牌号 2Cr13Ni2;直径 Φ6;技术标准号 107/05-12-10;抗拉强度 ;加工工艺 ;表面状态 ;特殊要求 ;规格标准号 </t>
        </is>
      </c>
      <c r="F37" s="4" t="inlineStr">
        <is>
          <t>千克</t>
        </is>
      </c>
      <c r="G37" s="0">
        <f>LEFT(D37,FIND("|",D37,1)-1)</f>
        <v/>
      </c>
      <c r="H37" s="0">
        <f>MID(D37,FIND("|",D37,FIND("|",D37,1))+1,FIND("|",D37,FIND("|",D37,1)+1)-FIND("|",D37,FIND("|",D37,1))-1)</f>
        <v/>
      </c>
      <c r="J37" s="0">
        <f>MID(D37,FIND(";",SUBSTITUTE(D37,"|",REPT(";",LEN(D37)),2))+1,FIND(";",SUBSTITUTE(D37,"|",REPT(";",LEN(D37)),3))-FIND(";",SUBSTITUTE(D37,"|",REPT(";",LEN(D37)),2))-1)</f>
        <v/>
      </c>
      <c r="K37" s="0">
        <f>MID(D37,FIND(";",SUBSTITUTE(D37,"|",REPT(";",LEN(D37)),3))+1,FIND(";",SUBSTITUTE(D37,"|",REPT(";",LEN(D37)),4))-FIND(";",SUBSTITUTE(D37,"|",REPT(";",LEN(D37)),3))-1)</f>
        <v/>
      </c>
      <c r="L37" s="0">
        <f>MID(D37,FIND(";",SUBSTITUTE(D37,"|",REPT(";",LEN(D37)),4))+1,LEN(D37))</f>
        <v/>
      </c>
    </row>
    <row r="38" s="21">
      <c r="A38" s="8" t="inlineStr">
        <is>
          <t>100501</t>
        </is>
      </c>
      <c r="B38" s="8" t="inlineStr">
        <is>
          <t>钢丝</t>
        </is>
      </c>
      <c r="C38" s="8" t="inlineStr">
        <is>
          <t>601339900</t>
        </is>
      </c>
      <c r="D38" s="8" t="inlineStr">
        <is>
          <t>钢丝|钢丝|2Cr13Ni2|Φ7|107/05-12-11</t>
        </is>
      </c>
      <c r="E38" s="8" t="inlineStr">
        <is>
          <t xml:space="preserve">物资名称 钢丝;物资简称 钢丝;牌号 2Cr13Ni2;直径 Φ7;技术标准号 107/05-12-11;抗拉强度 ;加工工艺 ;表面状态 ;特殊要求 ;规格标准号 </t>
        </is>
      </c>
      <c r="F38" s="4" t="inlineStr">
        <is>
          <t>千克</t>
        </is>
      </c>
      <c r="G38" s="0">
        <f>LEFT(D38,FIND("|",D38,1)-1)</f>
        <v/>
      </c>
      <c r="H38" s="0">
        <f>MID(D38,FIND("|",D38,FIND("|",D38,1))+1,FIND("|",D38,FIND("|",D38,1)+1)-FIND("|",D38,FIND("|",D38,1))-1)</f>
        <v/>
      </c>
      <c r="J38" s="0">
        <f>MID(D38,FIND(";",SUBSTITUTE(D38,"|",REPT(";",LEN(D38)),2))+1,FIND(";",SUBSTITUTE(D38,"|",REPT(";",LEN(D38)),3))-FIND(";",SUBSTITUTE(D38,"|",REPT(";",LEN(D38)),2))-1)</f>
        <v/>
      </c>
      <c r="K38" s="0">
        <f>MID(D38,FIND(";",SUBSTITUTE(D38,"|",REPT(";",LEN(D38)),3))+1,FIND(";",SUBSTITUTE(D38,"|",REPT(";",LEN(D38)),4))-FIND(";",SUBSTITUTE(D38,"|",REPT(";",LEN(D38)),3))-1)</f>
        <v/>
      </c>
      <c r="L38" s="0">
        <f>MID(D38,FIND(";",SUBSTITUTE(D38,"|",REPT(";",LEN(D38)),4))+1,LEN(D38))</f>
        <v/>
      </c>
    </row>
    <row r="39" s="21">
      <c r="A39" s="8" t="inlineStr">
        <is>
          <t>100501</t>
        </is>
      </c>
      <c r="B39" s="8" t="inlineStr">
        <is>
          <t>钢丝</t>
        </is>
      </c>
      <c r="C39" s="8" t="inlineStr">
        <is>
          <t>601339800</t>
        </is>
      </c>
      <c r="D39" s="8" t="inlineStr">
        <is>
          <t>钢丝|钢丝|45#|Φ4|空</t>
        </is>
      </c>
      <c r="E39" s="8" t="inlineStr">
        <is>
          <t xml:space="preserve">物资名称 钢丝;物资简称 钢丝;牌号 45#;直径 Φ4;技术标准号 空;抗拉强度 ;加工工艺 ;表面状态 ;特殊要求 ;规格标准号 </t>
        </is>
      </c>
      <c r="F39" s="4" t="inlineStr">
        <is>
          <t>千克</t>
        </is>
      </c>
      <c r="G39" s="0">
        <f>LEFT(D39,FIND("|",D39,1)-1)</f>
        <v/>
      </c>
      <c r="H39" s="0">
        <f>MID(D39,FIND("|",D39,FIND("|",D39,1))+1,FIND("|",D39,FIND("|",D39,1)+1)-FIND("|",D39,FIND("|",D39,1))-1)</f>
        <v/>
      </c>
      <c r="J39" s="0">
        <f>MID(D39,FIND(";",SUBSTITUTE(D39,"|",REPT(";",LEN(D39)),2))+1,FIND(";",SUBSTITUTE(D39,"|",REPT(";",LEN(D39)),3))-FIND(";",SUBSTITUTE(D39,"|",REPT(";",LEN(D39)),2))-1)</f>
        <v/>
      </c>
      <c r="K39" s="0">
        <f>MID(D39,FIND(";",SUBSTITUTE(D39,"|",REPT(";",LEN(D39)),3))+1,FIND(";",SUBSTITUTE(D39,"|",REPT(";",LEN(D39)),4))-FIND(";",SUBSTITUTE(D39,"|",REPT(";",LEN(D39)),3))-1)</f>
        <v/>
      </c>
      <c r="L39" s="0">
        <f>MID(D39,FIND(";",SUBSTITUTE(D39,"|",REPT(";",LEN(D39)),4))+1,LEN(D39))</f>
        <v/>
      </c>
    </row>
    <row r="40" s="21">
      <c r="A40" s="8" t="inlineStr">
        <is>
          <t>100501</t>
        </is>
      </c>
      <c r="B40" s="8" t="inlineStr">
        <is>
          <t>钢丝</t>
        </is>
      </c>
      <c r="C40" s="8" t="inlineStr">
        <is>
          <t>601339700</t>
        </is>
      </c>
      <c r="D40" s="8" t="inlineStr">
        <is>
          <t>钢丝|钢丝|45#|Φ5|107/2005-4-5</t>
        </is>
      </c>
      <c r="E40" s="8" t="inlineStr">
        <is>
          <t xml:space="preserve">物资名称 钢丝;物资简称 钢丝;牌号 45#;直径 Φ5;技术标准号 107/2005-4-5;抗拉强度 ;加工工艺 ;表面状态 ;特殊要求 ;规格标准号 </t>
        </is>
      </c>
      <c r="F40" s="4" t="inlineStr">
        <is>
          <t>千克</t>
        </is>
      </c>
      <c r="G40" s="0">
        <f>LEFT(D40,FIND("|",D40,1)-1)</f>
        <v/>
      </c>
      <c r="H40" s="0">
        <f>MID(D40,FIND("|",D40,FIND("|",D40,1))+1,FIND("|",D40,FIND("|",D40,1)+1)-FIND("|",D40,FIND("|",D40,1))-1)</f>
        <v/>
      </c>
      <c r="J40" s="0">
        <f>MID(D40,FIND(";",SUBSTITUTE(D40,"|",REPT(";",LEN(D40)),2))+1,FIND(";",SUBSTITUTE(D40,"|",REPT(";",LEN(D40)),3))-FIND(";",SUBSTITUTE(D40,"|",REPT(";",LEN(D40)),2))-1)</f>
        <v/>
      </c>
      <c r="K40" s="0">
        <f>MID(D40,FIND(";",SUBSTITUTE(D40,"|",REPT(";",LEN(D40)),3))+1,FIND(";",SUBSTITUTE(D40,"|",REPT(";",LEN(D40)),4))-FIND(";",SUBSTITUTE(D40,"|",REPT(";",LEN(D40)),3))-1)</f>
        <v/>
      </c>
      <c r="L40" s="0">
        <f>MID(D40,FIND(";",SUBSTITUTE(D40,"|",REPT(";",LEN(D40)),4))+1,LEN(D40))</f>
        <v/>
      </c>
    </row>
    <row r="41" s="21">
      <c r="A41" s="8" t="inlineStr">
        <is>
          <t>100501</t>
        </is>
      </c>
      <c r="B41" s="8" t="inlineStr">
        <is>
          <t>钢丝</t>
        </is>
      </c>
      <c r="C41" s="8" t="inlineStr">
        <is>
          <t>601339600</t>
        </is>
      </c>
      <c r="D41" s="8" t="inlineStr">
        <is>
          <t>钢丝|钢丝|45#|Φ6|101/2000-10-93</t>
        </is>
      </c>
      <c r="E41" s="8" t="inlineStr">
        <is>
          <t xml:space="preserve">物资名称 钢丝;物资简称 钢丝;牌号 45#;直径 Φ6;技术标准号 101/2000-10-93;抗拉强度 ;加工工艺 ;表面状态 ;特殊要求 ;规格标准号 </t>
        </is>
      </c>
      <c r="F41" s="4" t="inlineStr">
        <is>
          <t>千克</t>
        </is>
      </c>
      <c r="G41" s="0">
        <f>LEFT(D41,FIND("|",D41,1)-1)</f>
        <v/>
      </c>
      <c r="H41" s="0">
        <f>MID(D41,FIND("|",D41,FIND("|",D41,1))+1,FIND("|",D41,FIND("|",D41,1)+1)-FIND("|",D41,FIND("|",D41,1))-1)</f>
        <v/>
      </c>
      <c r="J41" s="0">
        <f>MID(D41,FIND(";",SUBSTITUTE(D41,"|",REPT(";",LEN(D41)),2))+1,FIND(";",SUBSTITUTE(D41,"|",REPT(";",LEN(D41)),3))-FIND(";",SUBSTITUTE(D41,"|",REPT(";",LEN(D41)),2))-1)</f>
        <v/>
      </c>
      <c r="K41" s="0">
        <f>MID(D41,FIND(";",SUBSTITUTE(D41,"|",REPT(";",LEN(D41)),3))+1,FIND(";",SUBSTITUTE(D41,"|",REPT(";",LEN(D41)),4))-FIND(";",SUBSTITUTE(D41,"|",REPT(";",LEN(D41)),3))-1)</f>
        <v/>
      </c>
      <c r="L41" s="0">
        <f>MID(D41,FIND(";",SUBSTITUTE(D41,"|",REPT(";",LEN(D41)),4))+1,LEN(D41))</f>
        <v/>
      </c>
    </row>
    <row r="42" s="21">
      <c r="A42" s="8" t="inlineStr">
        <is>
          <t>100501</t>
        </is>
      </c>
      <c r="B42" s="8" t="inlineStr">
        <is>
          <t>钢丝</t>
        </is>
      </c>
      <c r="C42" s="8" t="inlineStr">
        <is>
          <t>601339500</t>
        </is>
      </c>
      <c r="D42" s="8" t="inlineStr">
        <is>
          <t>钢丝|钢丝|45#|Φ6|101/2001-4-16</t>
        </is>
      </c>
      <c r="E42" s="8" t="inlineStr">
        <is>
          <t xml:space="preserve">物资名称 钢丝;物资简称 钢丝;牌号 45#;直径 Φ6;技术标准号 101/2001-4-16;抗拉强度 ;加工工艺 ;表面状态 ;特殊要求 ;规格标准号 </t>
        </is>
      </c>
      <c r="F42" s="4" t="inlineStr">
        <is>
          <t>千克</t>
        </is>
      </c>
      <c r="G42" s="0">
        <f>LEFT(D42,FIND("|",D42,1)-1)</f>
        <v/>
      </c>
      <c r="H42" s="0">
        <f>MID(D42,FIND("|",D42,FIND("|",D42,1))+1,FIND("|",D42,FIND("|",D42,1)+1)-FIND("|",D42,FIND("|",D42,1))-1)</f>
        <v/>
      </c>
      <c r="J42" s="0">
        <f>MID(D42,FIND(";",SUBSTITUTE(D42,"|",REPT(";",LEN(D42)),2))+1,FIND(";",SUBSTITUTE(D42,"|",REPT(";",LEN(D42)),3))-FIND(";",SUBSTITUTE(D42,"|",REPT(";",LEN(D42)),2))-1)</f>
        <v/>
      </c>
      <c r="K42" s="0">
        <f>MID(D42,FIND(";",SUBSTITUTE(D42,"|",REPT(";",LEN(D42)),3))+1,FIND(";",SUBSTITUTE(D42,"|",REPT(";",LEN(D42)),4))-FIND(";",SUBSTITUTE(D42,"|",REPT(";",LEN(D42)),3))-1)</f>
        <v/>
      </c>
      <c r="L42" s="0">
        <f>MID(D42,FIND(";",SUBSTITUTE(D42,"|",REPT(";",LEN(D42)),4))+1,LEN(D42))</f>
        <v/>
      </c>
    </row>
    <row r="43" s="21">
      <c r="A43" s="8" t="inlineStr">
        <is>
          <t>100501</t>
        </is>
      </c>
      <c r="B43" s="8" t="inlineStr">
        <is>
          <t>钢丝</t>
        </is>
      </c>
      <c r="C43" s="8" t="inlineStr">
        <is>
          <t>601339400</t>
        </is>
      </c>
      <c r="D43" s="8" t="inlineStr">
        <is>
          <t>钢丝|钢丝|45#y|Φ3|942/05-12-200</t>
        </is>
      </c>
      <c r="E43" s="8" t="inlineStr">
        <is>
          <t xml:space="preserve">物资名称 钢丝;物资简称 钢丝;牌号 45#y;直径 Φ3;技术标准号 942/05-12-200;抗拉强度 ;加工工艺 ;表面状态 ;特殊要求 ;规格标准号 </t>
        </is>
      </c>
      <c r="F43" s="4" t="inlineStr">
        <is>
          <t>千克</t>
        </is>
      </c>
      <c r="G43" s="0">
        <f>LEFT(D43,FIND("|",D43,1)-1)</f>
        <v/>
      </c>
      <c r="H43" s="0">
        <f>MID(D43,FIND("|",D43,FIND("|",D43,1))+1,FIND("|",D43,FIND("|",D43,1)+1)-FIND("|",D43,FIND("|",D43,1))-1)</f>
        <v/>
      </c>
      <c r="J43" s="0">
        <f>MID(D43,FIND(";",SUBSTITUTE(D43,"|",REPT(";",LEN(D43)),2))+1,FIND(";",SUBSTITUTE(D43,"|",REPT(";",LEN(D43)),3))-FIND(";",SUBSTITUTE(D43,"|",REPT(";",LEN(D43)),2))-1)</f>
        <v/>
      </c>
      <c r="K43" s="0">
        <f>MID(D43,FIND(";",SUBSTITUTE(D43,"|",REPT(";",LEN(D43)),3))+1,FIND(";",SUBSTITUTE(D43,"|",REPT(";",LEN(D43)),4))-FIND(";",SUBSTITUTE(D43,"|",REPT(";",LEN(D43)),3))-1)</f>
        <v/>
      </c>
      <c r="L43" s="0">
        <f>MID(D43,FIND(";",SUBSTITUTE(D43,"|",REPT(";",LEN(D43)),4))+1,LEN(D43))</f>
        <v/>
      </c>
    </row>
    <row r="44" s="21">
      <c r="A44" s="8" t="inlineStr">
        <is>
          <t>100501</t>
        </is>
      </c>
      <c r="B44" s="8" t="inlineStr">
        <is>
          <t>钢丝</t>
        </is>
      </c>
      <c r="C44" s="8" t="inlineStr">
        <is>
          <t>601339300</t>
        </is>
      </c>
      <c r="D44" s="8" t="inlineStr">
        <is>
          <t>钢丝|钢丝|50#|Φ2|104/67-8-178</t>
        </is>
      </c>
      <c r="E44" s="8" t="inlineStr">
        <is>
          <t xml:space="preserve">物资名称 钢丝;物资简称 钢丝;牌号 50#;直径 Φ2;技术标准号 104/67-8-178;抗拉强度 ;加工工艺 ;表面状态 ;特殊要求 ;规格标准号 </t>
        </is>
      </c>
      <c r="F44" s="4" t="inlineStr">
        <is>
          <t>千克</t>
        </is>
      </c>
      <c r="G44" s="0">
        <f>LEFT(D44,FIND("|",D44,1)-1)</f>
        <v/>
      </c>
      <c r="H44" s="0">
        <f>MID(D44,FIND("|",D44,FIND("|",D44,1))+1,FIND("|",D44,FIND("|",D44,1)+1)-FIND("|",D44,FIND("|",D44,1))-1)</f>
        <v/>
      </c>
      <c r="J44" s="0">
        <f>MID(D44,FIND(";",SUBSTITUTE(D44,"|",REPT(";",LEN(D44)),2))+1,FIND(";",SUBSTITUTE(D44,"|",REPT(";",LEN(D44)),3))-FIND(";",SUBSTITUTE(D44,"|",REPT(";",LEN(D44)),2))-1)</f>
        <v/>
      </c>
      <c r="K44" s="0">
        <f>MID(D44,FIND(";",SUBSTITUTE(D44,"|",REPT(";",LEN(D44)),3))+1,FIND(";",SUBSTITUTE(D44,"|",REPT(";",LEN(D44)),4))-FIND(";",SUBSTITUTE(D44,"|",REPT(";",LEN(D44)),3))-1)</f>
        <v/>
      </c>
      <c r="L44" s="0">
        <f>MID(D44,FIND(";",SUBSTITUTE(D44,"|",REPT(";",LEN(D44)),4))+1,LEN(D44))</f>
        <v/>
      </c>
    </row>
    <row r="45" s="21">
      <c r="A45" s="8" t="inlineStr">
        <is>
          <t>100501</t>
        </is>
      </c>
      <c r="B45" s="8" t="inlineStr">
        <is>
          <t>钢丝</t>
        </is>
      </c>
      <c r="C45" s="8" t="inlineStr">
        <is>
          <t>601339200</t>
        </is>
      </c>
      <c r="D45" s="8" t="inlineStr">
        <is>
          <t>钢丝|钢丝|50#|Φ5|101/70-2-23</t>
        </is>
      </c>
      <c r="E45" s="8" t="inlineStr">
        <is>
          <t xml:space="preserve">物资名称 钢丝;物资简称 钢丝;牌号 50#;直径 Φ5;技术标准号 101/70-2-23;抗拉强度 ;加工工艺 ;表面状态 ;特殊要求 ;规格标准号 </t>
        </is>
      </c>
      <c r="F45" s="4" t="inlineStr">
        <is>
          <t>千克</t>
        </is>
      </c>
      <c r="G45" s="0">
        <f>LEFT(D45,FIND("|",D45,1)-1)</f>
        <v/>
      </c>
      <c r="H45" s="0">
        <f>MID(D45,FIND("|",D45,FIND("|",D45,1))+1,FIND("|",D45,FIND("|",D45,1)+1)-FIND("|",D45,FIND("|",D45,1))-1)</f>
        <v/>
      </c>
      <c r="J45" s="0">
        <f>MID(D45,FIND(";",SUBSTITUTE(D45,"|",REPT(";",LEN(D45)),2))+1,FIND(";",SUBSTITUTE(D45,"|",REPT(";",LEN(D45)),3))-FIND(";",SUBSTITUTE(D45,"|",REPT(";",LEN(D45)),2))-1)</f>
        <v/>
      </c>
      <c r="K45" s="0">
        <f>MID(D45,FIND(";",SUBSTITUTE(D45,"|",REPT(";",LEN(D45)),3))+1,FIND(";",SUBSTITUTE(D45,"|",REPT(";",LEN(D45)),4))-FIND(";",SUBSTITUTE(D45,"|",REPT(";",LEN(D45)),3))-1)</f>
        <v/>
      </c>
      <c r="L45" s="0">
        <f>MID(D45,FIND(";",SUBSTITUTE(D45,"|",REPT(";",LEN(D45)),4))+1,LEN(D45))</f>
        <v/>
      </c>
    </row>
    <row r="46" s="21">
      <c r="A46" s="8" t="inlineStr">
        <is>
          <t>100501</t>
        </is>
      </c>
      <c r="B46" s="8" t="inlineStr">
        <is>
          <t>钢丝</t>
        </is>
      </c>
      <c r="C46" s="8" t="inlineStr">
        <is>
          <t>601339100</t>
        </is>
      </c>
      <c r="D46" s="8" t="inlineStr">
        <is>
          <t>钢丝|钢丝|50#|Φ6|101/69-6-167</t>
        </is>
      </c>
      <c r="E46" s="8" t="inlineStr">
        <is>
          <t xml:space="preserve">物资名称 钢丝;物资简称 钢丝;牌号 50#;直径 Φ6;技术标准号 101/69-6-167;抗拉强度 ;加工工艺 ;表面状态 ;特殊要求 ;规格标准号 </t>
        </is>
      </c>
      <c r="F46" s="4" t="inlineStr">
        <is>
          <t>千克</t>
        </is>
      </c>
      <c r="G46" s="0">
        <f>LEFT(D46,FIND("|",D46,1)-1)</f>
        <v/>
      </c>
      <c r="H46" s="0">
        <f>MID(D46,FIND("|",D46,FIND("|",D46,1))+1,FIND("|",D46,FIND("|",D46,1)+1)-FIND("|",D46,FIND("|",D46,1))-1)</f>
        <v/>
      </c>
      <c r="J46" s="0">
        <f>MID(D46,FIND(";",SUBSTITUTE(D46,"|",REPT(";",LEN(D46)),2))+1,FIND(";",SUBSTITUTE(D46,"|",REPT(";",LEN(D46)),3))-FIND(";",SUBSTITUTE(D46,"|",REPT(";",LEN(D46)),2))-1)</f>
        <v/>
      </c>
      <c r="K46" s="0">
        <f>MID(D46,FIND(";",SUBSTITUTE(D46,"|",REPT(";",LEN(D46)),3))+1,FIND(";",SUBSTITUTE(D46,"|",REPT(";",LEN(D46)),4))-FIND(";",SUBSTITUTE(D46,"|",REPT(";",LEN(D46)),3))-1)</f>
        <v/>
      </c>
      <c r="L46" s="0">
        <f>MID(D46,FIND(";",SUBSTITUTE(D46,"|",REPT(";",LEN(D46)),4))+1,LEN(D46))</f>
        <v/>
      </c>
    </row>
    <row r="47" s="21">
      <c r="A47" s="8" t="inlineStr">
        <is>
          <t>100501</t>
        </is>
      </c>
      <c r="B47" s="8" t="inlineStr">
        <is>
          <t>钢丝</t>
        </is>
      </c>
      <c r="C47" s="8" t="inlineStr">
        <is>
          <t>601339000</t>
        </is>
      </c>
      <c r="D47" s="8" t="inlineStr">
        <is>
          <t>钢丝|钢丝|50CrVA|Φ1|空</t>
        </is>
      </c>
      <c r="E47" s="8" t="inlineStr">
        <is>
          <t xml:space="preserve">物资名称 钢丝;物资简称 钢丝;牌号 50CrVA;直径 Φ1;技术标准号 空;抗拉强度 ;加工工艺 ;表面状态 ;特殊要求 ;规格标准号 </t>
        </is>
      </c>
      <c r="F47" s="4" t="inlineStr">
        <is>
          <t>千克</t>
        </is>
      </c>
      <c r="G47" s="0">
        <f>LEFT(D47,FIND("|",D47,1)-1)</f>
        <v/>
      </c>
      <c r="H47" s="0">
        <f>MID(D47,FIND("|",D47,FIND("|",D47,1))+1,FIND("|",D47,FIND("|",D47,1)+1)-FIND("|",D47,FIND("|",D47,1))-1)</f>
        <v/>
      </c>
      <c r="J47" s="0">
        <f>MID(D47,FIND(";",SUBSTITUTE(D47,"|",REPT(";",LEN(D47)),2))+1,FIND(";",SUBSTITUTE(D47,"|",REPT(";",LEN(D47)),3))-FIND(";",SUBSTITUTE(D47,"|",REPT(";",LEN(D47)),2))-1)</f>
        <v/>
      </c>
      <c r="K47" s="0">
        <f>MID(D47,FIND(";",SUBSTITUTE(D47,"|",REPT(";",LEN(D47)),3))+1,FIND(";",SUBSTITUTE(D47,"|",REPT(";",LEN(D47)),4))-FIND(";",SUBSTITUTE(D47,"|",REPT(";",LEN(D47)),3))-1)</f>
        <v/>
      </c>
      <c r="L47" s="0">
        <f>MID(D47,FIND(";",SUBSTITUTE(D47,"|",REPT(";",LEN(D47)),4))+1,LEN(D47))</f>
        <v/>
      </c>
    </row>
    <row r="48" s="21">
      <c r="A48" s="8" t="inlineStr">
        <is>
          <t>100501</t>
        </is>
      </c>
      <c r="B48" s="8" t="inlineStr">
        <is>
          <t>钢丝</t>
        </is>
      </c>
      <c r="C48" s="8" t="inlineStr">
        <is>
          <t>601338900</t>
        </is>
      </c>
      <c r="D48" s="8" t="inlineStr">
        <is>
          <t>钢丝|钢丝|50CrVA|Φ2|空</t>
        </is>
      </c>
      <c r="E48" s="8" t="inlineStr">
        <is>
          <t xml:space="preserve">物资名称 钢丝;物资简称 钢丝;牌号 50CrVA;直径 Φ2;技术标准号 空;抗拉强度 ;加工工艺 ;表面状态 ;特殊要求 ;规格标准号 </t>
        </is>
      </c>
      <c r="F48" s="4" t="inlineStr">
        <is>
          <t>千克</t>
        </is>
      </c>
      <c r="G48" s="0">
        <f>LEFT(D48,FIND("|",D48,1)-1)</f>
        <v/>
      </c>
      <c r="H48" s="0">
        <f>MID(D48,FIND("|",D48,FIND("|",D48,1))+1,FIND("|",D48,FIND("|",D48,1)+1)-FIND("|",D48,FIND("|",D48,1))-1)</f>
        <v/>
      </c>
      <c r="J48" s="0">
        <f>MID(D48,FIND(";",SUBSTITUTE(D48,"|",REPT(";",LEN(D48)),2))+1,FIND(";",SUBSTITUTE(D48,"|",REPT(";",LEN(D48)),3))-FIND(";",SUBSTITUTE(D48,"|",REPT(";",LEN(D48)),2))-1)</f>
        <v/>
      </c>
      <c r="K48" s="0">
        <f>MID(D48,FIND(";",SUBSTITUTE(D48,"|",REPT(";",LEN(D48)),3))+1,FIND(";",SUBSTITUTE(D48,"|",REPT(";",LEN(D48)),4))-FIND(";",SUBSTITUTE(D48,"|",REPT(";",LEN(D48)),3))-1)</f>
        <v/>
      </c>
      <c r="L48" s="0">
        <f>MID(D48,FIND(";",SUBSTITUTE(D48,"|",REPT(";",LEN(D48)),4))+1,LEN(D48))</f>
        <v/>
      </c>
    </row>
    <row r="49" s="21">
      <c r="A49" s="8" t="inlineStr">
        <is>
          <t>100501</t>
        </is>
      </c>
      <c r="B49" s="8" t="inlineStr">
        <is>
          <t>钢丝</t>
        </is>
      </c>
      <c r="C49" s="8" t="inlineStr">
        <is>
          <t>601338800</t>
        </is>
      </c>
      <c r="D49" s="8" t="inlineStr">
        <is>
          <t>钢丝|钢丝|60Si2MnA|Φ0.8|空</t>
        </is>
      </c>
      <c r="E49" s="8" t="inlineStr">
        <is>
          <t xml:space="preserve">物资名称 钢丝;物资简称 钢丝;牌号 60Si2MnA;直径 Φ0.8;技术标准号 空;抗拉强度 ;加工工艺 ;表面状态 ;特殊要求 ;规格标准号 </t>
        </is>
      </c>
      <c r="F49" s="4" t="inlineStr">
        <is>
          <t>千克</t>
        </is>
      </c>
      <c r="G49" s="0">
        <f>LEFT(D49,FIND("|",D49,1)-1)</f>
        <v/>
      </c>
      <c r="H49" s="0">
        <f>MID(D49,FIND("|",D49,FIND("|",D49,1))+1,FIND("|",D49,FIND("|",D49,1)+1)-FIND("|",D49,FIND("|",D49,1))-1)</f>
        <v/>
      </c>
      <c r="J49" s="0">
        <f>MID(D49,FIND(";",SUBSTITUTE(D49,"|",REPT(";",LEN(D49)),2))+1,FIND(";",SUBSTITUTE(D49,"|",REPT(";",LEN(D49)),3))-FIND(";",SUBSTITUTE(D49,"|",REPT(";",LEN(D49)),2))-1)</f>
        <v/>
      </c>
      <c r="K49" s="0">
        <f>MID(D49,FIND(";",SUBSTITUTE(D49,"|",REPT(";",LEN(D49)),3))+1,FIND(";",SUBSTITUTE(D49,"|",REPT(";",LEN(D49)),4))-FIND(";",SUBSTITUTE(D49,"|",REPT(";",LEN(D49)),3))-1)</f>
        <v/>
      </c>
      <c r="L49" s="0">
        <f>MID(D49,FIND(";",SUBSTITUTE(D49,"|",REPT(";",LEN(D49)),4))+1,LEN(D49))</f>
        <v/>
      </c>
    </row>
    <row r="50" s="21">
      <c r="A50" s="8" t="inlineStr">
        <is>
          <t>100501</t>
        </is>
      </c>
      <c r="B50" s="8" t="inlineStr">
        <is>
          <t>钢丝</t>
        </is>
      </c>
      <c r="C50" s="8" t="inlineStr">
        <is>
          <t>601338700</t>
        </is>
      </c>
      <c r="D50" s="8" t="inlineStr">
        <is>
          <t>钢丝|钢丝|60Si2MnA|Φ1.2|空</t>
        </is>
      </c>
      <c r="E50" s="8" t="inlineStr">
        <is>
          <t xml:space="preserve">物资名称 钢丝;物资简称 钢丝;牌号 60Si2MnA;直径 Φ1.2;技术标准号 空;抗拉强度 ;加工工艺 ;表面状态 ;特殊要求 ;规格标准号 </t>
        </is>
      </c>
      <c r="F50" s="4" t="inlineStr">
        <is>
          <t>千克</t>
        </is>
      </c>
      <c r="G50" s="0">
        <f>LEFT(D50,FIND("|",D50,1)-1)</f>
        <v/>
      </c>
      <c r="H50" s="0">
        <f>MID(D50,FIND("|",D50,FIND("|",D50,1))+1,FIND("|",D50,FIND("|",D50,1)+1)-FIND("|",D50,FIND("|",D50,1))-1)</f>
        <v/>
      </c>
      <c r="J50" s="0">
        <f>MID(D50,FIND(";",SUBSTITUTE(D50,"|",REPT(";",LEN(D50)),2))+1,FIND(";",SUBSTITUTE(D50,"|",REPT(";",LEN(D50)),3))-FIND(";",SUBSTITUTE(D50,"|",REPT(";",LEN(D50)),2))-1)</f>
        <v/>
      </c>
      <c r="K50" s="0">
        <f>MID(D50,FIND(";",SUBSTITUTE(D50,"|",REPT(";",LEN(D50)),3))+1,FIND(";",SUBSTITUTE(D50,"|",REPT(";",LEN(D50)),4))-FIND(";",SUBSTITUTE(D50,"|",REPT(";",LEN(D50)),3))-1)</f>
        <v/>
      </c>
      <c r="L50" s="0">
        <f>MID(D50,FIND(";",SUBSTITUTE(D50,"|",REPT(";",LEN(D50)),4))+1,LEN(D50))</f>
        <v/>
      </c>
    </row>
    <row r="51" s="21">
      <c r="A51" s="8" t="inlineStr">
        <is>
          <t>100501</t>
        </is>
      </c>
      <c r="B51" s="8" t="inlineStr">
        <is>
          <t>钢丝</t>
        </is>
      </c>
      <c r="C51" s="8" t="inlineStr">
        <is>
          <t>601338600</t>
        </is>
      </c>
      <c r="D51" s="8" t="inlineStr">
        <is>
          <t>钢丝|钢丝|60Si2MnA|Φ1.6|502/2000-8-80</t>
        </is>
      </c>
      <c r="E51" s="8" t="inlineStr">
        <is>
          <t xml:space="preserve">物资名称 钢丝;物资简称 钢丝;牌号 60Si2MnA;直径 Φ1.6;技术标准号 502/2000-8-80;抗拉强度 ;加工工艺 ;表面状态 ;特殊要求 ;规格标准号 </t>
        </is>
      </c>
      <c r="F51" s="4" t="inlineStr">
        <is>
          <t>千克</t>
        </is>
      </c>
      <c r="G51" s="0">
        <f>LEFT(D51,FIND("|",D51,1)-1)</f>
        <v/>
      </c>
      <c r="H51" s="0">
        <f>MID(D51,FIND("|",D51,FIND("|",D51,1))+1,FIND("|",D51,FIND("|",D51,1)+1)-FIND("|",D51,FIND("|",D51,1))-1)</f>
        <v/>
      </c>
      <c r="J51" s="0">
        <f>MID(D51,FIND(";",SUBSTITUTE(D51,"|",REPT(";",LEN(D51)),2))+1,FIND(";",SUBSTITUTE(D51,"|",REPT(";",LEN(D51)),3))-FIND(";",SUBSTITUTE(D51,"|",REPT(";",LEN(D51)),2))-1)</f>
        <v/>
      </c>
      <c r="K51" s="0">
        <f>MID(D51,FIND(";",SUBSTITUTE(D51,"|",REPT(";",LEN(D51)),3))+1,FIND(";",SUBSTITUTE(D51,"|",REPT(";",LEN(D51)),4))-FIND(";",SUBSTITUTE(D51,"|",REPT(";",LEN(D51)),3))-1)</f>
        <v/>
      </c>
      <c r="L51" s="0">
        <f>MID(D51,FIND(";",SUBSTITUTE(D51,"|",REPT(";",LEN(D51)),4))+1,LEN(D51))</f>
        <v/>
      </c>
    </row>
    <row r="52" s="21">
      <c r="A52" s="8" t="inlineStr">
        <is>
          <t>100501</t>
        </is>
      </c>
      <c r="B52" s="8" t="inlineStr">
        <is>
          <t>钢丝</t>
        </is>
      </c>
      <c r="C52" s="8" t="inlineStr">
        <is>
          <t>601338500</t>
        </is>
      </c>
      <c r="D52" s="8" t="inlineStr">
        <is>
          <t>钢丝|钢丝|70#B|Φ1.2|空</t>
        </is>
      </c>
      <c r="E52" s="8" t="inlineStr">
        <is>
          <t xml:space="preserve">物资名称 钢丝;物资简称 钢丝;牌号 70#B;直径 Φ1.2;技术标准号 空;抗拉强度 ;加工工艺 ;表面状态 ;特殊要求 ;规格标准号 </t>
        </is>
      </c>
      <c r="F52" s="4" t="inlineStr">
        <is>
          <t>千克</t>
        </is>
      </c>
      <c r="G52" s="0">
        <f>LEFT(D52,FIND("|",D52,1)-1)</f>
        <v/>
      </c>
      <c r="H52" s="0">
        <f>MID(D52,FIND("|",D52,FIND("|",D52,1))+1,FIND("|",D52,FIND("|",D52,1)+1)-FIND("|",D52,FIND("|",D52,1))-1)</f>
        <v/>
      </c>
      <c r="J52" s="0">
        <f>MID(D52,FIND(";",SUBSTITUTE(D52,"|",REPT(";",LEN(D52)),2))+1,FIND(";",SUBSTITUTE(D52,"|",REPT(";",LEN(D52)),3))-FIND(";",SUBSTITUTE(D52,"|",REPT(";",LEN(D52)),2))-1)</f>
        <v/>
      </c>
      <c r="K52" s="0">
        <f>MID(D52,FIND(";",SUBSTITUTE(D52,"|",REPT(";",LEN(D52)),3))+1,FIND(";",SUBSTITUTE(D52,"|",REPT(";",LEN(D52)),4))-FIND(";",SUBSTITUTE(D52,"|",REPT(";",LEN(D52)),3))-1)</f>
        <v/>
      </c>
      <c r="L52" s="0">
        <f>MID(D52,FIND(";",SUBSTITUTE(D52,"|",REPT(";",LEN(D52)),4))+1,LEN(D52))</f>
        <v/>
      </c>
    </row>
    <row r="53" s="21">
      <c r="A53" s="8" t="inlineStr">
        <is>
          <t>100501</t>
        </is>
      </c>
      <c r="B53" s="8" t="inlineStr">
        <is>
          <t>钢丝</t>
        </is>
      </c>
      <c r="C53" s="8" t="inlineStr">
        <is>
          <t>601338400</t>
        </is>
      </c>
      <c r="D53" s="8" t="inlineStr">
        <is>
          <t>钢丝|钢丝|T10A|Φ1.5|101/65-4-119</t>
        </is>
      </c>
      <c r="E53" s="8" t="inlineStr">
        <is>
          <t xml:space="preserve">物资名称 钢丝;物资简称 钢丝;牌号 T10A;直径 Φ1.5;技术标准号 101/65-4-119;抗拉强度 ;加工工艺 ;表面状态 ;特殊要求 ;规格标准号 </t>
        </is>
      </c>
      <c r="F53" s="4" t="inlineStr">
        <is>
          <t>千克</t>
        </is>
      </c>
      <c r="G53" s="0">
        <f>LEFT(D53,FIND("|",D53,1)-1)</f>
        <v/>
      </c>
      <c r="H53" s="0">
        <f>MID(D53,FIND("|",D53,FIND("|",D53,1))+1,FIND("|",D53,FIND("|",D53,1)+1)-FIND("|",D53,FIND("|",D53,1))-1)</f>
        <v/>
      </c>
      <c r="J53" s="0">
        <f>MID(D53,FIND(";",SUBSTITUTE(D53,"|",REPT(";",LEN(D53)),2))+1,FIND(";",SUBSTITUTE(D53,"|",REPT(";",LEN(D53)),3))-FIND(";",SUBSTITUTE(D53,"|",REPT(";",LEN(D53)),2))-1)</f>
        <v/>
      </c>
      <c r="K53" s="0">
        <f>MID(D53,FIND(";",SUBSTITUTE(D53,"|",REPT(";",LEN(D53)),3))+1,FIND(";",SUBSTITUTE(D53,"|",REPT(";",LEN(D53)),4))-FIND(";",SUBSTITUTE(D53,"|",REPT(";",LEN(D53)),3))-1)</f>
        <v/>
      </c>
      <c r="L53" s="0">
        <f>MID(D53,FIND(";",SUBSTITUTE(D53,"|",REPT(";",LEN(D53)),4))+1,LEN(D53))</f>
        <v/>
      </c>
    </row>
    <row r="54" s="21">
      <c r="A54" s="8" t="inlineStr">
        <is>
          <t>100501</t>
        </is>
      </c>
      <c r="B54" s="8" t="inlineStr">
        <is>
          <t>钢丝</t>
        </is>
      </c>
      <c r="C54" s="8" t="inlineStr">
        <is>
          <t>601338300</t>
        </is>
      </c>
      <c r="D54" s="8" t="inlineStr">
        <is>
          <t>钢丝|钢丝|T10A|Φ1|101/71-1-3</t>
        </is>
      </c>
      <c r="E54" s="8" t="inlineStr">
        <is>
          <t xml:space="preserve">物资名称 钢丝;物资简称 钢丝;牌号 T10A;直径 Φ1;技术标准号 101/71-1-3;抗拉强度 ;加工工艺 ;表面状态 ;特殊要求 ;规格标准号 </t>
        </is>
      </c>
      <c r="F54" s="4" t="inlineStr">
        <is>
          <t>千克</t>
        </is>
      </c>
      <c r="G54" s="0">
        <f>LEFT(D54,FIND("|",D54,1)-1)</f>
        <v/>
      </c>
      <c r="H54" s="0">
        <f>MID(D54,FIND("|",D54,FIND("|",D54,1))+1,FIND("|",D54,FIND("|",D54,1)+1)-FIND("|",D54,FIND("|",D54,1))-1)</f>
        <v/>
      </c>
      <c r="J54" s="0">
        <f>MID(D54,FIND(";",SUBSTITUTE(D54,"|",REPT(";",LEN(D54)),2))+1,FIND(";",SUBSTITUTE(D54,"|",REPT(";",LEN(D54)),3))-FIND(";",SUBSTITUTE(D54,"|",REPT(";",LEN(D54)),2))-1)</f>
        <v/>
      </c>
      <c r="K54" s="0">
        <f>MID(D54,FIND(";",SUBSTITUTE(D54,"|",REPT(";",LEN(D54)),3))+1,FIND(";",SUBSTITUTE(D54,"|",REPT(";",LEN(D54)),4))-FIND(";",SUBSTITUTE(D54,"|",REPT(";",LEN(D54)),3))-1)</f>
        <v/>
      </c>
      <c r="L54" s="0">
        <f>MID(D54,FIND(";",SUBSTITUTE(D54,"|",REPT(";",LEN(D54)),4))+1,LEN(D54))</f>
        <v/>
      </c>
    </row>
    <row r="55" s="21">
      <c r="A55" s="8" t="inlineStr">
        <is>
          <t>100501</t>
        </is>
      </c>
      <c r="B55" s="8" t="inlineStr">
        <is>
          <t>钢丝</t>
        </is>
      </c>
      <c r="C55" s="8" t="inlineStr">
        <is>
          <t>601338200</t>
        </is>
      </c>
      <c r="D55" s="8" t="inlineStr">
        <is>
          <t>钢丝|钢丝|T10A|Φ2|101/69-5-106</t>
        </is>
      </c>
      <c r="E55" s="8" t="inlineStr">
        <is>
          <t xml:space="preserve">物资名称 钢丝;物资简称 钢丝;牌号 T10A;直径 Φ2;技术标准号 101/69-5-106;抗拉强度 ;加工工艺 ;表面状态 ;特殊要求 ;规格标准号 </t>
        </is>
      </c>
      <c r="F55" s="4" t="inlineStr">
        <is>
          <t>千克</t>
        </is>
      </c>
      <c r="G55" s="0">
        <f>LEFT(D55,FIND("|",D55,1)-1)</f>
        <v/>
      </c>
      <c r="H55" s="0">
        <f>MID(D55,FIND("|",D55,FIND("|",D55,1))+1,FIND("|",D55,FIND("|",D55,1)+1)-FIND("|",D55,FIND("|",D55,1))-1)</f>
        <v/>
      </c>
      <c r="J55" s="0">
        <f>MID(D55,FIND(";",SUBSTITUTE(D55,"|",REPT(";",LEN(D55)),2))+1,FIND(";",SUBSTITUTE(D55,"|",REPT(";",LEN(D55)),3))-FIND(";",SUBSTITUTE(D55,"|",REPT(";",LEN(D55)),2))-1)</f>
        <v/>
      </c>
      <c r="K55" s="0">
        <f>MID(D55,FIND(";",SUBSTITUTE(D55,"|",REPT(";",LEN(D55)),3))+1,FIND(";",SUBSTITUTE(D55,"|",REPT(";",LEN(D55)),4))-FIND(";",SUBSTITUTE(D55,"|",REPT(";",LEN(D55)),3))-1)</f>
        <v/>
      </c>
      <c r="L55" s="0">
        <f>MID(D55,FIND(";",SUBSTITUTE(D55,"|",REPT(";",LEN(D55)),4))+1,LEN(D55))</f>
        <v/>
      </c>
    </row>
    <row r="56" s="21">
      <c r="A56" s="8" t="inlineStr">
        <is>
          <t>100501</t>
        </is>
      </c>
      <c r="B56" s="8" t="inlineStr">
        <is>
          <t>钢丝</t>
        </is>
      </c>
      <c r="C56" s="8" t="inlineStr">
        <is>
          <t>601338100</t>
        </is>
      </c>
      <c r="D56" s="8" t="inlineStr">
        <is>
          <t>钢丝|钢丝|T10A|Φ3|101/69-5-107A</t>
        </is>
      </c>
      <c r="E56" s="8" t="inlineStr">
        <is>
          <t xml:space="preserve">物资名称 钢丝;物资简称 钢丝;牌号 T10A;直径 Φ3;技术标准号 101/69-5-107A;抗拉强度 ;加工工艺 ;表面状态 ;特殊要求 ;规格标准号 </t>
        </is>
      </c>
      <c r="F56" s="4" t="inlineStr">
        <is>
          <t>千克</t>
        </is>
      </c>
      <c r="G56" s="0">
        <f>LEFT(D56,FIND("|",D56,1)-1)</f>
        <v/>
      </c>
      <c r="H56" s="0">
        <f>MID(D56,FIND("|",D56,FIND("|",D56,1))+1,FIND("|",D56,FIND("|",D56,1)+1)-FIND("|",D56,FIND("|",D56,1))-1)</f>
        <v/>
      </c>
      <c r="J56" s="0">
        <f>MID(D56,FIND(";",SUBSTITUTE(D56,"|",REPT(";",LEN(D56)),2))+1,FIND(";",SUBSTITUTE(D56,"|",REPT(";",LEN(D56)),3))-FIND(";",SUBSTITUTE(D56,"|",REPT(";",LEN(D56)),2))-1)</f>
        <v/>
      </c>
      <c r="K56" s="0">
        <f>MID(D56,FIND(";",SUBSTITUTE(D56,"|",REPT(";",LEN(D56)),3))+1,FIND(";",SUBSTITUTE(D56,"|",REPT(";",LEN(D56)),4))-FIND(";",SUBSTITUTE(D56,"|",REPT(";",LEN(D56)),3))-1)</f>
        <v/>
      </c>
      <c r="L56" s="0">
        <f>MID(D56,FIND(";",SUBSTITUTE(D56,"|",REPT(";",LEN(D56)),4))+1,LEN(D56))</f>
        <v/>
      </c>
    </row>
    <row r="57" s="21">
      <c r="A57" s="8" t="inlineStr">
        <is>
          <t>100501</t>
        </is>
      </c>
      <c r="B57" s="8" t="inlineStr">
        <is>
          <t>钢丝</t>
        </is>
      </c>
      <c r="C57" s="8" t="inlineStr">
        <is>
          <t>601338000</t>
        </is>
      </c>
      <c r="D57" s="8" t="inlineStr">
        <is>
          <t>钢丝|钢丝|T10A|Φ4|101/2002-1-2</t>
        </is>
      </c>
      <c r="E57" s="8" t="inlineStr">
        <is>
          <t xml:space="preserve">物资名称 钢丝;物资简称 钢丝;牌号 T10A;直径 Φ4;技术标准号 101/2002-1-2;抗拉强度 ;加工工艺 ;表面状态 ;特殊要求 ;规格标准号 </t>
        </is>
      </c>
      <c r="F57" s="4" t="inlineStr">
        <is>
          <t>千克</t>
        </is>
      </c>
      <c r="G57" s="0">
        <f>LEFT(D57,FIND("|",D57,1)-1)</f>
        <v/>
      </c>
      <c r="H57" s="0">
        <f>MID(D57,FIND("|",D57,FIND("|",D57,1))+1,FIND("|",D57,FIND("|",D57,1)+1)-FIND("|",D57,FIND("|",D57,1))-1)</f>
        <v/>
      </c>
      <c r="J57" s="0">
        <f>MID(D57,FIND(";",SUBSTITUTE(D57,"|",REPT(";",LEN(D57)),2))+1,FIND(";",SUBSTITUTE(D57,"|",REPT(";",LEN(D57)),3))-FIND(";",SUBSTITUTE(D57,"|",REPT(";",LEN(D57)),2))-1)</f>
        <v/>
      </c>
      <c r="K57" s="0">
        <f>MID(D57,FIND(";",SUBSTITUTE(D57,"|",REPT(";",LEN(D57)),3))+1,FIND(";",SUBSTITUTE(D57,"|",REPT(";",LEN(D57)),4))-FIND(";",SUBSTITUTE(D57,"|",REPT(";",LEN(D57)),3))-1)</f>
        <v/>
      </c>
      <c r="L57" s="0">
        <f>MID(D57,FIND(";",SUBSTITUTE(D57,"|",REPT(";",LEN(D57)),4))+1,LEN(D57))</f>
        <v/>
      </c>
    </row>
    <row r="58" s="21">
      <c r="A58" s="8" t="inlineStr">
        <is>
          <t>100501</t>
        </is>
      </c>
      <c r="B58" s="8" t="inlineStr">
        <is>
          <t>钢丝</t>
        </is>
      </c>
      <c r="C58" s="8" t="inlineStr">
        <is>
          <t>601337900</t>
        </is>
      </c>
      <c r="D58" s="8" t="inlineStr">
        <is>
          <t>钢丝|钢丝|T12A|Φ5|101/2001-2-1</t>
        </is>
      </c>
      <c r="E58" s="8" t="inlineStr">
        <is>
          <t xml:space="preserve">物资名称 钢丝;物资简称 钢丝;牌号 T12A;直径 Φ5;技术标准号 101/2001-2-1;抗拉强度 ;加工工艺 ;表面状态 ;特殊要求 ;规格标准号 </t>
        </is>
      </c>
      <c r="F58" s="4" t="inlineStr">
        <is>
          <t>千克</t>
        </is>
      </c>
      <c r="G58" s="0">
        <f>LEFT(D58,FIND("|",D58,1)-1)</f>
        <v/>
      </c>
      <c r="H58" s="0">
        <f>MID(D58,FIND("|",D58,FIND("|",D58,1))+1,FIND("|",D58,FIND("|",D58,1)+1)-FIND("|",D58,FIND("|",D58,1))-1)</f>
        <v/>
      </c>
      <c r="J58" s="0">
        <f>MID(D58,FIND(";",SUBSTITUTE(D58,"|",REPT(";",LEN(D58)),2))+1,FIND(";",SUBSTITUTE(D58,"|",REPT(";",LEN(D58)),3))-FIND(";",SUBSTITUTE(D58,"|",REPT(";",LEN(D58)),2))-1)</f>
        <v/>
      </c>
      <c r="K58" s="0">
        <f>MID(D58,FIND(";",SUBSTITUTE(D58,"|",REPT(";",LEN(D58)),3))+1,FIND(";",SUBSTITUTE(D58,"|",REPT(";",LEN(D58)),4))-FIND(";",SUBSTITUTE(D58,"|",REPT(";",LEN(D58)),3))-1)</f>
        <v/>
      </c>
      <c r="L58" s="0">
        <f>MID(D58,FIND(";",SUBSTITUTE(D58,"|",REPT(";",LEN(D58)),4))+1,LEN(D58))</f>
        <v/>
      </c>
    </row>
    <row r="59" s="21">
      <c r="A59" s="8" t="inlineStr">
        <is>
          <t>100501</t>
        </is>
      </c>
      <c r="B59" s="8" t="inlineStr">
        <is>
          <t>钢丝</t>
        </is>
      </c>
      <c r="C59" s="8" t="inlineStr">
        <is>
          <t>601337800</t>
        </is>
      </c>
      <c r="D59" s="8" t="inlineStr">
        <is>
          <t>钢丝|钢丝|T9A-D级|Φ0.8|107/2005-6-7</t>
        </is>
      </c>
      <c r="E59" s="8" t="inlineStr">
        <is>
          <t xml:space="preserve">物资名称 钢丝;物资简称 钢丝;牌号 T9A-D级;直径 Φ0.8;技术标准号 107/2005-6-7;抗拉强度 ;加工工艺 ;表面状态 ;特殊要求 ;规格标准号 </t>
        </is>
      </c>
      <c r="F59" s="4" t="inlineStr">
        <is>
          <t>千克</t>
        </is>
      </c>
      <c r="G59" s="0">
        <f>LEFT(D59,FIND("|",D59,1)-1)</f>
        <v/>
      </c>
      <c r="H59" s="0">
        <f>MID(D59,FIND("|",D59,FIND("|",D59,1))+1,FIND("|",D59,FIND("|",D59,1)+1)-FIND("|",D59,FIND("|",D59,1))-1)</f>
        <v/>
      </c>
      <c r="J59" s="0">
        <f>MID(D59,FIND(";",SUBSTITUTE(D59,"|",REPT(";",LEN(D59)),2))+1,FIND(";",SUBSTITUTE(D59,"|",REPT(";",LEN(D59)),3))-FIND(";",SUBSTITUTE(D59,"|",REPT(";",LEN(D59)),2))-1)</f>
        <v/>
      </c>
      <c r="K59" s="0">
        <f>MID(D59,FIND(";",SUBSTITUTE(D59,"|",REPT(";",LEN(D59)),3))+1,FIND(";",SUBSTITUTE(D59,"|",REPT(";",LEN(D59)),4))-FIND(";",SUBSTITUTE(D59,"|",REPT(";",LEN(D59)),3))-1)</f>
        <v/>
      </c>
      <c r="L59" s="0">
        <f>MID(D59,FIND(";",SUBSTITUTE(D59,"|",REPT(";",LEN(D59)),4))+1,LEN(D59))</f>
        <v/>
      </c>
    </row>
    <row r="60" s="21">
      <c r="A60" s="8" t="inlineStr">
        <is>
          <t>100501</t>
        </is>
      </c>
      <c r="B60" s="8" t="inlineStr">
        <is>
          <t>钢丝</t>
        </is>
      </c>
      <c r="C60" s="8" t="inlineStr">
        <is>
          <t>601337700</t>
        </is>
      </c>
      <c r="D60" s="8" t="inlineStr">
        <is>
          <t>钢丝|钢丝|60Si2MnA|Φ1.4|空</t>
        </is>
      </c>
      <c r="E60" s="8" t="inlineStr">
        <is>
          <t xml:space="preserve">物资名称 钢丝;物资简称 钢丝;牌号 60Si2MnA;直径 Φ1.4;技术标准号 空;抗拉强度 ;加工工艺 ;表面状态 ;特殊要求 ;规格标准号 </t>
        </is>
      </c>
      <c r="F60" s="4" t="inlineStr">
        <is>
          <t>千克</t>
        </is>
      </c>
      <c r="G60" s="0">
        <f>LEFT(D60,FIND("|",D60,1)-1)</f>
        <v/>
      </c>
      <c r="H60" s="0">
        <f>MID(D60,FIND("|",D60,FIND("|",D60,1))+1,FIND("|",D60,FIND("|",D60,1)+1)-FIND("|",D60,FIND("|",D60,1))-1)</f>
        <v/>
      </c>
      <c r="J60" s="0">
        <f>MID(D60,FIND(";",SUBSTITUTE(D60,"|",REPT(";",LEN(D60)),2))+1,FIND(";",SUBSTITUTE(D60,"|",REPT(";",LEN(D60)),3))-FIND(";",SUBSTITUTE(D60,"|",REPT(";",LEN(D60)),2))-1)</f>
        <v/>
      </c>
      <c r="K60" s="0">
        <f>MID(D60,FIND(";",SUBSTITUTE(D60,"|",REPT(";",LEN(D60)),3))+1,FIND(";",SUBSTITUTE(D60,"|",REPT(";",LEN(D60)),4))-FIND(";",SUBSTITUTE(D60,"|",REPT(";",LEN(D60)),3))-1)</f>
        <v/>
      </c>
      <c r="L60" s="0">
        <f>MID(D60,FIND(";",SUBSTITUTE(D60,"|",REPT(";",LEN(D60)),4))+1,LEN(D60))</f>
        <v/>
      </c>
    </row>
    <row r="61" s="21">
      <c r="A61" s="8" t="inlineStr">
        <is>
          <t>100501</t>
        </is>
      </c>
      <c r="B61" s="8" t="inlineStr">
        <is>
          <t>钢丝</t>
        </is>
      </c>
      <c r="C61" s="8" t="inlineStr">
        <is>
          <t>601337600</t>
        </is>
      </c>
      <c r="D61" s="8" t="inlineStr">
        <is>
          <t>钢丝|钢丝|Φ0.6|空</t>
        </is>
      </c>
      <c r="E61" s="8" t="inlineStr">
        <is>
          <t xml:space="preserve">物资名称 钢丝;物资简称 钢丝;牌号 ;直径 Φ0.6;技术标准号 空;抗拉强度 ;加工工艺 ;表面状态 ;特殊要求 ;规格标准号 </t>
        </is>
      </c>
      <c r="F61" s="4" t="inlineStr">
        <is>
          <t>千克</t>
        </is>
      </c>
      <c r="G61" s="0">
        <f>LEFT(D61,FIND("|",D61,1)-1)</f>
        <v/>
      </c>
      <c r="H61" s="0">
        <f>MID(D61,FIND("|",D61,FIND("|",D61,1))+1,FIND("|",D61,FIND("|",D61,1)+1)-FIND("|",D61,FIND("|",D61,1))-1)</f>
        <v/>
      </c>
      <c r="J61" s="0">
        <f>MID(D61,FIND(";",SUBSTITUTE(D61,"|",REPT(";",LEN(D61)),2))+1,FIND(";",SUBSTITUTE(D61,"|",REPT(";",LEN(D61)),3))-FIND(";",SUBSTITUTE(D61,"|",REPT(";",LEN(D61)),2))-1)</f>
        <v/>
      </c>
      <c r="L61" s="0">
        <f>MID(D61,FIND(";",SUBSTITUTE(D61,"|",REPT(";",LEN(D61)),3))+1,LEN(D61))</f>
        <v/>
      </c>
    </row>
    <row r="62" s="21">
      <c r="A62" s="8" t="inlineStr">
        <is>
          <t>100501</t>
        </is>
      </c>
      <c r="B62" s="8" t="inlineStr">
        <is>
          <t>钢丝</t>
        </is>
      </c>
      <c r="C62" s="8" t="inlineStr">
        <is>
          <t>601337500</t>
        </is>
      </c>
      <c r="D62" s="8" t="inlineStr">
        <is>
          <t>冷拉碳素弹簧钢丝|钢丝|65Mn|Φ1.4|GB/T 4357</t>
        </is>
      </c>
      <c r="E62" s="8" t="inlineStr">
        <is>
          <t xml:space="preserve">物资名称 冷拉碳素弹簧钢丝;物资简称 钢丝;牌号 65Mn;直径 Φ1.4;技术标准号 GB/T 4357;抗拉强度 ;加工工艺 ;表面状态 ;特殊要求 ;规格标准号 </t>
        </is>
      </c>
      <c r="F62" s="4" t="inlineStr">
        <is>
          <t>千克</t>
        </is>
      </c>
      <c r="G62" s="0">
        <f>LEFT(D62,FIND("|",D62,1)-1)</f>
        <v/>
      </c>
      <c r="H62" s="0">
        <f>MID(D62,FIND("|",D62,FIND("|",D62,1))+1,FIND("|",D62,FIND("|",D62,1)+1)-FIND("|",D62,FIND("|",D62,1))-1)</f>
        <v/>
      </c>
      <c r="J62" s="0">
        <f>MID(D62,FIND(";",SUBSTITUTE(D62,"|",REPT(";",LEN(D62)),2))+1,FIND(";",SUBSTITUTE(D62,"|",REPT(";",LEN(D62)),3))-FIND(";",SUBSTITUTE(D62,"|",REPT(";",LEN(D62)),2))-1)</f>
        <v/>
      </c>
      <c r="K62" s="0">
        <f>MID(D62,FIND(";",SUBSTITUTE(D62,"|",REPT(";",LEN(D62)),3))+1,FIND(";",SUBSTITUTE(D62,"|",REPT(";",LEN(D62)),4))-FIND(";",SUBSTITUTE(D62,"|",REPT(";",LEN(D62)),3))-1)</f>
        <v/>
      </c>
      <c r="L62" s="0">
        <f>MID(D62,FIND(";",SUBSTITUTE(D62,"|",REPT(";",LEN(D62)),4))+1,LEN(D62))</f>
        <v/>
      </c>
    </row>
    <row r="63" s="21">
      <c r="A63" s="8" t="inlineStr">
        <is>
          <t>100501</t>
        </is>
      </c>
      <c r="B63" s="8" t="inlineStr">
        <is>
          <t>钢丝</t>
        </is>
      </c>
      <c r="C63" s="8" t="inlineStr">
        <is>
          <t>601337400</t>
        </is>
      </c>
      <c r="D63" s="8" t="inlineStr">
        <is>
          <t>合金弹簧钢丝|钢丝|60Si2Mn|Φ6.5|YB/T 5318？</t>
        </is>
      </c>
      <c r="E63" s="8" t="inlineStr">
        <is>
          <t xml:space="preserve">物资名称 合金弹簧钢丝;物资简称 钢丝;牌号 60Si2Mn;直径 Φ6.5;技术标准号 YB/T 5318？;抗拉强度 ;加工工艺 ;表面状态 ;特殊要求 ;规格标准号 </t>
        </is>
      </c>
      <c r="F63" s="4" t="inlineStr">
        <is>
          <t>千克</t>
        </is>
      </c>
      <c r="G63" s="0">
        <f>LEFT(D63,FIND("|",D63,1)-1)</f>
        <v/>
      </c>
      <c r="H63" s="0">
        <f>MID(D63,FIND("|",D63,FIND("|",D63,1))+1,FIND("|",D63,FIND("|",D63,1)+1)-FIND("|",D63,FIND("|",D63,1))-1)</f>
        <v/>
      </c>
      <c r="J63" s="0">
        <f>MID(D63,FIND(";",SUBSTITUTE(D63,"|",REPT(";",LEN(D63)),2))+1,FIND(";",SUBSTITUTE(D63,"|",REPT(";",LEN(D63)),3))-FIND(";",SUBSTITUTE(D63,"|",REPT(";",LEN(D63)),2))-1)</f>
        <v/>
      </c>
      <c r="K63" s="0">
        <f>MID(D63,FIND(";",SUBSTITUTE(D63,"|",REPT(";",LEN(D63)),3))+1,FIND(";",SUBSTITUTE(D63,"|",REPT(";",LEN(D63)),4))-FIND(";",SUBSTITUTE(D63,"|",REPT(";",LEN(D63)),3))-1)</f>
        <v/>
      </c>
      <c r="L63" s="0">
        <f>MID(D63,FIND(";",SUBSTITUTE(D63,"|",REPT(";",LEN(D63)),4))+1,LEN(D63))</f>
        <v/>
      </c>
    </row>
    <row r="64" s="21">
      <c r="A64" s="8" t="inlineStr">
        <is>
          <t>100501</t>
        </is>
      </c>
      <c r="B64" s="8" t="inlineStr">
        <is>
          <t>钢丝</t>
        </is>
      </c>
      <c r="C64" s="8" t="inlineStr">
        <is>
          <t>601337300</t>
        </is>
      </c>
      <c r="D64" s="8" t="inlineStr">
        <is>
          <t>合金弹簧钢丝|钢丝|60Si2MnA|Φ6|YB/T 5318-2010</t>
        </is>
      </c>
      <c r="E64" s="8" t="inlineStr">
        <is>
          <t xml:space="preserve">物资名称 合金弹簧钢丝;物资简称 钢丝;牌号 60Si2MnA;直径 Φ6;技术标准号 YB/T 5318-2010;抗拉强度 ;加工工艺 ;表面状态 ;特殊要求 ;规格标准号 </t>
        </is>
      </c>
      <c r="F64" s="4" t="inlineStr">
        <is>
          <t>千克</t>
        </is>
      </c>
      <c r="G64" s="0">
        <f>LEFT(D64,FIND("|",D64,1)-1)</f>
        <v/>
      </c>
      <c r="H64" s="0">
        <f>MID(D64,FIND("|",D64,FIND("|",D64,1))+1,FIND("|",D64,FIND("|",D64,1)+1)-FIND("|",D64,FIND("|",D64,1))-1)</f>
        <v/>
      </c>
      <c r="J64" s="0">
        <f>MID(D64,FIND(";",SUBSTITUTE(D64,"|",REPT(";",LEN(D64)),2))+1,FIND(";",SUBSTITUTE(D64,"|",REPT(";",LEN(D64)),3))-FIND(";",SUBSTITUTE(D64,"|",REPT(";",LEN(D64)),2))-1)</f>
        <v/>
      </c>
      <c r="K64" s="0">
        <f>MID(D64,FIND(";",SUBSTITUTE(D64,"|",REPT(";",LEN(D64)),3))+1,FIND(";",SUBSTITUTE(D64,"|",REPT(";",LEN(D64)),4))-FIND(";",SUBSTITUTE(D64,"|",REPT(";",LEN(D64)),3))-1)</f>
        <v/>
      </c>
      <c r="L64" s="0">
        <f>MID(D64,FIND(";",SUBSTITUTE(D64,"|",REPT(";",LEN(D64)),4))+1,LEN(D64))</f>
        <v/>
      </c>
    </row>
    <row r="65" s="21">
      <c r="A65" s="8" t="inlineStr">
        <is>
          <t>100501</t>
        </is>
      </c>
      <c r="B65" s="8" t="inlineStr">
        <is>
          <t>钢丝</t>
        </is>
      </c>
      <c r="C65" s="8" t="inlineStr">
        <is>
          <t>601337200</t>
        </is>
      </c>
      <c r="D65" s="8" t="inlineStr">
        <is>
          <t>合金弹簧钢丝|钢丝|30CrMnSiA|Φ2|YB/T 5301</t>
        </is>
      </c>
      <c r="E65" s="8" t="inlineStr">
        <is>
          <t xml:space="preserve">物资名称 合金弹簧钢丝;物资简称 钢丝;牌号 30CrMnSiA;直径 Φ2;技术标准号 YB/T 5301;抗拉强度 ;加工工艺 ;表面状态 ;特殊要求 ;规格标准号 </t>
        </is>
      </c>
      <c r="F65" s="4" t="inlineStr">
        <is>
          <t>千克</t>
        </is>
      </c>
      <c r="G65" s="0">
        <f>LEFT(D65,FIND("|",D65,1)-1)</f>
        <v/>
      </c>
      <c r="H65" s="0">
        <f>MID(D65,FIND("|",D65,FIND("|",D65,1))+1,FIND("|",D65,FIND("|",D65,1)+1)-FIND("|",D65,FIND("|",D65,1))-1)</f>
        <v/>
      </c>
      <c r="J65" s="0">
        <f>MID(D65,FIND(";",SUBSTITUTE(D65,"|",REPT(";",LEN(D65)),2))+1,FIND(";",SUBSTITUTE(D65,"|",REPT(";",LEN(D65)),3))-FIND(";",SUBSTITUTE(D65,"|",REPT(";",LEN(D65)),2))-1)</f>
        <v/>
      </c>
      <c r="K65" s="0">
        <f>MID(D65,FIND(";",SUBSTITUTE(D65,"|",REPT(";",LEN(D65)),3))+1,FIND(";",SUBSTITUTE(D65,"|",REPT(";",LEN(D65)),4))-FIND(";",SUBSTITUTE(D65,"|",REPT(";",LEN(D65)),3))-1)</f>
        <v/>
      </c>
      <c r="L65" s="0">
        <f>MID(D65,FIND(";",SUBSTITUTE(D65,"|",REPT(";",LEN(D65)),4))+1,LEN(D65))</f>
        <v/>
      </c>
    </row>
    <row r="66" s="21">
      <c r="A66" s="8" t="inlineStr">
        <is>
          <t>100501</t>
        </is>
      </c>
      <c r="B66" s="8" t="inlineStr">
        <is>
          <t>钢丝</t>
        </is>
      </c>
      <c r="C66" s="8" t="inlineStr">
        <is>
          <t>600979400</t>
        </is>
      </c>
      <c r="D66" s="8" t="inlineStr">
        <is>
          <t>重要用途碳素弹簧钢丝|钢丝|65Mn|Φ0.8|GB/T 4358-1995|冷拉|h11,F|GB/T 342-1982</t>
        </is>
      </c>
      <c r="E66" s="8" t="inlineStr">
        <is>
          <t>物资名称 重要用途碳素弹簧钢丝;物资简称 钢丝;牌号 65Mn;直径 Φ0.8;技术标准号 GB/T 4358-1995;抗拉强度 ;加工工艺 冷拉;表面状态 ;特殊要求 h11,F;规格标准号 GB/T 342-1982</t>
        </is>
      </c>
      <c r="F66" s="4" t="inlineStr">
        <is>
          <t>千克</t>
        </is>
      </c>
      <c r="G66" s="0">
        <f>LEFT(D66,FIND("|",D66,1)-1)</f>
        <v/>
      </c>
      <c r="H66" s="0">
        <f>MID(D66,FIND("|",D66,FIND("|",D66,1))+1,FIND("|",D66,FIND("|",D66,1)+1)-FIND("|",D66,FIND("|",D66,1))-1)</f>
        <v/>
      </c>
      <c r="J66" s="0">
        <f>MID(D66,FIND(";",SUBSTITUTE(D66,"|",REPT(";",LEN(D66)),2))+1,FIND(";",SUBSTITUTE(D66,"|",REPT(";",LEN(D66)),3))-FIND(";",SUBSTITUTE(D66,"|",REPT(";",LEN(D66)),2))-1)</f>
        <v/>
      </c>
      <c r="K66" s="0">
        <f>MID(D66,FIND(";",SUBSTITUTE(D66,"|",REPT(";",LEN(D66)),3))+1,FIND(";",SUBSTITUTE(D66,"|",REPT(";",LEN(D66)),4))-FIND(";",SUBSTITUTE(D66,"|",REPT(";",LEN(D66)),3))-1)</f>
        <v/>
      </c>
      <c r="L66" s="0">
        <f>MID(D66,FIND(";",SUBSTITUTE(D66,"|",REPT(";",LEN(D66)),4))+1,FIND(";",SUBSTITUTE(D66,"|",REPT(";",LEN(D66)),5))-FIND(";",SUBSTITUTE(D66,"|",REPT(";",LEN(D66)),4))-1)</f>
        <v/>
      </c>
      <c r="M66" s="0">
        <f>MID(D66,FIND(";",SUBSTITUTE(D66,"|",REPT(";",LEN(D66)),7))+1,LEN(D66))</f>
        <v/>
      </c>
      <c r="N66" s="0">
        <f>MID(D66,FIND(";",SUBSTITUTE(D66,"|",REPT(";",LEN(D66)),5))+1,FIND(";",SUBSTITUTE(D66,"|",REPT(";",LEN(D66)),6))-FIND(";",SUBSTITUTE(D66,"|",REPT(";",LEN(D66)),5))-1)</f>
        <v/>
      </c>
      <c r="Q66" s="0">
        <f>MID(D66,FIND(";",SUBSTITUTE(D66,"|",REPT(";",LEN(D66)),6))+1,FIND(";",SUBSTITUTE(D66,"|",REPT(";",LEN(D66)),7))-FIND(";",SUBSTITUTE(D66,"|",REPT(";",LEN(D66)),6))-1)</f>
        <v/>
      </c>
    </row>
    <row r="67" s="21">
      <c r="A67" s="8" t="inlineStr">
        <is>
          <t>100501</t>
        </is>
      </c>
      <c r="B67" s="8" t="inlineStr">
        <is>
          <t>钢丝</t>
        </is>
      </c>
      <c r="C67" s="8" t="inlineStr">
        <is>
          <t>600979300</t>
        </is>
      </c>
      <c r="D67" s="8" t="inlineStr">
        <is>
          <t>重要用途碳素弹簧钢丝|钢丝|65Mn|Φ1.4|GB/T 4358-1995|冷拉|h11,F|GB/T 342-1982</t>
        </is>
      </c>
      <c r="E67" s="8" t="inlineStr">
        <is>
          <t>物资名称 重要用途碳素弹簧钢丝;物资简称 钢丝;牌号 65Mn;直径 Φ1.4;技术标准号 GB/T 4358-1995;抗拉强度 ;加工工艺 冷拉;表面状态 ;特殊要求 h11,F;规格标准号 GB/T 342-1982</t>
        </is>
      </c>
      <c r="F67" s="4" t="inlineStr">
        <is>
          <t>千克</t>
        </is>
      </c>
      <c r="G67" s="0">
        <f>LEFT(D67,FIND("|",D67,1)-1)</f>
        <v/>
      </c>
      <c r="H67" s="0">
        <f>MID(D67,FIND("|",D67,FIND("|",D67,1))+1,FIND("|",D67,FIND("|",D67,1)+1)-FIND("|",D67,FIND("|",D67,1))-1)</f>
        <v/>
      </c>
      <c r="J67" s="0">
        <f>MID(D67,FIND(";",SUBSTITUTE(D67,"|",REPT(";",LEN(D67)),2))+1,FIND(";",SUBSTITUTE(D67,"|",REPT(";",LEN(D67)),3))-FIND(";",SUBSTITUTE(D67,"|",REPT(";",LEN(D67)),2))-1)</f>
        <v/>
      </c>
      <c r="K67" s="0">
        <f>MID(D67,FIND(";",SUBSTITUTE(D67,"|",REPT(";",LEN(D67)),3))+1,FIND(";",SUBSTITUTE(D67,"|",REPT(";",LEN(D67)),4))-FIND(";",SUBSTITUTE(D67,"|",REPT(";",LEN(D67)),3))-1)</f>
        <v/>
      </c>
      <c r="L67" s="0">
        <f>MID(D67,FIND(";",SUBSTITUTE(D67,"|",REPT(";",LEN(D67)),4))+1,FIND(";",SUBSTITUTE(D67,"|",REPT(";",LEN(D67)),5))-FIND(";",SUBSTITUTE(D67,"|",REPT(";",LEN(D67)),4))-1)</f>
        <v/>
      </c>
      <c r="M67" s="0">
        <f>MID(D67,FIND(";",SUBSTITUTE(D67,"|",REPT(";",LEN(D67)),7))+1,LEN(D67))</f>
        <v/>
      </c>
      <c r="N67" s="0">
        <f>MID(D67,FIND(";",SUBSTITUTE(D67,"|",REPT(";",LEN(D67)),5))+1,FIND(";",SUBSTITUTE(D67,"|",REPT(";",LEN(D67)),6))-FIND(";",SUBSTITUTE(D67,"|",REPT(";",LEN(D67)),5))-1)</f>
        <v/>
      </c>
      <c r="Q67" s="0">
        <f>MID(D67,FIND(";",SUBSTITUTE(D67,"|",REPT(";",LEN(D67)),6))+1,FIND(";",SUBSTITUTE(D67,"|",REPT(";",LEN(D67)),7))-FIND(";",SUBSTITUTE(D67,"|",REPT(";",LEN(D67)),6))-1)</f>
        <v/>
      </c>
    </row>
    <row r="68" s="21">
      <c r="A68" s="8" t="inlineStr">
        <is>
          <t>100501</t>
        </is>
      </c>
      <c r="B68" s="8" t="inlineStr">
        <is>
          <t>钢丝</t>
        </is>
      </c>
      <c r="C68" s="8" t="inlineStr">
        <is>
          <t>600950000</t>
        </is>
      </c>
      <c r="D68" s="8" t="inlineStr">
        <is>
          <t>碳素弹簧钢丝|钢丝|70|Φ0.5-h11|GB/T 4357-1989|GB/T 342-1997</t>
        </is>
      </c>
      <c r="E68" s="8" t="inlineStr">
        <is>
          <t>物资名称 碳素弹簧钢丝;物资简称 钢丝;牌号 70;直径 Φ0.5-h11;技术标准号 GB/T 4357-1989;抗拉强度 ;加工工艺 ;表面状态 ;特殊要求 ;规格标准号 GB/T 342-1997</t>
        </is>
      </c>
      <c r="F68" s="4" t="inlineStr">
        <is>
          <t>千克</t>
        </is>
      </c>
      <c r="G68" s="0">
        <f>LEFT(D68,FIND("|",D68,1)-1)</f>
        <v/>
      </c>
      <c r="H68" s="0">
        <f>MID(D68,FIND("|",D68,FIND("|",D68,1))+1,FIND("|",D68,FIND("|",D68,1)+1)-FIND("|",D68,FIND("|",D68,1))-1)</f>
        <v/>
      </c>
      <c r="J68" s="0">
        <f>MID(D68,FIND(";",SUBSTITUTE(D68,"|",REPT(";",LEN(D68)),2))+1,FIND(";",SUBSTITUTE(D68,"|",REPT(";",LEN(D68)),3))-FIND(";",SUBSTITUTE(D68,"|",REPT(";",LEN(D68)),2))-1)</f>
        <v/>
      </c>
      <c r="K68" s="0">
        <f>MID(D68,FIND(";",SUBSTITUTE(D68,"|",REPT(";",LEN(D68)),3))+1,FIND(";",SUBSTITUTE(D68,"|",REPT(";",LEN(D68)),4))-FIND(";",SUBSTITUTE(D68,"|",REPT(";",LEN(D68)),3))-1)</f>
        <v/>
      </c>
      <c r="L68" s="0">
        <f>MID(D68,FIND(";",SUBSTITUTE(D68,"|",REPT(";",LEN(D68)),4))+1,FIND(";",SUBSTITUTE(D68,"|",REPT(";",LEN(D68)),5))-FIND(";",SUBSTITUTE(D68,"|",REPT(";",LEN(D68)),4))-1)</f>
        <v/>
      </c>
      <c r="M68" s="0">
        <f>MID(D68,FIND(";",SUBSTITUTE(D68,"|",REPT(";",LEN(D68)),5))+1,LEN(D68))</f>
        <v/>
      </c>
    </row>
    <row r="69" s="21">
      <c r="A69" s="8" t="inlineStr">
        <is>
          <t>100501</t>
        </is>
      </c>
      <c r="B69" s="8" t="inlineStr">
        <is>
          <t>钢丝</t>
        </is>
      </c>
      <c r="C69" s="8" t="inlineStr">
        <is>
          <t>600940800</t>
        </is>
      </c>
      <c r="D69" s="8" t="inlineStr">
        <is>
          <t>钢丝|钢丝|65Mn|Φ1.4-11|GB/T 4357-1989|GB/T 342-1997</t>
        </is>
      </c>
      <c r="E69" s="8" t="inlineStr">
        <is>
          <t>物资名称 钢丝;物资简称 钢丝;牌号 65Mn;直径 Φ1.4-11;技术标准号 GB/T 4357-1989;抗拉强度 ;加工工艺 ;表面状态 ;特殊要求 ;规格标准号 GB/T 342-1997</t>
        </is>
      </c>
      <c r="F69" s="4" t="inlineStr">
        <is>
          <t>千克</t>
        </is>
      </c>
      <c r="G69" s="0">
        <f>LEFT(D69,FIND("|",D69,1)-1)</f>
        <v/>
      </c>
      <c r="H69" s="0">
        <f>MID(D69,FIND("|",D69,FIND("|",D69,1))+1,FIND("|",D69,FIND("|",D69,1)+1)-FIND("|",D69,FIND("|",D69,1))-1)</f>
        <v/>
      </c>
      <c r="J69" s="0">
        <f>MID(D69,FIND(";",SUBSTITUTE(D69,"|",REPT(";",LEN(D69)),2))+1,FIND(";",SUBSTITUTE(D69,"|",REPT(";",LEN(D69)),3))-FIND(";",SUBSTITUTE(D69,"|",REPT(";",LEN(D69)),2))-1)</f>
        <v/>
      </c>
      <c r="K69" s="0">
        <f>MID(D69,FIND(";",SUBSTITUTE(D69,"|",REPT(";",LEN(D69)),3))+1,FIND(";",SUBSTITUTE(D69,"|",REPT(";",LEN(D69)),4))-FIND(";",SUBSTITUTE(D69,"|",REPT(";",LEN(D69)),3))-1)</f>
        <v/>
      </c>
      <c r="L69" s="0">
        <f>MID(D69,FIND(";",SUBSTITUTE(D69,"|",REPT(";",LEN(D69)),4))+1,FIND(";",SUBSTITUTE(D69,"|",REPT(";",LEN(D69)),5))-FIND(";",SUBSTITUTE(D69,"|",REPT(";",LEN(D69)),4))-1)</f>
        <v/>
      </c>
      <c r="M69" s="0">
        <f>MID(D69,FIND(";",SUBSTITUTE(D69,"|",REPT(";",LEN(D69)),5))+1,LEN(D69))</f>
        <v/>
      </c>
    </row>
    <row r="70" s="21">
      <c r="A70" s="8" t="inlineStr">
        <is>
          <t>100501</t>
        </is>
      </c>
      <c r="B70" s="8" t="inlineStr">
        <is>
          <t>钢丝</t>
        </is>
      </c>
      <c r="C70" s="8" t="inlineStr">
        <is>
          <t>600940700</t>
        </is>
      </c>
      <c r="D70" s="8" t="inlineStr">
        <is>
          <t>电镀锌钢丝|电镀锌钢丝|Φ0.5|GB/T 343-1994</t>
        </is>
      </c>
      <c r="E70" s="8" t="inlineStr">
        <is>
          <t xml:space="preserve">物资名称 电镀锌钢丝;物资简称 电镀锌钢丝;牌号 ;直径 Φ0.5;技术标准号 GB/T 343-1994;抗拉强度 ;加工工艺 ;表面状态 ;特殊要求 ;规格标准号 </t>
        </is>
      </c>
      <c r="F70" s="4" t="inlineStr">
        <is>
          <t>千克</t>
        </is>
      </c>
      <c r="G70" s="0">
        <f>LEFT(D70,FIND("|",D70,1)-1)</f>
        <v/>
      </c>
      <c r="H70" s="0">
        <f>MID(D70,FIND("|",D70,FIND("|",D70,1))+1,FIND("|",D70,FIND("|",D70,1)+1)-FIND("|",D70,FIND("|",D70,1))-1)</f>
        <v/>
      </c>
      <c r="K70" s="0">
        <f>MID(D70,FIND(";",SUBSTITUTE(D70,"|",REPT(";",LEN(D70)),2))+1,FIND(";",SUBSTITUTE(D70,"|",REPT(";",LEN(D70)),3))-FIND(";",SUBSTITUTE(D70,"|",REPT(";",LEN(D70)),2))-1)</f>
        <v/>
      </c>
      <c r="L70" s="0">
        <f>MID(D70,FIND(";",SUBSTITUTE(D70,"|",REPT(";",LEN(D70)),3))+1,LEN(D70))</f>
        <v/>
      </c>
    </row>
    <row r="71" s="21">
      <c r="A71" s="8" t="inlineStr">
        <is>
          <t>100501</t>
        </is>
      </c>
      <c r="B71" s="8" t="inlineStr">
        <is>
          <t>钢丝</t>
        </is>
      </c>
      <c r="C71" s="8" t="inlineStr">
        <is>
          <t>600918500</t>
        </is>
      </c>
      <c r="D71" s="8" t="inlineStr">
        <is>
          <t>不锈钢丝网|不锈钢丝网|0Cr18Ni9|JB/T 5979-92|320#</t>
        </is>
      </c>
      <c r="E71" s="8" t="inlineStr">
        <is>
          <t xml:space="preserve">物资名称 不锈钢丝网;物资简称 不锈钢丝网;牌号 0Cr18Ni9;直径 Φ;技术标准号 JB/T 5979-92;抗拉强度 ;加工工艺 ;表面状态 ;特殊要求 320#;规格标准号 </t>
        </is>
      </c>
      <c r="F71" s="4" t="inlineStr">
        <is>
          <t>千克</t>
        </is>
      </c>
      <c r="G71" s="0">
        <f>LEFT(D71,FIND("|",D71,1)-1)</f>
        <v/>
      </c>
      <c r="H71" s="0">
        <f>MID(D71,FIND("|",D71,FIND("|",D71,1))+1,FIND("|",D71,FIND("|",D71,1)+1)-FIND("|",D71,FIND("|",D71,1))-1)</f>
        <v/>
      </c>
      <c r="J71" s="0">
        <f>MID(D71,FIND(";",SUBSTITUTE(D71,"|",REPT(";",LEN(D71)),2))+1,FIND(";",SUBSTITUTE(D71,"|",REPT(";",LEN(D71)),3))-FIND(";",SUBSTITUTE(D71,"|",REPT(";",LEN(D71)),2))-1)</f>
        <v/>
      </c>
      <c r="L71" s="0">
        <f>MID(D71,FIND(";",SUBSTITUTE(D71,"|",REPT(";",LEN(D71)),3))+1,FIND(";",SUBSTITUTE(D71,"|",REPT(";",LEN(D71)),4))-FIND(";",SUBSTITUTE(D71,"|",REPT(";",LEN(D71)),3))-1)</f>
        <v/>
      </c>
      <c r="Q71" s="0">
        <f>MID(D71,FIND(";",SUBSTITUTE(D71,"|",REPT(";",LEN(D71)),4))+1,LEN(D71))</f>
        <v/>
      </c>
    </row>
    <row r="72" s="21">
      <c r="A72" s="8" t="inlineStr">
        <is>
          <t>100501</t>
        </is>
      </c>
      <c r="B72" s="8" t="inlineStr">
        <is>
          <t>钢丝</t>
        </is>
      </c>
      <c r="C72" s="8" t="inlineStr">
        <is>
          <t>600862600</t>
        </is>
      </c>
      <c r="D72" s="8" t="inlineStr">
        <is>
          <t>冷顶锻用不锈钢丝|钢丝|ML1Cr17Ni2|GB/T 4232-1993</t>
        </is>
      </c>
      <c r="E72" s="8" t="inlineStr">
        <is>
          <t xml:space="preserve">物资名称 冷顶锻用不锈钢丝;物资简称 钢丝;牌号 ML1Cr17Ni2;直径 Φ;技术标准号 GB/T 4232-1993;抗拉强度 ;加工工艺 ;表面状态 ;特殊要求 ;规格标准号 </t>
        </is>
      </c>
      <c r="F72" s="4" t="inlineStr">
        <is>
          <t>千克</t>
        </is>
      </c>
      <c r="G72" s="0">
        <f>LEFT(D72,FIND("|",D72,1)-1)</f>
        <v/>
      </c>
      <c r="H72" s="0">
        <f>MID(D72,FIND("|",D72,FIND("|",D72,1))+1,FIND("|",D72,FIND("|",D72,1)+1)-FIND("|",D72,FIND("|",D72,1))-1)</f>
        <v/>
      </c>
      <c r="J72" s="0">
        <f>MID(D72,FIND(";",SUBSTITUTE(D72,"|",REPT(";",LEN(D72)),2))+1,FIND(";",SUBSTITUTE(D72,"|",REPT(";",LEN(D72)),3))-FIND(";",SUBSTITUTE(D72,"|",REPT(";",LEN(D72)),2))-1)</f>
        <v/>
      </c>
      <c r="L72" s="0">
        <f>MID(D72,FIND(";",SUBSTITUTE(D72,"|",REPT(";",LEN(D72)),3))+1,LEN(D72))</f>
        <v/>
      </c>
    </row>
    <row r="73" s="21">
      <c r="A73" s="8" t="inlineStr">
        <is>
          <t>100501</t>
        </is>
      </c>
      <c r="B73" s="8" t="inlineStr">
        <is>
          <t>钢丝</t>
        </is>
      </c>
      <c r="C73" s="8" t="inlineStr">
        <is>
          <t>600861400</t>
        </is>
      </c>
      <c r="D73" s="8" t="inlineStr">
        <is>
          <t>一般用途低碳钢丝|电镀锌钢丝|Φ0.5|YB/T 5294-2006|用作辅料</t>
        </is>
      </c>
      <c r="E73" s="8" t="inlineStr">
        <is>
          <t xml:space="preserve">物资名称 一般用途低碳钢丝;物资简称 电镀锌钢丝;牌号 ;直径 Φ0.5;技术标准号 YB/T 5294-2006;抗拉强度 ;加工工艺 ;表面状态 ;特殊要求 用作辅料;规格标准号 </t>
        </is>
      </c>
      <c r="F73" s="4" t="inlineStr">
        <is>
          <t>千克</t>
        </is>
      </c>
      <c r="G73" s="0">
        <f>LEFT(D73,FIND("|",D73,1)-1)</f>
        <v/>
      </c>
      <c r="H73" s="0">
        <f>MID(D73,FIND("|",D73,FIND("|",D73,1))+1,FIND("|",D73,FIND("|",D73,1)+1)-FIND("|",D73,FIND("|",D73,1))-1)</f>
        <v/>
      </c>
      <c r="K73" s="0">
        <f>MID(D73,FIND(";",SUBSTITUTE(D73,"|",REPT(";",LEN(D73)),2))+1,FIND(";",SUBSTITUTE(D73,"|",REPT(";",LEN(D73)),3))-FIND(";",SUBSTITUTE(D73,"|",REPT(";",LEN(D73)),2))-1)</f>
        <v/>
      </c>
      <c r="L73" s="0">
        <f>MID(D73,FIND(";",SUBSTITUTE(D73,"|",REPT(";",LEN(D73)),3))+1,FIND(";",SUBSTITUTE(D73,"|",REPT(";",LEN(D73)),4))-FIND(";",SUBSTITUTE(D73,"|",REPT(";",LEN(D73)),3))-1)</f>
        <v/>
      </c>
      <c r="Q73" s="0">
        <f>MID(D73,FIND(";",SUBSTITUTE(D73,"|",REPT(";",LEN(D73)),4))+1,LEN(D73))</f>
        <v/>
      </c>
    </row>
    <row r="74" s="21">
      <c r="A74" s="8" t="inlineStr">
        <is>
          <t>100501</t>
        </is>
      </c>
      <c r="B74" s="8" t="inlineStr">
        <is>
          <t>钢丝</t>
        </is>
      </c>
      <c r="C74" s="8" t="inlineStr">
        <is>
          <t>600844400</t>
        </is>
      </c>
      <c r="D74" s="8" t="inlineStr">
        <is>
          <t>冷拉不锈钢丝|钢丝|12Cr18Ni9|Φ0.5|GB/T 4240-2009|冷拉</t>
        </is>
      </c>
      <c r="E74" s="8" t="inlineStr">
        <is>
          <t xml:space="preserve">物资名称 冷拉不锈钢丝;物资简称 钢丝;牌号 12Cr18Ni9;直径 Φ0.5;技术标准号 GB/T 4240-2009;抗拉强度 ;加工工艺 冷拉;表面状态 ;特殊要求 ;规格标准号 </t>
        </is>
      </c>
      <c r="F74" s="4" t="inlineStr">
        <is>
          <t>米</t>
        </is>
      </c>
      <c r="G74" s="0">
        <f>LEFT(D74,FIND("|",D74,1)-1)</f>
        <v/>
      </c>
      <c r="H74" s="0">
        <f>MID(D74,FIND("|",D74,FIND("|",D74,1))+1,FIND("|",D74,FIND("|",D74,1)+1)-FIND("|",D74,FIND("|",D74,1))-1)</f>
        <v/>
      </c>
      <c r="J74" s="0">
        <f>MID(D74,FIND(";",SUBSTITUTE(D74,"|",REPT(";",LEN(D74)),2))+1,FIND(";",SUBSTITUTE(D74,"|",REPT(";",LEN(D74)),3))-FIND(";",SUBSTITUTE(D74,"|",REPT(";",LEN(D74)),2))-1)</f>
        <v/>
      </c>
      <c r="K74" s="0">
        <f>MID(D74,FIND(";",SUBSTITUTE(D74,"|",REPT(";",LEN(D74)),3))+1,FIND(";",SUBSTITUTE(D74,"|",REPT(";",LEN(D74)),4))-FIND(";",SUBSTITUTE(D74,"|",REPT(";",LEN(D74)),3))-1)</f>
        <v/>
      </c>
      <c r="L74" s="0">
        <f>MID(D74,FIND(";",SUBSTITUTE(D74,"|",REPT(";",LEN(D74)),4))+1,FIND(";",SUBSTITUTE(D74,"|",REPT(";",LEN(D74)),5))-FIND(";",SUBSTITUTE(D74,"|",REPT(";",LEN(D74)),4))-1)</f>
        <v/>
      </c>
      <c r="N74" s="0">
        <f>MID(D74,FIND(";",SUBSTITUTE(D74,"|",REPT(";",LEN(D74)),5))+1,LEN(D74))</f>
        <v/>
      </c>
    </row>
    <row r="75" s="21">
      <c r="A75" s="8" t="inlineStr">
        <is>
          <t>100501</t>
        </is>
      </c>
      <c r="B75" s="8" t="inlineStr">
        <is>
          <t>钢丝</t>
        </is>
      </c>
      <c r="C75" s="8" t="inlineStr">
        <is>
          <t>600843400</t>
        </is>
      </c>
      <c r="D75" s="8" t="inlineStr">
        <is>
          <t>优质碳素结构钢丝|方钢丝|20|□2|GB/T 699-1999|允许偏差级别12|GB/T 342-1997</t>
        </is>
      </c>
      <c r="E75" s="8" t="inlineStr">
        <is>
          <t>物资名称 优质碳素结构钢丝;物资简称 方钢丝;牌号 20;边宽 □2;技术标准号 GB/T 699-1999;抗拉强度 ;加工工艺 ;表面状态 ;特殊要求 允许偏差级别12;规格标准号 GB/T 342-1997</t>
        </is>
      </c>
      <c r="F75" s="4" t="inlineStr">
        <is>
          <t>千克</t>
        </is>
      </c>
      <c r="G75" s="0">
        <f>LEFT(D75,FIND("|",D75,1)-1)</f>
        <v/>
      </c>
      <c r="H75" s="0">
        <f>MID(D75,FIND("|",D75,FIND("|",D75,1))+1,FIND("|",D75,FIND("|",D75,1)+1)-FIND("|",D75,FIND("|",D75,1))-1)</f>
        <v/>
      </c>
      <c r="J75" s="0">
        <f>MID(D75,FIND(";",SUBSTITUTE(D75,"|",REPT(";",LEN(D75)),2))+1,FIND(";",SUBSTITUTE(D75,"|",REPT(";",LEN(D75)),3))-FIND(";",SUBSTITUTE(D75,"|",REPT(";",LEN(D75)),2))-1)</f>
        <v/>
      </c>
      <c r="K75" s="0">
        <f>MID(D75,FIND(";",SUBSTITUTE(D75,"|",REPT(";",LEN(D75)),3))+1,FIND(";",SUBSTITUTE(D75,"|",REPT(";",LEN(D75)),4))-FIND(";",SUBSTITUTE(D75,"|",REPT(";",LEN(D75)),3))-1)</f>
        <v/>
      </c>
      <c r="L75" s="0">
        <f>MID(D75,FIND(";",SUBSTITUTE(D75,"|",REPT(";",LEN(D75)),4))+1,FIND(";",SUBSTITUTE(D75,"|",REPT(";",LEN(D75)),5))-FIND(";",SUBSTITUTE(D75,"|",REPT(";",LEN(D75)),4))-1)</f>
        <v/>
      </c>
      <c r="M75" s="0">
        <f>MID(D75,FIND(";",SUBSTITUTE(D75,"|",REPT(";",LEN(D75)),6))+1,LEN(D75))</f>
        <v/>
      </c>
      <c r="Q75" s="0">
        <f>MID(D75,FIND(";",SUBSTITUTE(D75,"|",REPT(";",LEN(D75)),5))+1,FIND(";",SUBSTITUTE(D75,"|",REPT(";",LEN(D75)),6))-FIND(";",SUBSTITUTE(D75,"|",REPT(";",LEN(D75)),5))-1)</f>
        <v/>
      </c>
    </row>
    <row r="76" s="21">
      <c r="A76" s="8" t="inlineStr">
        <is>
          <t>100501</t>
        </is>
      </c>
      <c r="B76" s="8" t="inlineStr">
        <is>
          <t>钢丝</t>
        </is>
      </c>
      <c r="C76" s="8" t="inlineStr">
        <is>
          <t>600842400</t>
        </is>
      </c>
      <c r="D76" s="8" t="inlineStr">
        <is>
          <t>冷拉不锈钢丝|钢丝|12Cr18Ni9|Φ1|GB/T 4240-2009|冷拉</t>
        </is>
      </c>
      <c r="E76" s="8" t="inlineStr">
        <is>
          <t xml:space="preserve">物资名称 冷拉不锈钢丝;物资简称 钢丝;牌号 12Cr18Ni9;直径 Φ1;技术标准号 GB/T 4240-2009;抗拉强度 ;加工工艺 冷拉;表面状态 ;特殊要求 ;规格标准号 </t>
        </is>
      </c>
      <c r="F76" s="4" t="inlineStr">
        <is>
          <t>米</t>
        </is>
      </c>
      <c r="G76" s="0">
        <f>LEFT(D76,FIND("|",D76,1)-1)</f>
        <v/>
      </c>
      <c r="H76" s="0">
        <f>MID(D76,FIND("|",D76,FIND("|",D76,1))+1,FIND("|",D76,FIND("|",D76,1)+1)-FIND("|",D76,FIND("|",D76,1))-1)</f>
        <v/>
      </c>
      <c r="J76" s="0">
        <f>MID(D76,FIND(";",SUBSTITUTE(D76,"|",REPT(";",LEN(D76)),2))+1,FIND(";",SUBSTITUTE(D76,"|",REPT(";",LEN(D76)),3))-FIND(";",SUBSTITUTE(D76,"|",REPT(";",LEN(D76)),2))-1)</f>
        <v/>
      </c>
      <c r="K76" s="0">
        <f>MID(D76,FIND(";",SUBSTITUTE(D76,"|",REPT(";",LEN(D76)),3))+1,FIND(";",SUBSTITUTE(D76,"|",REPT(";",LEN(D76)),4))-FIND(";",SUBSTITUTE(D76,"|",REPT(";",LEN(D76)),3))-1)</f>
        <v/>
      </c>
      <c r="L76" s="0">
        <f>MID(D76,FIND(";",SUBSTITUTE(D76,"|",REPT(";",LEN(D76)),4))+1,FIND(";",SUBSTITUTE(D76,"|",REPT(";",LEN(D76)),5))-FIND(";",SUBSTITUTE(D76,"|",REPT(";",LEN(D76)),4))-1)</f>
        <v/>
      </c>
      <c r="N76" s="0">
        <f>MID(D76,FIND(";",SUBSTITUTE(D76,"|",REPT(";",LEN(D76)),5))+1,LEN(D76))</f>
        <v/>
      </c>
    </row>
    <row r="77" s="21">
      <c r="A77" s="8" t="inlineStr">
        <is>
          <t>100501</t>
        </is>
      </c>
      <c r="B77" s="8" t="inlineStr">
        <is>
          <t>钢丝</t>
        </is>
      </c>
      <c r="C77" s="8" t="inlineStr">
        <is>
          <t>600840000</t>
        </is>
      </c>
      <c r="D77" s="8" t="inlineStr">
        <is>
          <t>冷拉弹簧用不锈钢丝|弹簧用不锈钢丝|1Cr18Ni9|Φ0.45|YB(T) 11-1983|B;允许偏差级别11|GB/T 342-1997</t>
        </is>
      </c>
      <c r="E77" s="8" t="inlineStr">
        <is>
          <t>物资名称 冷拉弹簧用不锈钢丝;物资简称 弹簧用不锈钢丝;牌号 1Cr18Ni9;直径 Φ0.45;技术标准号 YB(T) 11-1983;抗拉强度 ;加工工艺 ;表面状态 ;特殊要求 B;允许偏差级别11;规格标准号 GB/T 342-1997</t>
        </is>
      </c>
      <c r="F77" s="4" t="inlineStr">
        <is>
          <t>千克</t>
        </is>
      </c>
      <c r="G77" s="0">
        <f>LEFT(D77,FIND("|",D77,1)-1)</f>
        <v/>
      </c>
      <c r="H77" s="0">
        <f>MID(D77,FIND("|",D77,FIND("|",D77,1))+1,FIND("|",D77,FIND("|",D77,1)+1)-FIND("|",D77,FIND("|",D77,1))-1)</f>
        <v/>
      </c>
      <c r="J77" s="0">
        <f>MID(D77,FIND(";",SUBSTITUTE(D77,"|",REPT(";",LEN(D77)),2))+1,FIND(";",SUBSTITUTE(D77,"|",REPT(";",LEN(D77)),3))-FIND(";",SUBSTITUTE(D77,"|",REPT(";",LEN(D77)),2))-1)</f>
        <v/>
      </c>
      <c r="K77" s="0">
        <f>MID(D77,FIND(";",SUBSTITUTE(D77,"|",REPT(";",LEN(D77)),3))+1,FIND(";",SUBSTITUTE(D77,"|",REPT(";",LEN(D77)),4))-FIND(";",SUBSTITUTE(D77,"|",REPT(";",LEN(D77)),3))-1)</f>
        <v/>
      </c>
      <c r="L77" s="0">
        <f>MID(D77,FIND(";",SUBSTITUTE(D77,"|",REPT(";",LEN(D77)),4))+1,FIND(";",SUBSTITUTE(D77,"|",REPT(";",LEN(D77)),5))-FIND(";",SUBSTITUTE(D77,"|",REPT(";",LEN(D77)),4))-1)</f>
        <v/>
      </c>
      <c r="M77" s="0">
        <f>MID(D77,FIND(";;",SUBSTITUTE(D77,"|",REPT(";;",LEN(D77)),6))+1,LEN(D77))</f>
        <v/>
      </c>
      <c r="Q77" s="0">
        <f>MID(D77,FIND(";;",SUBSTITUTE(D77,"|",REPT(";;",LEN(D77)),5))+1,FIND(";;",SUBSTITUTE(D77,"|",REPT(";;",LEN(D77)),6))-FIND(";;",SUBSTITUTE(D77,"|",REPT(";;",LEN(D77)),5))-1)</f>
        <v/>
      </c>
    </row>
    <row r="78" s="21">
      <c r="A78" s="8" t="inlineStr">
        <is>
          <t>100501</t>
        </is>
      </c>
      <c r="B78" s="8" t="inlineStr">
        <is>
          <t>钢丝</t>
        </is>
      </c>
      <c r="C78" s="8" t="inlineStr">
        <is>
          <t>600838400</t>
        </is>
      </c>
      <c r="D78" s="8" t="inlineStr">
        <is>
          <t>冷拉弹簧用不锈钢丝|弹簧用不锈钢丝|1Cr18Ni9|Φ0.6|YB(T)11-1983|B;允许偏差级别11|GB/T 342-1997</t>
        </is>
      </c>
      <c r="E78" s="8" t="inlineStr">
        <is>
          <t>物资名称 冷拉弹簧用不锈钢丝;物资简称 弹簧用不锈钢丝;牌号 1Cr18Ni9;直径 Φ0.6;技术标准号 YB(T)11-1983;抗拉强度 ;加工工艺 ;表面状态 ;特殊要求 B;允许偏差级别11;规格标准号 GB/T 342-1997</t>
        </is>
      </c>
      <c r="F78" s="4" t="inlineStr">
        <is>
          <t>千克</t>
        </is>
      </c>
      <c r="G78" s="0">
        <f>LEFT(D78,FIND("|",D78,1)-1)</f>
        <v/>
      </c>
      <c r="H78" s="0">
        <f>MID(D78,FIND("|",D78,FIND("|",D78,1))+1,FIND("|",D78,FIND("|",D78,1)+1)-FIND("|",D78,FIND("|",D78,1))-1)</f>
        <v/>
      </c>
      <c r="J78" s="0">
        <f>MID(D78,FIND(";",SUBSTITUTE(D78,"|",REPT(";",LEN(D78)),2))+1,FIND(";",SUBSTITUTE(D78,"|",REPT(";",LEN(D78)),3))-FIND(";",SUBSTITUTE(D78,"|",REPT(";",LEN(D78)),2))-1)</f>
        <v/>
      </c>
      <c r="K78" s="0">
        <f>MID(D78,FIND(";",SUBSTITUTE(D78,"|",REPT(";",LEN(D78)),3))+1,FIND(";",SUBSTITUTE(D78,"|",REPT(";",LEN(D78)),4))-FIND(";",SUBSTITUTE(D78,"|",REPT(";",LEN(D78)),3))-1)</f>
        <v/>
      </c>
      <c r="L78" s="0">
        <f>MID(D78,FIND(";",SUBSTITUTE(D78,"|",REPT(";",LEN(D78)),4))+1,FIND(";",SUBSTITUTE(D78,"|",REPT(";",LEN(D78)),5))-FIND(";",SUBSTITUTE(D78,"|",REPT(";",LEN(D78)),4))-1)</f>
        <v/>
      </c>
      <c r="M78" s="0">
        <f>MID(D78,FIND(";;",SUBSTITUTE(D78,"|",REPT(";;",LEN(D78)),6))+1,LEN(D78))</f>
        <v/>
      </c>
      <c r="Q78" s="0">
        <f>MID(D78,FIND(";;",SUBSTITUTE(D78,"|",REPT(";;",LEN(D78)),5))+1,FIND(";;",SUBSTITUTE(D78,"|",REPT(";;",LEN(D78)),6))-FIND(";;",SUBSTITUTE(D78,"|",REPT(";;",LEN(D78)),5))-1)</f>
        <v/>
      </c>
    </row>
    <row r="79" s="21">
      <c r="A79" s="8" t="inlineStr">
        <is>
          <t>100501</t>
        </is>
      </c>
      <c r="B79" s="8" t="inlineStr">
        <is>
          <t>钢丝</t>
        </is>
      </c>
      <c r="C79" s="8" t="inlineStr">
        <is>
          <t>600825800</t>
        </is>
      </c>
      <c r="D79" s="8" t="inlineStr">
        <is>
          <t>一般用途低碳钢丝|镀锌钢丝|Φ0.5|GB 9972-1988</t>
        </is>
      </c>
      <c r="E79" s="8" t="inlineStr">
        <is>
          <t xml:space="preserve">物资名称 一般用途低碳钢丝;物资简称 镀锌钢丝;牌号 ;直径 Φ0.5;技术标准号 GB 9972-1988;抗拉强度 ;加工工艺 ;表面状态 ;特殊要求 ;规格标准号 </t>
        </is>
      </c>
      <c r="F79" s="4" t="inlineStr">
        <is>
          <t>千克</t>
        </is>
      </c>
      <c r="G79" s="0">
        <f>LEFT(D79,FIND("|",D79,1)-1)</f>
        <v/>
      </c>
      <c r="H79" s="0">
        <f>MID(D79,FIND("|",D79,FIND("|",D79,1))+1,FIND("|",D79,FIND("|",D79,1)+1)-FIND("|",D79,FIND("|",D79,1))-1)</f>
        <v/>
      </c>
      <c r="K79" s="0">
        <f>MID(D79,FIND(";",SUBSTITUTE(D79,"|",REPT(";",LEN(D79)),2))+1,FIND(";",SUBSTITUTE(D79,"|",REPT(";",LEN(D79)),3))-FIND(";",SUBSTITUTE(D79,"|",REPT(";",LEN(D79)),2))-1)</f>
        <v/>
      </c>
      <c r="L79" s="0">
        <f>MID(D79,FIND(";",SUBSTITUTE(D79,"|",REPT(";",LEN(D79)),3))+1,LEN(D79))</f>
        <v/>
      </c>
    </row>
    <row r="80" s="21">
      <c r="A80" s="8" t="inlineStr">
        <is>
          <t>100501</t>
        </is>
      </c>
      <c r="B80" s="8" t="inlineStr">
        <is>
          <t>钢丝</t>
        </is>
      </c>
      <c r="C80" s="8" t="inlineStr">
        <is>
          <t>600767200</t>
        </is>
      </c>
      <c r="D80" s="8" t="inlineStr">
        <is>
          <t>一般用途低碳钢丝|镀锌钢丝|ΦSZ-0.5|YB/T 5294-2009|用作辅料</t>
        </is>
      </c>
      <c r="E80" s="8" t="inlineStr">
        <is>
          <t xml:space="preserve">物资名称 一般用途低碳钢丝;物资简称 镀锌钢丝;牌号 ;直径 ΦSZ-0.5;技术标准号 YB/T 5294-2009;抗拉强度 ;加工工艺 ;表面状态 ;特殊要求 用作辅料;规格标准号 </t>
        </is>
      </c>
      <c r="F80" s="4" t="inlineStr">
        <is>
          <t>千克</t>
        </is>
      </c>
      <c r="G80" s="0">
        <f>LEFT(D80,FIND("|",D80,1)-1)</f>
        <v/>
      </c>
      <c r="H80" s="0">
        <f>MID(D80,FIND("|",D80,FIND("|",D80,1))+1,FIND("|",D80,FIND("|",D80,1)+1)-FIND("|",D80,FIND("|",D80,1))-1)</f>
        <v/>
      </c>
      <c r="K80" s="0">
        <f>MID(D80,FIND(";",SUBSTITUTE(D80,"|",REPT(";",LEN(D80)),2))+1,FIND(";",SUBSTITUTE(D80,"|",REPT(";",LEN(D80)),3))-FIND(";",SUBSTITUTE(D80,"|",REPT(";",LEN(D80)),2))-1)</f>
        <v/>
      </c>
      <c r="L80" s="0">
        <f>MID(D80,FIND(";",SUBSTITUTE(D80,"|",REPT(";",LEN(D80)),3))+1,FIND(";",SUBSTITUTE(D80,"|",REPT(";",LEN(D80)),4))-FIND(";",SUBSTITUTE(D80,"|",REPT(";",LEN(D80)),3))-1)</f>
        <v/>
      </c>
    </row>
    <row r="81" s="21">
      <c r="A81" s="8" t="inlineStr">
        <is>
          <t>100501</t>
        </is>
      </c>
      <c r="B81" s="8" t="inlineStr">
        <is>
          <t>钢丝</t>
        </is>
      </c>
      <c r="C81" s="8" t="inlineStr">
        <is>
          <t>600766600</t>
        </is>
      </c>
      <c r="D81" s="8" t="inlineStr">
        <is>
          <t>一般用途低碳钢丝|镀锌钢丝|ΦSZ-0.5|YB/T 5294-2009</t>
        </is>
      </c>
      <c r="E81" s="8" t="inlineStr">
        <is>
          <t xml:space="preserve">物资名称 一般用途低碳钢丝;物资简称 镀锌钢丝;牌号 ;直径 ΦSZ-0.5;技术标准号 YB/T 5294-2009;抗拉强度 ;加工工艺 ;表面状态 ;特殊要求 ;规格标准号 </t>
        </is>
      </c>
      <c r="F81" s="4" t="inlineStr">
        <is>
          <t>千克</t>
        </is>
      </c>
      <c r="G81" s="0">
        <f>LEFT(D81,FIND("|",D81,1)-1)</f>
        <v/>
      </c>
      <c r="H81" s="0">
        <f>MID(D81,FIND("|",D81,FIND("|",D81,1))+1,FIND("|",D81,FIND("|",D81,1)+1)-FIND("|",D81,FIND("|",D81,1))-1)</f>
        <v/>
      </c>
      <c r="K81" s="0">
        <f>MID(D81,FIND(";",SUBSTITUTE(D81,"|",REPT(";",LEN(D81)),2))+1,FIND(";",SUBSTITUTE(D81,"|",REPT(";",LEN(D81)),3))-FIND(";",SUBSTITUTE(D81,"|",REPT(";",LEN(D81)),2))-1)</f>
        <v/>
      </c>
      <c r="L81" s="0">
        <f>MID(D81,FIND(";",SUBSTITUTE(D81,"|",REPT(";",LEN(D81)),3))+1,LEN(D81))</f>
        <v/>
      </c>
    </row>
    <row r="82" s="21">
      <c r="A82" s="8" t="inlineStr">
        <is>
          <t>100501</t>
        </is>
      </c>
      <c r="B82" s="8" t="inlineStr">
        <is>
          <t>钢丝</t>
        </is>
      </c>
      <c r="C82" s="8" t="inlineStr">
        <is>
          <t>600634200</t>
        </is>
      </c>
      <c r="D82" s="8" t="inlineStr">
        <is>
          <t>合金工具钢丝|钢丝|Cr12MoV|GB/T 1299-2000|冷拉</t>
        </is>
      </c>
      <c r="E82" s="8" t="inlineStr">
        <is>
          <t xml:space="preserve">物资名称 合金工具钢丝;物资简称 钢丝;牌号 Cr12MoV;直径 Φ;技术标准号 GB/T 1299-2000;抗拉强度 ;加工工艺 冷拉;表面状态 ;特殊要求 ;规格标准号 </t>
        </is>
      </c>
      <c r="F82" s="4" t="inlineStr">
        <is>
          <t>千克</t>
        </is>
      </c>
      <c r="G82" s="0">
        <f>LEFT(D82,FIND("|",D82,1)-1)</f>
        <v/>
      </c>
      <c r="H82" s="0">
        <f>MID(D82,FIND("|",D82,FIND("|",D82,1))+1,FIND("|",D82,FIND("|",D82,1)+1)-FIND("|",D82,FIND("|",D82,1))-1)</f>
        <v/>
      </c>
      <c r="J82" s="0">
        <f>MID(D82,FIND(";",SUBSTITUTE(D82,"|",REPT(";",LEN(D82)),2))+1,FIND(";",SUBSTITUTE(D82,"|",REPT(";",LEN(D82)),3))-FIND(";",SUBSTITUTE(D82,"|",REPT(";",LEN(D82)),2))-1)</f>
        <v/>
      </c>
      <c r="L82" s="0">
        <f>MID(D82,FIND(";",SUBSTITUTE(D82,"|",REPT(";",LEN(D82)),3))+1,FIND(";",SUBSTITUTE(D82,"|",REPT(";",LEN(D82)),4))-FIND(";",SUBSTITUTE(D82,"|",REPT(";",LEN(D82)),3))-1)</f>
        <v/>
      </c>
      <c r="N82" s="0">
        <f>MID(D82,FIND(";",SUBSTITUTE(D82,"|",REPT(";",LEN(D82)),4))+1,LEN(D82))</f>
        <v/>
      </c>
    </row>
    <row r="83" s="21">
      <c r="A83" s="8" t="inlineStr">
        <is>
          <t>100501</t>
        </is>
      </c>
      <c r="B83" s="8" t="inlineStr">
        <is>
          <t>钢丝</t>
        </is>
      </c>
      <c r="C83" s="8" t="inlineStr">
        <is>
          <t>600634100</t>
        </is>
      </c>
      <c r="D83" s="8" t="inlineStr">
        <is>
          <t>冷拉不锈钢丝|钢丝|1Cr18Ni9Ti|GB/T 4240-1993|冷拉</t>
        </is>
      </c>
      <c r="E83" s="8" t="inlineStr">
        <is>
          <t xml:space="preserve">物资名称 冷拉不锈钢丝;物资简称 钢丝;牌号 1Cr18Ni9Ti;直径 Φ;技术标准号 GB/T 4240-1993;抗拉强度 ;加工工艺 冷拉;表面状态 ;特殊要求 ;规格标准号 </t>
        </is>
      </c>
      <c r="F83" s="4" t="inlineStr">
        <is>
          <t>千克</t>
        </is>
      </c>
      <c r="G83" s="0">
        <f>LEFT(D83,FIND("|",D83,1)-1)</f>
        <v/>
      </c>
      <c r="H83" s="0">
        <f>MID(D83,FIND("|",D83,FIND("|",D83,1))+1,FIND("|",D83,FIND("|",D83,1)+1)-FIND("|",D83,FIND("|",D83,1))-1)</f>
        <v/>
      </c>
      <c r="J83" s="0">
        <f>MID(D83,FIND(";",SUBSTITUTE(D83,"|",REPT(";",LEN(D83)),2))+1,FIND(";",SUBSTITUTE(D83,"|",REPT(";",LEN(D83)),3))-FIND(";",SUBSTITUTE(D83,"|",REPT(";",LEN(D83)),2))-1)</f>
        <v/>
      </c>
      <c r="L83" s="0">
        <f>MID(D83,FIND(";",SUBSTITUTE(D83,"|",REPT(";",LEN(D83)),3))+1,FIND(";",SUBSTITUTE(D83,"|",REPT(";",LEN(D83)),4))-FIND(";",SUBSTITUTE(D83,"|",REPT(";",LEN(D83)),3))-1)</f>
        <v/>
      </c>
      <c r="N83" s="0">
        <f>MID(D83,FIND(";",SUBSTITUTE(D83,"|",REPT(";",LEN(D83)),4))+1,LEN(D83))</f>
        <v/>
      </c>
    </row>
    <row r="84" s="21">
      <c r="A84" s="8" t="inlineStr">
        <is>
          <t>100501</t>
        </is>
      </c>
      <c r="B84" s="8" t="inlineStr">
        <is>
          <t>钢丝</t>
        </is>
      </c>
      <c r="C84" s="8" t="inlineStr">
        <is>
          <t>600634000</t>
        </is>
      </c>
      <c r="D84" s="8" t="inlineStr">
        <is>
          <t>冷拉不锈钢丝|钢丝|1Cr18Ni9Ti|Φ1|GB/T 4240-1993|冷拉</t>
        </is>
      </c>
      <c r="E84" s="8" t="inlineStr">
        <is>
          <t xml:space="preserve">物资名称 冷拉不锈钢丝;物资简称 钢丝;牌号 1Cr18Ni9Ti;直径 Φ1;技术标准号 GB/T 4240-1993;抗拉强度 ;加工工艺 冷拉;表面状态 ;特殊要求 ;规格标准号 </t>
        </is>
      </c>
      <c r="F84" s="4" t="inlineStr">
        <is>
          <t>千克</t>
        </is>
      </c>
      <c r="G84" s="0">
        <f>LEFT(D84,FIND("|",D84,1)-1)</f>
        <v/>
      </c>
      <c r="H84" s="0">
        <f>MID(D84,FIND("|",D84,FIND("|",D84,1))+1,FIND("|",D84,FIND("|",D84,1)+1)-FIND("|",D84,FIND("|",D84,1))-1)</f>
        <v/>
      </c>
      <c r="J84" s="0">
        <f>MID(D84,FIND(";",SUBSTITUTE(D84,"|",REPT(";",LEN(D84)),2))+1,FIND(";",SUBSTITUTE(D84,"|",REPT(";",LEN(D84)),3))-FIND(";",SUBSTITUTE(D84,"|",REPT(";",LEN(D84)),2))-1)</f>
        <v/>
      </c>
      <c r="K84" s="0">
        <f>MID(D84,FIND(";",SUBSTITUTE(D84,"|",REPT(";",LEN(D84)),3))+1,FIND(";",SUBSTITUTE(D84,"|",REPT(";",LEN(D84)),4))-FIND(";",SUBSTITUTE(D84,"|",REPT(";",LEN(D84)),3))-1)</f>
        <v/>
      </c>
      <c r="L84" s="0">
        <f>MID(D84,FIND(";",SUBSTITUTE(D84,"|",REPT(";",LEN(D84)),4))+1,FIND(";",SUBSTITUTE(D84,"|",REPT(";",LEN(D84)),5))-FIND(";",SUBSTITUTE(D84,"|",REPT(";",LEN(D84)),4))-1)</f>
        <v/>
      </c>
      <c r="N84" s="0">
        <f>MID(D84,FIND(";",SUBSTITUTE(D84,"|",REPT(";",LEN(D84)),5))+1,LEN(D84))</f>
        <v/>
      </c>
    </row>
    <row r="85" s="21">
      <c r="A85" s="8" t="inlineStr">
        <is>
          <t>100501</t>
        </is>
      </c>
      <c r="B85" s="8" t="inlineStr">
        <is>
          <t>钢丝</t>
        </is>
      </c>
      <c r="C85" s="8" t="inlineStr">
        <is>
          <t>600633900</t>
        </is>
      </c>
      <c r="D85" s="8" t="inlineStr">
        <is>
          <t>冷拉不锈钢丝|钢丝|1Cr18Ni9Ti|Φ3|GB/T 4240-1993|冷拉</t>
        </is>
      </c>
      <c r="E85" s="8" t="inlineStr">
        <is>
          <t xml:space="preserve">物资名称 冷拉不锈钢丝;物资简称 钢丝;牌号 1Cr18Ni9Ti;直径 Φ3;技术标准号 GB/T 4240-1993;抗拉强度 ;加工工艺 冷拉;表面状态 ;特殊要求 ;规格标准号 </t>
        </is>
      </c>
      <c r="F85" s="4" t="inlineStr">
        <is>
          <t>千克</t>
        </is>
      </c>
      <c r="G85" s="0">
        <f>LEFT(D85,FIND("|",D85,1)-1)</f>
        <v/>
      </c>
      <c r="H85" s="0">
        <f>MID(D85,FIND("|",D85,FIND("|",D85,1))+1,FIND("|",D85,FIND("|",D85,1)+1)-FIND("|",D85,FIND("|",D85,1))-1)</f>
        <v/>
      </c>
      <c r="J85" s="0">
        <f>MID(D85,FIND(";",SUBSTITUTE(D85,"|",REPT(";",LEN(D85)),2))+1,FIND(";",SUBSTITUTE(D85,"|",REPT(";",LEN(D85)),3))-FIND(";",SUBSTITUTE(D85,"|",REPT(";",LEN(D85)),2))-1)</f>
        <v/>
      </c>
      <c r="K85" s="0">
        <f>MID(D85,FIND(";",SUBSTITUTE(D85,"|",REPT(";",LEN(D85)),3))+1,FIND(";",SUBSTITUTE(D85,"|",REPT(";",LEN(D85)),4))-FIND(";",SUBSTITUTE(D85,"|",REPT(";",LEN(D85)),3))-1)</f>
        <v/>
      </c>
      <c r="L85" s="0">
        <f>MID(D85,FIND(";",SUBSTITUTE(D85,"|",REPT(";",LEN(D85)),4))+1,FIND(";",SUBSTITUTE(D85,"|",REPT(";",LEN(D85)),5))-FIND(";",SUBSTITUTE(D85,"|",REPT(";",LEN(D85)),4))-1)</f>
        <v/>
      </c>
      <c r="N85" s="0">
        <f>MID(D85,FIND(";",SUBSTITUTE(D85,"|",REPT(";",LEN(D85)),5))+1,LEN(D85))</f>
        <v/>
      </c>
    </row>
    <row r="86" s="21">
      <c r="A86" s="8" t="inlineStr">
        <is>
          <t>100501</t>
        </is>
      </c>
      <c r="B86" s="8" t="inlineStr">
        <is>
          <t>钢丝</t>
        </is>
      </c>
      <c r="C86" s="8" t="inlineStr">
        <is>
          <t>600633800</t>
        </is>
      </c>
      <c r="D86" s="8" t="inlineStr">
        <is>
          <t>冷拉不锈钢丝|钢丝|1Cr18Ni9Ti|Φ4|GB/T 4240-1993|冷拉</t>
        </is>
      </c>
      <c r="E86" s="8" t="inlineStr">
        <is>
          <t xml:space="preserve">物资名称 冷拉不锈钢丝;物资简称 钢丝;牌号 1Cr18Ni9Ti;直径 Φ4;技术标准号 GB/T 4240-1993;抗拉强度 ;加工工艺 冷拉;表面状态 ;特殊要求 ;规格标准号 </t>
        </is>
      </c>
      <c r="F86" s="4" t="inlineStr">
        <is>
          <t>千克</t>
        </is>
      </c>
      <c r="G86" s="0">
        <f>LEFT(D86,FIND("|",D86,1)-1)</f>
        <v/>
      </c>
      <c r="H86" s="0">
        <f>MID(D86,FIND("|",D86,FIND("|",D86,1))+1,FIND("|",D86,FIND("|",D86,1)+1)-FIND("|",D86,FIND("|",D86,1))-1)</f>
        <v/>
      </c>
      <c r="J86" s="0">
        <f>MID(D86,FIND(";",SUBSTITUTE(D86,"|",REPT(";",LEN(D86)),2))+1,FIND(";",SUBSTITUTE(D86,"|",REPT(";",LEN(D86)),3))-FIND(";",SUBSTITUTE(D86,"|",REPT(";",LEN(D86)),2))-1)</f>
        <v/>
      </c>
      <c r="K86" s="0">
        <f>MID(D86,FIND(";",SUBSTITUTE(D86,"|",REPT(";",LEN(D86)),3))+1,FIND(";",SUBSTITUTE(D86,"|",REPT(";",LEN(D86)),4))-FIND(";",SUBSTITUTE(D86,"|",REPT(";",LEN(D86)),3))-1)</f>
        <v/>
      </c>
      <c r="L86" s="0">
        <f>MID(D86,FIND(";",SUBSTITUTE(D86,"|",REPT(";",LEN(D86)),4))+1,FIND(";",SUBSTITUTE(D86,"|",REPT(";",LEN(D86)),5))-FIND(";",SUBSTITUTE(D86,"|",REPT(";",LEN(D86)),4))-1)</f>
        <v/>
      </c>
      <c r="N86" s="0">
        <f>MID(D86,FIND(";",SUBSTITUTE(D86,"|",REPT(";",LEN(D86)),5))+1,LEN(D86))</f>
        <v/>
      </c>
    </row>
    <row r="87" s="21">
      <c r="A87" s="8" t="inlineStr">
        <is>
          <t>100501</t>
        </is>
      </c>
      <c r="B87" s="8" t="inlineStr">
        <is>
          <t>钢丝</t>
        </is>
      </c>
      <c r="C87" s="8" t="inlineStr">
        <is>
          <t>600633700</t>
        </is>
      </c>
      <c r="D87" s="8" t="inlineStr">
        <is>
          <t>冷拉不锈钢丝|钢丝|1Cr18Ni9Ti|Φ5|GB/T 4240-1993|冷拉</t>
        </is>
      </c>
      <c r="E87" s="8" t="inlineStr">
        <is>
          <t xml:space="preserve">物资名称 冷拉不锈钢丝;物资简称 钢丝;牌号 1Cr18Ni9Ti;直径 Φ5;技术标准号 GB/T 4240-1993;抗拉强度 ;加工工艺 冷拉;表面状态 ;特殊要求 ;规格标准号 </t>
        </is>
      </c>
      <c r="F87" s="4" t="inlineStr">
        <is>
          <t>千克</t>
        </is>
      </c>
      <c r="G87" s="0">
        <f>LEFT(D87,FIND("|",D87,1)-1)</f>
        <v/>
      </c>
      <c r="H87" s="0">
        <f>MID(D87,FIND("|",D87,FIND("|",D87,1))+1,FIND("|",D87,FIND("|",D87,1)+1)-FIND("|",D87,FIND("|",D87,1))-1)</f>
        <v/>
      </c>
      <c r="J87" s="0">
        <f>MID(D87,FIND(";",SUBSTITUTE(D87,"|",REPT(";",LEN(D87)),2))+1,FIND(";",SUBSTITUTE(D87,"|",REPT(";",LEN(D87)),3))-FIND(";",SUBSTITUTE(D87,"|",REPT(";",LEN(D87)),2))-1)</f>
        <v/>
      </c>
      <c r="K87" s="0">
        <f>MID(D87,FIND(";",SUBSTITUTE(D87,"|",REPT(";",LEN(D87)),3))+1,FIND(";",SUBSTITUTE(D87,"|",REPT(";",LEN(D87)),4))-FIND(";",SUBSTITUTE(D87,"|",REPT(";",LEN(D87)),3))-1)</f>
        <v/>
      </c>
      <c r="L87" s="0">
        <f>MID(D87,FIND(";",SUBSTITUTE(D87,"|",REPT(";",LEN(D87)),4))+1,FIND(";",SUBSTITUTE(D87,"|",REPT(";",LEN(D87)),5))-FIND(";",SUBSTITUTE(D87,"|",REPT(";",LEN(D87)),4))-1)</f>
        <v/>
      </c>
      <c r="N87" s="0">
        <f>MID(D87,FIND(";",SUBSTITUTE(D87,"|",REPT(";",LEN(D87)),5))+1,LEN(D87))</f>
        <v/>
      </c>
    </row>
    <row r="88" s="21">
      <c r="A88" s="8" t="inlineStr">
        <is>
          <t>100501</t>
        </is>
      </c>
      <c r="B88" s="8" t="inlineStr">
        <is>
          <t>钢丝</t>
        </is>
      </c>
      <c r="C88" s="8" t="inlineStr">
        <is>
          <t>600633600</t>
        </is>
      </c>
      <c r="D88" s="8" t="inlineStr">
        <is>
          <t>冷拉不锈钢丝|钢丝|1Cr18Ni9Ti|Φ6|GB/T 4240-1993|冷拉</t>
        </is>
      </c>
      <c r="E88" s="8" t="inlineStr">
        <is>
          <t xml:space="preserve">物资名称 冷拉不锈钢丝;物资简称 钢丝;牌号 1Cr18Ni9Ti;直径 Φ6;技术标准号 GB/T 4240-1993;抗拉强度 ;加工工艺 冷拉;表面状态 ;特殊要求 ;规格标准号 </t>
        </is>
      </c>
      <c r="F88" s="4" t="inlineStr">
        <is>
          <t>千克</t>
        </is>
      </c>
      <c r="G88" s="0">
        <f>LEFT(D88,FIND("|",D88,1)-1)</f>
        <v/>
      </c>
      <c r="H88" s="0">
        <f>MID(D88,FIND("|",D88,FIND("|",D88,1))+1,FIND("|",D88,FIND("|",D88,1)+1)-FIND("|",D88,FIND("|",D88,1))-1)</f>
        <v/>
      </c>
      <c r="J88" s="0">
        <f>MID(D88,FIND(";",SUBSTITUTE(D88,"|",REPT(";",LEN(D88)),2))+1,FIND(";",SUBSTITUTE(D88,"|",REPT(";",LEN(D88)),3))-FIND(";",SUBSTITUTE(D88,"|",REPT(";",LEN(D88)),2))-1)</f>
        <v/>
      </c>
      <c r="K88" s="0">
        <f>MID(D88,FIND(";",SUBSTITUTE(D88,"|",REPT(";",LEN(D88)),3))+1,FIND(";",SUBSTITUTE(D88,"|",REPT(";",LEN(D88)),4))-FIND(";",SUBSTITUTE(D88,"|",REPT(";",LEN(D88)),3))-1)</f>
        <v/>
      </c>
      <c r="L88" s="0">
        <f>MID(D88,FIND(";",SUBSTITUTE(D88,"|",REPT(";",LEN(D88)),4))+1,FIND(";",SUBSTITUTE(D88,"|",REPT(";",LEN(D88)),5))-FIND(";",SUBSTITUTE(D88,"|",REPT(";",LEN(D88)),4))-1)</f>
        <v/>
      </c>
      <c r="N88" s="0">
        <f>MID(D88,FIND(";",SUBSTITUTE(D88,"|",REPT(";",LEN(D88)),5))+1,LEN(D88))</f>
        <v/>
      </c>
    </row>
    <row r="89" s="21">
      <c r="A89" s="8" t="inlineStr">
        <is>
          <t>100501</t>
        </is>
      </c>
      <c r="B89" s="8" t="inlineStr">
        <is>
          <t>钢丝</t>
        </is>
      </c>
      <c r="C89" s="8" t="inlineStr">
        <is>
          <t>600633500</t>
        </is>
      </c>
      <c r="D89" s="8" t="inlineStr">
        <is>
          <t>冷拉碳素弹簧钢丝|钢丝|65Mn|GB/T 4357-2009|冷拉</t>
        </is>
      </c>
      <c r="E89" s="8" t="inlineStr">
        <is>
          <t xml:space="preserve">物资名称 冷拉碳素弹簧钢丝;物资简称 钢丝;牌号 65Mn;直径 Φ;技术标准号 GB/T 4357-2009;抗拉强度 ;加工工艺 冷拉;表面状态 ;特殊要求 ;规格标准号 </t>
        </is>
      </c>
      <c r="F89" s="4" t="inlineStr">
        <is>
          <t>千克</t>
        </is>
      </c>
      <c r="G89" s="0">
        <f>LEFT(D89,FIND("|",D89,1)-1)</f>
        <v/>
      </c>
      <c r="H89" s="0">
        <f>MID(D89,FIND("|",D89,FIND("|",D89,1))+1,FIND("|",D89,FIND("|",D89,1)+1)-FIND("|",D89,FIND("|",D89,1))-1)</f>
        <v/>
      </c>
      <c r="J89" s="0">
        <f>MID(D89,FIND(";",SUBSTITUTE(D89,"|",REPT(";",LEN(D89)),2))+1,FIND(";",SUBSTITUTE(D89,"|",REPT(";",LEN(D89)),3))-FIND(";",SUBSTITUTE(D89,"|",REPT(";",LEN(D89)),2))-1)</f>
        <v/>
      </c>
      <c r="L89" s="0">
        <f>MID(D89,FIND(";",SUBSTITUTE(D89,"|",REPT(";",LEN(D89)),3))+1,FIND(";",SUBSTITUTE(D89,"|",REPT(";",LEN(D89)),4))-FIND(";",SUBSTITUTE(D89,"|",REPT(";",LEN(D89)),3))-1)</f>
        <v/>
      </c>
      <c r="N89" s="0">
        <f>MID(D89,FIND(";",SUBSTITUTE(D89,"|",REPT(";",LEN(D89)),4))+1,LEN(D89))</f>
        <v/>
      </c>
    </row>
    <row r="90" s="21">
      <c r="A90" s="8" t="inlineStr">
        <is>
          <t>100501</t>
        </is>
      </c>
      <c r="B90" s="8" t="inlineStr">
        <is>
          <t>钢丝</t>
        </is>
      </c>
      <c r="C90" s="8" t="inlineStr">
        <is>
          <t>600633400</t>
        </is>
      </c>
      <c r="D90" s="8" t="inlineStr">
        <is>
          <t>冷拉碳素弹簧钢丝|钢丝|65Mn|Φ0.4|GB/T 4357-2009|冷拉</t>
        </is>
      </c>
      <c r="E90" s="8" t="inlineStr">
        <is>
          <t xml:space="preserve">物资名称 冷拉碳素弹簧钢丝;物资简称 钢丝;牌号 65Mn;直径 Φ0.4;技术标准号 GB/T 4357-2009;抗拉强度 ;加工工艺 冷拉;表面状态 ;特殊要求 ;规格标准号 </t>
        </is>
      </c>
      <c r="F90" s="4" t="inlineStr">
        <is>
          <t>千克</t>
        </is>
      </c>
      <c r="G90" s="0">
        <f>LEFT(D90,FIND("|",D90,1)-1)</f>
        <v/>
      </c>
      <c r="H90" s="0">
        <f>MID(D90,FIND("|",D90,FIND("|",D90,1))+1,FIND("|",D90,FIND("|",D90,1)+1)-FIND("|",D90,FIND("|",D90,1))-1)</f>
        <v/>
      </c>
      <c r="J90" s="0">
        <f>MID(D90,FIND(";",SUBSTITUTE(D90,"|",REPT(";",LEN(D90)),2))+1,FIND(";",SUBSTITUTE(D90,"|",REPT(";",LEN(D90)),3))-FIND(";",SUBSTITUTE(D90,"|",REPT(";",LEN(D90)),2))-1)</f>
        <v/>
      </c>
      <c r="K90" s="0">
        <f>MID(D90,FIND(";",SUBSTITUTE(D90,"|",REPT(";",LEN(D90)),3))+1,FIND(";",SUBSTITUTE(D90,"|",REPT(";",LEN(D90)),4))-FIND(";",SUBSTITUTE(D90,"|",REPT(";",LEN(D90)),3))-1)</f>
        <v/>
      </c>
      <c r="L90" s="0">
        <f>MID(D90,FIND(";",SUBSTITUTE(D90,"|",REPT(";",LEN(D90)),4))+1,FIND(";",SUBSTITUTE(D90,"|",REPT(";",LEN(D90)),5))-FIND(";",SUBSTITUTE(D90,"|",REPT(";",LEN(D90)),4))-1)</f>
        <v/>
      </c>
      <c r="N90" s="0">
        <f>MID(D90,FIND(";",SUBSTITUTE(D90,"|",REPT(";",LEN(D90)),5))+1,LEN(D90))</f>
        <v/>
      </c>
    </row>
    <row r="91" s="21">
      <c r="A91" s="8" t="inlineStr">
        <is>
          <t>100501</t>
        </is>
      </c>
      <c r="B91" s="8" t="inlineStr">
        <is>
          <t>钢丝</t>
        </is>
      </c>
      <c r="C91" s="8" t="inlineStr">
        <is>
          <t>600633300</t>
        </is>
      </c>
      <c r="D91" s="8" t="inlineStr">
        <is>
          <t>冷拉碳素弹簧钢丝|钢丝|65Mn|Φ0.8|GB/T 4357-2009|冷拉</t>
        </is>
      </c>
      <c r="E91" s="8" t="inlineStr">
        <is>
          <t xml:space="preserve">物资名称 冷拉碳素弹簧钢丝;物资简称 钢丝;牌号 65Mn;直径 Φ0.8;技术标准号 GB/T 4357-2009;抗拉强度 ;加工工艺 冷拉;表面状态 ;特殊要求 ;规格标准号 </t>
        </is>
      </c>
      <c r="F91" s="4" t="inlineStr">
        <is>
          <t>千克</t>
        </is>
      </c>
      <c r="G91" s="0">
        <f>LEFT(D91,FIND("|",D91,1)-1)</f>
        <v/>
      </c>
      <c r="H91" s="0">
        <f>MID(D91,FIND("|",D91,FIND("|",D91,1))+1,FIND("|",D91,FIND("|",D91,1)+1)-FIND("|",D91,FIND("|",D91,1))-1)</f>
        <v/>
      </c>
      <c r="J91" s="0">
        <f>MID(D91,FIND(";",SUBSTITUTE(D91,"|",REPT(";",LEN(D91)),2))+1,FIND(";",SUBSTITUTE(D91,"|",REPT(";",LEN(D91)),3))-FIND(";",SUBSTITUTE(D91,"|",REPT(";",LEN(D91)),2))-1)</f>
        <v/>
      </c>
      <c r="K91" s="0">
        <f>MID(D91,FIND(";",SUBSTITUTE(D91,"|",REPT(";",LEN(D91)),3))+1,FIND(";",SUBSTITUTE(D91,"|",REPT(";",LEN(D91)),4))-FIND(";",SUBSTITUTE(D91,"|",REPT(";",LEN(D91)),3))-1)</f>
        <v/>
      </c>
      <c r="L91" s="0">
        <f>MID(D91,FIND(";",SUBSTITUTE(D91,"|",REPT(";",LEN(D91)),4))+1,FIND(";",SUBSTITUTE(D91,"|",REPT(";",LEN(D91)),5))-FIND(";",SUBSTITUTE(D91,"|",REPT(";",LEN(D91)),4))-1)</f>
        <v/>
      </c>
      <c r="N91" s="0">
        <f>MID(D91,FIND(";",SUBSTITUTE(D91,"|",REPT(";",LEN(D91)),5))+1,LEN(D91))</f>
        <v/>
      </c>
    </row>
    <row r="92" s="21">
      <c r="A92" s="8" t="inlineStr">
        <is>
          <t>100501</t>
        </is>
      </c>
      <c r="B92" s="8" t="inlineStr">
        <is>
          <t>钢丝</t>
        </is>
      </c>
      <c r="C92" s="8" t="inlineStr">
        <is>
          <t>600633200</t>
        </is>
      </c>
      <c r="D92" s="8" t="inlineStr">
        <is>
          <t>冷拉碳素弹簧钢丝|钢丝|70|GB/T 4357-2009|冷拉</t>
        </is>
      </c>
      <c r="E92" s="8" t="inlineStr">
        <is>
          <t xml:space="preserve">物资名称 冷拉碳素弹簧钢丝;物资简称 钢丝;牌号 70;直径 Φ;技术标准号 GB/T 4357-2009;抗拉强度 ;加工工艺 冷拉;表面状态 ;特殊要求 ;规格标准号 </t>
        </is>
      </c>
      <c r="F92" s="4" t="inlineStr">
        <is>
          <t>千克</t>
        </is>
      </c>
      <c r="G92" s="0">
        <f>LEFT(D92,FIND("|",D92,1)-1)</f>
        <v/>
      </c>
      <c r="H92" s="0">
        <f>MID(D92,FIND("|",D92,FIND("|",D92,1))+1,FIND("|",D92,FIND("|",D92,1)+1)-FIND("|",D92,FIND("|",D92,1))-1)</f>
        <v/>
      </c>
      <c r="J92" s="0">
        <f>MID(D92,FIND(";",SUBSTITUTE(D92,"|",REPT(";",LEN(D92)),2))+1,FIND(";",SUBSTITUTE(D92,"|",REPT(";",LEN(D92)),3))-FIND(";",SUBSTITUTE(D92,"|",REPT(";",LEN(D92)),2))-1)</f>
        <v/>
      </c>
      <c r="L92" s="0">
        <f>MID(D92,FIND(";",SUBSTITUTE(D92,"|",REPT(";",LEN(D92)),3))+1,FIND(";",SUBSTITUTE(D92,"|",REPT(";",LEN(D92)),4))-FIND(";",SUBSTITUTE(D92,"|",REPT(";",LEN(D92)),3))-1)</f>
        <v/>
      </c>
      <c r="N92" s="0">
        <f>MID(D92,FIND(";",SUBSTITUTE(D92,"|",REPT(";",LEN(D92)),4))+1,LEN(D92))</f>
        <v/>
      </c>
    </row>
    <row r="93" s="21">
      <c r="A93" s="8" t="inlineStr">
        <is>
          <t>100501</t>
        </is>
      </c>
      <c r="B93" s="8" t="inlineStr">
        <is>
          <t>钢丝</t>
        </is>
      </c>
      <c r="C93" s="8" t="inlineStr">
        <is>
          <t>600633100</t>
        </is>
      </c>
      <c r="D93" s="8" t="inlineStr">
        <is>
          <t>冷拉碳素弹簧钢丝|钢丝|70|Φ0.3|GB/T 4357-2009|冷拉</t>
        </is>
      </c>
      <c r="E93" s="8" t="inlineStr">
        <is>
          <t xml:space="preserve">物资名称 冷拉碳素弹簧钢丝;物资简称 钢丝;牌号 70;直径 Φ0.3;技术标准号 GB/T 4357-2009;抗拉强度 ;加工工艺 冷拉;表面状态 ;特殊要求 ;规格标准号 </t>
        </is>
      </c>
      <c r="F93" s="4" t="inlineStr">
        <is>
          <t>千克</t>
        </is>
      </c>
      <c r="G93" s="0">
        <f>LEFT(D93,FIND("|",D93,1)-1)</f>
        <v/>
      </c>
      <c r="H93" s="0">
        <f>MID(D93,FIND("|",D93,FIND("|",D93,1))+1,FIND("|",D93,FIND("|",D93,1)+1)-FIND("|",D93,FIND("|",D93,1))-1)</f>
        <v/>
      </c>
      <c r="J93" s="0">
        <f>MID(D93,FIND(";",SUBSTITUTE(D93,"|",REPT(";",LEN(D93)),2))+1,FIND(";",SUBSTITUTE(D93,"|",REPT(";",LEN(D93)),3))-FIND(";",SUBSTITUTE(D93,"|",REPT(";",LEN(D93)),2))-1)</f>
        <v/>
      </c>
      <c r="K93" s="0">
        <f>MID(D93,FIND(";",SUBSTITUTE(D93,"|",REPT(";",LEN(D93)),3))+1,FIND(";",SUBSTITUTE(D93,"|",REPT(";",LEN(D93)),4))-FIND(";",SUBSTITUTE(D93,"|",REPT(";",LEN(D93)),3))-1)</f>
        <v/>
      </c>
      <c r="L93" s="0">
        <f>MID(D93,FIND(";",SUBSTITUTE(D93,"|",REPT(";",LEN(D93)),4))+1,FIND(";",SUBSTITUTE(D93,"|",REPT(";",LEN(D93)),5))-FIND(";",SUBSTITUTE(D93,"|",REPT(";",LEN(D93)),4))-1)</f>
        <v/>
      </c>
      <c r="N93" s="0">
        <f>MID(D93,FIND(";",SUBSTITUTE(D93,"|",REPT(";",LEN(D93)),5))+1,LEN(D93))</f>
        <v/>
      </c>
    </row>
    <row r="94" s="21">
      <c r="A94" s="8" t="inlineStr">
        <is>
          <t>100501</t>
        </is>
      </c>
      <c r="B94" s="8" t="inlineStr">
        <is>
          <t>钢丝</t>
        </is>
      </c>
      <c r="C94" s="8" t="inlineStr">
        <is>
          <t>600633000</t>
        </is>
      </c>
      <c r="D94" s="8" t="inlineStr">
        <is>
          <t>冷拉碳素弹簧钢丝|钢丝|70|Φ0.4|GB/T 4357-2009|冷拉</t>
        </is>
      </c>
      <c r="E94" s="8" t="inlineStr">
        <is>
          <t xml:space="preserve">物资名称 冷拉碳素弹簧钢丝;物资简称 钢丝;牌号 70;直径 Φ0.4;技术标准号 GB/T 4357-2009;抗拉强度 ;加工工艺 冷拉;表面状态 ;特殊要求 ;规格标准号 </t>
        </is>
      </c>
      <c r="F94" s="4" t="inlineStr">
        <is>
          <t>千克</t>
        </is>
      </c>
      <c r="G94" s="0">
        <f>LEFT(D94,FIND("|",D94,1)-1)</f>
        <v/>
      </c>
      <c r="H94" s="0">
        <f>MID(D94,FIND("|",D94,FIND("|",D94,1))+1,FIND("|",D94,FIND("|",D94,1)+1)-FIND("|",D94,FIND("|",D94,1))-1)</f>
        <v/>
      </c>
      <c r="J94" s="0">
        <f>MID(D94,FIND(";",SUBSTITUTE(D94,"|",REPT(";",LEN(D94)),2))+1,FIND(";",SUBSTITUTE(D94,"|",REPT(";",LEN(D94)),3))-FIND(";",SUBSTITUTE(D94,"|",REPT(";",LEN(D94)),2))-1)</f>
        <v/>
      </c>
      <c r="K94" s="0">
        <f>MID(D94,FIND(";",SUBSTITUTE(D94,"|",REPT(";",LEN(D94)),3))+1,FIND(";",SUBSTITUTE(D94,"|",REPT(";",LEN(D94)),4))-FIND(";",SUBSTITUTE(D94,"|",REPT(";",LEN(D94)),3))-1)</f>
        <v/>
      </c>
      <c r="L94" s="0">
        <f>MID(D94,FIND(";",SUBSTITUTE(D94,"|",REPT(";",LEN(D94)),4))+1,FIND(";",SUBSTITUTE(D94,"|",REPT(";",LEN(D94)),5))-FIND(";",SUBSTITUTE(D94,"|",REPT(";",LEN(D94)),4))-1)</f>
        <v/>
      </c>
      <c r="N94" s="0">
        <f>MID(D94,FIND(";",SUBSTITUTE(D94,"|",REPT(";",LEN(D94)),5))+1,LEN(D94))</f>
        <v/>
      </c>
    </row>
    <row r="95" s="21">
      <c r="A95" s="8" t="inlineStr">
        <is>
          <t>100501</t>
        </is>
      </c>
      <c r="B95" s="8" t="inlineStr">
        <is>
          <t>钢丝</t>
        </is>
      </c>
      <c r="C95" s="8" t="inlineStr">
        <is>
          <t>600632900</t>
        </is>
      </c>
      <c r="D95" s="8" t="inlineStr">
        <is>
          <t>冷拉碳素弹簧钢丝|钢丝|70|Φ0.5|GB/T 4357-2009|冷拉</t>
        </is>
      </c>
      <c r="E95" s="8" t="inlineStr">
        <is>
          <t xml:space="preserve">物资名称 冷拉碳素弹簧钢丝;物资简称 钢丝;牌号 70;直径 Φ0.5;技术标准号 GB/T 4357-2009;抗拉强度 ;加工工艺 冷拉;表面状态 ;特殊要求 ;规格标准号 </t>
        </is>
      </c>
      <c r="F95" s="4" t="inlineStr">
        <is>
          <t>千克</t>
        </is>
      </c>
      <c r="G95" s="0">
        <f>LEFT(D95,FIND("|",D95,1)-1)</f>
        <v/>
      </c>
      <c r="H95" s="0">
        <f>MID(D95,FIND("|",D95,FIND("|",D95,1))+1,FIND("|",D95,FIND("|",D95,1)+1)-FIND("|",D95,FIND("|",D95,1))-1)</f>
        <v/>
      </c>
      <c r="J95" s="0">
        <f>MID(D95,FIND(";",SUBSTITUTE(D95,"|",REPT(";",LEN(D95)),2))+1,FIND(";",SUBSTITUTE(D95,"|",REPT(";",LEN(D95)),3))-FIND(";",SUBSTITUTE(D95,"|",REPT(";",LEN(D95)),2))-1)</f>
        <v/>
      </c>
      <c r="K95" s="0">
        <f>MID(D95,FIND(";",SUBSTITUTE(D95,"|",REPT(";",LEN(D95)),3))+1,FIND(";",SUBSTITUTE(D95,"|",REPT(";",LEN(D95)),4))-FIND(";",SUBSTITUTE(D95,"|",REPT(";",LEN(D95)),3))-1)</f>
        <v/>
      </c>
      <c r="L95" s="0">
        <f>MID(D95,FIND(";",SUBSTITUTE(D95,"|",REPT(";",LEN(D95)),4))+1,FIND(";",SUBSTITUTE(D95,"|",REPT(";",LEN(D95)),5))-FIND(";",SUBSTITUTE(D95,"|",REPT(";",LEN(D95)),4))-1)</f>
        <v/>
      </c>
      <c r="N95" s="0">
        <f>MID(D95,FIND(";",SUBSTITUTE(D95,"|",REPT(";",LEN(D95)),5))+1,LEN(D95))</f>
        <v/>
      </c>
    </row>
    <row r="96" s="21">
      <c r="A96" s="8" t="inlineStr">
        <is>
          <t>100501</t>
        </is>
      </c>
      <c r="B96" s="8" t="inlineStr">
        <is>
          <t>钢丝</t>
        </is>
      </c>
      <c r="C96" s="8" t="inlineStr">
        <is>
          <t>600632800</t>
        </is>
      </c>
      <c r="D96" s="8" t="inlineStr">
        <is>
          <t>冷拉碳素弹簧钢丝|钢丝|70|Φ0.6|GB/T 4357-2009|冷拉</t>
        </is>
      </c>
      <c r="E96" s="8" t="inlineStr">
        <is>
          <t xml:space="preserve">物资名称 冷拉碳素弹簧钢丝;物资简称 钢丝;牌号 70;直径 Φ0.6;技术标准号 GB/T 4357-2009;抗拉强度 ;加工工艺 冷拉;表面状态 ;特殊要求 ;规格标准号 </t>
        </is>
      </c>
      <c r="F96" s="4" t="inlineStr">
        <is>
          <t>千克</t>
        </is>
      </c>
      <c r="G96" s="0">
        <f>LEFT(D96,FIND("|",D96,1)-1)</f>
        <v/>
      </c>
      <c r="H96" s="0">
        <f>MID(D96,FIND("|",D96,FIND("|",D96,1))+1,FIND("|",D96,FIND("|",D96,1)+1)-FIND("|",D96,FIND("|",D96,1))-1)</f>
        <v/>
      </c>
      <c r="J96" s="0">
        <f>MID(D96,FIND(";",SUBSTITUTE(D96,"|",REPT(";",LEN(D96)),2))+1,FIND(";",SUBSTITUTE(D96,"|",REPT(";",LEN(D96)),3))-FIND(";",SUBSTITUTE(D96,"|",REPT(";",LEN(D96)),2))-1)</f>
        <v/>
      </c>
      <c r="K96" s="0">
        <f>MID(D96,FIND(";",SUBSTITUTE(D96,"|",REPT(";",LEN(D96)),3))+1,FIND(";",SUBSTITUTE(D96,"|",REPT(";",LEN(D96)),4))-FIND(";",SUBSTITUTE(D96,"|",REPT(";",LEN(D96)),3))-1)</f>
        <v/>
      </c>
      <c r="L96" s="0">
        <f>MID(D96,FIND(";",SUBSTITUTE(D96,"|",REPT(";",LEN(D96)),4))+1,FIND(";",SUBSTITUTE(D96,"|",REPT(";",LEN(D96)),5))-FIND(";",SUBSTITUTE(D96,"|",REPT(";",LEN(D96)),4))-1)</f>
        <v/>
      </c>
      <c r="N96" s="0">
        <f>MID(D96,FIND(";",SUBSTITUTE(D96,"|",REPT(";",LEN(D96)),5))+1,LEN(D96))</f>
        <v/>
      </c>
    </row>
    <row r="97" s="21">
      <c r="A97" s="8" t="inlineStr">
        <is>
          <t>100501</t>
        </is>
      </c>
      <c r="B97" s="8" t="inlineStr">
        <is>
          <t>钢丝</t>
        </is>
      </c>
      <c r="C97" s="8" t="inlineStr">
        <is>
          <t>600632700</t>
        </is>
      </c>
      <c r="D97" s="8" t="inlineStr">
        <is>
          <t>冷拉碳素弹簧钢丝|钢丝|70|Φ0.7|GB/T 4357-2009|冷拉</t>
        </is>
      </c>
      <c r="E97" s="8" t="inlineStr">
        <is>
          <t xml:space="preserve">物资名称 冷拉碳素弹簧钢丝;物资简称 钢丝;牌号 70;直径 Φ0.7;技术标准号 GB/T 4357-2009;抗拉强度 ;加工工艺 冷拉;表面状态 ;特殊要求 ;规格标准号 </t>
        </is>
      </c>
      <c r="F97" s="4" t="inlineStr">
        <is>
          <t>千克</t>
        </is>
      </c>
      <c r="G97" s="0">
        <f>LEFT(D97,FIND("|",D97,1)-1)</f>
        <v/>
      </c>
      <c r="H97" s="0">
        <f>MID(D97,FIND("|",D97,FIND("|",D97,1))+1,FIND("|",D97,FIND("|",D97,1)+1)-FIND("|",D97,FIND("|",D97,1))-1)</f>
        <v/>
      </c>
      <c r="J97" s="0">
        <f>MID(D97,FIND(";",SUBSTITUTE(D97,"|",REPT(";",LEN(D97)),2))+1,FIND(";",SUBSTITUTE(D97,"|",REPT(";",LEN(D97)),3))-FIND(";",SUBSTITUTE(D97,"|",REPT(";",LEN(D97)),2))-1)</f>
        <v/>
      </c>
      <c r="K97" s="0">
        <f>MID(D97,FIND(";",SUBSTITUTE(D97,"|",REPT(";",LEN(D97)),3))+1,FIND(";",SUBSTITUTE(D97,"|",REPT(";",LEN(D97)),4))-FIND(";",SUBSTITUTE(D97,"|",REPT(";",LEN(D97)),3))-1)</f>
        <v/>
      </c>
      <c r="L97" s="0">
        <f>MID(D97,FIND(";",SUBSTITUTE(D97,"|",REPT(";",LEN(D97)),4))+1,FIND(";",SUBSTITUTE(D97,"|",REPT(";",LEN(D97)),5))-FIND(";",SUBSTITUTE(D97,"|",REPT(";",LEN(D97)),4))-1)</f>
        <v/>
      </c>
      <c r="N97" s="0">
        <f>MID(D97,FIND(";",SUBSTITUTE(D97,"|",REPT(";",LEN(D97)),5))+1,LEN(D97))</f>
        <v/>
      </c>
    </row>
    <row r="98" s="21">
      <c r="A98" s="8" t="inlineStr">
        <is>
          <t>100501</t>
        </is>
      </c>
      <c r="B98" s="8" t="inlineStr">
        <is>
          <t>钢丝</t>
        </is>
      </c>
      <c r="C98" s="8" t="inlineStr">
        <is>
          <t>600632600</t>
        </is>
      </c>
      <c r="D98" s="8" t="inlineStr">
        <is>
          <t>冷拉碳素弹簧钢丝|钢丝|70|Φ0.8|GB/T 4357-2009|冷拉</t>
        </is>
      </c>
      <c r="E98" s="8" t="inlineStr">
        <is>
          <t xml:space="preserve">物资名称 冷拉碳素弹簧钢丝;物资简称 钢丝;牌号 70;直径 Φ0.8;技术标准号 GB/T 4357-2009;抗拉强度 ;加工工艺 冷拉;表面状态 ;特殊要求 ;规格标准号 </t>
        </is>
      </c>
      <c r="F98" s="4" t="inlineStr">
        <is>
          <t>千克</t>
        </is>
      </c>
      <c r="G98" s="0">
        <f>LEFT(D98,FIND("|",D98,1)-1)</f>
        <v/>
      </c>
      <c r="H98" s="0">
        <f>MID(D98,FIND("|",D98,FIND("|",D98,1))+1,FIND("|",D98,FIND("|",D98,1)+1)-FIND("|",D98,FIND("|",D98,1))-1)</f>
        <v/>
      </c>
      <c r="J98" s="0">
        <f>MID(D98,FIND(";",SUBSTITUTE(D98,"|",REPT(";",LEN(D98)),2))+1,FIND(";",SUBSTITUTE(D98,"|",REPT(";",LEN(D98)),3))-FIND(";",SUBSTITUTE(D98,"|",REPT(";",LEN(D98)),2))-1)</f>
        <v/>
      </c>
      <c r="K98" s="0">
        <f>MID(D98,FIND(";",SUBSTITUTE(D98,"|",REPT(";",LEN(D98)),3))+1,FIND(";",SUBSTITUTE(D98,"|",REPT(";",LEN(D98)),4))-FIND(";",SUBSTITUTE(D98,"|",REPT(";",LEN(D98)),3))-1)</f>
        <v/>
      </c>
      <c r="L98" s="0">
        <f>MID(D98,FIND(";",SUBSTITUTE(D98,"|",REPT(";",LEN(D98)),4))+1,FIND(";",SUBSTITUTE(D98,"|",REPT(";",LEN(D98)),5))-FIND(";",SUBSTITUTE(D98,"|",REPT(";",LEN(D98)),4))-1)</f>
        <v/>
      </c>
      <c r="N98" s="0">
        <f>MID(D98,FIND(";",SUBSTITUTE(D98,"|",REPT(";",LEN(D98)),5))+1,LEN(D98))</f>
        <v/>
      </c>
    </row>
    <row r="99" s="21">
      <c r="A99" s="8" t="inlineStr">
        <is>
          <t>100501</t>
        </is>
      </c>
      <c r="B99" s="8" t="inlineStr">
        <is>
          <t>钢丝</t>
        </is>
      </c>
      <c r="C99" s="8" t="inlineStr">
        <is>
          <t>600632500</t>
        </is>
      </c>
      <c r="D99" s="8" t="inlineStr">
        <is>
          <t>冷拉碳素弹簧钢丝|钢丝|70|Φ0.9|GB/T 4357-2009|冷拉</t>
        </is>
      </c>
      <c r="E99" s="8" t="inlineStr">
        <is>
          <t xml:space="preserve">物资名称 冷拉碳素弹簧钢丝;物资简称 钢丝;牌号 70;直径 Φ0.9;技术标准号 GB/T 4357-2009;抗拉强度 ;加工工艺 冷拉;表面状态 ;特殊要求 ;规格标准号 </t>
        </is>
      </c>
      <c r="F99" s="4" t="inlineStr">
        <is>
          <t>千克</t>
        </is>
      </c>
      <c r="G99" s="0">
        <f>LEFT(D99,FIND("|",D99,1)-1)</f>
        <v/>
      </c>
      <c r="H99" s="0">
        <f>MID(D99,FIND("|",D99,FIND("|",D99,1))+1,FIND("|",D99,FIND("|",D99,1)+1)-FIND("|",D99,FIND("|",D99,1))-1)</f>
        <v/>
      </c>
      <c r="J99" s="0">
        <f>MID(D99,FIND(";",SUBSTITUTE(D99,"|",REPT(";",LEN(D99)),2))+1,FIND(";",SUBSTITUTE(D99,"|",REPT(";",LEN(D99)),3))-FIND(";",SUBSTITUTE(D99,"|",REPT(";",LEN(D99)),2))-1)</f>
        <v/>
      </c>
      <c r="K99" s="0">
        <f>MID(D99,FIND(";",SUBSTITUTE(D99,"|",REPT(";",LEN(D99)),3))+1,FIND(";",SUBSTITUTE(D99,"|",REPT(";",LEN(D99)),4))-FIND(";",SUBSTITUTE(D99,"|",REPT(";",LEN(D99)),3))-1)</f>
        <v/>
      </c>
      <c r="L99" s="0">
        <f>MID(D99,FIND(";",SUBSTITUTE(D99,"|",REPT(";",LEN(D99)),4))+1,FIND(";",SUBSTITUTE(D99,"|",REPT(";",LEN(D99)),5))-FIND(";",SUBSTITUTE(D99,"|",REPT(";",LEN(D99)),4))-1)</f>
        <v/>
      </c>
      <c r="N99" s="0">
        <f>MID(D99,FIND(";",SUBSTITUTE(D99,"|",REPT(";",LEN(D99)),5))+1,LEN(D99))</f>
        <v/>
      </c>
    </row>
    <row r="100" s="21">
      <c r="A100" s="8" t="inlineStr">
        <is>
          <t>100501</t>
        </is>
      </c>
      <c r="B100" s="8" t="inlineStr">
        <is>
          <t>钢丝</t>
        </is>
      </c>
      <c r="C100" s="8" t="inlineStr">
        <is>
          <t>600632400</t>
        </is>
      </c>
      <c r="D100" s="8" t="inlineStr">
        <is>
          <t>阀门用铬钒弹簧钢丝|钢丝|45|YB/T 5136-1993|冷拉</t>
        </is>
      </c>
      <c r="E100" s="8" t="inlineStr">
        <is>
          <t xml:space="preserve">物资名称 阀门用铬钒弹簧钢丝;物资简称 钢丝;牌号 45;直径 Φ;技术标准号 YB/T 5136-1993;抗拉强度 ;加工工艺 冷拉;表面状态 ;特殊要求 ;规格标准号 </t>
        </is>
      </c>
      <c r="F100" s="4" t="inlineStr">
        <is>
          <t>千克</t>
        </is>
      </c>
      <c r="G100" s="0">
        <f>LEFT(D100,FIND("|",D100,1)-1)</f>
        <v/>
      </c>
      <c r="H100" s="0">
        <f>MID(D100,FIND("|",D100,FIND("|",D100,1))+1,FIND("|",D100,FIND("|",D100,1)+1)-FIND("|",D100,FIND("|",D100,1))-1)</f>
        <v/>
      </c>
      <c r="J100" s="0">
        <f>MID(D100,FIND(";",SUBSTITUTE(D100,"|",REPT(";",LEN(D100)),2))+1,FIND(";",SUBSTITUTE(D100,"|",REPT(";",LEN(D100)),3))-FIND(";",SUBSTITUTE(D100,"|",REPT(";",LEN(D100)),2))-1)</f>
        <v/>
      </c>
      <c r="L100" s="0">
        <f>MID(D100,FIND(";",SUBSTITUTE(D100,"|",REPT(";",LEN(D100)),3))+1,FIND(";",SUBSTITUTE(D100,"|",REPT(";",LEN(D100)),4))-FIND(";",SUBSTITUTE(D100,"|",REPT(";",LEN(D100)),3))-1)</f>
        <v/>
      </c>
      <c r="N100" s="0">
        <f>MID(D100,FIND(";",SUBSTITUTE(D100,"|",REPT(";",LEN(D100)),4))+1,LEN(D100))</f>
        <v/>
      </c>
    </row>
    <row r="101" s="21">
      <c r="A101" s="8" t="inlineStr">
        <is>
          <t>100501</t>
        </is>
      </c>
      <c r="B101" s="8" t="inlineStr">
        <is>
          <t>钢丝</t>
        </is>
      </c>
      <c r="C101" s="8" t="inlineStr">
        <is>
          <t>600632300</t>
        </is>
      </c>
      <c r="D101" s="8" t="inlineStr">
        <is>
          <t>优质碳素结构钢丝|钢丝|45|YB/T 5303-2006|冷拉</t>
        </is>
      </c>
      <c r="E101" s="8" t="inlineStr">
        <is>
          <t xml:space="preserve">物资名称 优质碳素结构钢丝;物资简称 钢丝;牌号 45;直径 Φ;技术标准号 YB/T 5303-2006;抗拉强度 ;加工工艺 冷拉;表面状态 ;特殊要求 ;规格标准号 </t>
        </is>
      </c>
      <c r="F101" s="4" t="inlineStr">
        <is>
          <t>千克</t>
        </is>
      </c>
      <c r="G101" s="0">
        <f>LEFT(D101,FIND("|",D101,1)-1)</f>
        <v/>
      </c>
      <c r="H101" s="0">
        <f>MID(D101,FIND("|",D101,FIND("|",D101,1))+1,FIND("|",D101,FIND("|",D101,1)+1)-FIND("|",D101,FIND("|",D101,1))-1)</f>
        <v/>
      </c>
      <c r="J101" s="0">
        <f>MID(D101,FIND(";",SUBSTITUTE(D101,"|",REPT(";",LEN(D101)),2))+1,FIND(";",SUBSTITUTE(D101,"|",REPT(";",LEN(D101)),3))-FIND(";",SUBSTITUTE(D101,"|",REPT(";",LEN(D101)),2))-1)</f>
        <v/>
      </c>
      <c r="L101" s="0">
        <f>MID(D101,FIND(";",SUBSTITUTE(D101,"|",REPT(";",LEN(D101)),3))+1,FIND(";",SUBSTITUTE(D101,"|",REPT(";",LEN(D101)),4))-FIND(";",SUBSTITUTE(D101,"|",REPT(";",LEN(D101)),3))-1)</f>
        <v/>
      </c>
      <c r="N101" s="0">
        <f>MID(D101,FIND(";",SUBSTITUTE(D101,"|",REPT(";",LEN(D101)),4))+1,LEN(D101))</f>
        <v/>
      </c>
    </row>
    <row r="102" s="21">
      <c r="A102" s="8" t="inlineStr">
        <is>
          <t>100501</t>
        </is>
      </c>
      <c r="B102" s="8" t="inlineStr">
        <is>
          <t>钢丝</t>
        </is>
      </c>
      <c r="C102" s="8" t="inlineStr">
        <is>
          <t>600632200</t>
        </is>
      </c>
      <c r="D102" s="8" t="inlineStr">
        <is>
          <t>磨光优质碳素结构钢丝|钢丝|45|Φ3|YB/T 5303-2006|磨光</t>
        </is>
      </c>
      <c r="E102" s="8" t="inlineStr">
        <is>
          <t xml:space="preserve">物资名称 磨光优质碳素结构钢丝;物资简称 钢丝;牌号 45;直径 Φ3;技术标准号 YB/T 5303-2006;抗拉强度 ;加工工艺 磨光;表面状态 ;特殊要求 ;规格标准号 </t>
        </is>
      </c>
      <c r="F102" s="4" t="inlineStr">
        <is>
          <t>千克</t>
        </is>
      </c>
      <c r="G102" s="0">
        <f>LEFT(D102,FIND("|",D102,1)-1)</f>
        <v/>
      </c>
      <c r="H102" s="0">
        <f>MID(D102,FIND("|",D102,FIND("|",D102,1))+1,FIND("|",D102,FIND("|",D102,1)+1)-FIND("|",D102,FIND("|",D102,1))-1)</f>
        <v/>
      </c>
      <c r="J102" s="0">
        <f>MID(D102,FIND(";",SUBSTITUTE(D102,"|",REPT(";",LEN(D102)),2))+1,FIND(";",SUBSTITUTE(D102,"|",REPT(";",LEN(D102)),3))-FIND(";",SUBSTITUTE(D102,"|",REPT(";",LEN(D102)),2))-1)</f>
        <v/>
      </c>
      <c r="K102" s="0">
        <f>MID(D102,FIND(";",SUBSTITUTE(D102,"|",REPT(";",LEN(D102)),3))+1,FIND(";",SUBSTITUTE(D102,"|",REPT(";",LEN(D102)),4))-FIND(";",SUBSTITUTE(D102,"|",REPT(";",LEN(D102)),3))-1)</f>
        <v/>
      </c>
      <c r="L102" s="0">
        <f>MID(D102,FIND(";",SUBSTITUTE(D102,"|",REPT(";",LEN(D102)),4))+1,FIND(";",SUBSTITUTE(D102,"|",REPT(";",LEN(D102)),5))-FIND(";",SUBSTITUTE(D102,"|",REPT(";",LEN(D102)),4))-1)</f>
        <v/>
      </c>
      <c r="N102" s="0">
        <f>MID(D102,FIND(";",SUBSTITUTE(D102,"|",REPT(";",LEN(D102)),5))+1,LEN(D102))</f>
        <v/>
      </c>
    </row>
    <row r="103" s="21">
      <c r="A103" s="8" t="inlineStr">
        <is>
          <t>100599</t>
        </is>
      </c>
      <c r="B103" s="8" t="inlineStr">
        <is>
          <t>其他钢制品</t>
        </is>
      </c>
      <c r="C103" s="8" t="inlineStr">
        <is>
          <t>603545000</t>
        </is>
      </c>
      <c r="D103" s="8" t="inlineStr">
        <is>
          <t>低合金超高强度钢|钢|GB/T 38809-2020|40CrNi2Si2MoVA</t>
        </is>
      </c>
      <c r="E103" s="8" t="inlineStr">
        <is>
          <t>物资名称 低合金超高强度钢;物资简称 钢;技术标准号 GB/T 38809-2020;牌号 40CrNi2Si2MoVA;规格 ;特殊要求 ;规格标准号</t>
        </is>
      </c>
      <c r="F103" s="4" t="inlineStr">
        <is>
          <t>千克</t>
        </is>
      </c>
      <c r="G103" s="0">
        <f>LEFT(D103,FIND("|",D103,1)-1)</f>
        <v/>
      </c>
      <c r="H103" s="0">
        <f>MID(D103,FIND("|",D103,FIND("|",D103,1))+1,FIND("|",D103,FIND("|",D103,1)+1)-FIND("|",D103,FIND("|",D103,1))-1)</f>
        <v/>
      </c>
      <c r="J103" s="0">
        <f>MID(D103,FIND(";",SUBSTITUTE(D103,"|",REPT(";",LEN(D103)),3))+1,LEN(D103))</f>
        <v/>
      </c>
      <c r="L103" s="0">
        <f>MID(D103,FIND(";",SUBSTITUTE(D103,"|",REPT(";",LEN(D103)),2))+1,FIND(";",SUBSTITUTE(D103,"|",REPT(";",LEN(D103)),3))-FIND(";",SUBSTITUTE(D103,"|",REPT(";",LEN(D103)),2))-1)</f>
        <v/>
      </c>
    </row>
    <row r="104" s="21">
      <c r="A104" s="8" t="inlineStr">
        <is>
          <t>100599</t>
        </is>
      </c>
      <c r="B104" s="8" t="inlineStr">
        <is>
          <t>其他钢制品</t>
        </is>
      </c>
      <c r="C104" s="8" t="inlineStr">
        <is>
          <t>603539800</t>
        </is>
      </c>
      <c r="D104" s="8" t="inlineStr">
        <is>
          <t>合金结构钢|钢|GB/T 3077-2015|30CrMnSi</t>
        </is>
      </c>
      <c r="E104" s="8" t="inlineStr">
        <is>
          <t>物资名称 合金结构钢;物资简称 钢;技术标准号 GB/T 3077-2015;牌号 30CrMnSi;规格 ;特殊要求 ;规格标准号</t>
        </is>
      </c>
      <c r="F104" s="4" t="inlineStr">
        <is>
          <t>千克</t>
        </is>
      </c>
      <c r="G104" s="0">
        <f>LEFT(D104,FIND("|",D104,1)-1)</f>
        <v/>
      </c>
      <c r="H104" s="0">
        <f>MID(D104,FIND("|",D104,FIND("|",D104,1))+1,FIND("|",D104,FIND("|",D104,1)+1)-FIND("|",D104,FIND("|",D104,1))-1)</f>
        <v/>
      </c>
      <c r="J104" s="0">
        <f>MID(D104,FIND(";",SUBSTITUTE(D104,"|",REPT(";",LEN(D104)),3))+1,LEN(D104))</f>
        <v/>
      </c>
      <c r="L104" s="0">
        <f>MID(D104,FIND(";",SUBSTITUTE(D104,"|",REPT(";",LEN(D104)),2))+1,FIND(";",SUBSTITUTE(D104,"|",REPT(";",LEN(D104)),3))-FIND(";",SUBSTITUTE(D104,"|",REPT(";",LEN(D104)),2))-1)</f>
        <v/>
      </c>
    </row>
    <row r="105" s="21">
      <c r="A105" s="8" t="inlineStr">
        <is>
          <t>100599</t>
        </is>
      </c>
      <c r="B105" s="8" t="inlineStr">
        <is>
          <t>其他钢制品</t>
        </is>
      </c>
      <c r="C105" s="8" t="inlineStr">
        <is>
          <t>603152400</t>
        </is>
      </c>
      <c r="D105" s="8" t="inlineStr">
        <is>
          <t>合金结构钢|钢|GB/T 3077-2015|35CrMnSiA</t>
        </is>
      </c>
      <c r="E105" s="8" t="inlineStr">
        <is>
          <t>物资名称 合金结构钢;物资简称 钢;技术标准号 GB/T 3077-2015;牌号 35CrMnSiA;规格 ;特殊要求 ;规格标准号</t>
        </is>
      </c>
      <c r="F105" s="4" t="inlineStr">
        <is>
          <t>千克</t>
        </is>
      </c>
      <c r="G105" s="0">
        <f>LEFT(D105,FIND("|",D105,1)-1)</f>
        <v/>
      </c>
      <c r="H105" s="0">
        <f>MID(D105,FIND("|",D105,FIND("|",D105,1))+1,FIND("|",D105,FIND("|",D105,1)+1)-FIND("|",D105,FIND("|",D105,1))-1)</f>
        <v/>
      </c>
      <c r="J105" s="0">
        <f>MID(D105,FIND(";",SUBSTITUTE(D105,"|",REPT(";",LEN(D105)),3))+1,LEN(D105))</f>
        <v/>
      </c>
      <c r="L105" s="0">
        <f>MID(D105,FIND(";",SUBSTITUTE(D105,"|",REPT(";",LEN(D105)),2))+1,FIND(";",SUBSTITUTE(D105,"|",REPT(";",LEN(D105)),3))-FIND(";",SUBSTITUTE(D105,"|",REPT(";",LEN(D105)),2))-1)</f>
        <v/>
      </c>
    </row>
    <row r="106" s="21">
      <c r="A106" s="8" t="inlineStr">
        <is>
          <t>100599</t>
        </is>
      </c>
      <c r="B106" s="8" t="inlineStr">
        <is>
          <t>其他钢制品</t>
        </is>
      </c>
      <c r="C106" s="8" t="inlineStr">
        <is>
          <t>603145000</t>
        </is>
      </c>
      <c r="D106" s="8" t="inlineStr">
        <is>
          <t>优质碳素结构钢|钢|GB/T 699-2015|65Mn</t>
        </is>
      </c>
      <c r="E106" s="8" t="inlineStr">
        <is>
          <t>物资名称 优质碳素结构钢;物资简称 钢;技术标准号 GB/T 699-2015;牌号 65Mn;规格 ;特殊要求 ;规格标准号</t>
        </is>
      </c>
      <c r="F106" s="4" t="inlineStr">
        <is>
          <t>千克</t>
        </is>
      </c>
      <c r="G106" s="0">
        <f>LEFT(D106,FIND("|",D106,1)-1)</f>
        <v/>
      </c>
      <c r="H106" s="0">
        <f>MID(D106,FIND("|",D106,FIND("|",D106,1))+1,FIND("|",D106,FIND("|",D106,1)+1)-FIND("|",D106,FIND("|",D106,1))-1)</f>
        <v/>
      </c>
      <c r="J106" s="0">
        <f>MID(D106,FIND(";",SUBSTITUTE(D106,"|",REPT(";",LEN(D106)),3))+1,LEN(D106))</f>
        <v/>
      </c>
      <c r="L106" s="0">
        <f>MID(D106,FIND(";",SUBSTITUTE(D106,"|",REPT(";",LEN(D106)),2))+1,FIND(";",SUBSTITUTE(D106,"|",REPT(";",LEN(D106)),3))-FIND(";",SUBSTITUTE(D106,"|",REPT(";",LEN(D106)),2))-1)</f>
        <v/>
      </c>
    </row>
    <row r="107" s="21">
      <c r="A107" s="8" t="inlineStr">
        <is>
          <t>100599</t>
        </is>
      </c>
      <c r="B107" s="8" t="inlineStr">
        <is>
          <t>其他钢制品</t>
        </is>
      </c>
      <c r="C107" s="8" t="inlineStr">
        <is>
          <t>602324500</t>
        </is>
      </c>
      <c r="D107" s="8" t="inlineStr">
        <is>
          <t>优质碳素结构钢|钢|GB/T 699-2015|45</t>
        </is>
      </c>
      <c r="E107" s="8" t="inlineStr">
        <is>
          <t xml:space="preserve">物资名称 优质碳素结构钢;物资简称 钢;技术标准号 GB/T 699-2015;牌号 45;规格 ;特殊要求 ;规格标准号 </t>
        </is>
      </c>
      <c r="F107" s="4" t="inlineStr">
        <is>
          <t>千克</t>
        </is>
      </c>
      <c r="G107" s="0">
        <f>LEFT(D107,FIND("|",D107,1)-1)</f>
        <v/>
      </c>
      <c r="H107" s="0">
        <f>MID(D107,FIND("|",D107,FIND("|",D107,1))+1,FIND("|",D107,FIND("|",D107,1)+1)-FIND("|",D107,FIND("|",D107,1))-1)</f>
        <v/>
      </c>
      <c r="J107" s="0">
        <f>MID(D107,FIND(";",SUBSTITUTE(D107,"|",REPT(";",LEN(D107)),3))+1,LEN(D107))</f>
        <v/>
      </c>
      <c r="L107" s="0">
        <f>MID(D107,FIND(";",SUBSTITUTE(D107,"|",REPT(";",LEN(D107)),2))+1,FIND(";",SUBSTITUTE(D107,"|",REPT(";",LEN(D107)),3))-FIND(";",SUBSTITUTE(D107,"|",REPT(";",LEN(D107)),2))-1)</f>
        <v/>
      </c>
    </row>
    <row r="108" s="21">
      <c r="A108" s="8" t="inlineStr">
        <is>
          <t>100599</t>
        </is>
      </c>
      <c r="B108" s="8" t="inlineStr">
        <is>
          <t>其他钢制品</t>
        </is>
      </c>
      <c r="C108" s="8" t="inlineStr">
        <is>
          <t>602324400</t>
        </is>
      </c>
      <c r="D108" s="8" t="inlineStr">
        <is>
          <t>合金结构钢|钢|GB/T 3077-2015|30CrMnSiA</t>
        </is>
      </c>
      <c r="E108" s="8" t="inlineStr">
        <is>
          <t xml:space="preserve">物资名称 合金结构钢;物资简称 钢;技术标准号 GB/T 3077-2015;牌号 30CrMnSiA;规格 ;特殊要求 ;规格标准号 </t>
        </is>
      </c>
      <c r="F108" s="4" t="inlineStr">
        <is>
          <t>千克</t>
        </is>
      </c>
      <c r="G108" s="0">
        <f>LEFT(D108,FIND("|",D108,1)-1)</f>
        <v/>
      </c>
      <c r="H108" s="0">
        <f>MID(D108,FIND("|",D108,FIND("|",D108,1))+1,FIND("|",D108,FIND("|",D108,1)+1)-FIND("|",D108,FIND("|",D108,1))-1)</f>
        <v/>
      </c>
      <c r="J108" s="0">
        <f>MID(D108,FIND(";",SUBSTITUTE(D108,"|",REPT(";",LEN(D108)),3))+1,LEN(D108))</f>
        <v/>
      </c>
      <c r="L108" s="0">
        <f>MID(D108,FIND(";",SUBSTITUTE(D108,"|",REPT(";",LEN(D108)),2))+1,FIND(";",SUBSTITUTE(D108,"|",REPT(";",LEN(D108)),3))-FIND(";",SUBSTITUTE(D108,"|",REPT(";",LEN(D108)),2))-1)</f>
        <v/>
      </c>
    </row>
    <row r="109" s="21">
      <c r="A109" s="8" t="inlineStr">
        <is>
          <t>100599</t>
        </is>
      </c>
      <c r="B109" s="8" t="inlineStr">
        <is>
          <t>其他钢制品</t>
        </is>
      </c>
      <c r="C109" s="8" t="inlineStr">
        <is>
          <t>602324300</t>
        </is>
      </c>
      <c r="D109" s="8" t="inlineStr">
        <is>
          <t>合金结构钢|钢|GB/T 3077-2015|40Cr</t>
        </is>
      </c>
      <c r="E109" s="8" t="inlineStr">
        <is>
          <t xml:space="preserve">物资名称 合金结构钢;物资简称 钢;技术标准号 GB/T 3077-2015;牌号 40Cr;规格 ;特殊要求 ;规格标准号 </t>
        </is>
      </c>
      <c r="F109" s="4" t="inlineStr">
        <is>
          <t>千克</t>
        </is>
      </c>
      <c r="G109" s="0">
        <f>LEFT(D109,FIND("|",D109,1)-1)</f>
        <v/>
      </c>
      <c r="H109" s="0">
        <f>MID(D109,FIND("|",D109,FIND("|",D109,1))+1,FIND("|",D109,FIND("|",D109,1)+1)-FIND("|",D109,FIND("|",D109,1))-1)</f>
        <v/>
      </c>
      <c r="J109" s="0">
        <f>MID(D109,FIND(";",SUBSTITUTE(D109,"|",REPT(";",LEN(D109)),3))+1,LEN(D109))</f>
        <v/>
      </c>
      <c r="L109" s="0">
        <f>MID(D109,FIND(";",SUBSTITUTE(D109,"|",REPT(";",LEN(D109)),2))+1,FIND(";",SUBSTITUTE(D109,"|",REPT(";",LEN(D109)),3))-FIND(";",SUBSTITUTE(D109,"|",REPT(";",LEN(D109)),2))-1)</f>
        <v/>
      </c>
    </row>
    <row r="110" s="21">
      <c r="A110" s="8" t="inlineStr">
        <is>
          <t>100599</t>
        </is>
      </c>
      <c r="B110" s="8" t="inlineStr">
        <is>
          <t>其他钢制品</t>
        </is>
      </c>
      <c r="C110" s="8" t="inlineStr">
        <is>
          <t>602324200</t>
        </is>
      </c>
      <c r="D110" s="8" t="inlineStr">
        <is>
          <t>合金结构钢|钢|GB/T 3077-2015|45CrNiMoVA</t>
        </is>
      </c>
      <c r="E110" s="8" t="inlineStr">
        <is>
          <t xml:space="preserve">物资名称 合金结构钢;物资简称 钢;技术标准号 GB/T 3077-2015;牌号 45CrNiMoVA;规格 ;特殊要求 ;规格标准号 </t>
        </is>
      </c>
      <c r="F110" s="4" t="inlineStr">
        <is>
          <t>千克</t>
        </is>
      </c>
      <c r="G110" s="0">
        <f>LEFT(D110,FIND("|",D110,1)-1)</f>
        <v/>
      </c>
      <c r="H110" s="0">
        <f>MID(D110,FIND("|",D110,FIND("|",D110,1))+1,FIND("|",D110,FIND("|",D110,1)+1)-FIND("|",D110,FIND("|",D110,1))-1)</f>
        <v/>
      </c>
      <c r="J110" s="0">
        <f>MID(D110,FIND(";",SUBSTITUTE(D110,"|",REPT(";",LEN(D110)),3))+1,LEN(D110))</f>
        <v/>
      </c>
      <c r="L110" s="0">
        <f>MID(D110,FIND(";",SUBSTITUTE(D110,"|",REPT(";",LEN(D110)),2))+1,FIND(";",SUBSTITUTE(D110,"|",REPT(";",LEN(D110)),3))-FIND(";",SUBSTITUTE(D110,"|",REPT(";",LEN(D110)),2))-1)</f>
        <v/>
      </c>
    </row>
    <row r="111" s="21">
      <c r="A111" s="8" t="inlineStr">
        <is>
          <t>100599</t>
        </is>
      </c>
      <c r="B111" s="8" t="inlineStr">
        <is>
          <t>其他钢制品</t>
        </is>
      </c>
      <c r="C111" s="8" t="inlineStr">
        <is>
          <t>601651800</t>
        </is>
      </c>
      <c r="D111" s="8" t="inlineStr">
        <is>
          <t>优质碳素结构钢|钢|GB/T 699-1999|65Mn</t>
        </is>
      </c>
      <c r="E111" s="8" t="inlineStr">
        <is>
          <t xml:space="preserve">物资名称 优质碳素结构钢;物资简称 钢;技术标准号 GB/T 699-1999;牌号 65Mn;规格 ;特殊要求 ;规格标准号 </t>
        </is>
      </c>
      <c r="F111" s="4" t="inlineStr">
        <is>
          <t>千克</t>
        </is>
      </c>
      <c r="G111" s="0">
        <f>LEFT(D111,FIND("|",D111,1)-1)</f>
        <v/>
      </c>
      <c r="H111" s="0">
        <f>MID(D111,FIND("|",D111,FIND("|",D111,1))+1,FIND("|",D111,FIND("|",D111,1)+1)-FIND("|",D111,FIND("|",D111,1))-1)</f>
        <v/>
      </c>
      <c r="J111" s="0">
        <f>MID(D111,FIND(";",SUBSTITUTE(D111,"|",REPT(";",LEN(D111)),3))+1,LEN(D111))</f>
        <v/>
      </c>
      <c r="L111" s="0">
        <f>MID(D111,FIND(";",SUBSTITUTE(D111,"|",REPT(";",LEN(D111)),2))+1,FIND(";",SUBSTITUTE(D111,"|",REPT(";",LEN(D111)),3))-FIND(";",SUBSTITUTE(D111,"|",REPT(";",LEN(D111)),2))-1)</f>
        <v/>
      </c>
    </row>
    <row r="112" s="21">
      <c r="A112" s="8" t="inlineStr">
        <is>
          <t>100599</t>
        </is>
      </c>
      <c r="B112" s="8" t="inlineStr">
        <is>
          <t>其他钢制品</t>
        </is>
      </c>
      <c r="C112" s="8" t="inlineStr">
        <is>
          <t>601544400</t>
        </is>
      </c>
      <c r="D112" s="8" t="inlineStr">
        <is>
          <t>热轧带肋钢筋|钢|GB/T 14992-2007|GH4169</t>
        </is>
      </c>
      <c r="E112" s="8" t="inlineStr">
        <is>
          <t xml:space="preserve">物资名称 热轧带肋钢筋;物资简称 钢;技术标准号 GB/T 14992-2007;牌号 GH4169;规格 ;特殊要求 ;规格标准号 </t>
        </is>
      </c>
      <c r="F112" s="4" t="inlineStr">
        <is>
          <t>千克</t>
        </is>
      </c>
      <c r="G112" s="0">
        <f>LEFT(D112,FIND("|",D112,1)-1)</f>
        <v/>
      </c>
      <c r="H112" s="0">
        <f>MID(D112,FIND("|",D112,FIND("|",D112,1))+1,FIND("|",D112,FIND("|",D112,1)+1)-FIND("|",D112,FIND("|",D112,1))-1)</f>
        <v/>
      </c>
      <c r="J112" s="0">
        <f>MID(D112,FIND(";",SUBSTITUTE(D112,"|",REPT(";",LEN(D112)),3))+1,LEN(D112))</f>
        <v/>
      </c>
      <c r="L112" s="0">
        <f>MID(D112,FIND(";",SUBSTITUTE(D112,"|",REPT(";",LEN(D112)),2))+1,FIND(";",SUBSTITUTE(D112,"|",REPT(";",LEN(D112)),3))-FIND(";",SUBSTITUTE(D112,"|",REPT(";",LEN(D112)),2))-1)</f>
        <v/>
      </c>
    </row>
    <row r="113" s="21">
      <c r="A113" s="8" t="inlineStr">
        <is>
          <t>100599</t>
        </is>
      </c>
      <c r="B113" s="8" t="inlineStr">
        <is>
          <t>其他钢制品</t>
        </is>
      </c>
      <c r="C113" s="8" t="inlineStr">
        <is>
          <t>601342200</t>
        </is>
      </c>
      <c r="D113" s="8" t="inlineStr">
        <is>
          <t>不锈钢丝网|不锈钢丝网|空|320×1</t>
        </is>
      </c>
      <c r="E113" s="8" t="inlineStr">
        <is>
          <t xml:space="preserve">物资名称 不锈钢丝网;物资简称 不锈钢丝网;技术标准号 空;牌号 320×1;规格 ;特殊要求 ;规格标准号 </t>
        </is>
      </c>
      <c r="F113" s="4" t="inlineStr">
        <is>
          <t>千克</t>
        </is>
      </c>
      <c r="G113" s="0">
        <f>LEFT(D113,FIND("|",D113,1)-1)</f>
        <v/>
      </c>
      <c r="H113" s="0">
        <f>MID(D113,FIND("|",D113,FIND("|",D113,1))+1,FIND("|",D113,FIND("|",D113,1)+1)-FIND("|",D113,FIND("|",D113,1))-1)</f>
        <v/>
      </c>
      <c r="J113" s="0">
        <f>MID(D113,FIND(";",SUBSTITUTE(D113,"|",REPT(";",LEN(D113)),3))+1,LEN(D113))</f>
        <v/>
      </c>
      <c r="L113" s="0">
        <f>MID(D113,FIND(";",SUBSTITUTE(D113,"|",REPT(";",LEN(D113)),2))+1,FIND(";",SUBSTITUTE(D113,"|",REPT(";",LEN(D113)),3))-FIND(";",SUBSTITUTE(D113,"|",REPT(";",LEN(D113)),2))-1)</f>
        <v/>
      </c>
    </row>
    <row r="114" s="21">
      <c r="A114" s="8" t="inlineStr">
        <is>
          <t>100599</t>
        </is>
      </c>
      <c r="B114" s="8" t="inlineStr">
        <is>
          <t>其他钢制品</t>
        </is>
      </c>
      <c r="C114" s="8" t="inlineStr">
        <is>
          <t>601342100</t>
        </is>
      </c>
      <c r="D114" s="8" t="inlineStr">
        <is>
          <t>GFW不锈钢丝网|不锈钢丝网|空|100目</t>
        </is>
      </c>
      <c r="E114" s="8" t="inlineStr">
        <is>
          <t xml:space="preserve">物资名称 GFW不锈钢丝网;物资简称 不锈钢丝网;技术标准号 空;牌号 100目;规格 ;特殊要求 ;规格标准号 </t>
        </is>
      </c>
      <c r="F114" s="4" t="inlineStr">
        <is>
          <t>千克</t>
        </is>
      </c>
      <c r="G114" s="0">
        <f>LEFT(D114,FIND("|",D114,1)-1)</f>
        <v/>
      </c>
      <c r="H114" s="0">
        <f>MID(D114,FIND("|",D114,FIND("|",D114,1))+1,FIND("|",D114,FIND("|",D114,1)+1)-FIND("|",D114,FIND("|",D114,1))-1)</f>
        <v/>
      </c>
      <c r="J114" s="0">
        <f>MID(D114,FIND(";",SUBSTITUTE(D114,"|",REPT(";",LEN(D114)),3))+1,LEN(D114))</f>
        <v/>
      </c>
      <c r="L114" s="0">
        <f>MID(D114,FIND(";",SUBSTITUTE(D114,"|",REPT(";",LEN(D114)),2))+1,FIND(";",SUBSTITUTE(D114,"|",REPT(";",LEN(D114)),3))-FIND(";",SUBSTITUTE(D114,"|",REPT(";",LEN(D114)),2))-1)</f>
        <v/>
      </c>
    </row>
    <row r="115" s="21">
      <c r="A115" s="8" t="inlineStr">
        <is>
          <t>100599</t>
        </is>
      </c>
      <c r="B115" s="8" t="inlineStr">
        <is>
          <t>其他钢制品</t>
        </is>
      </c>
      <c r="C115" s="8" t="inlineStr">
        <is>
          <t>601342000</t>
        </is>
      </c>
      <c r="D115" s="8" t="inlineStr">
        <is>
          <t>GFW不锈钢丝网|不锈钢丝网|空|δ0.4</t>
        </is>
      </c>
      <c r="E115" s="8" t="inlineStr">
        <is>
          <t xml:space="preserve">物资名称 GFW不锈钢丝网;物资简称 不锈钢丝网;技术标准号 空;牌号 ;规格 δ0.4;特殊要求 ;规格标准号 </t>
        </is>
      </c>
      <c r="F115" s="4" t="inlineStr">
        <is>
          <t>千克</t>
        </is>
      </c>
      <c r="G115" s="0">
        <f>LEFT(D115,FIND("|",D115,1)-1)</f>
        <v/>
      </c>
      <c r="H115" s="0">
        <f>MID(D115,FIND("|",D115,FIND("|",D115,1))+1,FIND("|",D115,FIND("|",D115,1)+1)-FIND("|",D115,FIND("|",D115,1))-1)</f>
        <v/>
      </c>
      <c r="J115" s="0">
        <f>MID(D115,FIND(";",SUBSTITUTE(D115,"|",REPT(";",LEN(D115)),3))+1,LEN(D115))</f>
        <v/>
      </c>
      <c r="L115" s="0">
        <f>MID(D115,FIND(";",SUBSTITUTE(D115,"|",REPT(";",LEN(D115)),2))+1,FIND(";",SUBSTITUTE(D115,"|",REPT(";",LEN(D115)),3))-FIND(";",SUBSTITUTE(D115,"|",REPT(";",LEN(D115)),2))-1)</f>
        <v/>
      </c>
    </row>
    <row r="116" s="21">
      <c r="A116" s="8" t="inlineStr">
        <is>
          <t>100599</t>
        </is>
      </c>
      <c r="B116" s="8" t="inlineStr">
        <is>
          <t>其他钢制品</t>
        </is>
      </c>
      <c r="C116" s="8" t="inlineStr">
        <is>
          <t>600909800</t>
        </is>
      </c>
      <c r="D116" s="8" t="inlineStr">
        <is>
          <t>GFW钢板|钢板|GB/T 3077-1999|40Cr</t>
        </is>
      </c>
      <c r="E116" s="8" t="inlineStr">
        <is>
          <t xml:space="preserve">物资名称 GFW钢板;物资简称 钢板;技术标准号 GB/T 3077-1999;牌号 40Cr;规格 ;特殊要求 ;规格标准号 </t>
        </is>
      </c>
      <c r="F116" s="4" t="inlineStr">
        <is>
          <t>千克</t>
        </is>
      </c>
      <c r="G116" s="0">
        <f>LEFT(D116,FIND("|",D116,1)-1)</f>
        <v/>
      </c>
      <c r="H116" s="0">
        <f>MID(D116,FIND("|",D116,FIND("|",D116,1))+1,FIND("|",D116,FIND("|",D116,1)+1)-FIND("|",D116,FIND("|",D116,1))-1)</f>
        <v/>
      </c>
      <c r="J116" s="0">
        <f>MID(D116,FIND(";",SUBSTITUTE(D116,"|",REPT(";",LEN(D116)),3))+1,LEN(D116))</f>
        <v/>
      </c>
      <c r="L116" s="0">
        <f>MID(D116,FIND(";",SUBSTITUTE(D116,"|",REPT(";",LEN(D116)),2))+1,FIND(";",SUBSTITUTE(D116,"|",REPT(";",LEN(D116)),3))-FIND(";",SUBSTITUTE(D116,"|",REPT(";",LEN(D116)),2))-1)</f>
        <v/>
      </c>
    </row>
    <row r="117" s="21">
      <c r="A117" s="8" t="inlineStr">
        <is>
          <t>100599</t>
        </is>
      </c>
      <c r="B117" s="8" t="inlineStr">
        <is>
          <t>其他钢制品</t>
        </is>
      </c>
      <c r="C117" s="8" t="inlineStr">
        <is>
          <t>600909700</t>
        </is>
      </c>
      <c r="D117" s="8" t="inlineStr">
        <is>
          <t>GFW钢板|钢板|GB/T 11251-1999|40Cr</t>
        </is>
      </c>
      <c r="E117" s="8" t="inlineStr">
        <is>
          <t xml:space="preserve">物资名称 GFW钢板;物资简称 钢板;技术标准号 GB/T 11251-1999;牌号 40Cr;规格 ;特殊要求 ;规格标准号 </t>
        </is>
      </c>
      <c r="F117" s="4" t="inlineStr">
        <is>
          <t>千克</t>
        </is>
      </c>
      <c r="G117" s="0">
        <f>LEFT(D117,FIND("|",D117,1)-1)</f>
        <v/>
      </c>
      <c r="H117" s="0">
        <f>MID(D117,FIND("|",D117,FIND("|",D117,1))+1,FIND("|",D117,FIND("|",D117,1)+1)-FIND("|",D117,FIND("|",D117,1))-1)</f>
        <v/>
      </c>
      <c r="J117" s="0">
        <f>MID(D117,FIND(";",SUBSTITUTE(D117,"|",REPT(";",LEN(D117)),3))+1,LEN(D117))</f>
        <v/>
      </c>
      <c r="L117" s="0">
        <f>MID(D117,FIND(";",SUBSTITUTE(D117,"|",REPT(";",LEN(D117)),2))+1,FIND(";",SUBSTITUTE(D117,"|",REPT(";",LEN(D117)),3))-FIND(";",SUBSTITUTE(D117,"|",REPT(";",LEN(D117)),2))-1)</f>
        <v/>
      </c>
    </row>
    <row r="118" s="21">
      <c r="A118" s="8" t="inlineStr">
        <is>
          <t>100599</t>
        </is>
      </c>
      <c r="B118" s="8" t="inlineStr">
        <is>
          <t>其他钢制品</t>
        </is>
      </c>
      <c r="C118" s="8" t="inlineStr">
        <is>
          <t>600848800</t>
        </is>
      </c>
      <c r="D118" s="8" t="inlineStr">
        <is>
          <t>GFW工业用金属筛网和金属丝编织方孔筛网|GFW丝网|GB/T 5330-2003|1Cr18Ni9Ti|0.15/0.1(平纹)|冷拉| GB 1220-1992</t>
        </is>
      </c>
      <c r="E118" s="8" t="inlineStr">
        <is>
          <t>物资名称 GFW工业用金属筛网和金属丝编织方孔筛网;物资简称 GFW丝网;技术标准号 GB/T 5330-2003;牌号 1Cr18Ni9Ti;规格 0.15/0.1(平纹);特殊要求 冷拉;规格标准号  GB 1220-1992</t>
        </is>
      </c>
      <c r="F118" s="4" t="inlineStr">
        <is>
          <t>平方米</t>
        </is>
      </c>
      <c r="G118" s="0">
        <f>LEFT(D118,FIND("|",D118,1)-1)</f>
        <v/>
      </c>
      <c r="H118" s="0">
        <f>MID(D118,FIND("|",D118,FIND("|",D118,1))+1,FIND("|",D118,FIND("|",D118,1)+1)-FIND("|",D118,FIND("|",D118,1))-1)</f>
        <v/>
      </c>
      <c r="J118" s="0">
        <f>MID(D118,FIND(";",SUBSTITUTE(D118,"|",REPT(";",LEN(D118)),3))+1,FIND(";",SUBSTITUTE(D118,"|",REPT(";",LEN(D118)),4))-FIND(";",SUBSTITUTE(D118,"|",REPT(";",LEN(D118)),3))-1)</f>
        <v/>
      </c>
      <c r="K118" s="0">
        <f>MID(D118,FIND(";",SUBSTITUTE(D118,"|",REPT(";",LEN(D118)),4))+1,FIND(";",SUBSTITUTE(D118,"|",REPT(";",LEN(D118)),5))-FIND(";",SUBSTITUTE(D118,"|",REPT(";",LEN(D118)),4))-1)</f>
        <v/>
      </c>
      <c r="L118" s="0">
        <f>MID(D118,FIND(";",SUBSTITUTE(D118,"|",REPT(";",LEN(D118)),2))+1,FIND(";",SUBSTITUTE(D118,"|",REPT(";",LEN(D118)),3))-FIND(";",SUBSTITUTE(D118,"|",REPT(";",LEN(D118)),2))-1)</f>
        <v/>
      </c>
      <c r="M118" s="0">
        <f>MID(D118,FIND(";",SUBSTITUTE(D118,"|",REPT(";",LEN(D118)),6))+1,LEN(D118))</f>
        <v/>
      </c>
      <c r="N118" s="0">
        <f>MID(D118,FIND(";",SUBSTITUTE(D118,"|",REPT(";",LEN(D118)),5))+1,FIND(";",SUBSTITUTE(D118,"|",REPT(";",LEN(D118)),6))-FIND(";",SUBSTITUTE(D118,"|",REPT(";",LEN(D118)),5))-1)</f>
        <v/>
      </c>
    </row>
    <row r="119" s="21">
      <c r="A119" s="8" t="inlineStr">
        <is>
          <t>100599</t>
        </is>
      </c>
      <c r="B119" s="8" t="inlineStr">
        <is>
          <t>其他钢制品</t>
        </is>
      </c>
      <c r="C119" s="8" t="inlineStr">
        <is>
          <t>600774500</t>
        </is>
      </c>
      <c r="D119" s="8" t="inlineStr">
        <is>
          <t>高碳铬轴承钢|钢|GB/T 18254-2002|GCr15</t>
        </is>
      </c>
      <c r="E119" s="8" t="inlineStr">
        <is>
          <t xml:space="preserve">物资名称 高碳铬轴承钢;物资简称 钢;技术标准号 GB/T 18254-2002;牌号 GCr15;规格 ;特殊要求 ;规格标准号 </t>
        </is>
      </c>
      <c r="F119" s="4" t="inlineStr">
        <is>
          <t>千克</t>
        </is>
      </c>
      <c r="G119" s="0">
        <f>LEFT(D119,FIND("|",D119,1)-1)</f>
        <v/>
      </c>
      <c r="H119" s="0">
        <f>MID(D119,FIND("|",D119,FIND("|",D119,1))+1,FIND("|",D119,FIND("|",D119,1)+1)-FIND("|",D119,FIND("|",D119,1))-1)</f>
        <v/>
      </c>
      <c r="J119" s="0">
        <f>MID(D119,FIND(";",SUBSTITUTE(D119,"|",REPT(";",LEN(D119)),3))+1,LEN(D119))</f>
        <v/>
      </c>
      <c r="L119" s="0">
        <f>MID(D119,FIND(";",SUBSTITUTE(D119,"|",REPT(";",LEN(D119)),2))+1,FIND(";",SUBSTITUTE(D119,"|",REPT(";",LEN(D119)),3))-FIND(";",SUBSTITUTE(D119,"|",REPT(";",LEN(D119)),2))-1)</f>
        <v/>
      </c>
    </row>
    <row r="120" s="21">
      <c r="A120" s="8" t="inlineStr">
        <is>
          <t>100599</t>
        </is>
      </c>
      <c r="B120" s="8" t="inlineStr">
        <is>
          <t>其他钢制品</t>
        </is>
      </c>
      <c r="C120" s="8" t="inlineStr">
        <is>
          <t>600636500</t>
        </is>
      </c>
      <c r="D120" s="8" t="inlineStr">
        <is>
          <t>GFW工业用金属筛网和金属丝编织方孔筛网|钢丝|GB/T 5330-2003|10.00/2.00|冷拉</t>
        </is>
      </c>
      <c r="E120" s="8" t="inlineStr">
        <is>
          <t xml:space="preserve">物资名称 GFW工业用金属筛网和金属丝编织方孔筛网;物资简称 钢丝;技术标准号 GB/T 5330-2003;牌号 ;规格 10.00/2.00;特殊要求 冷拉;规格标准号 </t>
        </is>
      </c>
      <c r="F120" s="4" t="inlineStr">
        <is>
          <t>千克</t>
        </is>
      </c>
      <c r="G120" s="0">
        <f>LEFT(D120,FIND("|",D120,1)-1)</f>
        <v/>
      </c>
      <c r="H120" s="0">
        <f>MID(D120,FIND("|",D120,FIND("|",D120,1))+1,FIND("|",D120,FIND("|",D120,1)+1)-FIND("|",D120,FIND("|",D120,1))-1)</f>
        <v/>
      </c>
      <c r="K120" s="0">
        <f>MID(D120,FIND(";",SUBSTITUTE(D120,"|",REPT(";",LEN(D120)),3))+1,FIND(";",SUBSTITUTE(D120,"|",REPT(";",LEN(D120)),4))-FIND(";",SUBSTITUTE(D120,"|",REPT(";",LEN(D120)),3))-1)</f>
        <v/>
      </c>
      <c r="L120" s="0">
        <f>MID(D120,FIND(";",SUBSTITUTE(D120,"|",REPT(";",LEN(D120)),2))+1,FIND(";",SUBSTITUTE(D120,"|",REPT(";",LEN(D120)),3))-FIND(";",SUBSTITUTE(D120,"|",REPT(";",LEN(D120)),2))-1)</f>
        <v/>
      </c>
      <c r="N120" s="0">
        <f>MID(D120,FIND(";",SUBSTITUTE(D120,"|",REPT(";",LEN(D120)),4))+1,LEN(D120))</f>
        <v/>
      </c>
    </row>
    <row r="121" s="21">
      <c r="A121" s="8" t="inlineStr">
        <is>
          <t>100599</t>
        </is>
      </c>
      <c r="B121" s="8" t="inlineStr">
        <is>
          <t>其他钢制品</t>
        </is>
      </c>
      <c r="C121" s="8" t="inlineStr">
        <is>
          <t>600636400</t>
        </is>
      </c>
      <c r="D121" s="8" t="inlineStr">
        <is>
          <t>GFW工业用金属筛网和金属丝编织方孔筛网|钢丝|GB/T 5330-2003|0.15/0.1|冷拉</t>
        </is>
      </c>
      <c r="E121" s="8" t="inlineStr">
        <is>
          <t xml:space="preserve">物资名称 GFW工业用金属筛网和金属丝编织方孔筛网;物资简称 钢丝;技术标准号 GB/T 5330-2003;牌号 ;规格 0.15/0.1;特殊要求 冷拉;规格标准号 </t>
        </is>
      </c>
      <c r="F121" s="4" t="inlineStr">
        <is>
          <t>千克</t>
        </is>
      </c>
      <c r="G121" s="0">
        <f>LEFT(D121,FIND("|",D121,1)-1)</f>
        <v/>
      </c>
      <c r="H121" s="0">
        <f>MID(D121,FIND("|",D121,FIND("|",D121,1))+1,FIND("|",D121,FIND("|",D121,1)+1)-FIND("|",D121,FIND("|",D121,1))-1)</f>
        <v/>
      </c>
      <c r="K121" s="0">
        <f>MID(D121,FIND(";",SUBSTITUTE(D121,"|",REPT(";",LEN(D121)),3))+1,FIND(";",SUBSTITUTE(D121,"|",REPT(";",LEN(D121)),4))-FIND(";",SUBSTITUTE(D121,"|",REPT(";",LEN(D121)),3))-1)</f>
        <v/>
      </c>
      <c r="L121" s="0">
        <f>MID(D121,FIND(";",SUBSTITUTE(D121,"|",REPT(";",LEN(D121)),2))+1,FIND(";",SUBSTITUTE(D121,"|",REPT(";",LEN(D121)),3))-FIND(";",SUBSTITUTE(D121,"|",REPT(";",LEN(D121)),2))-1)</f>
        <v/>
      </c>
      <c r="N121" s="0">
        <f>MID(D121,FIND(";",SUBSTITUTE(D121,"|",REPT(";",LEN(D121)),4))+1,LEN(D121))</f>
        <v/>
      </c>
    </row>
    <row r="122" s="21">
      <c r="A122" s="8" t="inlineStr">
        <is>
          <t>100599</t>
        </is>
      </c>
      <c r="B122" s="8" t="inlineStr">
        <is>
          <t>其他钢制品</t>
        </is>
      </c>
      <c r="C122" s="8" t="inlineStr">
        <is>
          <t>600636300</t>
        </is>
      </c>
      <c r="D122" s="8" t="inlineStr">
        <is>
          <t>优质碳素结构钢|钢|GB/T 699-1999|10</t>
        </is>
      </c>
      <c r="E122" s="8" t="inlineStr">
        <is>
          <t xml:space="preserve">物资名称 优质碳素结构钢;物资简称 钢;技术标准号 GB/T 699-1999;牌号 10;规格 ;特殊要求 ;规格标准号 </t>
        </is>
      </c>
      <c r="F122" s="4" t="inlineStr">
        <is>
          <t>千克</t>
        </is>
      </c>
      <c r="G122" s="0">
        <f>LEFT(D122,FIND("|",D122,1)-1)</f>
        <v/>
      </c>
      <c r="H122" s="0">
        <f>MID(D122,FIND("|",D122,FIND("|",D122,1))+1,FIND("|",D122,FIND("|",D122,1)+1)-FIND("|",D122,FIND("|",D122,1))-1)</f>
        <v/>
      </c>
      <c r="J122" s="0">
        <f>MID(D122,FIND(";",SUBSTITUTE(D122,"|",REPT(";",LEN(D122)),3))+1,LEN(D122))</f>
        <v/>
      </c>
      <c r="L122" s="0">
        <f>MID(D122,FIND(";",SUBSTITUTE(D122,"|",REPT(";",LEN(D122)),2))+1,FIND(";",SUBSTITUTE(D122,"|",REPT(";",LEN(D122)),3))-FIND(";",SUBSTITUTE(D122,"|",REPT(";",LEN(D122)),2))-1)</f>
        <v/>
      </c>
    </row>
    <row r="123" s="21">
      <c r="A123" s="8" t="inlineStr">
        <is>
          <t>100599</t>
        </is>
      </c>
      <c r="B123" s="8" t="inlineStr">
        <is>
          <t>其他钢制品</t>
        </is>
      </c>
      <c r="C123" s="8" t="inlineStr">
        <is>
          <t>600636200</t>
        </is>
      </c>
      <c r="D123" s="8" t="inlineStr">
        <is>
          <t>优质碳素结构钢|钢|GB/T 699-1999|20</t>
        </is>
      </c>
      <c r="E123" s="8" t="inlineStr">
        <is>
          <t xml:space="preserve">物资名称 优质碳素结构钢;物资简称 钢;技术标准号 GB/T 699-1999;牌号 20;规格 ;特殊要求 ;规格标准号 </t>
        </is>
      </c>
      <c r="F123" s="4" t="inlineStr">
        <is>
          <t>千克</t>
        </is>
      </c>
      <c r="G123" s="0">
        <f>LEFT(D123,FIND("|",D123,1)-1)</f>
        <v/>
      </c>
      <c r="H123" s="0">
        <f>MID(D123,FIND("|",D123,FIND("|",D123,1))+1,FIND("|",D123,FIND("|",D123,1)+1)-FIND("|",D123,FIND("|",D123,1))-1)</f>
        <v/>
      </c>
      <c r="J123" s="0">
        <f>MID(D123,FIND(";",SUBSTITUTE(D123,"|",REPT(";",LEN(D123)),3))+1,LEN(D123))</f>
        <v/>
      </c>
      <c r="L123" s="0">
        <f>MID(D123,FIND(";",SUBSTITUTE(D123,"|",REPT(";",LEN(D123)),2))+1,FIND(";",SUBSTITUTE(D123,"|",REPT(";",LEN(D123)),3))-FIND(";",SUBSTITUTE(D123,"|",REPT(";",LEN(D123)),2))-1)</f>
        <v/>
      </c>
    </row>
    <row r="124" s="21">
      <c r="A124" s="8" t="inlineStr">
        <is>
          <t>100599</t>
        </is>
      </c>
      <c r="B124" s="8" t="inlineStr">
        <is>
          <t>其他钢制品</t>
        </is>
      </c>
      <c r="C124" s="8" t="inlineStr">
        <is>
          <t>600636100</t>
        </is>
      </c>
      <c r="D124" s="8" t="inlineStr">
        <is>
          <t>优质碳素结构钢|钢|GB/T 699-1999|45</t>
        </is>
      </c>
      <c r="E124" s="8" t="inlineStr">
        <is>
          <t xml:space="preserve">物资名称 优质碳素结构钢;物资简称 钢;技术标准号 GB/T 699-1999;牌号 45;规格 ;特殊要求 ;规格标准号 </t>
        </is>
      </c>
      <c r="F124" s="4" t="inlineStr">
        <is>
          <t>千克</t>
        </is>
      </c>
      <c r="G124" s="0">
        <f>LEFT(D124,FIND("|",D124,1)-1)</f>
        <v/>
      </c>
      <c r="H124" s="0">
        <f>MID(D124,FIND("|",D124,FIND("|",D124,1))+1,FIND("|",D124,FIND("|",D124,1)+1)-FIND("|",D124,FIND("|",D124,1))-1)</f>
        <v/>
      </c>
      <c r="J124" s="0">
        <f>MID(D124,FIND(";",SUBSTITUTE(D124,"|",REPT(";",LEN(D124)),3))+1,LEN(D124))</f>
        <v/>
      </c>
      <c r="L124" s="0">
        <f>MID(D124,FIND(";",SUBSTITUTE(D124,"|",REPT(";",LEN(D124)),2))+1,FIND(";",SUBSTITUTE(D124,"|",REPT(";",LEN(D124)),3))-FIND(";",SUBSTITUTE(D124,"|",REPT(";",LEN(D124)),2))-1)</f>
        <v/>
      </c>
    </row>
    <row r="125" s="21">
      <c r="A125" s="8" t="inlineStr">
        <is>
          <t>100599</t>
        </is>
      </c>
      <c r="B125" s="8" t="inlineStr">
        <is>
          <t>其他钢制品</t>
        </is>
      </c>
      <c r="C125" s="8" t="inlineStr">
        <is>
          <t>600636000</t>
        </is>
      </c>
      <c r="D125" s="8" t="inlineStr">
        <is>
          <t>碳素结构钢|钢|GB/T 700-2006|Q235</t>
        </is>
      </c>
      <c r="E125" s="8" t="inlineStr">
        <is>
          <t xml:space="preserve">物资名称 碳素结构钢;物资简称 钢;技术标准号 GB/T 700-2006;牌号 Q235;规格 ;特殊要求 ;规格标准号 </t>
        </is>
      </c>
      <c r="F125" s="4" t="inlineStr">
        <is>
          <t>千克</t>
        </is>
      </c>
      <c r="G125" s="0">
        <f>LEFT(D125,FIND("|",D125,1)-1)</f>
        <v/>
      </c>
      <c r="H125" s="0">
        <f>MID(D125,FIND("|",D125,FIND("|",D125,1))+1,FIND("|",D125,FIND("|",D125,1)+1)-FIND("|",D125,FIND("|",D125,1))-1)</f>
        <v/>
      </c>
      <c r="J125" s="0">
        <f>MID(D125,FIND(";",SUBSTITUTE(D125,"|",REPT(";",LEN(D125)),3))+1,LEN(D125))</f>
        <v/>
      </c>
      <c r="L125" s="0">
        <f>MID(D125,FIND(";",SUBSTITUTE(D125,"|",REPT(";",LEN(D125)),2))+1,FIND(";",SUBSTITUTE(D125,"|",REPT(";",LEN(D125)),3))-FIND(";",SUBSTITUTE(D125,"|",REPT(";",LEN(D125)),2))-1)</f>
        <v/>
      </c>
    </row>
    <row r="126" s="21">
      <c r="A126" s="8" t="inlineStr">
        <is>
          <t>100599</t>
        </is>
      </c>
      <c r="B126" s="8" t="inlineStr">
        <is>
          <t>其他钢制品</t>
        </is>
      </c>
      <c r="C126" s="8" t="inlineStr">
        <is>
          <t>600635900</t>
        </is>
      </c>
      <c r="D126" s="8" t="inlineStr">
        <is>
          <t>弹簧钢|钢|GB/T 1222-2007|65Mn</t>
        </is>
      </c>
      <c r="E126" s="8" t="inlineStr">
        <is>
          <t xml:space="preserve">物资名称 弹簧钢;物资简称 钢;技术标准号 GB/T 1222-2007;牌号 65Mn;规格 ;特殊要求 ;规格标准号 </t>
        </is>
      </c>
      <c r="F126" s="4" t="inlineStr">
        <is>
          <t>千克</t>
        </is>
      </c>
      <c r="G126" s="0">
        <f>LEFT(D126,FIND("|",D126,1)-1)</f>
        <v/>
      </c>
      <c r="H126" s="0">
        <f>MID(D126,FIND("|",D126,FIND("|",D126,1))+1,FIND("|",D126,FIND("|",D126,1)+1)-FIND("|",D126,FIND("|",D126,1))-1)</f>
        <v/>
      </c>
      <c r="J126" s="0">
        <f>MID(D126,FIND(";",SUBSTITUTE(D126,"|",REPT(";",LEN(D126)),3))+1,LEN(D126))</f>
        <v/>
      </c>
      <c r="L126" s="0">
        <f>MID(D126,FIND(";",SUBSTITUTE(D126,"|",REPT(";",LEN(D126)),2))+1,FIND(";",SUBSTITUTE(D126,"|",REPT(";",LEN(D126)),3))-FIND(";",SUBSTITUTE(D126,"|",REPT(";",LEN(D126)),2))-1)</f>
        <v/>
      </c>
    </row>
    <row r="127" s="21">
      <c r="A127" s="8" t="inlineStr">
        <is>
          <t>100599</t>
        </is>
      </c>
      <c r="B127" s="8" t="inlineStr">
        <is>
          <t>其他钢制品</t>
        </is>
      </c>
      <c r="C127" s="8" t="inlineStr">
        <is>
          <t>600635800</t>
        </is>
      </c>
      <c r="D127" s="8" t="inlineStr">
        <is>
          <t>弹簧钢|钢|GB/T 1222-2007|60Si2MnA</t>
        </is>
      </c>
      <c r="E127" s="8" t="inlineStr">
        <is>
          <t xml:space="preserve">物资名称 弹簧钢;物资简称 钢;技术标准号 GB/T 1222-2007;牌号 60Si2MnA;规格 ;特殊要求 ;规格标准号 </t>
        </is>
      </c>
      <c r="F127" s="4" t="inlineStr">
        <is>
          <t>千克</t>
        </is>
      </c>
      <c r="G127" s="0">
        <f>LEFT(D127,FIND("|",D127,1)-1)</f>
        <v/>
      </c>
      <c r="H127" s="0">
        <f>MID(D127,FIND("|",D127,FIND("|",D127,1))+1,FIND("|",D127,FIND("|",D127,1)+1)-FIND("|",D127,FIND("|",D127,1))-1)</f>
        <v/>
      </c>
      <c r="J127" s="0">
        <f>MID(D127,FIND(";",SUBSTITUTE(D127,"|",REPT(";",LEN(D127)),3))+1,LEN(D127))</f>
        <v/>
      </c>
      <c r="L127" s="0">
        <f>MID(D127,FIND(";",SUBSTITUTE(D127,"|",REPT(";",LEN(D127)),2))+1,FIND(";",SUBSTITUTE(D127,"|",REPT(";",LEN(D127)),3))-FIND(";",SUBSTITUTE(D127,"|",REPT(";",LEN(D127)),2))-1)</f>
        <v/>
      </c>
    </row>
    <row r="128" s="21">
      <c r="A128" s="8" t="inlineStr">
        <is>
          <t>100599</t>
        </is>
      </c>
      <c r="B128" s="8" t="inlineStr">
        <is>
          <t>其他钢制品</t>
        </is>
      </c>
      <c r="C128" s="8" t="inlineStr">
        <is>
          <t>600635700</t>
        </is>
      </c>
      <c r="D128" s="8" t="inlineStr">
        <is>
          <t>合金工具钢|钢|GB/T 1299-2000|Cr12MoV</t>
        </is>
      </c>
      <c r="E128" s="8" t="inlineStr">
        <is>
          <t xml:space="preserve">物资名称 合金工具钢;物资简称 钢;技术标准号 GB/T 1299-2000;牌号 Cr12MoV;规格 ;特殊要求 ;规格标准号 </t>
        </is>
      </c>
      <c r="F128" s="4" t="inlineStr">
        <is>
          <t>千克</t>
        </is>
      </c>
      <c r="G128" s="0">
        <f>LEFT(D128,FIND("|",D128,1)-1)</f>
        <v/>
      </c>
      <c r="H128" s="0">
        <f>MID(D128,FIND("|",D128,FIND("|",D128,1))+1,FIND("|",D128,FIND("|",D128,1)+1)-FIND("|",D128,FIND("|",D128,1))-1)</f>
        <v/>
      </c>
      <c r="J128" s="0">
        <f>MID(D128,FIND(";",SUBSTITUTE(D128,"|",REPT(";",LEN(D128)),3))+1,LEN(D128))</f>
        <v/>
      </c>
      <c r="L128" s="0">
        <f>MID(D128,FIND(";",SUBSTITUTE(D128,"|",REPT(";",LEN(D128)),2))+1,FIND(";",SUBSTITUTE(D128,"|",REPT(";",LEN(D128)),3))-FIND(";",SUBSTITUTE(D128,"|",REPT(";",LEN(D128)),2))-1)</f>
        <v/>
      </c>
    </row>
    <row r="129" s="21">
      <c r="A129" s="8" t="inlineStr">
        <is>
          <t>100599</t>
        </is>
      </c>
      <c r="B129" s="8" t="inlineStr">
        <is>
          <t>其他钢制品</t>
        </is>
      </c>
      <c r="C129" s="8" t="inlineStr">
        <is>
          <t>600635600</t>
        </is>
      </c>
      <c r="D129" s="8" t="inlineStr">
        <is>
          <t>合金结构钢|钢|GB/T 3077-1999|40Cr</t>
        </is>
      </c>
      <c r="E129" s="8" t="inlineStr">
        <is>
          <t xml:space="preserve">物资名称 合金结构钢;物资简称 钢;技术标准号 GB/T 3077-1999;牌号 40Cr;规格 ;特殊要求 ;规格标准号 </t>
        </is>
      </c>
      <c r="F129" s="4" t="inlineStr">
        <is>
          <t>千克</t>
        </is>
      </c>
      <c r="G129" s="0">
        <f>LEFT(D129,FIND("|",D129,1)-1)</f>
        <v/>
      </c>
      <c r="H129" s="0">
        <f>MID(D129,FIND("|",D129,FIND("|",D129,1))+1,FIND("|",D129,FIND("|",D129,1)+1)-FIND("|",D129,FIND("|",D129,1))-1)</f>
        <v/>
      </c>
      <c r="J129" s="0">
        <f>MID(D129,FIND(";",SUBSTITUTE(D129,"|",REPT(";",LEN(D129)),3))+1,LEN(D129))</f>
        <v/>
      </c>
      <c r="L129" s="0">
        <f>MID(D129,FIND(";",SUBSTITUTE(D129,"|",REPT(";",LEN(D129)),2))+1,FIND(";",SUBSTITUTE(D129,"|",REPT(";",LEN(D129)),3))-FIND(";",SUBSTITUTE(D129,"|",REPT(";",LEN(D129)),2))-1)</f>
        <v/>
      </c>
    </row>
    <row r="130" s="21">
      <c r="A130" s="8" t="inlineStr">
        <is>
          <t>100599</t>
        </is>
      </c>
      <c r="B130" s="8" t="inlineStr">
        <is>
          <t>其他钢制品</t>
        </is>
      </c>
      <c r="C130" s="8" t="inlineStr">
        <is>
          <t>600635500</t>
        </is>
      </c>
      <c r="D130" s="8" t="inlineStr">
        <is>
          <t>合金结构钢|钢|GB/T 3077-1999|30CrMnSiA</t>
        </is>
      </c>
      <c r="E130" s="8" t="inlineStr">
        <is>
          <t xml:space="preserve">物资名称 合金结构钢;物资简称 钢;技术标准号 GB/T 3077-1999;牌号 30CrMnSiA;规格 ;特殊要求 ;规格标准号 </t>
        </is>
      </c>
      <c r="F130" s="4" t="inlineStr">
        <is>
          <t>千克</t>
        </is>
      </c>
      <c r="G130" s="0">
        <f>LEFT(D130,FIND("|",D130,1)-1)</f>
        <v/>
      </c>
      <c r="H130" s="0">
        <f>MID(D130,FIND("|",D130,FIND("|",D130,1))+1,FIND("|",D130,FIND("|",D130,1)+1)-FIND("|",D130,FIND("|",D130,1))-1)</f>
        <v/>
      </c>
      <c r="J130" s="0">
        <f>MID(D130,FIND(";",SUBSTITUTE(D130,"|",REPT(";",LEN(D130)),3))+1,LEN(D130))</f>
        <v/>
      </c>
      <c r="L130" s="0">
        <f>MID(D130,FIND(";",SUBSTITUTE(D130,"|",REPT(";",LEN(D130)),2))+1,FIND(";",SUBSTITUTE(D130,"|",REPT(";",LEN(D130)),3))-FIND(";",SUBSTITUTE(D130,"|",REPT(";",LEN(D130)),2))-1)</f>
        <v/>
      </c>
    </row>
    <row r="131" s="21">
      <c r="A131" s="8" t="inlineStr">
        <is>
          <t>100599</t>
        </is>
      </c>
      <c r="B131" s="8" t="inlineStr">
        <is>
          <t>其他钢制品</t>
        </is>
      </c>
      <c r="C131" s="8" t="inlineStr">
        <is>
          <t>600635400</t>
        </is>
      </c>
      <c r="D131" s="8" t="inlineStr">
        <is>
          <t>合金结构钢|钢|GB/T 3077-1999|38CrMoAl</t>
        </is>
      </c>
      <c r="E131" s="8" t="inlineStr">
        <is>
          <t xml:space="preserve">物资名称 合金结构钢;物资简称 钢;技术标准号 GB/T 3077-1999;牌号 38CrMoAl;规格 ;特殊要求 ;规格标准号 </t>
        </is>
      </c>
      <c r="F131" s="4" t="inlineStr">
        <is>
          <t>千克</t>
        </is>
      </c>
      <c r="G131" s="0">
        <f>LEFT(D131,FIND("|",D131,1)-1)</f>
        <v/>
      </c>
      <c r="H131" s="0">
        <f>MID(D131,FIND("|",D131,FIND("|",D131,1))+1,FIND("|",D131,FIND("|",D131,1)+1)-FIND("|",D131,FIND("|",D131,1))-1)</f>
        <v/>
      </c>
      <c r="J131" s="0">
        <f>MID(D131,FIND(";",SUBSTITUTE(D131,"|",REPT(";",LEN(D131)),3))+1,LEN(D131))</f>
        <v/>
      </c>
      <c r="L131" s="0">
        <f>MID(D131,FIND(";",SUBSTITUTE(D131,"|",REPT(";",LEN(D131)),2))+1,FIND(";",SUBSTITUTE(D131,"|",REPT(";",LEN(D131)),3))-FIND(";",SUBSTITUTE(D131,"|",REPT(";",LEN(D131)),2))-1)</f>
        <v/>
      </c>
    </row>
    <row r="132" s="21">
      <c r="A132" s="8" t="inlineStr">
        <is>
          <t>100599</t>
        </is>
      </c>
      <c r="B132" s="8" t="inlineStr">
        <is>
          <t>其他钢制品</t>
        </is>
      </c>
      <c r="C132" s="8" t="inlineStr">
        <is>
          <t>600635300</t>
        </is>
      </c>
      <c r="D132" s="8" t="inlineStr">
        <is>
          <t>合金结构钢|钢|GB/T 3077-1999|12CrNi2</t>
        </is>
      </c>
      <c r="E132" s="8" t="inlineStr">
        <is>
          <t xml:space="preserve">物资名称 合金结构钢;物资简称 钢;技术标准号 GB/T 3077-1999;牌号 12CrNi2;规格 ;特殊要求 ;规格标准号 </t>
        </is>
      </c>
      <c r="F132" s="4" t="inlineStr">
        <is>
          <t>千克</t>
        </is>
      </c>
      <c r="G132" s="0">
        <f>LEFT(D132,FIND("|",D132,1)-1)</f>
        <v/>
      </c>
      <c r="H132" s="0">
        <f>MID(D132,FIND("|",D132,FIND("|",D132,1))+1,FIND("|",D132,FIND("|",D132,1)+1)-FIND("|",D132,FIND("|",D132,1))-1)</f>
        <v/>
      </c>
      <c r="J132" s="0">
        <f>MID(D132,FIND(";",SUBSTITUTE(D132,"|",REPT(";",LEN(D132)),3))+1,LEN(D132))</f>
        <v/>
      </c>
      <c r="L132" s="0">
        <f>MID(D132,FIND(";",SUBSTITUTE(D132,"|",REPT(";",LEN(D132)),2))+1,FIND(";",SUBSTITUTE(D132,"|",REPT(";",LEN(D132)),3))-FIND(";",SUBSTITUTE(D132,"|",REPT(";",LEN(D132)),2))-1)</f>
        <v/>
      </c>
    </row>
    <row r="133" s="21">
      <c r="A133" s="8" t="inlineStr">
        <is>
          <t>100599</t>
        </is>
      </c>
      <c r="B133" s="8" t="inlineStr">
        <is>
          <t>其他钢制品</t>
        </is>
      </c>
      <c r="C133" s="8" t="inlineStr">
        <is>
          <t>600635200</t>
        </is>
      </c>
      <c r="D133" s="8" t="inlineStr">
        <is>
          <t>合金结构钢|钢|GB/T 3077-1999|30CrNi3</t>
        </is>
      </c>
      <c r="E133" s="8" t="inlineStr">
        <is>
          <t xml:space="preserve">物资名称 合金结构钢;物资简称 钢;技术标准号 GB/T 3077-1999;牌号 30CrNi3;规格 ;特殊要求 ;规格标准号 </t>
        </is>
      </c>
      <c r="F133" s="4" t="inlineStr">
        <is>
          <t>千克</t>
        </is>
      </c>
      <c r="G133" s="0">
        <f>LEFT(D133,FIND("|",D133,1)-1)</f>
        <v/>
      </c>
      <c r="H133" s="0">
        <f>MID(D133,FIND("|",D133,FIND("|",D133,1))+1,FIND("|",D133,FIND("|",D133,1)+1)-FIND("|",D133,FIND("|",D133,1))-1)</f>
        <v/>
      </c>
      <c r="J133" s="0">
        <f>MID(D133,FIND(";",SUBSTITUTE(D133,"|",REPT(";",LEN(D133)),3))+1,LEN(D133))</f>
        <v/>
      </c>
      <c r="L133" s="0">
        <f>MID(D133,FIND(";",SUBSTITUTE(D133,"|",REPT(";",LEN(D133)),2))+1,FIND(";",SUBSTITUTE(D133,"|",REPT(";",LEN(D133)),3))-FIND(";",SUBSTITUTE(D133,"|",REPT(";",LEN(D133)),2))-1)</f>
        <v/>
      </c>
    </row>
    <row r="134" s="21">
      <c r="A134" s="8" t="inlineStr">
        <is>
          <t>100599</t>
        </is>
      </c>
      <c r="B134" s="8" t="inlineStr">
        <is>
          <t>其他钢制品</t>
        </is>
      </c>
      <c r="C134" s="8" t="inlineStr">
        <is>
          <t>600635100</t>
        </is>
      </c>
      <c r="D134" s="8" t="inlineStr">
        <is>
          <t>合金结构钢|钢|GB/T 3077-1999|35CrMnSiA</t>
        </is>
      </c>
      <c r="E134" s="8" t="inlineStr">
        <is>
          <t xml:space="preserve">物资名称 合金结构钢;物资简称 钢;技术标准号 GB/T 3077-1999;牌号 35CrMnSiA;规格 ;特殊要求 ;规格标准号 </t>
        </is>
      </c>
      <c r="F134" s="4" t="inlineStr">
        <is>
          <t>千克</t>
        </is>
      </c>
      <c r="G134" s="0">
        <f>LEFT(D134,FIND("|",D134,1)-1)</f>
        <v/>
      </c>
      <c r="H134" s="0">
        <f>MID(D134,FIND("|",D134,FIND("|",D134,1))+1,FIND("|",D134,FIND("|",D134,1)+1)-FIND("|",D134,FIND("|",D134,1))-1)</f>
        <v/>
      </c>
      <c r="J134" s="0">
        <f>MID(D134,FIND(";",SUBSTITUTE(D134,"|",REPT(";",LEN(D134)),3))+1,LEN(D134))</f>
        <v/>
      </c>
      <c r="L134" s="0">
        <f>MID(D134,FIND(";",SUBSTITUTE(D134,"|",REPT(";",LEN(D134)),2))+1,FIND(";",SUBSTITUTE(D134,"|",REPT(";",LEN(D134)),3))-FIND(";",SUBSTITUTE(D134,"|",REPT(";",LEN(D134)),2))-1)</f>
        <v/>
      </c>
    </row>
    <row r="135" s="21">
      <c r="A135" s="8" t="inlineStr">
        <is>
          <t>100599</t>
        </is>
      </c>
      <c r="B135" s="8" t="inlineStr">
        <is>
          <t>其他钢制品</t>
        </is>
      </c>
      <c r="C135" s="8" t="inlineStr">
        <is>
          <t>600635000</t>
        </is>
      </c>
      <c r="D135" s="8" t="inlineStr">
        <is>
          <t>易切削结构钢|钢|GB/T 8731-2008|Y20</t>
        </is>
      </c>
      <c r="E135" s="8" t="inlineStr">
        <is>
          <t xml:space="preserve">物资名称 易切削结构钢;物资简称 钢;技术标准号 GB/T 8731-2008;牌号 Y20;规格 ;特殊要求 ;规格标准号 </t>
        </is>
      </c>
      <c r="F135" s="4" t="inlineStr">
        <is>
          <t>千克</t>
        </is>
      </c>
      <c r="G135" s="0">
        <f>LEFT(D135,FIND("|",D135,1)-1)</f>
        <v/>
      </c>
      <c r="H135" s="0">
        <f>MID(D135,FIND("|",D135,FIND("|",D135,1))+1,FIND("|",D135,FIND("|",D135,1)+1)-FIND("|",D135,FIND("|",D135,1))-1)</f>
        <v/>
      </c>
      <c r="J135" s="0">
        <f>MID(D135,FIND(";",SUBSTITUTE(D135,"|",REPT(";",LEN(D135)),3))+1,LEN(D135))</f>
        <v/>
      </c>
      <c r="L135" s="0">
        <f>MID(D135,FIND(";",SUBSTITUTE(D135,"|",REPT(";",LEN(D135)),2))+1,FIND(";",SUBSTITUTE(D135,"|",REPT(";",LEN(D135)),3))-FIND(";",SUBSTITUTE(D135,"|",REPT(";",LEN(D135)),2))-1)</f>
        <v/>
      </c>
    </row>
    <row r="136" s="21">
      <c r="A136" s="8" t="inlineStr">
        <is>
          <t>100599</t>
        </is>
      </c>
      <c r="B136" s="8" t="inlineStr">
        <is>
          <t>其他钢制品</t>
        </is>
      </c>
      <c r="C136" s="8" t="inlineStr">
        <is>
          <t>600634900</t>
        </is>
      </c>
      <c r="D136" s="8" t="inlineStr">
        <is>
          <t>高碳铬轴承钢|钢|GB/T 18257-2002|GCr15</t>
        </is>
      </c>
      <c r="E136" s="8" t="inlineStr">
        <is>
          <t xml:space="preserve">物资名称 高碳铬轴承钢;物资简称 钢;技术标准号 GB/T 18257-2002;牌号 GCr15;规格 ;特殊要求 ;规格标准号 </t>
        </is>
      </c>
      <c r="F136" s="4" t="inlineStr">
        <is>
          <t>千克</t>
        </is>
      </c>
      <c r="G136" s="0">
        <f>LEFT(D136,FIND("|",D136,1)-1)</f>
        <v/>
      </c>
      <c r="H136" s="0">
        <f>MID(D136,FIND("|",D136,FIND("|",D136,1))+1,FIND("|",D136,FIND("|",D136,1)+1)-FIND("|",D136,FIND("|",D136,1))-1)</f>
        <v/>
      </c>
      <c r="J136" s="0">
        <f>MID(D136,FIND(";",SUBSTITUTE(D136,"|",REPT(";",LEN(D136)),3))+1,LEN(D136))</f>
        <v/>
      </c>
      <c r="L136" s="0">
        <f>MID(D136,FIND(";",SUBSTITUTE(D136,"|",REPT(";",LEN(D136)),2))+1,FIND(";",SUBSTITUTE(D136,"|",REPT(";",LEN(D136)),3))-FIND(";",SUBSTITUTE(D136,"|",REPT(";",LEN(D136)),2))-1)</f>
        <v/>
      </c>
    </row>
    <row r="137" s="21">
      <c r="A137" s="8" t="inlineStr">
        <is>
          <t>100599</t>
        </is>
      </c>
      <c r="B137" s="8" t="inlineStr">
        <is>
          <t>其他钢制品</t>
        </is>
      </c>
      <c r="C137" s="8" t="inlineStr">
        <is>
          <t>600634800</t>
        </is>
      </c>
      <c r="D137" s="8" t="inlineStr">
        <is>
          <t>不锈钢和耐热钢|钢|GB/T 20878-2007|12Cr13</t>
        </is>
      </c>
      <c r="E137" s="8" t="inlineStr">
        <is>
          <t xml:space="preserve">物资名称 不锈钢和耐热钢;物资简称 钢;技术标准号 GB/T 20878-2007;牌号 12Cr13;规格 ;特殊要求 ;规格标准号 </t>
        </is>
      </c>
      <c r="F137" s="4" t="inlineStr">
        <is>
          <t>千克</t>
        </is>
      </c>
      <c r="G137" s="0">
        <f>LEFT(D137,FIND("|",D137,1)-1)</f>
        <v/>
      </c>
      <c r="H137" s="0">
        <f>MID(D137,FIND("|",D137,FIND("|",D137,1))+1,FIND("|",D137,FIND("|",D137,1)+1)-FIND("|",D137,FIND("|",D137,1))-1)</f>
        <v/>
      </c>
      <c r="J137" s="0">
        <f>MID(D137,FIND(";",SUBSTITUTE(D137,"|",REPT(";",LEN(D137)),3))+1,LEN(D137))</f>
        <v/>
      </c>
      <c r="L137" s="0">
        <f>MID(D137,FIND(";",SUBSTITUTE(D137,"|",REPT(";",LEN(D137)),2))+1,FIND(";",SUBSTITUTE(D137,"|",REPT(";",LEN(D137)),3))-FIND(";",SUBSTITUTE(D137,"|",REPT(";",LEN(D137)),2))-1)</f>
        <v/>
      </c>
    </row>
    <row r="138" s="21">
      <c r="A138" s="8" t="inlineStr">
        <is>
          <t>100599</t>
        </is>
      </c>
      <c r="B138" s="8" t="inlineStr">
        <is>
          <t>其他钢制品</t>
        </is>
      </c>
      <c r="C138" s="8" t="inlineStr">
        <is>
          <t>600634700</t>
        </is>
      </c>
      <c r="D138" s="8" t="inlineStr">
        <is>
          <t>不锈钢和耐热钢|钢|GB/T 20878-2007|20Cr13</t>
        </is>
      </c>
      <c r="E138" s="8" t="inlineStr">
        <is>
          <t xml:space="preserve">物资名称 不锈钢和耐热钢;物资简称 钢;技术标准号 GB/T 20878-2007;牌号 20Cr13;规格 ;特殊要求 ;规格标准号 </t>
        </is>
      </c>
      <c r="F138" s="4" t="inlineStr">
        <is>
          <t>千克</t>
        </is>
      </c>
      <c r="G138" s="0">
        <f>LEFT(D138,FIND("|",D138,1)-1)</f>
        <v/>
      </c>
      <c r="H138" s="0">
        <f>MID(D138,FIND("|",D138,FIND("|",D138,1))+1,FIND("|",D138,FIND("|",D138,1)+1)-FIND("|",D138,FIND("|",D138,1))-1)</f>
        <v/>
      </c>
      <c r="J138" s="0">
        <f>MID(D138,FIND(";",SUBSTITUTE(D138,"|",REPT(";",LEN(D138)),3))+1,LEN(D138))</f>
        <v/>
      </c>
      <c r="L138" s="0">
        <f>MID(D138,FIND(";",SUBSTITUTE(D138,"|",REPT(";",LEN(D138)),2))+1,FIND(";",SUBSTITUTE(D138,"|",REPT(";",LEN(D138)),3))-FIND(";",SUBSTITUTE(D138,"|",REPT(";",LEN(D138)),2))-1)</f>
        <v/>
      </c>
    </row>
    <row r="139" s="21">
      <c r="A139" s="8" t="inlineStr">
        <is>
          <t>100599</t>
        </is>
      </c>
      <c r="B139" s="8" t="inlineStr">
        <is>
          <t>其他钢制品</t>
        </is>
      </c>
      <c r="C139" s="8" t="inlineStr">
        <is>
          <t>600634600</t>
        </is>
      </c>
      <c r="D139" s="8" t="inlineStr">
        <is>
          <t>不锈钢和耐热钢|钢|GB/T 20878-2007|40Cr13</t>
        </is>
      </c>
      <c r="E139" s="8" t="inlineStr">
        <is>
          <t xml:space="preserve">物资名称 不锈钢和耐热钢;物资简称 钢;技术标准号 GB/T 20878-2007;牌号 40Cr13;规格 ;特殊要求 ;规格标准号 </t>
        </is>
      </c>
      <c r="F139" s="4" t="inlineStr">
        <is>
          <t>千克</t>
        </is>
      </c>
      <c r="G139" s="0">
        <f>LEFT(D139,FIND("|",D139,1)-1)</f>
        <v/>
      </c>
      <c r="H139" s="0">
        <f>MID(D139,FIND("|",D139,FIND("|",D139,1))+1,FIND("|",D139,FIND("|",D139,1)+1)-FIND("|",D139,FIND("|",D139,1))-1)</f>
        <v/>
      </c>
      <c r="J139" s="0">
        <f>MID(D139,FIND(";",SUBSTITUTE(D139,"|",REPT(";",LEN(D139)),3))+1,LEN(D139))</f>
        <v/>
      </c>
      <c r="L139" s="0">
        <f>MID(D139,FIND(";",SUBSTITUTE(D139,"|",REPT(";",LEN(D139)),2))+1,FIND(";",SUBSTITUTE(D139,"|",REPT(";",LEN(D139)),3))-FIND(";",SUBSTITUTE(D139,"|",REPT(";",LEN(D139)),2))-1)</f>
        <v/>
      </c>
    </row>
    <row r="140" s="21">
      <c r="A140" s="8" t="inlineStr">
        <is>
          <t>100599</t>
        </is>
      </c>
      <c r="B140" s="8" t="inlineStr">
        <is>
          <t>其他钢制品</t>
        </is>
      </c>
      <c r="C140" s="8" t="inlineStr">
        <is>
          <t>600634500</t>
        </is>
      </c>
      <c r="D140" s="8" t="inlineStr">
        <is>
          <t>不锈钢和耐热钢|钢|GB/T 20878-2007|06Cr19Ni10</t>
        </is>
      </c>
      <c r="E140" s="8" t="inlineStr">
        <is>
          <t xml:space="preserve">物资名称 不锈钢和耐热钢;物资简称 钢;技术标准号 GB/T 20878-2007;牌号 06Cr19Ni10;规格 ;特殊要求 ;规格标准号 </t>
        </is>
      </c>
      <c r="F140" s="4" t="inlineStr">
        <is>
          <t>千克</t>
        </is>
      </c>
      <c r="G140" s="0">
        <f>LEFT(D140,FIND("|",D140,1)-1)</f>
        <v/>
      </c>
      <c r="H140" s="0">
        <f>MID(D140,FIND("|",D140,FIND("|",D140,1))+1,FIND("|",D140,FIND("|",D140,1)+1)-FIND("|",D140,FIND("|",D140,1))-1)</f>
        <v/>
      </c>
      <c r="J140" s="0">
        <f>MID(D140,FIND(";",SUBSTITUTE(D140,"|",REPT(";",LEN(D140)),3))+1,LEN(D140))</f>
        <v/>
      </c>
      <c r="L140" s="0">
        <f>MID(D140,FIND(";",SUBSTITUTE(D140,"|",REPT(";",LEN(D140)),2))+1,FIND(";",SUBSTITUTE(D140,"|",REPT(";",LEN(D140)),3))-FIND(";",SUBSTITUTE(D140,"|",REPT(";",LEN(D140)),2))-1)</f>
        <v/>
      </c>
    </row>
    <row r="141" s="21">
      <c r="A141" s="8" t="inlineStr">
        <is>
          <t>100599</t>
        </is>
      </c>
      <c r="B141" s="8" t="inlineStr">
        <is>
          <t>其他钢制品</t>
        </is>
      </c>
      <c r="C141" s="8" t="inlineStr">
        <is>
          <t>600634400</t>
        </is>
      </c>
      <c r="D141" s="8" t="inlineStr">
        <is>
          <t>不锈钢和耐热钢|钢|GB/T 20878-2007|12Cr18Ni9</t>
        </is>
      </c>
      <c r="E141" s="8" t="inlineStr">
        <is>
          <t xml:space="preserve">物资名称 不锈钢和耐热钢;物资简称 钢;技术标准号 GB/T 20878-2007;牌号 12Cr18Ni9;规格 ;特殊要求 ;规格标准号 </t>
        </is>
      </c>
      <c r="F141" s="4" t="inlineStr">
        <is>
          <t>千克</t>
        </is>
      </c>
      <c r="G141" s="0">
        <f>LEFT(D141,FIND("|",D141,1)-1)</f>
        <v/>
      </c>
      <c r="H141" s="0">
        <f>MID(D141,FIND("|",D141,FIND("|",D141,1))+1,FIND("|",D141,FIND("|",D141,1)+1)-FIND("|",D141,FIND("|",D141,1))-1)</f>
        <v/>
      </c>
      <c r="J141" s="0">
        <f>MID(D141,FIND(";",SUBSTITUTE(D141,"|",REPT(";",LEN(D141)),3))+1,LEN(D141))</f>
        <v/>
      </c>
      <c r="L141" s="0">
        <f>MID(D141,FIND(";",SUBSTITUTE(D141,"|",REPT(";",LEN(D141)),2))+1,FIND(";",SUBSTITUTE(D141,"|",REPT(";",LEN(D141)),3))-FIND(";",SUBSTITUTE(D141,"|",REPT(";",LEN(D141)),2))-1)</f>
        <v/>
      </c>
    </row>
    <row r="142" s="21">
      <c r="A142" s="8" t="inlineStr">
        <is>
          <t>100599</t>
        </is>
      </c>
      <c r="B142" s="8" t="inlineStr">
        <is>
          <t>其他钢制品</t>
        </is>
      </c>
      <c r="C142" s="8" t="inlineStr">
        <is>
          <t>600634300</t>
        </is>
      </c>
      <c r="D142" s="8" t="inlineStr">
        <is>
          <t>合金结构圆钢|钢|GB/T 3077-1999|30CrMnSi</t>
        </is>
      </c>
      <c r="E142" s="8" t="inlineStr">
        <is>
          <t xml:space="preserve">物资名称 合金结构圆钢;物资简称 钢;技术标准号 GB/T 3077-1999;牌号 30CrMnSi;规格 ;特殊要求 ;规格标准号 </t>
        </is>
      </c>
      <c r="F142" s="4" t="inlineStr">
        <is>
          <t>千克</t>
        </is>
      </c>
      <c r="G142" s="0">
        <f>LEFT(D142,FIND("|",D142,1)-1)</f>
        <v/>
      </c>
      <c r="H142" s="0">
        <f>MID(D142,FIND("|",D142,FIND("|",D142,1))+1,FIND("|",D142,FIND("|",D142,1)+1)-FIND("|",D142,FIND("|",D142,1))-1)</f>
        <v/>
      </c>
      <c r="J142" s="0">
        <f>MID(D142,FIND(";",SUBSTITUTE(D142,"|",REPT(";",LEN(D142)),3))+1,LEN(D142))</f>
        <v/>
      </c>
      <c r="L142" s="0">
        <f>MID(D142,FIND(";",SUBSTITUTE(D142,"|",REPT(";",LEN(D142)),2))+1,FIND(";",SUBSTITUTE(D142,"|",REPT(";",LEN(D142)),3))-FIND(";",SUBSTITUTE(D142,"|",REPT(";",LEN(D142)),2))-1)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topLeftCell="E1" workbookViewId="0">
      <pane ySplit="1" topLeftCell="A2" activePane="bottomLeft" state="frozen"/>
      <selection activeCell="A1" sqref="A1"/>
      <selection pane="bottomLeft" activeCell="A2" sqref="$A2:$XFD2"/>
    </sheetView>
  </sheetViews>
  <sheetFormatPr baseColWidth="8" defaultColWidth="9" defaultRowHeight="48" customHeight="1"/>
  <cols>
    <col width="20" customWidth="1" style="2" min="1" max="3"/>
    <col width="70" customWidth="1" style="2" min="4" max="4"/>
    <col width="41.4" customWidth="1" style="2" min="5" max="5"/>
    <col width="14.4" customWidth="1" style="3" min="6" max="6"/>
    <col width="11.7363636363636" customWidth="1" style="21" min="7" max="7"/>
    <col width="12.1363636363636" customWidth="1" style="21" min="8" max="8"/>
    <col width="16.1363636363636" customWidth="1" style="21" min="11" max="11"/>
    <col width="29.1363636363636" customWidth="1" style="21" min="12" max="12"/>
  </cols>
  <sheetData>
    <row r="1" s="21">
      <c r="A1" s="4" t="inlineStr">
        <is>
          <t>类别编码</t>
        </is>
      </c>
      <c r="B1" s="4" t="inlineStr">
        <is>
          <t>类别名称</t>
        </is>
      </c>
      <c r="C1" s="4" t="inlineStr">
        <is>
          <t>物料代码</t>
        </is>
      </c>
      <c r="D1" s="4" t="inlineStr">
        <is>
          <t>长描述</t>
        </is>
      </c>
      <c r="E1" s="4" t="inlineStr">
        <is>
          <t>全描述</t>
        </is>
      </c>
      <c r="F1" s="4" t="inlineStr">
        <is>
          <t>计量单位</t>
        </is>
      </c>
      <c r="G1" s="5" t="inlineStr">
        <is>
          <t>物资名称</t>
        </is>
      </c>
      <c r="H1" s="6" t="inlineStr">
        <is>
          <t>物资简称</t>
        </is>
      </c>
      <c r="I1" s="6" t="inlineStr">
        <is>
          <t>物资别名</t>
        </is>
      </c>
      <c r="J1" s="6" t="inlineStr">
        <is>
          <t>牌号/代号</t>
        </is>
      </c>
      <c r="K1" s="6" t="inlineStr">
        <is>
          <t>规格</t>
        </is>
      </c>
      <c r="L1" s="6" t="inlineStr">
        <is>
          <t>技术标准号</t>
        </is>
      </c>
      <c r="M1" s="6" t="inlineStr">
        <is>
          <t>加工工艺</t>
        </is>
      </c>
      <c r="N1" s="6" t="inlineStr">
        <is>
          <t>热处理工艺</t>
        </is>
      </c>
      <c r="O1" s="6" t="inlineStr">
        <is>
          <t>特殊要求</t>
        </is>
      </c>
    </row>
    <row r="2" ht="14.75" customFormat="1" customHeight="1" s="1">
      <c r="A2" s="7" t="inlineStr">
        <is>
          <t>注：“〇”表示必填项，“－”表示非必填项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s="21">
      <c r="A3" s="8" t="n"/>
      <c r="B3" s="8" t="n"/>
      <c r="C3" s="8" t="n"/>
      <c r="D3" s="8" t="n"/>
      <c r="E3" s="8" t="n"/>
      <c r="F3" s="4" t="n"/>
      <c r="G3" s="5" t="inlineStr">
        <is>
          <t>〇</t>
        </is>
      </c>
      <c r="H3" s="0" t="inlineStr">
        <is>
          <t>〇</t>
        </is>
      </c>
      <c r="I3" s="0" t="inlineStr">
        <is>
          <t>－</t>
        </is>
      </c>
      <c r="J3" s="0" t="inlineStr">
        <is>
          <t>〇</t>
        </is>
      </c>
      <c r="K3" s="0" t="inlineStr">
        <is>
          <t>〇</t>
        </is>
      </c>
      <c r="L3" s="0" t="inlineStr">
        <is>
          <t>〇</t>
        </is>
      </c>
      <c r="M3" s="0" t="inlineStr">
        <is>
          <t>〇</t>
        </is>
      </c>
      <c r="N3" s="0" t="inlineStr">
        <is>
          <t>〇</t>
        </is>
      </c>
      <c r="O3" s="0" t="inlineStr">
        <is>
          <t>〇</t>
        </is>
      </c>
    </row>
    <row r="4" s="21">
      <c r="A4" s="8" t="inlineStr">
        <is>
          <t>100603</t>
        </is>
      </c>
      <c r="B4" s="8" t="inlineStr">
        <is>
          <t>铁合金</t>
        </is>
      </c>
      <c r="C4" s="8" t="inlineStr">
        <is>
          <t>603575500</t>
        </is>
      </c>
      <c r="D4" s="8" t="inlineStr">
        <is>
          <t>电磁纯铁|电工纯铁|DT2|δ15×34×47|YB200-1975</t>
        </is>
      </c>
      <c r="E4" s="8" t="inlineStr">
        <is>
          <t>物资名称 电磁纯铁;物资简称 电工纯铁;牌号 DT2;厚度 δ15;宽 34;长 47;技术标准号 YB200-1975;特殊要求 ;规格标准号</t>
        </is>
      </c>
      <c r="F4" s="4" t="inlineStr">
        <is>
          <t>千克</t>
        </is>
      </c>
      <c r="G4" s="5">
        <f>LEFT(D4,FIND("|",D4,1)-1)</f>
        <v/>
      </c>
      <c r="H4" s="0">
        <f>MID(D4,FIND("|",D4,FIND("|",D4,1))+1,FIND("|",D4,FIND("|",D4,1)+1)-FIND("|",D4,FIND("|",D4,1))-1)</f>
        <v/>
      </c>
      <c r="J4" s="0">
        <f>MID(D4,FIND(";",SUBSTITUTE(D4,"|",REPT(";",LEN(D4)),2))+1,FIND(";",SUBSTITUTE(D4,"|",REPT(";",LEN(D4)),3))-FIND(";",SUBSTITUTE(D4,"|",REPT(";",LEN(D4)),2))-1)</f>
        <v/>
      </c>
      <c r="K4" s="0">
        <f>MID(D4,FIND(";",SUBSTITUTE(D4,"|",REPT(";",LEN(D4)),3))+1,FIND(";",SUBSTITUTE(D4,"|",REPT(";",LEN(D4)),4))-FIND(";",SUBSTITUTE(D4,"|",REPT(";",LEN(D4)),3))-1)</f>
        <v/>
      </c>
      <c r="L4" s="0">
        <f>MID(D4,FIND(";",SUBSTITUTE(D4,"|",REPT(";",LEN(D4)),4))+1,LEN(D4))</f>
        <v/>
      </c>
    </row>
    <row r="5" s="21">
      <c r="A5" s="8" t="inlineStr">
        <is>
          <t>100603</t>
        </is>
      </c>
      <c r="B5" s="8" t="inlineStr">
        <is>
          <t>铁合金</t>
        </is>
      </c>
      <c r="C5" s="8" t="inlineStr">
        <is>
          <t>603573400</t>
        </is>
      </c>
      <c r="D5" s="8" t="inlineStr">
        <is>
          <t>电磁纯铁|电工纯铁|DT2|δ15×500×500|YB200-1975</t>
        </is>
      </c>
      <c r="E5" s="8" t="inlineStr">
        <is>
          <t>物资名称 电磁纯铁;物资简称 电工纯铁;牌号 DT2;厚度 δ15;宽 500;长 500;技术标准号 YB200-1975;特殊要求 ;规格标准号</t>
        </is>
      </c>
      <c r="F5" s="4" t="inlineStr">
        <is>
          <t>千克</t>
        </is>
      </c>
      <c r="G5" s="5">
        <f>LEFT(D5,FIND("|",D5,1)-1)</f>
        <v/>
      </c>
      <c r="H5" s="0">
        <f>MID(D5,FIND("|",D5,FIND("|",D5,1))+1,FIND("|",D5,FIND("|",D5,1)+1)-FIND("|",D5,FIND("|",D5,1))-1)</f>
        <v/>
      </c>
      <c r="J5" s="0">
        <f>MID(D5,FIND(";",SUBSTITUTE(D5,"|",REPT(";",LEN(D5)),2))+1,FIND(";",SUBSTITUTE(D5,"|",REPT(";",LEN(D5)),3))-FIND(";",SUBSTITUTE(D5,"|",REPT(";",LEN(D5)),2))-1)</f>
        <v/>
      </c>
      <c r="K5" s="0">
        <f>MID(D5,FIND(";",SUBSTITUTE(D5,"|",REPT(";",LEN(D5)),3))+1,FIND(";",SUBSTITUTE(D5,"|",REPT(";",LEN(D5)),4))-FIND(";",SUBSTITUTE(D5,"|",REPT(";",LEN(D5)),3))-1)</f>
        <v/>
      </c>
      <c r="L5" s="0">
        <f>MID(D5,FIND(";",SUBSTITUTE(D5,"|",REPT(";",LEN(D5)),4))+1,LEN(D5))</f>
        <v/>
      </c>
    </row>
    <row r="6" s="21">
      <c r="A6" s="8" t="inlineStr">
        <is>
          <t>100603</t>
        </is>
      </c>
      <c r="B6" s="8" t="inlineStr">
        <is>
          <t>铁合金</t>
        </is>
      </c>
      <c r="C6" s="8" t="inlineStr">
        <is>
          <t>603573300</t>
        </is>
      </c>
      <c r="D6" s="8" t="inlineStr">
        <is>
          <t>电磁纯铁|电工纯铁|DT2|δ2.5|YB200-1975</t>
        </is>
      </c>
      <c r="E6" s="8" t="inlineStr">
        <is>
          <t>物资名称 电磁纯铁;物资简称 电工纯铁;牌号 DT2;厚度 δ2.5;宽 ;长 ;技术标准号 YB200-1975;特殊要求 ;规格标准号</t>
        </is>
      </c>
      <c r="F6" s="4" t="inlineStr">
        <is>
          <t>千克</t>
        </is>
      </c>
      <c r="G6" s="5">
        <f>LEFT(D6,FIND("|",D6,1)-1)</f>
        <v/>
      </c>
      <c r="H6" s="0">
        <f>MID(D6,FIND("|",D6,FIND("|",D6,1))+1,FIND("|",D6,FIND("|",D6,1)+1)-FIND("|",D6,FIND("|",D6,1))-1)</f>
        <v/>
      </c>
      <c r="J6" s="0">
        <f>MID(D6,FIND(";",SUBSTITUTE(D6,"|",REPT(";",LEN(D6)),2))+1,FIND(";",SUBSTITUTE(D6,"|",REPT(";",LEN(D6)),3))-FIND(";",SUBSTITUTE(D6,"|",REPT(";",LEN(D6)),2))-1)</f>
        <v/>
      </c>
      <c r="K6" s="0">
        <f>MID(D6,FIND(";",SUBSTITUTE(D6,"|",REPT(";",LEN(D6)),3))+1,FIND(";",SUBSTITUTE(D6,"|",REPT(";",LEN(D6)),4))-FIND(";",SUBSTITUTE(D6,"|",REPT(";",LEN(D6)),3))-1)</f>
        <v/>
      </c>
      <c r="L6" s="0">
        <f>MID(D6,FIND(";",SUBSTITUTE(D6,"|",REPT(";",LEN(D6)),4))+1,LEN(D6))</f>
        <v/>
      </c>
    </row>
    <row r="7" s="21">
      <c r="A7" s="8" t="inlineStr">
        <is>
          <t>100603</t>
        </is>
      </c>
      <c r="B7" s="8" t="inlineStr">
        <is>
          <t>铁合金</t>
        </is>
      </c>
      <c r="C7" s="8" t="inlineStr">
        <is>
          <t>603572000</t>
        </is>
      </c>
      <c r="D7" s="8" t="inlineStr">
        <is>
          <t>电工纯铁|电工纯铁|DT2|Φ26|YB200-75|GB/T 702-1986</t>
        </is>
      </c>
      <c r="E7" s="8" t="inlineStr">
        <is>
          <t>物资名称 电工纯铁;物资简称 电工纯铁;牌号 DT2;直径 Φ26;技术标准号 YB200-75;特殊要求 ;规格标准号 GB/T 702-1986</t>
        </is>
      </c>
      <c r="F7" s="4" t="inlineStr">
        <is>
          <t>千克</t>
        </is>
      </c>
      <c r="G7" s="5">
        <f>LEFT(D7,FIND("|",D7,1)-1)</f>
        <v/>
      </c>
      <c r="H7" s="0">
        <f>MID(D7,FIND("|",D7,FIND("|",D7,1))+1,FIND("|",D7,FIND("|",D7,1)+1)-FIND("|",D7,FIND("|",D7,1))-1)</f>
        <v/>
      </c>
      <c r="J7" s="0">
        <f>MID(D7,FIND(";",SUBSTITUTE(D7,"|",REPT(";",LEN(D7)),2))+1,FIND(";",SUBSTITUTE(D7,"|",REPT(";",LEN(D7)),3))-FIND(";",SUBSTITUTE(D7,"|",REPT(";",LEN(D7)),2))-1)</f>
        <v/>
      </c>
      <c r="K7" s="0">
        <f>MID(D7,FIND(";",SUBSTITUTE(D7,"|",REPT(";",LEN(D7)),3))+1,FIND(";",SUBSTITUTE(D7,"|",REPT(";",LEN(D7)),4))-FIND(";",SUBSTITUTE(D7,"|",REPT(";",LEN(D7)),3))-1)</f>
        <v/>
      </c>
      <c r="L7" s="0" t="inlineStr">
        <is>
          <t>YB200-75 GB/T 702-1986</t>
        </is>
      </c>
    </row>
    <row r="8" s="21">
      <c r="A8" s="8" t="inlineStr">
        <is>
          <t>100603</t>
        </is>
      </c>
      <c r="B8" s="8" t="inlineStr">
        <is>
          <t>铁合金</t>
        </is>
      </c>
      <c r="C8" s="8" t="inlineStr">
        <is>
          <t>601418000</t>
        </is>
      </c>
      <c r="D8" s="8" t="inlineStr">
        <is>
          <t>电工纯铁|电工纯铁|DT4|GB/T 6983-1986|60-2|GB/T 702-1986</t>
        </is>
      </c>
      <c r="E8" s="8" t="inlineStr">
        <is>
          <t>物资名称 电工纯铁;物资简称 电工纯铁;牌号 DT4;直径 Φ;技术标准号 GB/T 6983-1986;特殊要求 60-2;规格标准号 GB/T 702-1986</t>
        </is>
      </c>
      <c r="F8" s="4" t="inlineStr">
        <is>
          <t>千克</t>
        </is>
      </c>
      <c r="G8" s="5">
        <f>LEFT(D8,FIND("|",D8,1)-1)</f>
        <v/>
      </c>
      <c r="H8" s="0">
        <f>MID(D8,FIND("|",D8,FIND("|",D8,1))+1,FIND("|",D8,FIND("|",D8,1)+1)-FIND("|",D8,FIND("|",D8,1))-1)</f>
        <v/>
      </c>
      <c r="J8" s="0">
        <f>MID(D8,FIND(";",SUBSTITUTE(D8,"|",REPT(";",LEN(D8)),2))+1,FIND(";",SUBSTITUTE(D8,"|",REPT(";",LEN(D8)),3))-FIND(";",SUBSTITUTE(D8,"|",REPT(";",LEN(D8)),2))-1)</f>
        <v/>
      </c>
      <c r="L8" s="0" t="inlineStr">
        <is>
          <t>GB/T 6983-1986 GB/T 702-1986</t>
        </is>
      </c>
      <c r="O8" s="0">
        <f>MID(D8,FIND(";",SUBSTITUTE(D8,"|",REPT(";",LEN(D8)),4))+1,FIND(";",SUBSTITUTE(D8,"|",REPT(";",LEN(D8)),5))-FIND(";",SUBSTITUTE(D8,"|",REPT(";",LEN(D8)),4))-1)</f>
        <v/>
      </c>
    </row>
    <row r="9" s="21">
      <c r="A9" s="8" t="inlineStr">
        <is>
          <t>100603</t>
        </is>
      </c>
      <c r="B9" s="8" t="inlineStr">
        <is>
          <t>铁合金</t>
        </is>
      </c>
      <c r="C9" s="8" t="inlineStr">
        <is>
          <t>601342900</t>
        </is>
      </c>
      <c r="D9" s="8" t="inlineStr">
        <is>
          <t>电磁纯铁棒|电磁纯铁棒|DT4A|Φ110|GB/T 6983-2008</t>
        </is>
      </c>
      <c r="E9" s="8" t="inlineStr">
        <is>
          <t xml:space="preserve">物资名称 电磁纯铁棒;物资简称 电磁纯铁棒;牌号 DT4A;直径 Φ110;技术标准号 GB/T 6983-2008;特殊要求 ;规格标准号 </t>
        </is>
      </c>
      <c r="F9" s="4" t="inlineStr">
        <is>
          <t>千克</t>
        </is>
      </c>
      <c r="G9" s="5">
        <f>LEFT(D9,FIND("|",D9,1)-1)</f>
        <v/>
      </c>
      <c r="H9" s="0">
        <f>MID(D9,FIND("|",D9,FIND("|",D9,1))+1,FIND("|",D9,FIND("|",D9,1)+1)-FIND("|",D9,FIND("|",D9,1))-1)</f>
        <v/>
      </c>
      <c r="J9" s="0">
        <f>MID(D9,FIND(";",SUBSTITUTE(D9,"|",REPT(";",LEN(D9)),2))+1,FIND(";",SUBSTITUTE(D9,"|",REPT(";",LEN(D9)),3))-FIND(";",SUBSTITUTE(D9,"|",REPT(";",LEN(D9)),2))-1)</f>
        <v/>
      </c>
      <c r="K9" s="0">
        <f>MID(D9,FIND(";",SUBSTITUTE(D9,"|",REPT(";",LEN(D9)),3))+1,FIND(";",SUBSTITUTE(D9,"|",REPT(";",LEN(D9)),4))-FIND(";",SUBSTITUTE(D9,"|",REPT(";",LEN(D9)),3))-1)</f>
        <v/>
      </c>
      <c r="L9" s="0">
        <f>MID(D9,FIND(";",SUBSTITUTE(D9,"|",REPT(";",LEN(D9)),4))+1,LEN(D9))</f>
        <v/>
      </c>
    </row>
    <row r="10" s="21">
      <c r="A10" s="8" t="inlineStr">
        <is>
          <t>100603</t>
        </is>
      </c>
      <c r="B10" s="8" t="inlineStr">
        <is>
          <t>铁合金</t>
        </is>
      </c>
      <c r="C10" s="8" t="inlineStr">
        <is>
          <t>601342800</t>
        </is>
      </c>
      <c r="D10" s="8" t="inlineStr">
        <is>
          <t>电磁纯铁板|电磁纯铁板|DT4|Φ3.9|GB/T 6983-2008</t>
        </is>
      </c>
      <c r="E10" s="8" t="inlineStr">
        <is>
          <t xml:space="preserve">物资名称 电磁纯铁板;物资简称 电磁纯铁板;牌号 DT4;直径 Φ3.9;技术标准号 GB/T 6983-2008;特殊要求 ;规格标准号 </t>
        </is>
      </c>
      <c r="F10" s="4" t="inlineStr">
        <is>
          <t>千克</t>
        </is>
      </c>
      <c r="G10" s="5">
        <f>LEFT(D10,FIND("|",D10,1)-1)</f>
        <v/>
      </c>
      <c r="H10" s="0">
        <f>MID(D10,FIND("|",D10,FIND("|",D10,1))+1,FIND("|",D10,FIND("|",D10,1)+1)-FIND("|",D10,FIND("|",D10,1))-1)</f>
        <v/>
      </c>
      <c r="J10" s="0">
        <f>MID(D10,FIND(";",SUBSTITUTE(D10,"|",REPT(";",LEN(D10)),2))+1,FIND(";",SUBSTITUTE(D10,"|",REPT(";",LEN(D10)),3))-FIND(";",SUBSTITUTE(D10,"|",REPT(";",LEN(D10)),2))-1)</f>
        <v/>
      </c>
      <c r="K10" s="0">
        <f>MID(D10,FIND(";",SUBSTITUTE(D10,"|",REPT(";",LEN(D10)),3))+1,FIND(";",SUBSTITUTE(D10,"|",REPT(";",LEN(D10)),4))-FIND(";",SUBSTITUTE(D10,"|",REPT(";",LEN(D10)),3))-1)</f>
        <v/>
      </c>
      <c r="L10" s="0">
        <f>MID(D10,FIND(";",SUBSTITUTE(D10,"|",REPT(";",LEN(D10)),4))+1,LEN(D10))</f>
        <v/>
      </c>
    </row>
    <row r="11" s="21">
      <c r="A11" s="8" t="inlineStr">
        <is>
          <t>100603</t>
        </is>
      </c>
      <c r="B11" s="8" t="inlineStr">
        <is>
          <t>铁合金</t>
        </is>
      </c>
      <c r="C11" s="8" t="inlineStr">
        <is>
          <t>601342700</t>
        </is>
      </c>
      <c r="D11" s="8" t="inlineStr">
        <is>
          <t>电磁纯铁板|电磁纯铁板|DT4E|Φ16|GB/T 6983-2008</t>
        </is>
      </c>
      <c r="E11" s="8" t="inlineStr">
        <is>
          <t xml:space="preserve">物资名称 电磁纯铁板;物资简称 电磁纯铁板;牌号 DT4E;直径 Φ16;技术标准号 GB/T 6983-2008;特殊要求 ;规格标准号 </t>
        </is>
      </c>
      <c r="F11" s="4" t="inlineStr">
        <is>
          <t>千克</t>
        </is>
      </c>
      <c r="G11" s="5">
        <f>LEFT(D11,FIND("|",D11,1)-1)</f>
        <v/>
      </c>
      <c r="H11" s="0">
        <f>MID(D11,FIND("|",D11,FIND("|",D11,1))+1,FIND("|",D11,FIND("|",D11,1)+1)-FIND("|",D11,FIND("|",D11,1))-1)</f>
        <v/>
      </c>
      <c r="J11" s="0">
        <f>MID(D11,FIND(";",SUBSTITUTE(D11,"|",REPT(";",LEN(D11)),2))+1,FIND(";",SUBSTITUTE(D11,"|",REPT(";",LEN(D11)),3))-FIND(";",SUBSTITUTE(D11,"|",REPT(";",LEN(D11)),2))-1)</f>
        <v/>
      </c>
      <c r="K11" s="0">
        <f>MID(D11,FIND(";",SUBSTITUTE(D11,"|",REPT(";",LEN(D11)),3))+1,FIND(";",SUBSTITUTE(D11,"|",REPT(";",LEN(D11)),4))-FIND(";",SUBSTITUTE(D11,"|",REPT(";",LEN(D11)),3))-1)</f>
        <v/>
      </c>
      <c r="L11" s="0">
        <f>MID(D11,FIND(";",SUBSTITUTE(D11,"|",REPT(";",LEN(D11)),4))+1,LEN(D11))</f>
        <v/>
      </c>
    </row>
    <row r="12" s="21">
      <c r="A12" s="8" t="inlineStr">
        <is>
          <t>100603</t>
        </is>
      </c>
      <c r="B12" s="8" t="inlineStr">
        <is>
          <t>铁合金</t>
        </is>
      </c>
      <c r="C12" s="8" t="inlineStr">
        <is>
          <t>601342600</t>
        </is>
      </c>
      <c r="D12" s="8" t="inlineStr">
        <is>
          <t>电磁纯铁板|电磁纯铁板|DT4E|Φ2.5|GB/T 6983-2008</t>
        </is>
      </c>
      <c r="E12" s="8" t="inlineStr">
        <is>
          <t xml:space="preserve">物资名称 电磁纯铁板;物资简称 电磁纯铁板;牌号 DT4E;直径 Φ2.5;技术标准号 GB/T 6983-2008;特殊要求 ;规格标准号 </t>
        </is>
      </c>
      <c r="F12" s="4" t="inlineStr">
        <is>
          <t>千克</t>
        </is>
      </c>
      <c r="G12" s="5">
        <f>LEFT(D12,FIND("|",D12,1)-1)</f>
        <v/>
      </c>
      <c r="H12" s="0">
        <f>MID(D12,FIND("|",D12,FIND("|",D12,1))+1,FIND("|",D12,FIND("|",D12,1)+1)-FIND("|",D12,FIND("|",D12,1))-1)</f>
        <v/>
      </c>
      <c r="J12" s="0">
        <f>MID(D12,FIND(";",SUBSTITUTE(D12,"|",REPT(";",LEN(D12)),2))+1,FIND(";",SUBSTITUTE(D12,"|",REPT(";",LEN(D12)),3))-FIND(";",SUBSTITUTE(D12,"|",REPT(";",LEN(D12)),2))-1)</f>
        <v/>
      </c>
      <c r="K12" s="0">
        <f>MID(D12,FIND(";",SUBSTITUTE(D12,"|",REPT(";",LEN(D12)),3))+1,FIND(";",SUBSTITUTE(D12,"|",REPT(";",LEN(D12)),4))-FIND(";",SUBSTITUTE(D12,"|",REPT(";",LEN(D12)),3))-1)</f>
        <v/>
      </c>
      <c r="L12" s="0">
        <f>MID(D12,FIND(";",SUBSTITUTE(D12,"|",REPT(";",LEN(D12)),4))+1,LEN(D12))</f>
        <v/>
      </c>
    </row>
    <row r="13" s="21">
      <c r="A13" s="8" t="inlineStr">
        <is>
          <t>100603</t>
        </is>
      </c>
      <c r="B13" s="8" t="inlineStr">
        <is>
          <t>铁合金</t>
        </is>
      </c>
      <c r="C13" s="8" t="inlineStr">
        <is>
          <t>601342500</t>
        </is>
      </c>
      <c r="D13" s="8" t="inlineStr">
        <is>
          <t>电磁纯铁棒|电磁纯铁棒|DT4A|Φ12|GB/T 6983-2008</t>
        </is>
      </c>
      <c r="E13" s="8" t="inlineStr">
        <is>
          <t xml:space="preserve">物资名称 电磁纯铁棒;物资简称 电磁纯铁棒;牌号 DT4A;直径 Φ12;技术标准号 GB/T 6983-2008;特殊要求 ;规格标准号 </t>
        </is>
      </c>
      <c r="F13" s="4" t="inlineStr">
        <is>
          <t>千克</t>
        </is>
      </c>
      <c r="G13" s="5">
        <f>LEFT(D13,FIND("|",D13,1)-1)</f>
        <v/>
      </c>
      <c r="H13" s="0">
        <f>MID(D13,FIND("|",D13,FIND("|",D13,1))+1,FIND("|",D13,FIND("|",D13,1)+1)-FIND("|",D13,FIND("|",D13,1))-1)</f>
        <v/>
      </c>
      <c r="J13" s="0">
        <f>MID(D13,FIND(";",SUBSTITUTE(D13,"|",REPT(";",LEN(D13)),2))+1,FIND(";",SUBSTITUTE(D13,"|",REPT(";",LEN(D13)),3))-FIND(";",SUBSTITUTE(D13,"|",REPT(";",LEN(D13)),2))-1)</f>
        <v/>
      </c>
      <c r="K13" s="0">
        <f>MID(D13,FIND(";",SUBSTITUTE(D13,"|",REPT(";",LEN(D13)),3))+1,FIND(";",SUBSTITUTE(D13,"|",REPT(";",LEN(D13)),4))-FIND(";",SUBSTITUTE(D13,"|",REPT(";",LEN(D13)),3))-1)</f>
        <v/>
      </c>
      <c r="L13" s="0">
        <f>MID(D13,FIND(";",SUBSTITUTE(D13,"|",REPT(";",LEN(D13)),4))+1,LEN(D13))</f>
        <v/>
      </c>
    </row>
    <row r="14" s="21">
      <c r="A14" s="8" t="inlineStr">
        <is>
          <t>100603</t>
        </is>
      </c>
      <c r="B14" s="8" t="inlineStr">
        <is>
          <t>铁合金</t>
        </is>
      </c>
      <c r="C14" s="8" t="inlineStr">
        <is>
          <t>601342400</t>
        </is>
      </c>
      <c r="D14" s="8" t="inlineStr">
        <is>
          <t>电磁纯铁棒|电磁纯铁棒|DT4A|Φ28|GB/T 6983-2008</t>
        </is>
      </c>
      <c r="E14" s="8" t="inlineStr">
        <is>
          <t xml:space="preserve">物资名称 电磁纯铁棒;物资简称 电磁纯铁棒;牌号 DT4A;直径 Φ28;技术标准号 GB/T 6983-2008;特殊要求 ;规格标准号 </t>
        </is>
      </c>
      <c r="F14" s="4" t="inlineStr">
        <is>
          <t>千克</t>
        </is>
      </c>
      <c r="G14" s="5">
        <f>LEFT(D14,FIND("|",D14,1)-1)</f>
        <v/>
      </c>
      <c r="H14" s="0">
        <f>MID(D14,FIND("|",D14,FIND("|",D14,1))+1,FIND("|",D14,FIND("|",D14,1)+1)-FIND("|",D14,FIND("|",D14,1))-1)</f>
        <v/>
      </c>
      <c r="J14" s="0">
        <f>MID(D14,FIND(";",SUBSTITUTE(D14,"|",REPT(";",LEN(D14)),2))+1,FIND(";",SUBSTITUTE(D14,"|",REPT(";",LEN(D14)),3))-FIND(";",SUBSTITUTE(D14,"|",REPT(";",LEN(D14)),2))-1)</f>
        <v/>
      </c>
      <c r="K14" s="0">
        <f>MID(D14,FIND(";",SUBSTITUTE(D14,"|",REPT(";",LEN(D14)),3))+1,FIND(";",SUBSTITUTE(D14,"|",REPT(";",LEN(D14)),4))-FIND(";",SUBSTITUTE(D14,"|",REPT(";",LEN(D14)),3))-1)</f>
        <v/>
      </c>
      <c r="L14" s="0">
        <f>MID(D14,FIND(";",SUBSTITUTE(D14,"|",REPT(";",LEN(D14)),4))+1,LEN(D14))</f>
        <v/>
      </c>
    </row>
    <row r="15" s="21">
      <c r="A15" s="8" t="inlineStr">
        <is>
          <t>100603</t>
        </is>
      </c>
      <c r="B15" s="8" t="inlineStr">
        <is>
          <t>铁合金</t>
        </is>
      </c>
      <c r="C15" s="8" t="inlineStr">
        <is>
          <t>601342300</t>
        </is>
      </c>
      <c r="D15" s="8" t="inlineStr">
        <is>
          <t>电磁纯铁棒|电磁纯铁棒|DT4C|Φ75|GB/T 6983-2008</t>
        </is>
      </c>
      <c r="E15" s="8" t="inlineStr">
        <is>
          <t xml:space="preserve">物资名称 电磁纯铁棒;物资简称 电磁纯铁棒;牌号 DT4C;直径 Φ75;技术标准号 GB/T 6983-2008;特殊要求 ;规格标准号 </t>
        </is>
      </c>
      <c r="F15" s="4" t="inlineStr">
        <is>
          <t>千克</t>
        </is>
      </c>
      <c r="G15" s="5">
        <f>LEFT(D15,FIND("|",D15,1)-1)</f>
        <v/>
      </c>
      <c r="H15" s="0">
        <f>MID(D15,FIND("|",D15,FIND("|",D15,1))+1,FIND("|",D15,FIND("|",D15,1)+1)-FIND("|",D15,FIND("|",D15,1))-1)</f>
        <v/>
      </c>
      <c r="J15" s="0">
        <f>MID(D15,FIND(";",SUBSTITUTE(D15,"|",REPT(";",LEN(D15)),2))+1,FIND(";",SUBSTITUTE(D15,"|",REPT(";",LEN(D15)),3))-FIND(";",SUBSTITUTE(D15,"|",REPT(";",LEN(D15)),2))-1)</f>
        <v/>
      </c>
      <c r="K15" s="0">
        <f>MID(D15,FIND(";",SUBSTITUTE(D15,"|",REPT(";",LEN(D15)),3))+1,FIND(";",SUBSTITUTE(D15,"|",REPT(";",LEN(D15)),4))-FIND(";",SUBSTITUTE(D15,"|",REPT(";",LEN(D15)),3))-1)</f>
        <v/>
      </c>
      <c r="L15" s="0">
        <f>MID(D15,FIND(";",SUBSTITUTE(D15,"|",REPT(";",LEN(D15)),4))+1,LEN(D15))</f>
        <v/>
      </c>
    </row>
    <row r="16" s="21">
      <c r="A16" s="8" t="inlineStr">
        <is>
          <t>100603</t>
        </is>
      </c>
      <c r="B16" s="8" t="inlineStr">
        <is>
          <t>铁合金</t>
        </is>
      </c>
      <c r="C16" s="8" t="inlineStr">
        <is>
          <t>600985600</t>
        </is>
      </c>
      <c r="D16" s="8" t="inlineStr">
        <is>
          <t>纯铁|铁合金|DT4C|Φ60|GB/T 6983-1986</t>
        </is>
      </c>
      <c r="E16" s="8" t="inlineStr">
        <is>
          <t xml:space="preserve">物资名称 纯铁;物资简称 铁合金;牌号 DT4C;直径 Φ60;技术标准号 GB/T 6983-1986;特殊要求 ;规格标准号 </t>
        </is>
      </c>
      <c r="F16" s="4" t="inlineStr">
        <is>
          <t>千克</t>
        </is>
      </c>
      <c r="G16" s="5">
        <f>LEFT(D16,FIND("|",D16,1)-1)</f>
        <v/>
      </c>
      <c r="H16" s="0">
        <f>MID(D16,FIND("|",D16,FIND("|",D16,1))+1,FIND("|",D16,FIND("|",D16,1)+1)-FIND("|",D16,FIND("|",D16,1))-1)</f>
        <v/>
      </c>
      <c r="J16" s="0">
        <f>MID(D16,FIND(";",SUBSTITUTE(D16,"|",REPT(";",LEN(D16)),2))+1,FIND(";",SUBSTITUTE(D16,"|",REPT(";",LEN(D16)),3))-FIND(";",SUBSTITUTE(D16,"|",REPT(";",LEN(D16)),2))-1)</f>
        <v/>
      </c>
      <c r="K16" s="0">
        <f>MID(D16,FIND(";",SUBSTITUTE(D16,"|",REPT(";",LEN(D16)),3))+1,FIND(";",SUBSTITUTE(D16,"|",REPT(";",LEN(D16)),4))-FIND(";",SUBSTITUTE(D16,"|",REPT(";",LEN(D16)),3))-1)</f>
        <v/>
      </c>
      <c r="L16" s="0">
        <f>MID(D16,FIND(";",SUBSTITUTE(D16,"|",REPT(";",LEN(D16)),4))+1,LEN(D16))</f>
        <v/>
      </c>
    </row>
    <row r="17" s="21">
      <c r="A17" s="8" t="inlineStr">
        <is>
          <t>100603</t>
        </is>
      </c>
      <c r="B17" s="8" t="inlineStr">
        <is>
          <t>铁合金</t>
        </is>
      </c>
      <c r="C17" s="8" t="inlineStr">
        <is>
          <t>600909300</t>
        </is>
      </c>
      <c r="D17" s="8" t="inlineStr">
        <is>
          <t>纯铁棒|DT4C|GB/T 6983-1986</t>
        </is>
      </c>
      <c r="E17" s="8" t="inlineStr">
        <is>
          <t xml:space="preserve">物资名称 纯铁棒;牌号 DT4C;技术标准号 GB/T 6983-1986;特殊要求 ;规格标准号 </t>
        </is>
      </c>
      <c r="F17" s="4" t="inlineStr">
        <is>
          <t>千克</t>
        </is>
      </c>
      <c r="G17" s="5">
        <f>LEFT(D17,FIND("|",D17,1)-1)</f>
        <v/>
      </c>
      <c r="J17" s="0">
        <f>MID(D17,FIND("|",D17,FIND("|",D17,1))+1,FIND("|",D17,FIND("|",D17,1)+1)-FIND("|",D17,FIND("|",D17,1))-1)</f>
        <v/>
      </c>
      <c r="L17" s="0">
        <f>MID(D17,FIND(";",SUBSTITUTE(D17,"|",REPT(";",LEN(D17)),2))+1,LEN(D17))</f>
        <v/>
      </c>
    </row>
    <row r="18" s="21">
      <c r="A18" s="8" t="inlineStr">
        <is>
          <t>100603</t>
        </is>
      </c>
      <c r="B18" s="8" t="inlineStr">
        <is>
          <t>铁合金</t>
        </is>
      </c>
      <c r="C18" s="8" t="inlineStr">
        <is>
          <t>600881400</t>
        </is>
      </c>
      <c r="D18" s="8" t="inlineStr">
        <is>
          <t>电磁纯铁|电工纯铁|DT4C|δ2.5|GB 6985-1996|A Ⅱ</t>
        </is>
      </c>
      <c r="E18" s="8" t="inlineStr">
        <is>
          <t xml:space="preserve">物资名称 电磁纯铁;物资简称 电工纯铁;牌号 DT4C;厚度 δ2.5;宽 ;长 ;技术标准号 GB 6985-1996;特殊要求 A Ⅱ;规格标准号 </t>
        </is>
      </c>
      <c r="F18" s="4" t="inlineStr">
        <is>
          <t>千克</t>
        </is>
      </c>
      <c r="G18" s="5">
        <f>LEFT(D18,FIND("|",D18,1)-1)</f>
        <v/>
      </c>
      <c r="H18" s="0">
        <f>MID(D18,FIND("|",D18,FIND("|",D18,1))+1,FIND("|",D18,FIND("|",D18,1)+1)-FIND("|",D18,FIND("|",D18,1))-1)</f>
        <v/>
      </c>
      <c r="J18" s="0">
        <f>MID(D18,FIND(";",SUBSTITUTE(D18,"|",REPT(";",LEN(D18)),2))+1,FIND(";",SUBSTITUTE(D18,"|",REPT(";",LEN(D18)),3))-FIND(";",SUBSTITUTE(D18,"|",REPT(";",LEN(D18)),2))-1)</f>
        <v/>
      </c>
      <c r="K18" s="0">
        <f>MID(D18,FIND(";",SUBSTITUTE(D18,"|",REPT(";",LEN(D18)),3))+1,FIND(";",SUBSTITUTE(D18,"|",REPT(";",LEN(D18)),4))-FIND(";",SUBSTITUTE(D18,"|",REPT(";",LEN(D18)),3))-1)</f>
        <v/>
      </c>
      <c r="L18" s="0">
        <f>MID(D18,FIND(";",SUBSTITUTE(D18,"|",REPT(";",LEN(D18)),4))+1,FIND(";",SUBSTITUTE(D18,"|",REPT(";",LEN(D18)),5))-FIND(";",SUBSTITUTE(D18,"|",REPT(";",LEN(D18)),4))-1)</f>
        <v/>
      </c>
      <c r="O18" s="0">
        <f>MID(D18,FIND(";",SUBSTITUTE(D18,"|",REPT(";",LEN(D18)),5))+1,LEN(D18))</f>
        <v/>
      </c>
    </row>
    <row r="19" s="21">
      <c r="A19" s="8" t="inlineStr">
        <is>
          <t>100603</t>
        </is>
      </c>
      <c r="B19" s="8" t="inlineStr">
        <is>
          <t>铁合金</t>
        </is>
      </c>
      <c r="C19" s="8" t="inlineStr">
        <is>
          <t>600636900</t>
        </is>
      </c>
      <c r="D19" s="8" t="inlineStr">
        <is>
          <t>铁镍合金|4J36|YB/T 5241-2005</t>
        </is>
      </c>
      <c r="E19" s="8" t="inlineStr">
        <is>
          <t xml:space="preserve">物资名称 铁镍合金;牌号 4J36;技术标准号 YB/T 5241-2005;特殊要求 ;规格标准号 </t>
        </is>
      </c>
      <c r="F19" s="4" t="inlineStr">
        <is>
          <t>千克</t>
        </is>
      </c>
      <c r="G19" s="5">
        <f>LEFT(D19,FIND("|",D19,1)-1)</f>
        <v/>
      </c>
      <c r="J19" s="0">
        <f>MID(D19,FIND("|",D19,FIND("|",D19,1))+1,FIND("|",D19,FIND("|",D19,1)+1)-FIND("|",D19,FIND("|",D19,1))-1)</f>
        <v/>
      </c>
      <c r="L19" s="0">
        <f>MID(D19,FIND(";",SUBSTITUTE(D19,"|",REPT(";",LEN(D19)),2))+1,LEN(D19))</f>
        <v/>
      </c>
    </row>
    <row r="20" s="21">
      <c r="A20" s="8" t="inlineStr">
        <is>
          <t>100603</t>
        </is>
      </c>
      <c r="B20" s="8" t="inlineStr">
        <is>
          <t>铁合金</t>
        </is>
      </c>
      <c r="C20" s="8" t="inlineStr">
        <is>
          <t>600636800</t>
        </is>
      </c>
      <c r="D20" s="8" t="inlineStr">
        <is>
          <t>电磁纯铁|DT4|GB/T 6983-2008</t>
        </is>
      </c>
      <c r="E20" s="8" t="inlineStr">
        <is>
          <t xml:space="preserve">物资名称 电磁纯铁;牌号 DT4;技术标准号 GB/T 6983-2008;特殊要求 ;规格标准号 </t>
        </is>
      </c>
      <c r="F20" s="4" t="inlineStr">
        <is>
          <t>千克</t>
        </is>
      </c>
      <c r="G20" s="5">
        <f>LEFT(D20,FIND("|",D20,1)-1)</f>
        <v/>
      </c>
      <c r="J20" s="0">
        <f>MID(D20,FIND("|",D20,FIND("|",D20,1))+1,FIND("|",D20,FIND("|",D20,1)+1)-FIND("|",D20,FIND("|",D20,1))-1)</f>
        <v/>
      </c>
      <c r="L20" s="0">
        <f>MID(D20,FIND(";",SUBSTITUTE(D20,"|",REPT(";",LEN(D20)),2))+1,LEN(D20))</f>
        <v/>
      </c>
    </row>
    <row r="21" s="21">
      <c r="A21" s="8" t="inlineStr">
        <is>
          <t>100603</t>
        </is>
      </c>
      <c r="B21" s="8" t="inlineStr">
        <is>
          <t>铁合金</t>
        </is>
      </c>
      <c r="C21" s="8" t="inlineStr">
        <is>
          <t>600636700</t>
        </is>
      </c>
      <c r="D21" s="8" t="inlineStr">
        <is>
          <t>电磁纯铁|DT4A|GB/T 6983-2008</t>
        </is>
      </c>
      <c r="E21" s="8" t="inlineStr">
        <is>
          <t xml:space="preserve">物资名称 电磁纯铁;牌号 DT4A;技术标准号 GB/T 6983-2008;特殊要求 ;规格标准号 </t>
        </is>
      </c>
      <c r="F21" s="4" t="inlineStr">
        <is>
          <t>千克</t>
        </is>
      </c>
      <c r="G21" s="5">
        <f>LEFT(D21,FIND("|",D21,1)-1)</f>
        <v/>
      </c>
      <c r="J21" s="0">
        <f>MID(D21,FIND("|",D21,FIND("|",D21,1))+1,FIND("|",D21,FIND("|",D21,1)+1)-FIND("|",D21,FIND("|",D21,1))-1)</f>
        <v/>
      </c>
      <c r="L21" s="0">
        <f>MID(D21,FIND(";",SUBSTITUTE(D21,"|",REPT(";",LEN(D21)),2))+1,LEN(D21))</f>
        <v/>
      </c>
    </row>
    <row r="22" s="21">
      <c r="A22" s="8" t="inlineStr">
        <is>
          <t>100603</t>
        </is>
      </c>
      <c r="B22" s="8" t="inlineStr">
        <is>
          <t>铁合金</t>
        </is>
      </c>
      <c r="C22" s="8" t="inlineStr">
        <is>
          <t>600636600</t>
        </is>
      </c>
      <c r="D22" s="8" t="inlineStr">
        <is>
          <t>电磁纯铁|DT4C|GB/T 6983-2008</t>
        </is>
      </c>
      <c r="E22" s="8" t="inlineStr">
        <is>
          <t xml:space="preserve">物资名称 电磁纯铁;牌号 DT4C;技术标准号 GB/T 6983-2008;特殊要求 ;规格标准号 </t>
        </is>
      </c>
      <c r="F22" s="4" t="inlineStr">
        <is>
          <t>千克</t>
        </is>
      </c>
      <c r="G22" s="5">
        <f>LEFT(D22,FIND("|",D22,1)-1)</f>
        <v/>
      </c>
      <c r="J22" s="0">
        <f>MID(D22,FIND("|",D22,FIND("|",D22,1))+1,FIND("|",D22,FIND("|",D22,1)+1)-FIND("|",D22,FIND("|",D22,1))-1)</f>
        <v/>
      </c>
      <c r="L22" s="0">
        <f>MID(D22,FIND(";",SUBSTITUTE(D22,"|",REPT(";",LEN(D22)),2))+1,LEN(D22))</f>
        <v/>
      </c>
    </row>
  </sheetData>
  <mergeCells count="1">
    <mergeCell ref="A2:P2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topLeftCell="E1" workbookViewId="0">
      <selection activeCell="I5" sqref="I5"/>
    </sheetView>
  </sheetViews>
  <sheetFormatPr baseColWidth="8" defaultColWidth="9" defaultRowHeight="54" customHeight="1"/>
  <cols>
    <col width="20" customWidth="1" style="2" min="1" max="3"/>
    <col width="70" customWidth="1" style="2" min="4" max="4"/>
    <col width="48.0636363636364" customWidth="1" style="2" min="5" max="5"/>
    <col width="14.4" customWidth="1" style="3" min="6" max="6"/>
    <col width="19.2" customWidth="1" style="21" min="7" max="7"/>
    <col width="16.0636363636364" customWidth="1" style="21" min="8" max="8"/>
    <col width="15.9363636363636" customWidth="1" style="21" min="10" max="10"/>
    <col width="38.0636363636364" customWidth="1" style="21" min="11" max="11"/>
    <col width="16.8636363636364" customWidth="1" style="21" min="12" max="12"/>
  </cols>
  <sheetData>
    <row r="1" s="21">
      <c r="A1" s="4" t="inlineStr">
        <is>
          <t>类别编码</t>
        </is>
      </c>
      <c r="B1" s="4" t="inlineStr">
        <is>
          <t>类别名称</t>
        </is>
      </c>
      <c r="C1" s="4" t="inlineStr">
        <is>
          <t>物料代码</t>
        </is>
      </c>
      <c r="D1" s="4" t="inlineStr">
        <is>
          <t>长描述</t>
        </is>
      </c>
      <c r="E1" s="4" t="inlineStr">
        <is>
          <t>全描述</t>
        </is>
      </c>
      <c r="F1" s="4" t="inlineStr">
        <is>
          <t>计量单位</t>
        </is>
      </c>
      <c r="G1" s="5" t="inlineStr">
        <is>
          <t>物资名称</t>
        </is>
      </c>
      <c r="H1" s="6" t="inlineStr">
        <is>
          <t>物资简称</t>
        </is>
      </c>
      <c r="I1" s="6" t="inlineStr">
        <is>
          <t>物资别名</t>
        </is>
      </c>
      <c r="J1" s="6" t="inlineStr">
        <is>
          <t>牌号/代号</t>
        </is>
      </c>
      <c r="K1" s="6" t="inlineStr">
        <is>
          <t>规格</t>
        </is>
      </c>
      <c r="L1" s="6" t="inlineStr">
        <is>
          <t>技术标准号</t>
        </is>
      </c>
      <c r="M1" s="6" t="inlineStr">
        <is>
          <t>加工工艺</t>
        </is>
      </c>
      <c r="N1" s="6" t="inlineStr">
        <is>
          <t>热处理工艺</t>
        </is>
      </c>
      <c r="O1" s="6" t="inlineStr">
        <is>
          <t>特殊要求</t>
        </is>
      </c>
    </row>
    <row r="2" ht="14" customFormat="1" customHeight="1" s="1">
      <c r="A2" s="7" t="inlineStr">
        <is>
          <t>注：“〇”表示必填项，“－”表示非必填项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s="21">
      <c r="A3" s="8" t="n"/>
      <c r="B3" s="8" t="n"/>
      <c r="C3" s="8" t="n"/>
      <c r="D3" s="8" t="n"/>
      <c r="E3" s="8" t="n"/>
      <c r="F3" s="4" t="n"/>
      <c r="G3" s="0" t="inlineStr">
        <is>
          <t>〇</t>
        </is>
      </c>
      <c r="H3" s="0" t="inlineStr">
        <is>
          <t>〇</t>
        </is>
      </c>
      <c r="I3" s="0" t="inlineStr">
        <is>
          <t>－</t>
        </is>
      </c>
      <c r="J3" s="0" t="inlineStr">
        <is>
          <t>〇</t>
        </is>
      </c>
      <c r="K3" s="0" t="inlineStr">
        <is>
          <t>〇</t>
        </is>
      </c>
      <c r="L3" s="0" t="inlineStr">
        <is>
          <t>〇</t>
        </is>
      </c>
      <c r="M3" s="0" t="inlineStr">
        <is>
          <t>〇</t>
        </is>
      </c>
      <c r="N3" s="0" t="inlineStr">
        <is>
          <t>〇</t>
        </is>
      </c>
      <c r="O3" s="0" t="inlineStr">
        <is>
          <t>〇</t>
        </is>
      </c>
    </row>
    <row r="4" s="21">
      <c r="A4" s="8" t="inlineStr">
        <is>
          <t>109904</t>
        </is>
      </c>
      <c r="B4" s="8" t="inlineStr">
        <is>
          <t>铸钢件</t>
        </is>
      </c>
      <c r="C4" s="8" t="inlineStr">
        <is>
          <t>601010200</t>
        </is>
      </c>
      <c r="D4" s="8" t="inlineStr">
        <is>
          <t>铸钢|铸钢|ZG40Cr|WJ649-95</t>
        </is>
      </c>
      <c r="E4" s="8" t="inlineStr">
        <is>
          <t xml:space="preserve">物资名称 铸钢;物资简称 铸钢;牌号 ZG40Cr;规格 ;技术标准号 WJ649-95;加工工艺 ;热处理工艺 ;特殊要求 ;规格标准号 </t>
        </is>
      </c>
      <c r="F4" s="4" t="inlineStr">
        <is>
          <t>千克</t>
        </is>
      </c>
      <c r="G4" s="0">
        <f>LEFT(D4,FIND("|",D4,1)-1)</f>
        <v/>
      </c>
      <c r="H4" s="0">
        <f>MID(D4,FIND("|",D4,FIND("|",D4,1))+1,FIND("|",D4,FIND("|",D4,1)+1)-FIND("|",D4,FIND("|",D4,1))-1)</f>
        <v/>
      </c>
      <c r="J4" s="0">
        <f>MID(D4,FIND(";",SUBSTITUTE(D4,"|",REPT(";",LEN(D4)),2))+1,FIND(";",SUBSTITUTE(D4,"|",REPT(";",LEN(D4)),3))-FIND(";",SUBSTITUTE(D4,"|",REPT(";",LEN(D4)),2))-1)</f>
        <v/>
      </c>
      <c r="L4" s="0">
        <f>MID(D4,FIND(";",SUBSTITUTE(D4,"|",REPT(";",LEN(D4)),3))+1,LEN(D4))</f>
        <v/>
      </c>
    </row>
    <row r="5" s="21">
      <c r="A5" s="8" t="inlineStr">
        <is>
          <t>109904</t>
        </is>
      </c>
      <c r="B5" s="8" t="inlineStr">
        <is>
          <t>铸钢件</t>
        </is>
      </c>
      <c r="C5" s="8" t="inlineStr">
        <is>
          <t>600909600</t>
        </is>
      </c>
      <c r="D5" s="8" t="inlineStr">
        <is>
          <t>铸钢|铸钢|ZG2Cr13|GB/T 2100-1980</t>
        </is>
      </c>
      <c r="E5" s="8" t="inlineStr">
        <is>
          <t xml:space="preserve">物资名称 铸钢;物资简称 铸钢;牌号 ZG2Cr13;规格 ;技术标准号 GB/T 2100-1980;加工工艺 ;热处理工艺 ;特殊要求 ;规格标准号 </t>
        </is>
      </c>
      <c r="F5" s="4" t="inlineStr">
        <is>
          <t>千克</t>
        </is>
      </c>
      <c r="G5" s="0">
        <f>LEFT(D5,FIND("|",D5,1)-1)</f>
        <v/>
      </c>
      <c r="H5" s="0">
        <f>MID(D5,FIND("|",D5,FIND("|",D5,1))+1,FIND("|",D5,FIND("|",D5,1)+1)-FIND("|",D5,FIND("|",D5,1))-1)</f>
        <v/>
      </c>
      <c r="J5" s="0">
        <f>MID(D5,FIND(";",SUBSTITUTE(D5,"|",REPT(";",LEN(D5)),2))+1,FIND(";",SUBSTITUTE(D5,"|",REPT(";",LEN(D5)),3))-FIND(";",SUBSTITUTE(D5,"|",REPT(";",LEN(D5)),2))-1)</f>
        <v/>
      </c>
      <c r="L5" s="0">
        <f>MID(D5,FIND(";",SUBSTITUTE(D5,"|",REPT(";",LEN(D5)),3))+1,LEN(D5))</f>
        <v/>
      </c>
    </row>
    <row r="6" s="21">
      <c r="A6" s="8" t="inlineStr">
        <is>
          <t>109904</t>
        </is>
      </c>
      <c r="B6" s="8" t="inlineStr">
        <is>
          <t>铸钢件</t>
        </is>
      </c>
      <c r="C6" s="8" t="inlineStr">
        <is>
          <t>600637000</t>
        </is>
      </c>
      <c r="D6" s="8" t="inlineStr">
        <is>
          <t>一般用途耐蚀钢铸件|铸钢|ZG20Cr13|GB/T 2100-2002</t>
        </is>
      </c>
      <c r="E6" s="8" t="inlineStr">
        <is>
          <t xml:space="preserve">物资名称 一般用途耐蚀钢铸件;物资简称 铸钢;牌号 ZG20Cr13;规格 ;技术标准号 GB/T 2100-2002;加工工艺 ;热处理工艺 ;特殊要求 ;规格标准号 </t>
        </is>
      </c>
      <c r="F6" s="4" t="inlineStr">
        <is>
          <t>千克</t>
        </is>
      </c>
      <c r="G6" s="0">
        <f>LEFT(D6,FIND("|",D6,1)-1)</f>
        <v/>
      </c>
      <c r="H6" s="0">
        <f>MID(D6,FIND("|",D6,FIND("|",D6,1))+1,FIND("|",D6,FIND("|",D6,1)+1)-FIND("|",D6,FIND("|",D6,1))-1)</f>
        <v/>
      </c>
      <c r="J6" s="0">
        <f>MID(D6,FIND(";",SUBSTITUTE(D6,"|",REPT(";",LEN(D6)),2))+1,FIND(";",SUBSTITUTE(D6,"|",REPT(";",LEN(D6)),3))-FIND(";",SUBSTITUTE(D6,"|",REPT(";",LEN(D6)),2))-1)</f>
        <v/>
      </c>
      <c r="L6" s="0">
        <f>MID(D6,FIND(";",SUBSTITUTE(D6,"|",REPT(";",LEN(D6)),3))+1,LEN(D6))</f>
        <v/>
      </c>
    </row>
    <row r="7" s="21">
      <c r="A7" s="8" t="inlineStr">
        <is>
          <t>109988</t>
        </is>
      </c>
      <c r="B7" s="8" t="inlineStr">
        <is>
          <t>不确定小类</t>
        </is>
      </c>
      <c r="C7" s="8" t="inlineStr">
        <is>
          <t>601439200</t>
        </is>
      </c>
      <c r="D7" s="8" t="inlineStr">
        <is>
          <t>不锈板|1Cr18Ni9Ti|T=10</t>
        </is>
      </c>
      <c r="E7" s="8" t="inlineStr">
        <is>
          <t>物资名称 不锈板;型号规格 1Cr18Ni9Ti|T=10</t>
        </is>
      </c>
      <c r="F7" s="4" t="inlineStr">
        <is>
          <t>千克</t>
        </is>
      </c>
      <c r="G7" s="0">
        <f>LEFT(D7,FIND("|",D7,1)-1)</f>
        <v/>
      </c>
      <c r="K7" s="0">
        <f>MID(D7,FIND(";",SUBSTITUTE(D7,"|",REPT(";",LEN(D7)),1))+1,LEN(D7))</f>
        <v/>
      </c>
    </row>
    <row r="8" s="21">
      <c r="A8" s="8" t="inlineStr">
        <is>
          <t>109988</t>
        </is>
      </c>
      <c r="B8" s="8" t="inlineStr">
        <is>
          <t>不确定小类</t>
        </is>
      </c>
      <c r="C8" s="8" t="inlineStr">
        <is>
          <t>601439100</t>
        </is>
      </c>
      <c r="D8" s="8" t="inlineStr">
        <is>
          <t>不锈板|1Cr18Ni9Ti|T=6</t>
        </is>
      </c>
      <c r="E8" s="8" t="inlineStr">
        <is>
          <t>物资名称 不锈板;型号规格 1Cr18Ni9Ti|T=6</t>
        </is>
      </c>
      <c r="F8" s="4" t="inlineStr">
        <is>
          <t>千克</t>
        </is>
      </c>
      <c r="G8" s="0">
        <f>LEFT(D8,FIND("|",D8,1)-1)</f>
        <v/>
      </c>
      <c r="K8" s="0">
        <f>MID(D8,FIND(";",SUBSTITUTE(D8,"|",REPT(";",LEN(D8)),1))+1,LEN(D8))</f>
        <v/>
      </c>
    </row>
    <row r="9" s="21">
      <c r="A9" s="8" t="inlineStr">
        <is>
          <t>109988</t>
        </is>
      </c>
      <c r="B9" s="8" t="inlineStr">
        <is>
          <t>不确定小类</t>
        </is>
      </c>
      <c r="C9" s="8" t="inlineStr">
        <is>
          <t>601312600</t>
        </is>
      </c>
      <c r="D9" s="8" t="inlineStr">
        <is>
          <t>不锈板|0Cr18Ni9_t=1_泰恒润丰</t>
        </is>
      </c>
      <c r="E9" s="8" t="inlineStr">
        <is>
          <t>物资名称 不锈板;型号规格 0Cr18Ni9_t=1_泰恒润丰</t>
        </is>
      </c>
      <c r="F9" s="4" t="inlineStr">
        <is>
          <t>千克</t>
        </is>
      </c>
      <c r="G9" s="0">
        <f>LEFT(D9,FIND("|",D9,1)-1)</f>
        <v/>
      </c>
      <c r="K9" s="0">
        <f>MID(D9,FIND(";",SUBSTITUTE(D9,"|",REPT(";",LEN(D9)),1))+1,LEN(D9))</f>
        <v/>
      </c>
    </row>
    <row r="10" s="21">
      <c r="A10" s="8" t="inlineStr">
        <is>
          <t>109988</t>
        </is>
      </c>
      <c r="B10" s="8" t="inlineStr">
        <is>
          <t>不确定小类</t>
        </is>
      </c>
      <c r="C10" s="8" t="inlineStr">
        <is>
          <t>601312500</t>
        </is>
      </c>
      <c r="D10" s="8" t="inlineStr">
        <is>
          <t>不锈板|0Cr18Ni9_T=2.5</t>
        </is>
      </c>
      <c r="E10" s="8" t="inlineStr">
        <is>
          <t>物资名称 不锈板;型号规格 0Cr18Ni9_T=2.5</t>
        </is>
      </c>
      <c r="F10" s="4" t="inlineStr">
        <is>
          <t>千克</t>
        </is>
      </c>
      <c r="G10" s="0">
        <f>LEFT(D10,FIND("|",D10,1)-1)</f>
        <v/>
      </c>
      <c r="K10" s="0">
        <f>MID(D10,FIND(";",SUBSTITUTE(D10,"|",REPT(";",LEN(D10)),1))+1,LEN(D10))</f>
        <v/>
      </c>
    </row>
    <row r="11" s="21">
      <c r="A11" s="8" t="inlineStr">
        <is>
          <t>109988</t>
        </is>
      </c>
      <c r="B11" s="8" t="inlineStr">
        <is>
          <t>不确定小类</t>
        </is>
      </c>
      <c r="C11" s="8" t="inlineStr">
        <is>
          <t>601312400</t>
        </is>
      </c>
      <c r="D11" s="8" t="inlineStr">
        <is>
          <t>不锈板|0Cr18Ni9_T=2</t>
        </is>
      </c>
      <c r="E11" s="8" t="inlineStr">
        <is>
          <t>物资名称 不锈板;型号规格 0Cr18Ni9_T=2</t>
        </is>
      </c>
      <c r="F11" s="4" t="inlineStr">
        <is>
          <t>千克</t>
        </is>
      </c>
      <c r="G11" s="0">
        <f>LEFT(D11,FIND("|",D11,1)-1)</f>
        <v/>
      </c>
      <c r="K11" s="0">
        <f>MID(D11,FIND(";",SUBSTITUTE(D11,"|",REPT(";",LEN(D11)),1))+1,LEN(D11))</f>
        <v/>
      </c>
    </row>
    <row r="12" s="21">
      <c r="A12" s="8" t="inlineStr">
        <is>
          <t>109988</t>
        </is>
      </c>
      <c r="B12" s="8" t="inlineStr">
        <is>
          <t>不确定小类</t>
        </is>
      </c>
      <c r="C12" s="8" t="inlineStr">
        <is>
          <t>601312300</t>
        </is>
      </c>
      <c r="D12" s="8" t="inlineStr">
        <is>
          <t>不锈板|0Cr18Ni9_T=4</t>
        </is>
      </c>
      <c r="E12" s="8" t="inlineStr">
        <is>
          <t>物资名称 不锈板;型号规格 0Cr18Ni9_T=4</t>
        </is>
      </c>
      <c r="F12" s="4" t="inlineStr">
        <is>
          <t>千克</t>
        </is>
      </c>
      <c r="G12" s="0">
        <f>LEFT(D12,FIND("|",D12,1)-1)</f>
        <v/>
      </c>
      <c r="K12" s="0">
        <f>MID(D12,FIND(";",SUBSTITUTE(D12,"|",REPT(";",LEN(D12)),1))+1,LEN(D12))</f>
        <v/>
      </c>
    </row>
    <row r="13" s="21">
      <c r="A13" s="8" t="inlineStr">
        <is>
          <t>109988</t>
        </is>
      </c>
      <c r="B13" s="8" t="inlineStr">
        <is>
          <t>不确定小类</t>
        </is>
      </c>
      <c r="C13" s="8" t="inlineStr">
        <is>
          <t>601312200</t>
        </is>
      </c>
      <c r="D13" s="8" t="inlineStr">
        <is>
          <t>不锈板|0Cr18Ni9_T=5*1.5*384</t>
        </is>
      </c>
      <c r="E13" s="8" t="inlineStr">
        <is>
          <t>物资名称 不锈板;型号规格 0Cr18Ni9_T=5*1.5*384</t>
        </is>
      </c>
      <c r="F13" s="4" t="inlineStr">
        <is>
          <t>千克</t>
        </is>
      </c>
      <c r="G13" s="0">
        <f>LEFT(D13,FIND("|",D13,1)-1)</f>
        <v/>
      </c>
      <c r="K13" s="0">
        <f>MID(D13,FIND(";",SUBSTITUTE(D13,"|",REPT(";",LEN(D13)),1))+1,LEN(D13))</f>
        <v/>
      </c>
    </row>
    <row r="14" s="21">
      <c r="A14" s="8" t="inlineStr">
        <is>
          <t>109988</t>
        </is>
      </c>
      <c r="B14" s="8" t="inlineStr">
        <is>
          <t>不确定小类</t>
        </is>
      </c>
      <c r="C14" s="8" t="inlineStr">
        <is>
          <t>601312100</t>
        </is>
      </c>
      <c r="D14" s="8" t="inlineStr">
        <is>
          <t>不锈板|12Cr18Ni9_T=3</t>
        </is>
      </c>
      <c r="E14" s="8" t="inlineStr">
        <is>
          <t>物资名称 不锈板;型号规格 12Cr18Ni9_T=3</t>
        </is>
      </c>
      <c r="F14" s="4" t="inlineStr">
        <is>
          <t>千克</t>
        </is>
      </c>
      <c r="G14" s="0">
        <f>LEFT(D14,FIND("|",D14,1)-1)</f>
        <v/>
      </c>
      <c r="K14" s="0">
        <f>MID(D14,FIND(";",SUBSTITUTE(D14,"|",REPT(";",LEN(D14)),1))+1,LEN(D14))</f>
        <v/>
      </c>
    </row>
    <row r="15" s="21">
      <c r="A15" s="8" t="inlineStr">
        <is>
          <t>109988</t>
        </is>
      </c>
      <c r="B15" s="8" t="inlineStr">
        <is>
          <t>不确定小类</t>
        </is>
      </c>
      <c r="C15" s="8" t="inlineStr">
        <is>
          <t>601312000</t>
        </is>
      </c>
      <c r="D15" s="8" t="inlineStr">
        <is>
          <t>不锈板|1Cr13_t=2</t>
        </is>
      </c>
      <c r="E15" s="8" t="inlineStr">
        <is>
          <t>物资名称 不锈板;型号规格 1Cr13_t=2</t>
        </is>
      </c>
      <c r="F15" s="4" t="inlineStr">
        <is>
          <t>千克</t>
        </is>
      </c>
      <c r="G15" s="0">
        <f>LEFT(D15,FIND("|",D15,1)-1)</f>
        <v/>
      </c>
      <c r="K15" s="0">
        <f>MID(D15,FIND(";",SUBSTITUTE(D15,"|",REPT(";",LEN(D15)),1))+1,LEN(D15))</f>
        <v/>
      </c>
    </row>
    <row r="16" s="21">
      <c r="A16" s="8" t="inlineStr">
        <is>
          <t>109988</t>
        </is>
      </c>
      <c r="B16" s="8" t="inlineStr">
        <is>
          <t>不确定小类</t>
        </is>
      </c>
      <c r="C16" s="8" t="inlineStr">
        <is>
          <t>601311900</t>
        </is>
      </c>
      <c r="D16" s="8" t="inlineStr">
        <is>
          <t>不锈板|1Cr18Ni9Ti_T=25</t>
        </is>
      </c>
      <c r="E16" s="8" t="inlineStr">
        <is>
          <t>物资名称 不锈板;型号规格 1Cr18Ni9Ti_T=25</t>
        </is>
      </c>
      <c r="F16" s="4" t="inlineStr">
        <is>
          <t>千克</t>
        </is>
      </c>
      <c r="G16" s="0">
        <f>LEFT(D16,FIND("|",D16,1)-1)</f>
        <v/>
      </c>
      <c r="K16" s="0">
        <f>MID(D16,FIND(";",SUBSTITUTE(D16,"|",REPT(";",LEN(D16)),1))+1,LEN(D16))</f>
        <v/>
      </c>
    </row>
    <row r="17" s="21">
      <c r="A17" s="8" t="inlineStr">
        <is>
          <t>109988</t>
        </is>
      </c>
      <c r="B17" s="8" t="inlineStr">
        <is>
          <t>不确定小类</t>
        </is>
      </c>
      <c r="C17" s="8" t="inlineStr">
        <is>
          <t>601311800</t>
        </is>
      </c>
      <c r="D17" s="8" t="inlineStr">
        <is>
          <t>不锈板|1Cr18Ni9Ti_T=8*200</t>
        </is>
      </c>
      <c r="E17" s="8" t="inlineStr">
        <is>
          <t>物资名称 不锈板;型号规格 1Cr18Ni9Ti_T=8*200</t>
        </is>
      </c>
      <c r="F17" s="4" t="inlineStr">
        <is>
          <t>千克</t>
        </is>
      </c>
      <c r="G17" s="0">
        <f>LEFT(D17,FIND("|",D17,1)-1)</f>
        <v/>
      </c>
      <c r="K17" s="0">
        <f>MID(D17,FIND(";",SUBSTITUTE(D17,"|",REPT(";",LEN(D17)),1))+1,LEN(D17))</f>
        <v/>
      </c>
    </row>
    <row r="18" s="21">
      <c r="A18" s="8" t="inlineStr">
        <is>
          <t>109988</t>
        </is>
      </c>
      <c r="B18" s="8" t="inlineStr">
        <is>
          <t>不确定小类</t>
        </is>
      </c>
      <c r="C18" s="8" t="inlineStr">
        <is>
          <t>601311700</t>
        </is>
      </c>
      <c r="D18" s="8" t="inlineStr">
        <is>
          <t>不锈板|2Cr13A-Ⅱ_t=1.5</t>
        </is>
      </c>
      <c r="E18" s="8" t="inlineStr">
        <is>
          <t>物资名称 不锈板;型号规格 2Cr13A-Ⅱ_t=1.5</t>
        </is>
      </c>
      <c r="F18" s="4" t="inlineStr">
        <is>
          <t>千克</t>
        </is>
      </c>
      <c r="G18" s="0">
        <f>LEFT(D18,FIND("|",D18,1)-1)</f>
        <v/>
      </c>
      <c r="K18" s="0">
        <f>MID(D18,FIND(";",SUBSTITUTE(D18,"|",REPT(";",LEN(D18)),1))+1,LEN(D18))</f>
        <v/>
      </c>
    </row>
    <row r="19" s="21">
      <c r="A19" s="8" t="inlineStr">
        <is>
          <t>109988</t>
        </is>
      </c>
      <c r="B19" s="8" t="inlineStr">
        <is>
          <t>不确定小类</t>
        </is>
      </c>
      <c r="C19" s="8" t="inlineStr">
        <is>
          <t>601311600</t>
        </is>
      </c>
      <c r="D19" s="8" t="inlineStr">
        <is>
          <t>不锈板|2Cr13_t=2.5</t>
        </is>
      </c>
      <c r="E19" s="8" t="inlineStr">
        <is>
          <t>物资名称 不锈板;型号规格 2Cr13_t=2.5</t>
        </is>
      </c>
      <c r="F19" s="4" t="inlineStr">
        <is>
          <t>千克</t>
        </is>
      </c>
      <c r="G19" s="0">
        <f>LEFT(D19,FIND("|",D19,1)-1)</f>
        <v/>
      </c>
      <c r="K19" s="0">
        <f>MID(D19,FIND(";",SUBSTITUTE(D19,"|",REPT(";",LEN(D19)),1))+1,LEN(D19))</f>
        <v/>
      </c>
    </row>
    <row r="20" s="21">
      <c r="A20" s="8" t="inlineStr">
        <is>
          <t>109988</t>
        </is>
      </c>
      <c r="B20" s="8" t="inlineStr">
        <is>
          <t>不确定小类</t>
        </is>
      </c>
      <c r="C20" s="8" t="inlineStr">
        <is>
          <t>601311500</t>
        </is>
      </c>
      <c r="D20" s="8" t="inlineStr">
        <is>
          <t>不锈板|2Cr13_t=2</t>
        </is>
      </c>
      <c r="E20" s="8" t="inlineStr">
        <is>
          <t>物资名称 不锈板;型号规格 2Cr13_t=2</t>
        </is>
      </c>
      <c r="F20" s="4" t="inlineStr">
        <is>
          <t>千克</t>
        </is>
      </c>
      <c r="G20" s="0">
        <f>LEFT(D20,FIND("|",D20,1)-1)</f>
        <v/>
      </c>
      <c r="K20" s="0">
        <f>MID(D20,FIND(";",SUBSTITUTE(D20,"|",REPT(";",LEN(D20)),1))+1,LEN(D20))</f>
        <v/>
      </c>
    </row>
    <row r="21" s="21">
      <c r="A21" s="8" t="inlineStr">
        <is>
          <t>109988</t>
        </is>
      </c>
      <c r="B21" s="8" t="inlineStr">
        <is>
          <t>不确定小类</t>
        </is>
      </c>
      <c r="C21" s="8" t="inlineStr">
        <is>
          <t>601311400</t>
        </is>
      </c>
      <c r="D21" s="8" t="inlineStr">
        <is>
          <t>不锈板|2Cr13_t=4*1.05*1.82_泰恒润丰</t>
        </is>
      </c>
      <c r="E21" s="8" t="inlineStr">
        <is>
          <t>物资名称 不锈板;型号规格 2Cr13_t=4*1.05*1.82_泰恒润丰</t>
        </is>
      </c>
      <c r="F21" s="4" t="inlineStr">
        <is>
          <t>千克</t>
        </is>
      </c>
      <c r="G21" s="0">
        <f>LEFT(D21,FIND("|",D21,1)-1)</f>
        <v/>
      </c>
      <c r="K21" s="0">
        <f>MID(D21,FIND(";",SUBSTITUTE(D21,"|",REPT(";",LEN(D21)),1))+1,LEN(D21))</f>
        <v/>
      </c>
    </row>
    <row r="22" s="21">
      <c r="A22" s="8" t="inlineStr">
        <is>
          <t>109988</t>
        </is>
      </c>
      <c r="B22" s="8" t="inlineStr">
        <is>
          <t>不确定小类</t>
        </is>
      </c>
      <c r="C22" s="8" t="inlineStr">
        <is>
          <t>601311300</t>
        </is>
      </c>
      <c r="D22" s="8" t="inlineStr">
        <is>
          <t>不锈板|2Cr13-A-Ⅱ_t=2</t>
        </is>
      </c>
      <c r="E22" s="8" t="inlineStr">
        <is>
          <t>物资名称 不锈板;型号规格 2Cr13-A-Ⅱ_t=2</t>
        </is>
      </c>
      <c r="F22" s="4" t="inlineStr">
        <is>
          <t>千克</t>
        </is>
      </c>
      <c r="G22" s="0">
        <f>LEFT(D22,FIND("|",D22,1)-1)</f>
        <v/>
      </c>
      <c r="K22" s="0">
        <f>MID(D22,FIND(";",SUBSTITUTE(D22,"|",REPT(";",LEN(D22)),1))+1,LEN(D22))</f>
        <v/>
      </c>
    </row>
    <row r="23" s="21">
      <c r="A23" s="8" t="inlineStr">
        <is>
          <t>109988</t>
        </is>
      </c>
      <c r="B23" s="8" t="inlineStr">
        <is>
          <t>不确定小类</t>
        </is>
      </c>
      <c r="C23" s="8" t="inlineStr">
        <is>
          <t>601311200</t>
        </is>
      </c>
      <c r="D23" s="8" t="inlineStr">
        <is>
          <t>不锈板|0Cr25Ni20_T=1_北京晶天宝不锈钢有限公司</t>
        </is>
      </c>
      <c r="E23" s="8" t="inlineStr">
        <is>
          <t>物资名称 不锈板;型号规格 0Cr25Ni20_T=1_北京晶天宝不锈钢有限公司</t>
        </is>
      </c>
      <c r="F23" s="4" t="inlineStr">
        <is>
          <t>千克</t>
        </is>
      </c>
      <c r="G23" s="0">
        <f>LEFT(D23,FIND("|",D23,1)-1)</f>
        <v/>
      </c>
      <c r="K23" s="0">
        <f>MID(D23,FIND(";",SUBSTITUTE(D23,"|",REPT(";",LEN(D23)),1))+1,LEN(D23))</f>
        <v/>
      </c>
    </row>
    <row r="24" s="21">
      <c r="A24" s="8" t="inlineStr">
        <is>
          <t>109988</t>
        </is>
      </c>
      <c r="B24" s="8" t="inlineStr">
        <is>
          <t>不确定小类</t>
        </is>
      </c>
      <c r="C24" s="8" t="inlineStr">
        <is>
          <t>601311100</t>
        </is>
      </c>
      <c r="D24" s="8" t="inlineStr">
        <is>
          <t>钢板|20#_T=10*1500</t>
        </is>
      </c>
      <c r="E24" s="8" t="inlineStr">
        <is>
          <t>物资名称 钢板;型号规格 20#_T=10*1500</t>
        </is>
      </c>
      <c r="F24" s="4" t="inlineStr">
        <is>
          <t>千克</t>
        </is>
      </c>
      <c r="G24" s="0">
        <f>LEFT(D24,FIND("|",D24,1)-1)</f>
        <v/>
      </c>
      <c r="K24" s="0">
        <f>MID(D24,FIND(";",SUBSTITUTE(D24,"|",REPT(";",LEN(D24)),1))+1,LEN(D24))</f>
        <v/>
      </c>
    </row>
    <row r="25" s="21">
      <c r="A25" s="8" t="inlineStr">
        <is>
          <t>109988</t>
        </is>
      </c>
      <c r="B25" s="8" t="inlineStr">
        <is>
          <t>不确定小类</t>
        </is>
      </c>
      <c r="C25" s="8" t="inlineStr">
        <is>
          <t>601311000</t>
        </is>
      </c>
      <c r="D25" s="8" t="inlineStr">
        <is>
          <t>钢板|20#_T=12</t>
        </is>
      </c>
      <c r="E25" s="8" t="inlineStr">
        <is>
          <t>物资名称 钢板;型号规格 20#_T=12</t>
        </is>
      </c>
      <c r="F25" s="4" t="inlineStr">
        <is>
          <t>千克</t>
        </is>
      </c>
      <c r="G25" s="0">
        <f>LEFT(D25,FIND("|",D25,1)-1)</f>
        <v/>
      </c>
      <c r="K25" s="0">
        <f>MID(D25,FIND(";",SUBSTITUTE(D25,"|",REPT(";",LEN(D25)),1))+1,LEN(D25))</f>
        <v/>
      </c>
    </row>
    <row r="26" s="21">
      <c r="A26" s="8" t="inlineStr">
        <is>
          <t>109988</t>
        </is>
      </c>
      <c r="B26" s="8" t="inlineStr">
        <is>
          <t>不确定小类</t>
        </is>
      </c>
      <c r="C26" s="8" t="inlineStr">
        <is>
          <t>601310900</t>
        </is>
      </c>
      <c r="D26" s="8" t="inlineStr">
        <is>
          <t>钢板|４０＃_t=2．5</t>
        </is>
      </c>
      <c r="E26" s="8" t="inlineStr">
        <is>
          <t>物资名称 钢板;型号规格 ４０＃_t=2．5</t>
        </is>
      </c>
      <c r="F26" s="4" t="inlineStr">
        <is>
          <t>千克</t>
        </is>
      </c>
      <c r="G26" s="0">
        <f>LEFT(D26,FIND("|",D26,1)-1)</f>
        <v/>
      </c>
      <c r="K26" s="0">
        <f>MID(D26,FIND(";",SUBSTITUTE(D26,"|",REPT(";",LEN(D26)),1))+1,LEN(D26))</f>
        <v/>
      </c>
    </row>
    <row r="27" s="21">
      <c r="A27" s="8" t="inlineStr">
        <is>
          <t>109988</t>
        </is>
      </c>
      <c r="B27" s="8" t="inlineStr">
        <is>
          <t>不确定小类</t>
        </is>
      </c>
      <c r="C27" s="8" t="inlineStr">
        <is>
          <t>601310800</t>
        </is>
      </c>
      <c r="D27" s="8" t="inlineStr">
        <is>
          <t>钢板|４５＃_t=１．５</t>
        </is>
      </c>
      <c r="E27" s="8" t="inlineStr">
        <is>
          <t>物资名称 钢板;型号规格 ４５＃_t=１．５</t>
        </is>
      </c>
      <c r="F27" s="4" t="inlineStr">
        <is>
          <t>千克</t>
        </is>
      </c>
      <c r="G27" s="0">
        <f>LEFT(D27,FIND("|",D27,1)-1)</f>
        <v/>
      </c>
      <c r="K27" s="0">
        <f>MID(D27,FIND(";",SUBSTITUTE(D27,"|",REPT(";",LEN(D27)),1))+1,LEN(D27))</f>
        <v/>
      </c>
    </row>
    <row r="28" s="21">
      <c r="A28" s="8" t="inlineStr">
        <is>
          <t>109988</t>
        </is>
      </c>
      <c r="B28" s="8" t="inlineStr">
        <is>
          <t>不确定小类</t>
        </is>
      </c>
      <c r="C28" s="8" t="inlineStr">
        <is>
          <t>601310700</t>
        </is>
      </c>
      <c r="D28" s="8" t="inlineStr">
        <is>
          <t>钢板|45#_t=1</t>
        </is>
      </c>
      <c r="E28" s="8" t="inlineStr">
        <is>
          <t>物资名称 钢板;型号规格 45#_t=1</t>
        </is>
      </c>
      <c r="F28" s="4" t="inlineStr">
        <is>
          <t>千克</t>
        </is>
      </c>
      <c r="G28" s="0">
        <f>LEFT(D28,FIND("|",D28,1)-1)</f>
        <v/>
      </c>
      <c r="K28" s="0">
        <f>MID(D28,FIND(";",SUBSTITUTE(D28,"|",REPT(";",LEN(D28)),1))+1,LEN(D28))</f>
        <v/>
      </c>
    </row>
    <row r="29" s="21">
      <c r="A29" s="8" t="inlineStr">
        <is>
          <t>109988</t>
        </is>
      </c>
      <c r="B29" s="8" t="inlineStr">
        <is>
          <t>不确定小类</t>
        </is>
      </c>
      <c r="C29" s="8" t="inlineStr">
        <is>
          <t>601310600</t>
        </is>
      </c>
      <c r="D29" s="8" t="inlineStr">
        <is>
          <t>钢板|45#_T=22</t>
        </is>
      </c>
      <c r="E29" s="8" t="inlineStr">
        <is>
          <t>物资名称 钢板;型号规格 45#_T=22</t>
        </is>
      </c>
      <c r="F29" s="4" t="inlineStr">
        <is>
          <t>千克</t>
        </is>
      </c>
      <c r="G29" s="0">
        <f>LEFT(D29,FIND("|",D29,1)-1)</f>
        <v/>
      </c>
      <c r="K29" s="0">
        <f>MID(D29,FIND(";",SUBSTITUTE(D29,"|",REPT(";",LEN(D29)),1))+1,LEN(D29))</f>
        <v/>
      </c>
    </row>
    <row r="30" s="21">
      <c r="A30" s="8" t="inlineStr">
        <is>
          <t>109988</t>
        </is>
      </c>
      <c r="B30" s="8" t="inlineStr">
        <is>
          <t>不确定小类</t>
        </is>
      </c>
      <c r="C30" s="8" t="inlineStr">
        <is>
          <t>601310500</t>
        </is>
      </c>
      <c r="D30" s="8" t="inlineStr">
        <is>
          <t>钢板|65Mn-P-Ⅱ-Q-T_T=1*180</t>
        </is>
      </c>
      <c r="E30" s="8" t="inlineStr">
        <is>
          <t>物资名称 钢板;型号规格 65Mn-P-Ⅱ-Q-T_T=1*180</t>
        </is>
      </c>
      <c r="F30" s="4" t="inlineStr">
        <is>
          <t>千克</t>
        </is>
      </c>
      <c r="G30" s="0">
        <f>LEFT(D30,FIND("|",D30,1)-1)</f>
        <v/>
      </c>
      <c r="K30" s="0">
        <f>MID(D30,FIND(";",SUBSTITUTE(D30,"|",REPT(";",LEN(D30)),1))+1,LEN(D30))</f>
        <v/>
      </c>
    </row>
    <row r="31" s="21">
      <c r="A31" s="8" t="inlineStr">
        <is>
          <t>109988</t>
        </is>
      </c>
      <c r="B31" s="8" t="inlineStr">
        <is>
          <t>不确定小类</t>
        </is>
      </c>
      <c r="C31" s="8" t="inlineStr">
        <is>
          <t>601310400</t>
        </is>
      </c>
      <c r="D31" s="8" t="inlineStr">
        <is>
          <t>钢板|S４５C_t=1.2</t>
        </is>
      </c>
      <c r="E31" s="8" t="inlineStr">
        <is>
          <t>物资名称 钢板;型号规格 S４５C_t=1.2</t>
        </is>
      </c>
      <c r="F31" s="4" t="inlineStr">
        <is>
          <t>千克</t>
        </is>
      </c>
      <c r="G31" s="0">
        <f>LEFT(D31,FIND("|",D31,1)-1)</f>
        <v/>
      </c>
      <c r="K31" s="0">
        <f>MID(D31,FIND(";",SUBSTITUTE(D31,"|",REPT(";",LEN(D31)),1))+1,LEN(D31))</f>
        <v/>
      </c>
    </row>
    <row r="32" s="21">
      <c r="A32" s="8" t="inlineStr">
        <is>
          <t>109988</t>
        </is>
      </c>
      <c r="B32" s="8" t="inlineStr">
        <is>
          <t>不确定小类</t>
        </is>
      </c>
      <c r="C32" s="8" t="inlineStr">
        <is>
          <t>601310300</t>
        </is>
      </c>
      <c r="D32" s="8" t="inlineStr">
        <is>
          <t>合结钢|45CrNiMo1VA_T=25_GJB5063-2001</t>
        </is>
      </c>
      <c r="E32" s="8" t="inlineStr">
        <is>
          <t>物资名称 合结钢;型号规格 45CrNiMo1VA_T=25_GJB5063-2001</t>
        </is>
      </c>
      <c r="F32" s="4" t="inlineStr">
        <is>
          <t>千克</t>
        </is>
      </c>
      <c r="G32" s="0">
        <f>LEFT(D32,FIND("|",D32,1)-1)</f>
        <v/>
      </c>
      <c r="K32" s="0">
        <f>MID(D32,FIND(";",SUBSTITUTE(D32,"|",REPT(";",LEN(D32)),1))+1,LEN(D32))</f>
        <v/>
      </c>
    </row>
    <row r="33" s="21">
      <c r="A33" s="8" t="inlineStr">
        <is>
          <t>109988</t>
        </is>
      </c>
      <c r="B33" s="8" t="inlineStr">
        <is>
          <t>不确定小类</t>
        </is>
      </c>
      <c r="C33" s="8" t="inlineStr">
        <is>
          <t>601310200</t>
        </is>
      </c>
      <c r="D33" s="8" t="inlineStr">
        <is>
          <t>不锈板|304_T=10</t>
        </is>
      </c>
      <c r="E33" s="8" t="inlineStr">
        <is>
          <t>物资名称 不锈板;型号规格 304_T=10</t>
        </is>
      </c>
      <c r="F33" s="4" t="inlineStr">
        <is>
          <t>千克</t>
        </is>
      </c>
      <c r="G33" s="0">
        <f>LEFT(D33,FIND("|",D33,1)-1)</f>
        <v/>
      </c>
      <c r="K33" s="0">
        <f>MID(D33,FIND(";",SUBSTITUTE(D33,"|",REPT(";",LEN(D33)),1))+1,LEN(D33))</f>
        <v/>
      </c>
    </row>
    <row r="34" s="21">
      <c r="A34" s="8" t="inlineStr">
        <is>
          <t>109988</t>
        </is>
      </c>
      <c r="B34" s="8" t="inlineStr">
        <is>
          <t>不确定小类</t>
        </is>
      </c>
      <c r="C34" s="8" t="inlineStr">
        <is>
          <t>601310100</t>
        </is>
      </c>
      <c r="D34" s="8" t="inlineStr">
        <is>
          <t>不锈板|304_T=62</t>
        </is>
      </c>
      <c r="E34" s="8" t="inlineStr">
        <is>
          <t>物资名称 不锈板;型号规格 304_T=62</t>
        </is>
      </c>
      <c r="F34" s="4" t="inlineStr">
        <is>
          <t>千克</t>
        </is>
      </c>
      <c r="G34" s="0">
        <f>LEFT(D34,FIND("|",D34,1)-1)</f>
        <v/>
      </c>
      <c r="K34" s="0">
        <f>MID(D34,FIND(";",SUBSTITUTE(D34,"|",REPT(";",LEN(D34)),1))+1,LEN(D34))</f>
        <v/>
      </c>
    </row>
    <row r="35" s="21">
      <c r="A35" s="8" t="inlineStr">
        <is>
          <t>109988</t>
        </is>
      </c>
      <c r="B35" s="8" t="inlineStr">
        <is>
          <t>不确定小类</t>
        </is>
      </c>
      <c r="C35" s="8" t="inlineStr">
        <is>
          <t>601310000</t>
        </is>
      </c>
      <c r="D35" s="8" t="inlineStr">
        <is>
          <t>不锈板|304_T=18</t>
        </is>
      </c>
      <c r="E35" s="8" t="inlineStr">
        <is>
          <t>物资名称 不锈板;型号规格 304_T=18</t>
        </is>
      </c>
      <c r="F35" s="4" t="inlineStr">
        <is>
          <t>千克</t>
        </is>
      </c>
      <c r="G35" s="0">
        <f>LEFT(D35,FIND("|",D35,1)-1)</f>
        <v/>
      </c>
      <c r="K35" s="0">
        <f>MID(D35,FIND(";",SUBSTITUTE(D35,"|",REPT(";",LEN(D35)),1))+1,LEN(D35))</f>
        <v/>
      </c>
    </row>
    <row r="36" s="21">
      <c r="A36" s="8" t="inlineStr">
        <is>
          <t>109988</t>
        </is>
      </c>
      <c r="B36" s="8" t="inlineStr">
        <is>
          <t>不确定小类</t>
        </is>
      </c>
      <c r="C36" s="8" t="inlineStr">
        <is>
          <t>601309900</t>
        </is>
      </c>
      <c r="D36" s="8" t="inlineStr">
        <is>
          <t>不锈板|304_T=95</t>
        </is>
      </c>
      <c r="E36" s="8" t="inlineStr">
        <is>
          <t>物资名称 不锈板;型号规格 304_T=95</t>
        </is>
      </c>
      <c r="F36" s="4" t="inlineStr">
        <is>
          <t>千克</t>
        </is>
      </c>
      <c r="G36" s="0">
        <f>LEFT(D36,FIND("|",D36,1)-1)</f>
        <v/>
      </c>
      <c r="K36" s="0">
        <f>MID(D36,FIND(";",SUBSTITUTE(D36,"|",REPT(";",LEN(D36)),1))+1,LEN(D36))</f>
        <v/>
      </c>
    </row>
    <row r="37" s="21">
      <c r="A37" s="8" t="inlineStr">
        <is>
          <t>109999</t>
        </is>
      </c>
      <c r="B37" s="8" t="inlineStr">
        <is>
          <t>各种其他黑色金属材料</t>
        </is>
      </c>
      <c r="C37" s="8" t="inlineStr">
        <is>
          <t>601343400</t>
        </is>
      </c>
      <c r="D37" s="8" t="inlineStr">
        <is>
          <t>不锈槽钢|0Cr18Ni9|60*30*3</t>
        </is>
      </c>
      <c r="E37" s="8" t="inlineStr">
        <is>
          <t xml:space="preserve">物资名称 不锈槽钢;牌号 0Cr18Ni9;规格 60*30*3;技术标准号 ;加工工艺 ;热处理工艺 ;特殊要求 ;规格标准号 </t>
        </is>
      </c>
      <c r="F37" s="4" t="inlineStr">
        <is>
          <t>千克</t>
        </is>
      </c>
      <c r="G37" s="0">
        <f>LEFT(D37,FIND("|",D37,1)-1)</f>
        <v/>
      </c>
      <c r="H37" s="0">
        <f>MID(D37,FIND("|",D37,FIND("|",D37,1))+1,FIND("|",D37,FIND("|",D37,1)+1)-FIND("|",D37,FIND("|",D37,1))-1)</f>
        <v/>
      </c>
      <c r="K37" s="0">
        <f>MID(D37,FIND(";",SUBSTITUTE(D37,"|",REPT(";",LEN(D37)),2))+1,LEN(D37))</f>
        <v/>
      </c>
    </row>
    <row r="38" s="21">
      <c r="A38" s="8" t="inlineStr">
        <is>
          <t>109999</t>
        </is>
      </c>
      <c r="B38" s="8" t="inlineStr">
        <is>
          <t>各种其他黑色金属材料</t>
        </is>
      </c>
      <c r="C38" s="8" t="inlineStr">
        <is>
          <t>601343300</t>
        </is>
      </c>
      <c r="D38" s="8" t="inlineStr">
        <is>
          <t>方钢管|0Cr18Ni9|40*40*4</t>
        </is>
      </c>
      <c r="E38" s="8" t="inlineStr">
        <is>
          <t xml:space="preserve">物资名称 方钢管;牌号 0Cr18Ni9;规格 40*40*4;技术标准号 ;加工工艺 ;热处理工艺 ;特殊要求 ;规格标准号 </t>
        </is>
      </c>
      <c r="F38" s="4" t="inlineStr">
        <is>
          <t>千克</t>
        </is>
      </c>
      <c r="G38" s="0">
        <f>LEFT(D38,FIND("|",D38,1)-1)</f>
        <v/>
      </c>
      <c r="H38" s="0">
        <f>MID(D38,FIND("|",D38,FIND("|",D38,1))+1,FIND("|",D38,FIND("|",D38,1)+1)-FIND("|",D38,FIND("|",D38,1))-1)</f>
        <v/>
      </c>
      <c r="K38" s="0">
        <f>MID(D38,FIND(";",SUBSTITUTE(D38,"|",REPT(";",LEN(D38)),2))+1,LEN(D38))</f>
        <v/>
      </c>
    </row>
    <row r="39" s="21">
      <c r="A39" s="8" t="inlineStr">
        <is>
          <t>109999</t>
        </is>
      </c>
      <c r="B39" s="8" t="inlineStr">
        <is>
          <t>各种其他黑色金属材料</t>
        </is>
      </c>
      <c r="C39" s="8" t="inlineStr">
        <is>
          <t>601343200</t>
        </is>
      </c>
      <c r="D39" s="8" t="inlineStr">
        <is>
          <t>方管|Q235|20*20*2</t>
        </is>
      </c>
      <c r="E39" s="8" t="inlineStr">
        <is>
          <t xml:space="preserve">物资名称 方管;牌号 Q235;规格 20*20*2;技术标准号 ;加工工艺 ;热处理工艺 ;特殊要求 ;规格标准号 </t>
        </is>
      </c>
      <c r="F39" s="4" t="inlineStr">
        <is>
          <t>千克</t>
        </is>
      </c>
      <c r="G39" s="0">
        <f>LEFT(D39,FIND("|",D39,1)-1)</f>
        <v/>
      </c>
      <c r="H39" s="0">
        <f>MID(D39,FIND("|",D39,FIND("|",D39,1))+1,FIND("|",D39,FIND("|",D39,1)+1)-FIND("|",D39,FIND("|",D39,1))-1)</f>
        <v/>
      </c>
      <c r="K39" s="0">
        <f>MID(D39,FIND(";",SUBSTITUTE(D39,"|",REPT(";",LEN(D39)),2))+1,LEN(D39))</f>
        <v/>
      </c>
    </row>
    <row r="40" s="21">
      <c r="A40" s="8" t="inlineStr">
        <is>
          <t>109999</t>
        </is>
      </c>
      <c r="B40" s="8" t="inlineStr">
        <is>
          <t>各种其他黑色金属材料</t>
        </is>
      </c>
      <c r="C40" s="8" t="inlineStr">
        <is>
          <t>601343100</t>
        </is>
      </c>
      <c r="D40" s="8" t="inlineStr">
        <is>
          <t>钢板|200＃|t=0.5</t>
        </is>
      </c>
      <c r="E40" s="8" t="inlineStr">
        <is>
          <t xml:space="preserve">物资名称 钢板;牌号 200＃;规格 t=0.5;技术标准号 ;加工工艺 ;热处理工艺 ;特殊要求 ;规格标准号 </t>
        </is>
      </c>
      <c r="F40" s="4" t="inlineStr">
        <is>
          <t>千克</t>
        </is>
      </c>
      <c r="G40" s="0">
        <f>LEFT(D40,FIND("|",D40,1)-1)</f>
        <v/>
      </c>
      <c r="H40" s="0">
        <f>MID(D40,FIND("|",D40,FIND("|",D40,1))+1,FIND("|",D40,FIND("|",D40,1)+1)-FIND("|",D40,FIND("|",D40,1))-1)</f>
        <v/>
      </c>
      <c r="K40" s="0">
        <f>MID(D40,FIND(";",SUBSTITUTE(D40,"|",REPT(";",LEN(D40)),2))+1,LEN(D40))</f>
        <v/>
      </c>
    </row>
    <row r="41" s="21">
      <c r="A41" s="8" t="inlineStr">
        <is>
          <t>109999</t>
        </is>
      </c>
      <c r="B41" s="8" t="inlineStr">
        <is>
          <t>各种其他黑色金属材料</t>
        </is>
      </c>
      <c r="C41" s="8" t="inlineStr">
        <is>
          <t>601343000</t>
        </is>
      </c>
      <c r="D41" s="8" t="inlineStr">
        <is>
          <t>钢板|200＃|t=1.5*1250*2500</t>
        </is>
      </c>
      <c r="E41" s="8" t="inlineStr">
        <is>
          <t xml:space="preserve">物资名称 钢板;牌号 200＃;规格 t=1.5*1250*2500;技术标准号 ;加工工艺 ;热处理工艺 ;特殊要求 ;规格标准号 </t>
        </is>
      </c>
      <c r="F41" s="4" t="inlineStr">
        <is>
          <t>千克</t>
        </is>
      </c>
      <c r="G41" s="0">
        <f>LEFT(D41,FIND("|",D41,1)-1)</f>
        <v/>
      </c>
      <c r="H41" s="0">
        <f>MID(D41,FIND("|",D41,FIND("|",D41,1))+1,FIND("|",D41,FIND("|",D41,1)+1)-FIND("|",D41,FIND("|",D41,1))-1)</f>
        <v/>
      </c>
      <c r="K41" s="0">
        <f>MID(D41,FIND(";",SUBSTITUTE(D41,"|",REPT(";",LEN(D41)),2))+1,LEN(D41))</f>
        <v/>
      </c>
    </row>
  </sheetData>
  <mergeCells count="1">
    <mergeCell ref="A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</row>
    <row r="2">
      <c r="A2" t="inlineStr">
        <is>
          <t>100101</t>
        </is>
      </c>
      <c r="B2" t="inlineStr">
        <is>
          <t>冷轧板材</t>
        </is>
      </c>
      <c r="C2" t="inlineStr">
        <is>
          <t>603548700</t>
        </is>
      </c>
      <c r="D2" t="inlineStr">
        <is>
          <t>冷轧不锈钢板|钢板|06Cr19Ni10|GB/T 3280-2015|冷轧|GB/T 708-2019</t>
        </is>
      </c>
      <c r="E2" t="inlineStr">
        <is>
          <t>物资名称 冷轧不锈钢板;物资简称 钢板;牌号 06Cr19Ni10;厚度 δ;宽 ;长 ;技术标准号 GB/T 3280-2015;加工工艺 冷轧;热处理工艺 ;特殊要求 ;规格标准号 GB/T 708-2019</t>
        </is>
      </c>
      <c r="F2" t="inlineStr">
        <is>
          <t>千克</t>
        </is>
      </c>
    </row>
    <row r="3">
      <c r="A3" t="inlineStr">
        <is>
          <t>100101</t>
        </is>
      </c>
      <c r="B3" t="inlineStr">
        <is>
          <t>冷轧板材</t>
        </is>
      </c>
      <c r="C3" t="inlineStr">
        <is>
          <t>603548400</t>
        </is>
      </c>
      <c r="D3" t="inlineStr">
        <is>
          <t>冷轧优质碳素结构钢板|钢板|20|δ0.5|GB/T 13237-2013|冷轧|FB,PT.A|GB/T 708-2019</t>
        </is>
      </c>
      <c r="E3" t="inlineStr">
        <is>
          <t>物资名称 冷轧优质碳素结构钢板;物资简称 钢板;牌号 20;厚度 δ0.5;宽 ;长 ;技术标准号 GB/T 13237-2013;加工工艺 冷轧;热处理工艺 ;特殊要求 FB,PT.A;规格标准号 GB/T 708-2019</t>
        </is>
      </c>
      <c r="F3" t="inlineStr">
        <is>
          <t>千克</t>
        </is>
      </c>
    </row>
    <row r="4">
      <c r="A4" t="inlineStr">
        <is>
          <t>100101</t>
        </is>
      </c>
      <c r="B4" t="inlineStr">
        <is>
          <t>冷轧板材</t>
        </is>
      </c>
      <c r="C4" t="inlineStr">
        <is>
          <t>603545100</t>
        </is>
      </c>
      <c r="D4" t="inlineStr">
        <is>
          <t>冷轧优质碳素结构钢板|钢板|20|δ3.5|GB/T 13237-2013|冷轧|FB,PT.A|GB/T 708-2019</t>
        </is>
      </c>
      <c r="E4" t="inlineStr">
        <is>
          <t>物资名称 冷轧优质碳素结构钢板;物资简称 钢板;牌号 20;厚度 δ3.5;宽 ;长 ;技术标准号 GB/T 13237-2013;加工工艺 冷轧;热处理工艺 ;特殊要求 FB,PT.A;规格标准号 GB/T 708-2019</t>
        </is>
      </c>
      <c r="F4" t="inlineStr">
        <is>
          <t>千克</t>
        </is>
      </c>
    </row>
    <row r="5">
      <c r="A5" t="inlineStr">
        <is>
          <t>100101</t>
        </is>
      </c>
      <c r="B5" t="inlineStr">
        <is>
          <t>冷轧板材</t>
        </is>
      </c>
      <c r="C5" t="inlineStr">
        <is>
          <t>603538800</t>
        </is>
      </c>
      <c r="D5" t="inlineStr">
        <is>
          <t>冷轧不锈钢板|钢板|20Cr13|GB/T 3280-2015|冷轧|GB/T708-2019</t>
        </is>
      </c>
      <c r="E5" t="inlineStr">
        <is>
          <t>物资名称 冷轧不锈钢板;物资简称 钢板;牌号 2Cr13;厚度 δ;宽 ;长 ;技术标准号 GB/T 3280-2015;加工工艺 冷轧;热处理工艺 ;特殊要求 ;规格标准号 GB/T 1220-2007</t>
        </is>
      </c>
      <c r="F5" t="inlineStr">
        <is>
          <t>千克</t>
        </is>
      </c>
    </row>
    <row r="6">
      <c r="A6" t="inlineStr">
        <is>
          <t>100101</t>
        </is>
      </c>
      <c r="B6" t="inlineStr">
        <is>
          <t>冷轧板材</t>
        </is>
      </c>
      <c r="C6" t="inlineStr">
        <is>
          <t>603519300</t>
        </is>
      </c>
      <c r="D6" t="inlineStr">
        <is>
          <t>冷轧不锈钢板|钢板|06Cr19Ni10|δ1|GB/T 3280-2015|冷轧|GB/T 708-2019</t>
        </is>
      </c>
      <c r="E6" t="inlineStr">
        <is>
          <t>物资名称 冷轧不锈钢板;物资简称 钢板;牌号 06Cr19Ni10;厚度 δ1;宽 ;长 ;技术标准号 GB/T 3280-2015;加工工艺 冷轧;热处理工艺 ;特殊要求 ;规格标准号 GB/T 708-2019</t>
        </is>
      </c>
      <c r="F6" t="inlineStr">
        <is>
          <t>千克</t>
        </is>
      </c>
    </row>
    <row r="7">
      <c r="A7" t="inlineStr">
        <is>
          <t>100101</t>
        </is>
      </c>
      <c r="B7" t="inlineStr">
        <is>
          <t>冷轧板材</t>
        </is>
      </c>
      <c r="C7" t="inlineStr">
        <is>
          <t>603519200</t>
        </is>
      </c>
      <c r="D7" t="inlineStr">
        <is>
          <t>冷轧不锈钢板|钢板|06Cr19Ni10|δ2.5|GB/T 3280-2015|冷轧|GB/T 708-2019</t>
        </is>
      </c>
      <c r="E7" t="inlineStr">
        <is>
          <t>物资名称 冷轧不锈钢板;物资简称 钢板;牌号 06Cr19Ni10;厚度 δ2.5;宽 ;长 ;技术标准号 GB/T 3280-2015;加工工艺 冷轧;热处理工艺 ;特殊要求 ;规格标准号 GB/T 708-2019</t>
        </is>
      </c>
      <c r="F7" t="inlineStr">
        <is>
          <t>千克</t>
        </is>
      </c>
    </row>
    <row r="8">
      <c r="A8" t="inlineStr">
        <is>
          <t>100101</t>
        </is>
      </c>
      <c r="B8" t="inlineStr">
        <is>
          <t>冷轧板材</t>
        </is>
      </c>
      <c r="C8" t="inlineStr">
        <is>
          <t>603519100</t>
        </is>
      </c>
      <c r="D8" t="inlineStr">
        <is>
          <t>冷轧不锈钢板|钢板|06Cr19Ni10|δ3|GB/T 3280-2015|冷轧|GB/T 708-2019</t>
        </is>
      </c>
      <c r="E8" t="inlineStr">
        <is>
          <t>物资名称 冷轧不锈钢板;物资简称 钢板;牌号 06Cr19Ni10;厚度 δ3;宽 ;长 ;技术标准号 GB/T 3280-2015;加工工艺 冷轧;热处理工艺 ;特殊要求 ;规格标准号 GB/T 708-2019</t>
        </is>
      </c>
      <c r="F8" t="inlineStr">
        <is>
          <t>千克</t>
        </is>
      </c>
    </row>
    <row r="9">
      <c r="A9" t="inlineStr">
        <is>
          <t>100101</t>
        </is>
      </c>
      <c r="B9" t="inlineStr">
        <is>
          <t>冷轧板材</t>
        </is>
      </c>
      <c r="C9" t="inlineStr">
        <is>
          <t>603128700</t>
        </is>
      </c>
      <c r="D9" t="inlineStr">
        <is>
          <t>冷轧优质碳素结构钢板|钢板|20|δ0.8|GB/T 13237-1991|Ⅱ,P|GB/T 708-2006</t>
        </is>
      </c>
      <c r="E9" t="inlineStr">
        <is>
          <t>物资名称 冷轧优质碳素结构钢板;物资简称 钢板;牌号 20;厚度 δ0.8;宽 ;长 ;技术标准号 GB/T 13237-1991;加工工艺 ;热处理工艺 ;特殊要求 Ⅱ,P;规格标准号 GB/T 708-2006</t>
        </is>
      </c>
      <c r="F9" t="inlineStr">
        <is>
          <t>千克</t>
        </is>
      </c>
    </row>
    <row r="10">
      <c r="A10" t="inlineStr">
        <is>
          <t>100101</t>
        </is>
      </c>
      <c r="B10" t="inlineStr">
        <is>
          <t>冷轧板材</t>
        </is>
      </c>
      <c r="C10" t="inlineStr">
        <is>
          <t>603114300</t>
        </is>
      </c>
      <c r="D10" t="inlineStr">
        <is>
          <t>航空用不锈钢薄板|不锈钢板|1Cr18Ni9Ti|δ7|GJB 2295-1995|冷轧|GB/T 708-2006</t>
        </is>
      </c>
      <c r="E10" t="inlineStr">
        <is>
          <t>物资名称 航空用不锈钢薄板;物资简称 不锈钢板;牌号 1Cr18Ni9Ti;厚度 δ7;宽 ;长 ;技术标准号 GJB 2295-1995;加工工艺 ;热处理工艺 冷轧;特殊要求 ;规格标准号 GB/T 708-2006</t>
        </is>
      </c>
      <c r="F10" t="inlineStr">
        <is>
          <t>千克</t>
        </is>
      </c>
    </row>
    <row r="11">
      <c r="A11" t="inlineStr">
        <is>
          <t>100101</t>
        </is>
      </c>
      <c r="B11" t="inlineStr">
        <is>
          <t>冷轧板材</t>
        </is>
      </c>
      <c r="C11" t="inlineStr">
        <is>
          <t>602640100</t>
        </is>
      </c>
      <c r="D11" t="inlineStr">
        <is>
          <t>冷轧航空用不锈钢薄板|不锈钢板|1Cr18Ni9Ti|δ0.5|GJB 2295-1995|冷轧|GB/T 708-2006</t>
        </is>
      </c>
      <c r="E11" t="inlineStr">
        <is>
          <t>物资名称 冷轧航空用不锈钢薄板;物资简称 不锈钢板;牌号 1Cr18Ni9Ti;厚度 δ0.5;宽 ;长 ;技术标准号 GJB 2295-1995;加工工艺 ;热处理工艺 冷轧;特殊要求 ;规格标准号 GB/T 708-2006</t>
        </is>
      </c>
      <c r="F11" t="inlineStr">
        <is>
          <t>千克</t>
        </is>
      </c>
    </row>
    <row r="12">
      <c r="A12" t="inlineStr">
        <is>
          <t>100101</t>
        </is>
      </c>
      <c r="B12" t="inlineStr">
        <is>
          <t>冷轧板材</t>
        </is>
      </c>
      <c r="C12" t="inlineStr">
        <is>
          <t>602484200</t>
        </is>
      </c>
      <c r="D12" t="inlineStr">
        <is>
          <t>冷轧不锈钢板|钢板|12Cr18Ni9|δ2.5|GB/T 3280-2015|冷轧</t>
        </is>
      </c>
      <c r="E12" t="inlineStr">
        <is>
          <t xml:space="preserve">物资名称 冷轧不锈钢板;物资简称 钢板;牌号 12Cr18Ni9;厚度 δ2.5;宽 ;长 ;技术标准号 GB/T 3280-2015;加工工艺 冷轧;热处理工艺 ;特殊要求 ;规格标准号 </t>
        </is>
      </c>
      <c r="F12" t="inlineStr">
        <is>
          <t>千克</t>
        </is>
      </c>
    </row>
    <row r="13">
      <c r="A13" t="inlineStr">
        <is>
          <t>100101</t>
        </is>
      </c>
      <c r="B13" t="inlineStr">
        <is>
          <t>冷轧板材</t>
        </is>
      </c>
      <c r="C13" t="inlineStr">
        <is>
          <t>602371700</t>
        </is>
      </c>
      <c r="D13" t="inlineStr">
        <is>
          <t>冷轧优质碳素结构钢板|钢板|20|δ1|GB/T 13237-2013|冷轧|FB,PT.A|GB/T 708-2006</t>
        </is>
      </c>
      <c r="E13" t="inlineStr">
        <is>
          <t>物资名称 冷轧优质碳素结构钢板;物资简称 钢板;牌号 20;厚度 δ1;宽 ;长 ;技术标准号 GB/T 13237-2013;加工工艺 冷轧;热处理工艺 ;特殊要求 FB,PT.A;规格标准号 GB/T 708-2006</t>
        </is>
      </c>
      <c r="F13" t="inlineStr">
        <is>
          <t>千克</t>
        </is>
      </c>
    </row>
    <row r="14">
      <c r="A14" t="inlineStr">
        <is>
          <t>100101</t>
        </is>
      </c>
      <c r="B14" t="inlineStr">
        <is>
          <t>冷轧板材</t>
        </is>
      </c>
      <c r="C14" t="inlineStr">
        <is>
          <t>602355200</t>
        </is>
      </c>
      <c r="D14" t="inlineStr">
        <is>
          <t>冷轧不锈钢板|钢板|1Cr18Ni9Ti|δ6|GB 3280-1992|冷轧|GB/T 708-2006</t>
        </is>
      </c>
      <c r="E14" t="inlineStr">
        <is>
          <t>物资名称 冷轧不锈钢板;物资简称 钢板;牌号 1Cr18Ni9Ti;厚度 δ6;宽 ;长 ;技术标准号 GB 3280-1992;加工工艺 冷轧;热处理工艺 ;特殊要求 ;规格标准号 GB/T 708-2006</t>
        </is>
      </c>
      <c r="F14" t="inlineStr">
        <is>
          <t>千克</t>
        </is>
      </c>
    </row>
    <row r="15">
      <c r="A15" t="inlineStr">
        <is>
          <t>100101</t>
        </is>
      </c>
      <c r="B15" t="inlineStr">
        <is>
          <t>冷轧板材</t>
        </is>
      </c>
      <c r="C15" t="inlineStr">
        <is>
          <t>602352900</t>
        </is>
      </c>
      <c r="D15" t="inlineStr">
        <is>
          <t>冷轧优质碳素结构钢板|钢板|20|δ1.2|GB/T 13237-2013|冷轧|FB,PT.A|GB/T 708-2006</t>
        </is>
      </c>
      <c r="E15" t="inlineStr">
        <is>
          <t>物资名称 冷轧优质碳素结构钢板;物资简称 钢板;牌号 20;厚度 δ1.2;宽 ;长 ;技术标准号 GB/T 13237-2013;加工工艺 冷轧;热处理工艺 ;特殊要求 FB,PT.A;规格标准号 GB/T 708-2006</t>
        </is>
      </c>
      <c r="F15" t="inlineStr">
        <is>
          <t>千克</t>
        </is>
      </c>
    </row>
    <row r="16">
      <c r="A16" t="inlineStr">
        <is>
          <t>100101</t>
        </is>
      </c>
      <c r="B16" t="inlineStr">
        <is>
          <t>冷轧板材</t>
        </is>
      </c>
      <c r="C16" t="inlineStr">
        <is>
          <t>602352800</t>
        </is>
      </c>
      <c r="D16" t="inlineStr">
        <is>
          <t>冷轧优质碳素结构钢板|钢板|20|δ0.8|GB/T 13237-2013|冷轧|FB,PT.A|GB/T 708-2006</t>
        </is>
      </c>
      <c r="E16" t="inlineStr">
        <is>
          <t>物资名称 冷轧优质碳素结构钢板;物资简称 钢板;牌号 20;厚度 δ0.8;宽 ;长 ;技术标准号 GB/T 13237-2013;加工工艺 冷轧;热处理工艺 ;特殊要求 FB,PT.A;规格标准号 GB/T 708-2006</t>
        </is>
      </c>
      <c r="F16" t="inlineStr">
        <is>
          <t>千克</t>
        </is>
      </c>
    </row>
    <row r="17">
      <c r="A17" t="inlineStr">
        <is>
          <t>100101</t>
        </is>
      </c>
      <c r="B17" t="inlineStr">
        <is>
          <t>冷轧板材</t>
        </is>
      </c>
      <c r="C17" t="inlineStr">
        <is>
          <t>602289300</t>
        </is>
      </c>
      <c r="D17" t="inlineStr">
        <is>
          <t>冷轧不锈钢板|钢板|1Cr18Ni9Ti|GB 3280-2015|冷轧</t>
        </is>
      </c>
      <c r="E17" t="inlineStr">
        <is>
          <t xml:space="preserve">物资名称 冷轧不锈钢板;物资简称 钢板;牌号 1Cr18Ni9Ti;厚度 δ;宽 ;长 ;技术标准号 GB 3280-2015;加工工艺 冷轧;热处理工艺 ;特殊要求 ;规格标准号 </t>
        </is>
      </c>
      <c r="F17" t="inlineStr">
        <is>
          <t>千克</t>
        </is>
      </c>
    </row>
    <row r="18">
      <c r="A18" t="inlineStr">
        <is>
          <t>100101</t>
        </is>
      </c>
      <c r="B18" t="inlineStr">
        <is>
          <t>冷轧板材</t>
        </is>
      </c>
      <c r="C18" t="inlineStr">
        <is>
          <t>602183500</t>
        </is>
      </c>
      <c r="D18" t="inlineStr">
        <is>
          <t>冷轧不锈钢板|钢板|06Cr19Ni10|δ2.5|GB/T 3280-2015|冷轧|GB/T 708-2006</t>
        </is>
      </c>
      <c r="E18" t="inlineStr">
        <is>
          <t>物资名称 冷轧不锈钢板;物资简称 钢板;牌号 06Cr19Ni10;厚度 δ2.5;宽 ;长 ;技术标准号 GB/T 3280-2015;加工工艺 冷轧;热处理工艺 ;特殊要求 ;规格标准号 GB/T 708-2006</t>
        </is>
      </c>
      <c r="F18" t="inlineStr">
        <is>
          <t>千克</t>
        </is>
      </c>
    </row>
    <row r="19">
      <c r="A19" t="inlineStr">
        <is>
          <t>100101</t>
        </is>
      </c>
      <c r="B19" t="inlineStr">
        <is>
          <t>冷轧板材</t>
        </is>
      </c>
      <c r="C19" t="inlineStr">
        <is>
          <t>602183400</t>
        </is>
      </c>
      <c r="D19" t="inlineStr">
        <is>
          <t>冷轧不锈钢板|钢板|06Cr19Ni10|δ5|GB/T 3280-2015|冷轧|GB/T 708-2006</t>
        </is>
      </c>
      <c r="E19" t="inlineStr">
        <is>
          <t>物资名称 冷轧不锈钢板;物资简称 钢板;牌号 06Cr19Ni10;厚度 δ5;宽 ;长 ;技术标准号 GB/T 3280-2015;加工工艺 冷轧;热处理工艺 ;特殊要求 ;规格标准号 GB/T 708-2006</t>
        </is>
      </c>
      <c r="F19" t="inlineStr">
        <is>
          <t>千克</t>
        </is>
      </c>
    </row>
    <row r="20">
      <c r="A20" t="inlineStr">
        <is>
          <t>100101</t>
        </is>
      </c>
      <c r="B20" t="inlineStr">
        <is>
          <t>冷轧板材</t>
        </is>
      </c>
      <c r="C20" t="inlineStr">
        <is>
          <t>602183300</t>
        </is>
      </c>
      <c r="D20" t="inlineStr">
        <is>
          <t>冷轧不锈钢板|钢板|06Cr19Ni10|δ3|GB/T 3280-2015|冷轧|GB/T 708-2006</t>
        </is>
      </c>
      <c r="E20" t="inlineStr">
        <is>
          <t>物资名称 冷轧不锈钢板;物资简称 钢板;牌号 06Cr19Ni10;厚度 δ3;宽 ;长 ;技术标准号 GB/T 3280-2015;加工工艺 冷轧;热处理工艺 ;特殊要求 ;规格标准号 GB/T 708-2006</t>
        </is>
      </c>
      <c r="F20" t="inlineStr">
        <is>
          <t>千克</t>
        </is>
      </c>
    </row>
    <row r="21">
      <c r="A21" t="inlineStr">
        <is>
          <t>100101</t>
        </is>
      </c>
      <c r="B21" t="inlineStr">
        <is>
          <t>冷轧板材</t>
        </is>
      </c>
      <c r="C21" t="inlineStr">
        <is>
          <t>602148600</t>
        </is>
      </c>
      <c r="D21" t="inlineStr">
        <is>
          <t>冷轧不锈钢板|钢板|12Cr18Ni9|δ3|GB/T 3280-2015|冷轧</t>
        </is>
      </c>
      <c r="E21" t="inlineStr">
        <is>
          <t xml:space="preserve">物资名称 冷轧不锈钢板;物资简称 钢板;牌号 12Cr18Ni9;厚度 δ3;宽 ;长 ;技术标准号 GB/T 3280-2015;加工工艺 冷轧;热处理工艺 ;特殊要求 ;规格标准号 </t>
        </is>
      </c>
      <c r="F21" t="inlineStr">
        <is>
          <t>千克</t>
        </is>
      </c>
    </row>
    <row r="22">
      <c r="A22" t="inlineStr">
        <is>
          <t>100101</t>
        </is>
      </c>
      <c r="B22" t="inlineStr">
        <is>
          <t>冷轧板材</t>
        </is>
      </c>
      <c r="C22" t="inlineStr">
        <is>
          <t>602148500</t>
        </is>
      </c>
      <c r="D22" t="inlineStr">
        <is>
          <t>冷轧不锈钢板|钢板|12Cr18Ni9|δ1.5|GB/T 3280-2015|冷轧</t>
        </is>
      </c>
      <c r="E22" t="inlineStr">
        <is>
          <t xml:space="preserve">物资名称 冷轧不锈钢板;物资简称 钢板;牌号 12Cr18Ni9;厚度 δ1.5;宽 ;长 ;技术标准号 GB/T 3280-2015;加工工艺 冷轧;热处理工艺 ;特殊要求 ;规格标准号 </t>
        </is>
      </c>
      <c r="F22" t="inlineStr">
        <is>
          <t>千克</t>
        </is>
      </c>
    </row>
    <row r="23">
      <c r="A23" t="inlineStr">
        <is>
          <t>100101</t>
        </is>
      </c>
      <c r="B23" t="inlineStr">
        <is>
          <t>冷轧板材</t>
        </is>
      </c>
      <c r="C23" t="inlineStr">
        <is>
          <t>601944300</t>
        </is>
      </c>
      <c r="D23" t="inlineStr">
        <is>
          <t>冷轧航空用不锈钢薄板|不锈钢板|1Cr18Ni9Ti|δ2×1000×2000|GJB 2295-1995|冷轧|GB/T 708-2006</t>
        </is>
      </c>
      <c r="E23" t="inlineStr">
        <is>
          <t>物资名称 冷轧航空用不锈钢薄板;物资简称 不锈钢板;牌号 1Cr18Ni9Ti;厚度 δ2;宽 1000;长 2000;技术标准号 GJB 2295-1995;加工工艺 ;热处理工艺 冷轧;特殊要求 ;规格标准号 GB/T 708-2006</t>
        </is>
      </c>
      <c r="F23" t="inlineStr">
        <is>
          <t>千克</t>
        </is>
      </c>
    </row>
    <row r="24">
      <c r="A24" t="inlineStr">
        <is>
          <t>100101</t>
        </is>
      </c>
      <c r="B24" t="inlineStr">
        <is>
          <t>冷轧板材</t>
        </is>
      </c>
      <c r="C24" t="inlineStr">
        <is>
          <t>601792100</t>
        </is>
      </c>
      <c r="D24" t="inlineStr">
        <is>
          <t>冷轧优质碳素结构钢板|钢板|20|δ2|GB/T 13237-2013|冷轧|GB/T 708-2019</t>
        </is>
      </c>
      <c r="E24" t="inlineStr">
        <is>
          <t>物资名称 冷轧优质碳素结构钢板;物资简称 钢板;牌号 20;厚度 δ2;宽 ;长 ;技术标准号 GB/T 13237-2013;加工工艺 冷轧;热处理工艺 ;特殊要求 ;规格标准号 GB/T 708-2019</t>
        </is>
      </c>
      <c r="F24" t="inlineStr">
        <is>
          <t>千克</t>
        </is>
      </c>
    </row>
    <row r="25">
      <c r="A25" t="inlineStr">
        <is>
          <t>100101</t>
        </is>
      </c>
      <c r="B25" t="inlineStr">
        <is>
          <t>冷轧板材</t>
        </is>
      </c>
      <c r="C25" t="inlineStr">
        <is>
          <t>601748900</t>
        </is>
      </c>
      <c r="D25" t="inlineStr">
        <is>
          <t>冷轧优质碳素结构钢板|钢板|20|δ1|GB/T 13237-2013|GB/T 708-2019</t>
        </is>
      </c>
      <c r="E25" t="inlineStr">
        <is>
          <t>物资名称 冷轧优质碳素结构钢板;物资简称 钢板;牌号 20;厚度 δ1;宽 ;长 ;技术标准号 GB/T 13237-2013;加工工艺 ;热处理工艺 ;特殊要求 ;规格标准号 GB/T 708-2019</t>
        </is>
      </c>
      <c r="F25" t="inlineStr">
        <is>
          <t>千克</t>
        </is>
      </c>
    </row>
    <row r="26">
      <c r="A26" t="inlineStr">
        <is>
          <t>100101</t>
        </is>
      </c>
      <c r="B26" t="inlineStr">
        <is>
          <t>冷轧板材</t>
        </is>
      </c>
      <c r="C26" t="inlineStr">
        <is>
          <t>601692000</t>
        </is>
      </c>
      <c r="D26" t="inlineStr">
        <is>
          <t>钢板|钢板|35CrMnSiA|δ28</t>
        </is>
      </c>
      <c r="E26" t="inlineStr">
        <is>
          <t xml:space="preserve">物资名称 钢板;物资简称 钢板;牌号 35CrMnSiA;厚度 δ28;宽 ;长 ;技术标准号 ;加工工艺 ;热处理工艺 ;特殊要求 ;规格标准号 </t>
        </is>
      </c>
      <c r="F26" t="inlineStr">
        <is>
          <t>千克</t>
        </is>
      </c>
    </row>
    <row r="27">
      <c r="A27" t="inlineStr">
        <is>
          <t>100101</t>
        </is>
      </c>
      <c r="B27" t="inlineStr">
        <is>
          <t>冷轧板材</t>
        </is>
      </c>
      <c r="C27" t="inlineStr">
        <is>
          <t>601498300</t>
        </is>
      </c>
      <c r="D27" t="inlineStr">
        <is>
          <t>冷轧航空用不锈钢薄板|不锈钢板|1Cr18Ni9Ti|δ0.5×8×GJB 2295-1995</t>
        </is>
      </c>
      <c r="E27" t="inlineStr">
        <is>
          <t xml:space="preserve">物资名称 冷轧航空用不锈钢薄板;物资简称 不锈钢板;牌号 1Cr18Ni9Ti;厚度 δ0.5;宽 8;长 ;技术标准号 GJB 2295-1995;加工工艺 ;热处理工艺 ;特殊要求 ;规格标准号 </t>
        </is>
      </c>
      <c r="F27" t="inlineStr">
        <is>
          <t>千克</t>
        </is>
      </c>
    </row>
    <row r="28">
      <c r="A28" t="inlineStr">
        <is>
          <t>100101</t>
        </is>
      </c>
      <c r="B28" t="inlineStr">
        <is>
          <t>冷轧板材</t>
        </is>
      </c>
      <c r="C28" t="inlineStr">
        <is>
          <t>601498200</t>
        </is>
      </c>
      <c r="D28" t="inlineStr">
        <is>
          <t>冷轧优质碳素结构钢板|钢板|45|δ3×100×100|GB/T 13237-1991</t>
        </is>
      </c>
      <c r="E28" t="inlineStr">
        <is>
          <t xml:space="preserve">物资名称 冷轧优质碳素结构钢板;物资简称 钢板;牌号 45;厚度 δ3;宽 100;长 100;技术标准号 GB/T 13237-1991;加工工艺 ;热处理工艺 ;特殊要求 ;规格标准号 </t>
        </is>
      </c>
      <c r="F28" t="inlineStr">
        <is>
          <t>千克</t>
        </is>
      </c>
    </row>
    <row r="29">
      <c r="A29" t="inlineStr">
        <is>
          <t>100101</t>
        </is>
      </c>
      <c r="B29" t="inlineStr">
        <is>
          <t>冷轧板材</t>
        </is>
      </c>
      <c r="C29" t="inlineStr">
        <is>
          <t>601496200</t>
        </is>
      </c>
      <c r="D29" t="inlineStr">
        <is>
          <t>冷轧航空用不锈钢薄板|不锈钢板|1Cr18Ni9Ti|δ3|GJB 2295-1995|冷轧</t>
        </is>
      </c>
      <c r="E29" t="inlineStr">
        <is>
          <t xml:space="preserve">物资名称 冷轧航空用不锈钢薄板;物资简称 不锈钢板;牌号 1Cr18Ni9Ti;厚度 δ3;宽 ;长 ;技术标准号 GJB 2295-1995;加工工艺 冷轧;热处理工艺 ;特殊要求 ;规格标准号 </t>
        </is>
      </c>
      <c r="F29" t="inlineStr">
        <is>
          <t>千克</t>
        </is>
      </c>
    </row>
    <row r="30">
      <c r="A30" t="inlineStr">
        <is>
          <t>100101</t>
        </is>
      </c>
      <c r="B30" t="inlineStr">
        <is>
          <t>冷轧板材</t>
        </is>
      </c>
      <c r="C30" t="inlineStr">
        <is>
          <t>601496100</t>
        </is>
      </c>
      <c r="D30" t="inlineStr">
        <is>
          <t>冷轧航空用不锈钢薄板|不锈钢板|1Cr18Ni9Ti|δ1.5|GJB 2295-1995|冷轧</t>
        </is>
      </c>
      <c r="E30" t="inlineStr">
        <is>
          <t xml:space="preserve">物资名称 冷轧航空用不锈钢薄板;物资简称 不锈钢板;牌号 1Cr18Ni9Ti;厚度 δ1.5;宽 ;长 ;技术标准号 GJB 2295-1995;加工工艺 冷轧;热处理工艺 ;特殊要求 ;规格标准号 </t>
        </is>
      </c>
      <c r="F30" t="inlineStr">
        <is>
          <t>千克</t>
        </is>
      </c>
    </row>
    <row r="31">
      <c r="A31" t="inlineStr">
        <is>
          <t>100101</t>
        </is>
      </c>
      <c r="B31" t="inlineStr">
        <is>
          <t>冷轧板材</t>
        </is>
      </c>
      <c r="C31" t="inlineStr">
        <is>
          <t>601454300</t>
        </is>
      </c>
      <c r="D31" t="inlineStr">
        <is>
          <t>冷轧航空用不锈钢薄板|钢板|1Cr18Ni9Ti|δ1.5×GJB 2295-1995|冷轧|GB/T 708-2006</t>
        </is>
      </c>
      <c r="E31" t="inlineStr">
        <is>
          <t>物资名称 冷轧航空用不锈钢薄板;物资简称 钢板;牌号 1Cr18Ni9Ti;厚度 δ1.5;宽 ;长 ;技术标准号 GJB 2295-1995;加工工艺 冷轧;热处理工艺 ;特殊要求 ;规格标准号 GB/T 708-2006</t>
        </is>
      </c>
      <c r="F31" t="inlineStr">
        <is>
          <t>千克</t>
        </is>
      </c>
    </row>
    <row r="32">
      <c r="A32" t="inlineStr">
        <is>
          <t>100101</t>
        </is>
      </c>
      <c r="B32" t="inlineStr">
        <is>
          <t>冷轧板材</t>
        </is>
      </c>
      <c r="C32" t="inlineStr">
        <is>
          <t>601454200</t>
        </is>
      </c>
      <c r="D32" t="inlineStr">
        <is>
          <t>冷轧航空用不锈钢薄板|钢板|1Cr18Ni9Ti|δ3×GJB 2295-1995|冷轧|GB/T 708-2006</t>
        </is>
      </c>
      <c r="E32" t="inlineStr">
        <is>
          <t>物资名称 冷轧航空用不锈钢薄板;物资简称 钢板;牌号 1Cr18Ni9Ti;厚度 δ3;宽 ;长 ;技术标准号 GJB 2295-1995;加工工艺 冷轧;热处理工艺 ;特殊要求 ;规格标准号 GB/T 708-2006</t>
        </is>
      </c>
      <c r="F32" t="inlineStr">
        <is>
          <t>千克</t>
        </is>
      </c>
    </row>
    <row r="33">
      <c r="A33" t="inlineStr">
        <is>
          <t>100101</t>
        </is>
      </c>
      <c r="B33" t="inlineStr">
        <is>
          <t>冷轧板材</t>
        </is>
      </c>
      <c r="C33" t="inlineStr">
        <is>
          <t>601445200</t>
        </is>
      </c>
      <c r="D33" t="inlineStr">
        <is>
          <t>冷轧不锈钢板|钢板|06Cr19Ni10|δ1|GB/T 3280-2007|冷轧|GB/T708-2006</t>
        </is>
      </c>
      <c r="E33" t="inlineStr">
        <is>
          <t>物资名称 冷轧不锈钢板;物资简称 钢板;牌号 06Cr19Ni10;厚度 δ1;宽 ;长 ;技术标准号 GB/T 3280-2007;加工工艺 冷轧;热处理工艺 ;特殊要求 ;规格标准号 GB/T708-2006</t>
        </is>
      </c>
      <c r="F33" t="inlineStr">
        <is>
          <t>千克</t>
        </is>
      </c>
    </row>
    <row r="34">
      <c r="A34" t="inlineStr">
        <is>
          <t>100101</t>
        </is>
      </c>
      <c r="B34" t="inlineStr">
        <is>
          <t>冷轧板材</t>
        </is>
      </c>
      <c r="C34" t="inlineStr">
        <is>
          <t>601437700</t>
        </is>
      </c>
      <c r="D34" t="inlineStr">
        <is>
          <t>冷轧航空用不锈钢板|优质钢板|1Cr18Ni9Ti|δ2.5×1000×2000|GJB 2295A-2006|冷轧|GB/T 708-1988</t>
        </is>
      </c>
      <c r="E34" t="inlineStr">
        <is>
          <t>物资名称 冷轧航空用不锈钢板;物资简称 优质钢板;牌号 1Cr18Ni9Ti;厚度 δ2.5;宽 1000;长 2000;技术标准号 GJB 2295A-2006;加工工艺 冷轧;热处理工艺 ;特殊要求 ;规格标准号 GB/T 708-1988</t>
        </is>
      </c>
      <c r="F34" t="inlineStr">
        <is>
          <t>千克</t>
        </is>
      </c>
    </row>
    <row r="35">
      <c r="A35" t="inlineStr">
        <is>
          <t>100101</t>
        </is>
      </c>
      <c r="B35" t="inlineStr">
        <is>
          <t>冷轧板材</t>
        </is>
      </c>
      <c r="C35" t="inlineStr">
        <is>
          <t>601432100</t>
        </is>
      </c>
      <c r="D35" t="inlineStr">
        <is>
          <t>冷轧优质碳素结构钢板|钢板|20|δ1.5|GB/T 13237-1991|冷轧|B,Ⅱ,P|GB/T 708-2006</t>
        </is>
      </c>
      <c r="E35" t="inlineStr">
        <is>
          <t>物资名称 冷轧优质碳素结构钢板;物资简称 钢板;牌号 20;厚度 δ1.5;宽 ;长 ;技术标准号 GB/T 13237-1991;加工工艺 冷轧;热处理工艺 ;特殊要求 B,Ⅱ,P;规格标准号 GB/T 708-2006</t>
        </is>
      </c>
      <c r="F35" t="inlineStr">
        <is>
          <t>千克</t>
        </is>
      </c>
    </row>
    <row r="36">
      <c r="A36" t="inlineStr">
        <is>
          <t>100101</t>
        </is>
      </c>
      <c r="B36" t="inlineStr">
        <is>
          <t>冷轧板材</t>
        </is>
      </c>
      <c r="C36" t="inlineStr">
        <is>
          <t>601417700</t>
        </is>
      </c>
      <c r="D36" t="inlineStr">
        <is>
          <t>冷轧钢板|钢板|Q235|δ0.8×GB/T700-1988|冷轧</t>
        </is>
      </c>
      <c r="E36" t="inlineStr">
        <is>
          <t xml:space="preserve">物资名称 冷轧钢板;物资简称 钢板;牌号 Q235;厚度 δ0.8;宽 ;长 ;技术标准号 GB/T700-1988;加工工艺 冷轧;热处理工艺 ;特殊要求 ;规格标准号 </t>
        </is>
      </c>
      <c r="F36" t="inlineStr">
        <is>
          <t>千克</t>
        </is>
      </c>
    </row>
    <row r="37">
      <c r="A37" t="inlineStr">
        <is>
          <t>100101</t>
        </is>
      </c>
      <c r="B37" t="inlineStr">
        <is>
          <t>冷轧板材</t>
        </is>
      </c>
      <c r="C37" t="inlineStr">
        <is>
          <t>601315800</t>
        </is>
      </c>
      <c r="D37" t="inlineStr">
        <is>
          <t>冷轧优质碳素结构钢板|钢板|10F|δ1.2×GB/T 13237-1991|冷轧|B,Ⅱ,S|GB/T 708-1988</t>
        </is>
      </c>
      <c r="E37" t="inlineStr">
        <is>
          <t>物资名称 冷轧优质碳素结构钢板;物资简称 钢板;牌号 10F;厚度 δ1.2;宽 ;长 ;技术标准号 GB/T 13237-1991;加工工艺 冷轧;热处理工艺 ;特殊要求 B,Ⅱ,S;规格标准号 GB/T 708-1988</t>
        </is>
      </c>
      <c r="F37" t="inlineStr">
        <is>
          <t>千克</t>
        </is>
      </c>
    </row>
    <row r="38">
      <c r="A38" t="inlineStr">
        <is>
          <t>100101</t>
        </is>
      </c>
      <c r="B38" t="inlineStr">
        <is>
          <t>冷轧板材</t>
        </is>
      </c>
      <c r="C38" t="inlineStr">
        <is>
          <t>601315700</t>
        </is>
      </c>
      <c r="D38" t="inlineStr">
        <is>
          <t>冷轧优质碳素结构钢板|钢板|20|δ5×1300×2010|冷轧</t>
        </is>
      </c>
      <c r="E38" t="inlineStr">
        <is>
          <t xml:space="preserve">物资名称 冷轧优质碳素结构钢板;物资简称 钢板;牌号 20;厚度 δ5;宽 1300;长 2010;技术标准号 ;加工工艺 冷轧;热处理工艺 ;特殊要求 ;规格标准号 </t>
        </is>
      </c>
      <c r="F38" t="inlineStr">
        <is>
          <t>千克</t>
        </is>
      </c>
    </row>
    <row r="39">
      <c r="A39" t="inlineStr">
        <is>
          <t>100101</t>
        </is>
      </c>
      <c r="B39" t="inlineStr">
        <is>
          <t>冷轧板材</t>
        </is>
      </c>
      <c r="C39" t="inlineStr">
        <is>
          <t>601315600</t>
        </is>
      </c>
      <c r="D39" t="inlineStr">
        <is>
          <t>冷轧优质碳素结构钢板|钢板|Q235A|δ6×冷轧</t>
        </is>
      </c>
      <c r="E39" t="inlineStr">
        <is>
          <t xml:space="preserve">物资名称 冷轧优质碳素结构钢板;物资简称 钢板;牌号 Q235A;厚度 δ6;宽 ;长 ;技术标准号 ;加工工艺 冷轧;热处理工艺 ;特殊要求 ;规格标准号 </t>
        </is>
      </c>
      <c r="F39" t="inlineStr">
        <is>
          <t>千克</t>
        </is>
      </c>
    </row>
    <row r="40">
      <c r="A40" t="inlineStr">
        <is>
          <t>100101</t>
        </is>
      </c>
      <c r="B40" t="inlineStr">
        <is>
          <t>冷轧板材</t>
        </is>
      </c>
      <c r="C40" t="inlineStr">
        <is>
          <t>601315500</t>
        </is>
      </c>
      <c r="D40" t="inlineStr">
        <is>
          <t>钢板|钢板|ST12|δ1</t>
        </is>
      </c>
      <c r="E40" t="inlineStr">
        <is>
          <t xml:space="preserve">物资名称 钢板;物资简称 钢板;牌号 ST12;厚度 δ1;宽 ;长 ;技术标准号 ;加工工艺 ;热处理工艺 ;特殊要求 ;规格标准号 </t>
        </is>
      </c>
      <c r="F40" t="inlineStr">
        <is>
          <t>千克</t>
        </is>
      </c>
    </row>
    <row r="41">
      <c r="A41" t="inlineStr">
        <is>
          <t>100101</t>
        </is>
      </c>
      <c r="B41" t="inlineStr">
        <is>
          <t>冷轧板材</t>
        </is>
      </c>
      <c r="C41" t="inlineStr">
        <is>
          <t>601003200</t>
        </is>
      </c>
      <c r="D41" t="inlineStr">
        <is>
          <t>冷轧航空用不锈钢薄板|不锈钢板|1Cr18Ni9Ti|δ2|GJB 2295-1995|冷轧|GB/T 708-2006</t>
        </is>
      </c>
      <c r="E41" t="inlineStr">
        <is>
          <t>物资名称 冷轧航空用不锈钢薄板;物资简称 不锈钢板;牌号 1Cr18Ni9Ti;厚度 δ2;宽 ;长 ;技术标准号 GJB 2295-1995;加工工艺 冷轧;热处理工艺 ;特殊要求 ;规格标准号 GB/T 708-2006</t>
        </is>
      </c>
      <c r="F41" t="inlineStr">
        <is>
          <t>千克</t>
        </is>
      </c>
    </row>
    <row r="42">
      <c r="A42" t="inlineStr">
        <is>
          <t>100101</t>
        </is>
      </c>
      <c r="B42" t="inlineStr">
        <is>
          <t>冷轧板材</t>
        </is>
      </c>
      <c r="C42" t="inlineStr">
        <is>
          <t>600999200</t>
        </is>
      </c>
      <c r="D42" t="inlineStr">
        <is>
          <t>冷轧不锈钢板|钢板|1Cr18Ni9Ti|δ10|GB 3280-1992|冷轧|GB/T 708-2006</t>
        </is>
      </c>
      <c r="E42" t="inlineStr">
        <is>
          <t>物资名称 冷轧不锈钢板;物资简称 钢板;牌号 1Cr18Ni9Ti;厚度 δ10;宽 ;长 ;技术标准号 GB 3280-1992;加工工艺 冷轧;热处理工艺 ;特殊要求 ;规格标准号 GB/T 708-2006</t>
        </is>
      </c>
      <c r="F42" t="inlineStr">
        <is>
          <t>千克</t>
        </is>
      </c>
    </row>
    <row r="43">
      <c r="A43" t="inlineStr">
        <is>
          <t>100101</t>
        </is>
      </c>
      <c r="B43" t="inlineStr">
        <is>
          <t>冷轧板材</t>
        </is>
      </c>
      <c r="C43" t="inlineStr">
        <is>
          <t>600999100</t>
        </is>
      </c>
      <c r="D43" t="inlineStr">
        <is>
          <t>冷轧不锈钢板|钢板|12Cr18Ni9|δ0.15|GB/T 3280-2007|冷轧|GB/T 708-2006</t>
        </is>
      </c>
      <c r="E43" t="inlineStr">
        <is>
          <t>物资名称 冷轧不锈钢板;物资简称 钢板;牌号 12Cr18Ni9;厚度 δ0.15;宽 ;长 ;技术标准号 GB/T 3280-2007;加工工艺 冷轧;热处理工艺 ;特殊要求 ;规格标准号 GB/T 708-2006</t>
        </is>
      </c>
      <c r="F43" t="inlineStr">
        <is>
          <t>千克</t>
        </is>
      </c>
    </row>
    <row r="44">
      <c r="A44" t="inlineStr">
        <is>
          <t>100101</t>
        </is>
      </c>
      <c r="B44" t="inlineStr">
        <is>
          <t>冷轧板材</t>
        </is>
      </c>
      <c r="C44" t="inlineStr">
        <is>
          <t>600999000</t>
        </is>
      </c>
      <c r="D44" t="inlineStr">
        <is>
          <t>冷轧不锈钢板|钢板|12Cr18Ni9|δ0.25|GB/T 3280-2007|冷轧|GB/T 708-2006</t>
        </is>
      </c>
      <c r="E44" t="inlineStr">
        <is>
          <t>物资名称 冷轧不锈钢板;物资简称 钢板;牌号 12Cr18Ni9;厚度 δ0.25;宽 ;长 ;技术标准号 GB/T 3280-2007;加工工艺 冷轧;热处理工艺 ;特殊要求 ;规格标准号 GB/T 708-2006</t>
        </is>
      </c>
      <c r="F44" t="inlineStr">
        <is>
          <t>千克</t>
        </is>
      </c>
    </row>
    <row r="45">
      <c r="A45" t="inlineStr">
        <is>
          <t>100101</t>
        </is>
      </c>
      <c r="B45" t="inlineStr">
        <is>
          <t>冷轧板材</t>
        </is>
      </c>
      <c r="C45" t="inlineStr">
        <is>
          <t>600994500</t>
        </is>
      </c>
      <c r="D45" t="inlineStr">
        <is>
          <t>冷轧不锈钢板|钢板|12Cr18Ni9|δ0.7|GB/T 3280-2007|冷轧|GB/T 708-2006</t>
        </is>
      </c>
      <c r="E45" t="inlineStr">
        <is>
          <t>物资名称 冷轧不锈钢板;物资简称 钢板;牌号 12Cr18Ni9;厚度 δ0.7;宽 ;长 ;技术标准号 GB/T 3280-2007;加工工艺 冷轧;热处理工艺 ;特殊要求 ;规格标准号 GB/T 708-2006</t>
        </is>
      </c>
      <c r="F45" t="inlineStr">
        <is>
          <t>千克</t>
        </is>
      </c>
    </row>
    <row r="46">
      <c r="A46" t="inlineStr">
        <is>
          <t>100101</t>
        </is>
      </c>
      <c r="B46" t="inlineStr">
        <is>
          <t>冷轧板材</t>
        </is>
      </c>
      <c r="C46" t="inlineStr">
        <is>
          <t>600994400</t>
        </is>
      </c>
      <c r="D46" t="inlineStr">
        <is>
          <t>冷轧不锈钢板|钢板|12Cr18Ni9|δ1|GB/T 3280-2007|冷轧|GB/T 708-2006</t>
        </is>
      </c>
      <c r="E46" t="inlineStr">
        <is>
          <t>物资名称 冷轧不锈钢板;物资简称 钢板;牌号 12Cr18Ni9;厚度 δ1;宽 ;长 ;技术标准号 GB/T 3280-2007;加工工艺 冷轧;热处理工艺 ;特殊要求 ;规格标准号 GB/T 708-2006</t>
        </is>
      </c>
      <c r="F46" t="inlineStr">
        <is>
          <t>千克</t>
        </is>
      </c>
    </row>
    <row r="47">
      <c r="A47" t="inlineStr">
        <is>
          <t>100101</t>
        </is>
      </c>
      <c r="B47" t="inlineStr">
        <is>
          <t>冷轧板材</t>
        </is>
      </c>
      <c r="C47" t="inlineStr">
        <is>
          <t>600994300</t>
        </is>
      </c>
      <c r="D47" t="inlineStr">
        <is>
          <t>冷轧不锈钢板|钢板|12Cr18Ni9|δ2|GB/T 3280-2007|冷轧|GB/T 708-2006</t>
        </is>
      </c>
      <c r="E47" t="inlineStr">
        <is>
          <t>物资名称 冷轧不锈钢板;物资简称 钢板;牌号 12Cr18Ni9;厚度 δ2;宽 ;长 ;技术标准号 GB/T 3280-2007;加工工艺 冷轧;热处理工艺 ;特殊要求 ;规格标准号 GB/T 708-2006</t>
        </is>
      </c>
      <c r="F47" t="inlineStr">
        <is>
          <t>千克</t>
        </is>
      </c>
    </row>
    <row r="48">
      <c r="A48" t="inlineStr">
        <is>
          <t>100101</t>
        </is>
      </c>
      <c r="B48" t="inlineStr">
        <is>
          <t>冷轧板材</t>
        </is>
      </c>
      <c r="C48" t="inlineStr">
        <is>
          <t>600994200</t>
        </is>
      </c>
      <c r="D48" t="inlineStr">
        <is>
          <t>冷轧不锈钢板|钢板|12Cr18Ni9|δ10|GB/T 3280-2007|冷轧|GB/T 708-2006</t>
        </is>
      </c>
      <c r="E48" t="inlineStr">
        <is>
          <t>物资名称 冷轧不锈钢板;物资简称 钢板;牌号 12Cr18Ni9;厚度 δ10;宽 ;长 ;技术标准号 GB/T 3280-2007;加工工艺 冷轧;热处理工艺 ;特殊要求 ;规格标准号 GB/T 708-2006</t>
        </is>
      </c>
      <c r="F48" t="inlineStr">
        <is>
          <t>千克</t>
        </is>
      </c>
    </row>
    <row r="49">
      <c r="A49" t="inlineStr">
        <is>
          <t>100101</t>
        </is>
      </c>
      <c r="B49" t="inlineStr">
        <is>
          <t>冷轧板材</t>
        </is>
      </c>
      <c r="C49" t="inlineStr">
        <is>
          <t>600983800</t>
        </is>
      </c>
      <c r="D49" t="inlineStr">
        <is>
          <t>冷轧优质碳素结构钢板|钢板|20|δ3|GB/T 11253-1989|B,Ⅱ,P|GB/T 708-1988</t>
        </is>
      </c>
      <c r="E49" t="inlineStr">
        <is>
          <t>物资名称 冷轧优质碳素结构钢板;物资简称 钢板;牌号 20;厚度 δ3;宽 ;长 ;技术标准号 GB/T 11253-1989;加工工艺 ;热处理工艺 ;特殊要求 B,Ⅱ,P;规格标准号 GB/T 708-1988</t>
        </is>
      </c>
      <c r="F49" t="inlineStr">
        <is>
          <t>千克</t>
        </is>
      </c>
    </row>
    <row r="50">
      <c r="A50" t="inlineStr">
        <is>
          <t>100101</t>
        </is>
      </c>
      <c r="B50" t="inlineStr">
        <is>
          <t>冷轧板材</t>
        </is>
      </c>
      <c r="C50" t="inlineStr">
        <is>
          <t>600979200</t>
        </is>
      </c>
      <c r="D50" t="inlineStr">
        <is>
          <t>冷轧优质碳素结构钢板|钢板|20|δ1.2|GB/T 13237-1991|Ⅱ,P|GB/T 708-2006</t>
        </is>
      </c>
      <c r="E50" t="inlineStr">
        <is>
          <t>物资名称 冷轧优质碳素结构钢板;物资简称 钢板;牌号 20;厚度 δ1.2;宽 ;长 ;技术标准号 GB/T 13237-1991;加工工艺 ;热处理工艺 ;特殊要求 Ⅱ,P;规格标准号 GB/T 708-2006</t>
        </is>
      </c>
      <c r="F50" t="inlineStr">
        <is>
          <t>千克</t>
        </is>
      </c>
    </row>
    <row r="51">
      <c r="A51" t="inlineStr">
        <is>
          <t>100101</t>
        </is>
      </c>
      <c r="B51" t="inlineStr">
        <is>
          <t>冷轧板材</t>
        </is>
      </c>
      <c r="C51" t="inlineStr">
        <is>
          <t>600978400</t>
        </is>
      </c>
      <c r="D51" t="inlineStr">
        <is>
          <t>冷轧优质碳素结构钢板|钢板|20|δ1.2|GB/T 13237-1991|冷轧</t>
        </is>
      </c>
      <c r="E51" t="inlineStr">
        <is>
          <t xml:space="preserve">物资名称 冷轧优质碳素结构钢板;物资简称 钢板;牌号 20;厚度 δ1.2;宽 ;长 ;技术标准号 GB/T 13237-1991;加工工艺 冷轧;热处理工艺 ;特殊要求 ;规格标准号 </t>
        </is>
      </c>
      <c r="F51" t="inlineStr">
        <is>
          <t>千克</t>
        </is>
      </c>
    </row>
    <row r="52">
      <c r="A52" t="inlineStr">
        <is>
          <t>100101</t>
        </is>
      </c>
      <c r="B52" t="inlineStr">
        <is>
          <t>冷轧板材</t>
        </is>
      </c>
      <c r="C52" t="inlineStr">
        <is>
          <t>600977300</t>
        </is>
      </c>
      <c r="D52" t="inlineStr">
        <is>
          <t>冷轧优质碳素结构钢板|钢板|20|δ1|GB/T 13237-1991|B,Ⅱ,P|GB/T 708-1988</t>
        </is>
      </c>
      <c r="E52" t="inlineStr">
        <is>
          <t>物资名称 冷轧优质碳素结构钢板;物资简称 钢板;牌号 20;厚度 δ1;宽 ;长 ;技术标准号 GB/T 13237-1991;加工工艺 ;热处理工艺 ;特殊要求 B,Ⅱ,P;规格标准号 GB/T 708-1988</t>
        </is>
      </c>
      <c r="F52" t="inlineStr">
        <is>
          <t>千克</t>
        </is>
      </c>
    </row>
    <row r="53">
      <c r="A53" t="inlineStr">
        <is>
          <t>100101</t>
        </is>
      </c>
      <c r="B53" t="inlineStr">
        <is>
          <t>冷轧板材</t>
        </is>
      </c>
      <c r="C53" t="inlineStr">
        <is>
          <t>600977200</t>
        </is>
      </c>
      <c r="D53" t="inlineStr">
        <is>
          <t>冷轧优质碳素结构钢板|钢板|20|δ2×GB/T 13237-1991|B,Ⅱ,P|GB/T 708-1988</t>
        </is>
      </c>
      <c r="E53" t="inlineStr">
        <is>
          <t>物资名称 冷轧优质碳素结构钢板;物资简称 钢板;牌号 20;厚度 δ2;宽 ;长 ;技术标准号 GB/T 13237-1991;加工工艺 ;热处理工艺 ;特殊要求 B,Ⅱ,P;规格标准号 GB/T 708-1988</t>
        </is>
      </c>
      <c r="F53" t="inlineStr">
        <is>
          <t>千克</t>
        </is>
      </c>
    </row>
    <row r="54">
      <c r="A54" t="inlineStr">
        <is>
          <t>100101</t>
        </is>
      </c>
      <c r="B54" t="inlineStr">
        <is>
          <t>冷轧板材</t>
        </is>
      </c>
      <c r="C54" t="inlineStr">
        <is>
          <t>600969000</t>
        </is>
      </c>
      <c r="D54" t="inlineStr">
        <is>
          <t>钢板|钢板|08F-Ⅱ-P|δB-1.5|GB/T 710-1991|GB/T 708-1988</t>
        </is>
      </c>
      <c r="E54" t="inlineStr">
        <is>
          <t>物资名称 钢板;物资简称 钢板;牌号 08F-Ⅱ-P;厚度 δB-1.5;宽 ;长 ;技术标准号 GB/T 710-1991;加工工艺 ;热处理工艺 ;特殊要求 ;规格标准号 GB/T 708-1988</t>
        </is>
      </c>
      <c r="F54" t="inlineStr">
        <is>
          <t>千克</t>
        </is>
      </c>
    </row>
    <row r="55">
      <c r="A55" t="inlineStr">
        <is>
          <t>100101</t>
        </is>
      </c>
      <c r="B55" t="inlineStr">
        <is>
          <t>冷轧板材</t>
        </is>
      </c>
      <c r="C55" t="inlineStr">
        <is>
          <t>600950500</t>
        </is>
      </c>
      <c r="D55" t="inlineStr">
        <is>
          <t>钢板|钢板|45\C|δ1.0|GB/T 13237-1991|GB/T 708-88</t>
        </is>
      </c>
      <c r="E55" t="inlineStr">
        <is>
          <t>物资名称 钢板;物资简称 钢板;牌号 45\C;厚度 δ1.0;宽 ;长 ;技术标准号 GB/T 13237-1991;加工工艺 ;热处理工艺 ;特殊要求 ;规格标准号 GB/T 708-88</t>
        </is>
      </c>
      <c r="F55" t="inlineStr">
        <is>
          <t>千克</t>
        </is>
      </c>
    </row>
    <row r="56">
      <c r="A56" t="inlineStr">
        <is>
          <t>100101</t>
        </is>
      </c>
      <c r="B56" t="inlineStr">
        <is>
          <t>冷轧板材</t>
        </is>
      </c>
      <c r="C56" t="inlineStr">
        <is>
          <t>600947000</t>
        </is>
      </c>
      <c r="D56" t="inlineStr">
        <is>
          <t>冷轧优质碳素结构钢板|钢板|20|δ2|GB/T 13237-2013|冷轧|FB|GB/T 708-2006</t>
        </is>
      </c>
      <c r="E56" t="inlineStr">
        <is>
          <t>物资名称 冷轧优质碳素结构钢板;物资简称 钢板;牌号 20;厚度 δ2;宽 ;长 ;技术标准号 GB/T 13237-2013;加工工艺 冷轧;热处理工艺 ;特殊要求 FB;规格标准号 GB/T 708-2006</t>
        </is>
      </c>
      <c r="F56" t="inlineStr">
        <is>
          <t>千克</t>
        </is>
      </c>
    </row>
    <row r="57">
      <c r="A57" t="inlineStr">
        <is>
          <t>100101</t>
        </is>
      </c>
      <c r="B57" t="inlineStr">
        <is>
          <t>冷轧板材</t>
        </is>
      </c>
      <c r="C57" t="inlineStr">
        <is>
          <t>600939700</t>
        </is>
      </c>
      <c r="D57" t="inlineStr">
        <is>
          <t>钢板|钢板|20-Ⅱ-P|δB-3|GB/T 13237-1991|GB/T 708-1988</t>
        </is>
      </c>
      <c r="E57" t="inlineStr">
        <is>
          <t>物资名称 钢板;物资简称 钢板;牌号 20-Ⅱ-P;厚度 δB-3;宽 ;长 ;技术标准号 GB/T 13237-1991;加工工艺 ;热处理工艺 ;特殊要求 ;规格标准号 GB/T 708-1988</t>
        </is>
      </c>
      <c r="F57" t="inlineStr">
        <is>
          <t>千克</t>
        </is>
      </c>
    </row>
    <row r="58">
      <c r="A58" t="inlineStr">
        <is>
          <t>100101</t>
        </is>
      </c>
      <c r="B58" t="inlineStr">
        <is>
          <t>冷轧板材</t>
        </is>
      </c>
      <c r="C58" t="inlineStr">
        <is>
          <t>600939600</t>
        </is>
      </c>
      <c r="D58" t="inlineStr">
        <is>
          <t>钢板|钢板|20-Ⅱ-P|δB-1.5|GB/T 13237-1991|GB/T 708-1988</t>
        </is>
      </c>
      <c r="E58" t="inlineStr">
        <is>
          <t>物资名称 钢板;物资简称 钢板;牌号 20-Ⅱ-P;厚度 δB-1.5;宽 ;长 ;技术标准号 GB/T 13237-1991;加工工艺 ;热处理工艺 ;特殊要求 ;规格标准号 GB/T 708-1988</t>
        </is>
      </c>
      <c r="F58" t="inlineStr">
        <is>
          <t>千克</t>
        </is>
      </c>
    </row>
    <row r="59">
      <c r="A59" t="inlineStr">
        <is>
          <t>100101</t>
        </is>
      </c>
      <c r="B59" t="inlineStr">
        <is>
          <t>冷轧板材</t>
        </is>
      </c>
      <c r="C59" t="inlineStr">
        <is>
          <t>600939500</t>
        </is>
      </c>
      <c r="D59" t="inlineStr">
        <is>
          <t>钢板|钢板|20-Ⅱ-P|δB-1|GB/T 13237-1991|GB/T 708-1988</t>
        </is>
      </c>
      <c r="E59" t="inlineStr">
        <is>
          <t>物资名称 钢板;物资简称 钢板;牌号 20-Ⅱ-P;厚度 δB-1;宽 ;长 ;技术标准号 GB/T 13237-1991;加工工艺 ;热处理工艺 ;特殊要求 ;规格标准号 GB/T 708-1988</t>
        </is>
      </c>
      <c r="F59" t="inlineStr">
        <is>
          <t>千克</t>
        </is>
      </c>
    </row>
    <row r="60">
      <c r="A60" t="inlineStr">
        <is>
          <t>100101</t>
        </is>
      </c>
      <c r="B60" t="inlineStr">
        <is>
          <t>冷轧板材</t>
        </is>
      </c>
      <c r="C60" t="inlineStr">
        <is>
          <t>600939400</t>
        </is>
      </c>
      <c r="D60" t="inlineStr">
        <is>
          <t>钢板|钢板|1Cr18Ni9Ti|δ0.2|GB/T 3280-1992|GB/T 708-1988</t>
        </is>
      </c>
      <c r="E60" t="inlineStr">
        <is>
          <t>物资名称 钢板;物资简称 钢板;牌号 1Cr18Ni9Ti;厚度 δ0.2;宽 ;长 ;技术标准号 GB/T 3280-1992;加工工艺 ;热处理工艺 ;特殊要求 ;规格标准号 GB/T 708-1988</t>
        </is>
      </c>
      <c r="F60" t="inlineStr">
        <is>
          <t>千克</t>
        </is>
      </c>
    </row>
    <row r="61">
      <c r="A61" t="inlineStr">
        <is>
          <t>100101</t>
        </is>
      </c>
      <c r="B61" t="inlineStr">
        <is>
          <t>冷轧板材</t>
        </is>
      </c>
      <c r="C61" t="inlineStr">
        <is>
          <t>600939300</t>
        </is>
      </c>
      <c r="D61" t="inlineStr">
        <is>
          <t>钢板|钢板|0Cr18Ni9|δ0.5|GB/T 3280-1992|GB/T 708-1988</t>
        </is>
      </c>
      <c r="E61" t="inlineStr">
        <is>
          <t>物资名称 钢板;物资简称 钢板;牌号 0Cr18Ni9;厚度 δ0.5;宽 ;长 ;技术标准号 GB/T 3280-1992;加工工艺 ;热处理工艺 ;特殊要求 ;规格标准号 GB/T 708-1988</t>
        </is>
      </c>
      <c r="F61" t="inlineStr">
        <is>
          <t>千克</t>
        </is>
      </c>
    </row>
    <row r="62">
      <c r="A62" t="inlineStr">
        <is>
          <t>100101</t>
        </is>
      </c>
      <c r="B62" t="inlineStr">
        <is>
          <t>冷轧板材</t>
        </is>
      </c>
      <c r="C62" t="inlineStr">
        <is>
          <t>600933500</t>
        </is>
      </c>
      <c r="D62" t="inlineStr">
        <is>
          <t>钢板|钢板|08F-Ⅱ-P|δB-1.5|GB 710-1991|GB/T 708-1988</t>
        </is>
      </c>
      <c r="E62" t="inlineStr">
        <is>
          <t>物资名称 钢板;物资简称 钢板;牌号 08F-Ⅱ-P;厚度 δB-1.5;宽 ;长 ;技术标准号 GB 710-1991;加工工艺 ;热处理工艺 ;特殊要求 ;规格标准号 GB/T 708-1988</t>
        </is>
      </c>
      <c r="F62" t="inlineStr">
        <is>
          <t>千克</t>
        </is>
      </c>
    </row>
    <row r="63">
      <c r="A63" t="inlineStr">
        <is>
          <t>100101</t>
        </is>
      </c>
      <c r="B63" t="inlineStr">
        <is>
          <t>冷轧板材</t>
        </is>
      </c>
      <c r="C63" t="inlineStr">
        <is>
          <t>600933400</t>
        </is>
      </c>
      <c r="D63" t="inlineStr">
        <is>
          <t>钢板|钢板|20-Ⅱ-P|δB-1|GB 710-1991|GB/T 708-1988</t>
        </is>
      </c>
      <c r="E63" t="inlineStr">
        <is>
          <t>物资名称 钢板;物资简称 钢板;牌号 20-Ⅱ-P;厚度 δB-1;宽 ;长 ;技术标准号 GB 710-1991;加工工艺 ;热处理工艺 ;特殊要求 ;规格标准号 GB/T 708-1988</t>
        </is>
      </c>
      <c r="F63" t="inlineStr">
        <is>
          <t>千克</t>
        </is>
      </c>
    </row>
    <row r="64">
      <c r="A64" t="inlineStr">
        <is>
          <t>100101</t>
        </is>
      </c>
      <c r="B64" t="inlineStr">
        <is>
          <t>冷轧板材</t>
        </is>
      </c>
      <c r="C64" t="inlineStr">
        <is>
          <t>600846200</t>
        </is>
      </c>
      <c r="D64" t="inlineStr">
        <is>
          <t>冷轧不锈钢板|钢板|1Cr18Ni9Ti|δ1.0|GB 3280-1992|GB/T 708-2006</t>
        </is>
      </c>
      <c r="E64" t="inlineStr">
        <is>
          <t>物资名称 冷轧不锈钢板;物资简称 钢板;牌号 1Cr18Ni9Ti;厚度 δ1.0;宽 ;长 ;技术标准号 GB 3280-1992;加工工艺 ;热处理工艺 ;特殊要求 ;规格标准号 GB/T 708-2006</t>
        </is>
      </c>
      <c r="F64" t="inlineStr">
        <is>
          <t>千克</t>
        </is>
      </c>
    </row>
    <row r="65">
      <c r="A65" t="inlineStr">
        <is>
          <t>100101</t>
        </is>
      </c>
      <c r="B65" t="inlineStr">
        <is>
          <t>冷轧板材</t>
        </is>
      </c>
      <c r="C65" t="inlineStr">
        <is>
          <t>600842800</t>
        </is>
      </c>
      <c r="D65" t="inlineStr">
        <is>
          <t>冷轧不锈钢板|钢板|12Cr18Ni9|δ1.5|GB/T 3280-2007|GB/T 708-2006</t>
        </is>
      </c>
      <c r="E65" t="inlineStr">
        <is>
          <t>物资名称 冷轧不锈钢板;物资简称 钢板;牌号 12Cr18Ni9;厚度 δ1.5;宽 ;长 ;技术标准号 GB/T 3280-2007;加工工艺 ;热处理工艺 ;特殊要求 ;规格标准号 GB/T 708-2006</t>
        </is>
      </c>
      <c r="F65" t="inlineStr">
        <is>
          <t>千克</t>
        </is>
      </c>
    </row>
    <row r="66">
      <c r="A66" t="inlineStr">
        <is>
          <t>100101</t>
        </is>
      </c>
      <c r="B66" t="inlineStr">
        <is>
          <t>冷轧板材</t>
        </is>
      </c>
      <c r="C66" t="inlineStr">
        <is>
          <t>600842200</t>
        </is>
      </c>
      <c r="D66" t="inlineStr">
        <is>
          <t>冷轧航空用不锈钢薄板|不锈钢板|1Cr18Ni9Ti|δ0.4|GJB 2295-1995|冷轧</t>
        </is>
      </c>
      <c r="E66" t="inlineStr">
        <is>
          <t xml:space="preserve">物资名称 冷轧航空用不锈钢薄板;物资简称 不锈钢板;牌号 1Cr18Ni9Ti;厚度 δ0.4;宽 ;长 ;技术标准号 GJB 2295-1995;加工工艺 冷轧;热处理工艺 ;特殊要求 ;规格标准号 </t>
        </is>
      </c>
      <c r="F66" t="inlineStr">
        <is>
          <t>千克</t>
        </is>
      </c>
    </row>
    <row r="67">
      <c r="A67" t="inlineStr">
        <is>
          <t>100101</t>
        </is>
      </c>
      <c r="B67" t="inlineStr">
        <is>
          <t>冷轧板材</t>
        </is>
      </c>
      <c r="C67" t="inlineStr">
        <is>
          <t>600842100</t>
        </is>
      </c>
      <c r="D67" t="inlineStr">
        <is>
          <t>冷轧航空用不锈钢薄板|不锈钢板|1Cr18Ni9Ti|δ2.5|GJB 2295-1995|GB/T 708-2006</t>
        </is>
      </c>
      <c r="E67" t="inlineStr">
        <is>
          <t>物资名称 冷轧航空用不锈钢薄板;物资简称 不锈钢板;牌号 1Cr18Ni9Ti;厚度 δ2.5;宽 ;长 ;技术标准号 GJB 2295-1995;加工工艺 ;热处理工艺 ;特殊要求 ;规格标准号 GB/T 708-2006</t>
        </is>
      </c>
      <c r="F67" t="inlineStr">
        <is>
          <t>千克</t>
        </is>
      </c>
    </row>
    <row r="68">
      <c r="A68" t="inlineStr">
        <is>
          <t>100101</t>
        </is>
      </c>
      <c r="B68" t="inlineStr">
        <is>
          <t>冷轧板材</t>
        </is>
      </c>
      <c r="C68" t="inlineStr">
        <is>
          <t>600839100</t>
        </is>
      </c>
      <c r="D68" t="inlineStr">
        <is>
          <t>冷轧航空用不锈钢薄板|不锈钢板|1Cr18Ni9Ti|GJB 2295-1995|GB/T 708-2006</t>
        </is>
      </c>
      <c r="E68" t="inlineStr">
        <is>
          <t>物资名称 冷轧航空用不锈钢薄板;物资简称 不锈钢板;牌号 1Cr18Ni9Ti;厚度 δ;宽 ;长 ;技术标准号 GJB 2295-1995;加工工艺 ;热处理工艺 ;特殊要求 ;规格标准号 GB/T 708-2006</t>
        </is>
      </c>
      <c r="F68" t="inlineStr">
        <is>
          <t>千克</t>
        </is>
      </c>
    </row>
    <row r="69">
      <c r="A69" t="inlineStr">
        <is>
          <t>100101</t>
        </is>
      </c>
      <c r="B69" t="inlineStr">
        <is>
          <t>冷轧板材</t>
        </is>
      </c>
      <c r="C69" t="inlineStr">
        <is>
          <t>600759500</t>
        </is>
      </c>
      <c r="D69" t="inlineStr">
        <is>
          <t>冷轧钢板|钢板|Q195|δ1|GB/T 11253-2007|冷轧|试接口|GB/T 708-2006</t>
        </is>
      </c>
      <c r="E69" t="inlineStr">
        <is>
          <t>物资名称 冷轧钢板;物资简称 钢板;牌号 Q195;厚度 δ1;宽 ;长 ;技术标准号 GB/T 11253-2007;加工工艺 冷轧;热处理工艺 ;规格标准号 GB/T 708-2006</t>
        </is>
      </c>
      <c r="F69" t="inlineStr">
        <is>
          <t>千克</t>
        </is>
      </c>
    </row>
    <row r="70">
      <c r="A70" t="inlineStr">
        <is>
          <t>100101</t>
        </is>
      </c>
      <c r="B70" t="inlineStr">
        <is>
          <t>冷轧板材</t>
        </is>
      </c>
      <c r="C70" t="inlineStr">
        <is>
          <t>600597000</t>
        </is>
      </c>
      <c r="D70" t="inlineStr">
        <is>
          <t>冷轧钢板|钢板|Q195|δ1|GB/T 11253-2007|冷轧|GB/T 708-2006</t>
        </is>
      </c>
      <c r="E70" t="inlineStr">
        <is>
          <t>物资名称 冷轧钢板;物资简称 钢板;牌号 Q195;厚度 δ1;宽 ;长 ;技术标准号 GB/T 11253-2007;加工工艺 冷轧;热处理工艺 ;特殊要求 ;规格标准号 GB/T 708-2006</t>
        </is>
      </c>
      <c r="F70" t="inlineStr">
        <is>
          <t>千克</t>
        </is>
      </c>
    </row>
    <row r="71">
      <c r="A71" t="inlineStr">
        <is>
          <t>100101</t>
        </is>
      </c>
      <c r="B71" t="inlineStr">
        <is>
          <t>冷轧板材</t>
        </is>
      </c>
      <c r="C71" t="inlineStr">
        <is>
          <t>600596900</t>
        </is>
      </c>
      <c r="D71" t="inlineStr">
        <is>
          <t>冷轧钢板|钢板|Q275|δ1|GB/T 11253-2007|冷轧|GB/T 708-2006</t>
        </is>
      </c>
      <c r="E71" t="inlineStr">
        <is>
          <t>物资名称 冷轧钢板;物资简称 钢板;牌号 Q275;厚度 δ1;宽 ;长 ;技术标准号 GB/T 11253-2007;加工工艺 冷轧;热处理工艺 ;特殊要求 ;规格标准号 GB/T 708-2006</t>
        </is>
      </c>
      <c r="F71" t="inlineStr">
        <is>
          <t>千克</t>
        </is>
      </c>
    </row>
    <row r="72">
      <c r="A72" t="inlineStr">
        <is>
          <t>100101</t>
        </is>
      </c>
      <c r="B72" t="inlineStr">
        <is>
          <t>冷轧板材</t>
        </is>
      </c>
      <c r="C72" t="inlineStr">
        <is>
          <t>600596800</t>
        </is>
      </c>
      <c r="D72" t="inlineStr">
        <is>
          <t>冷轧钢板|钢板|Q215|δ2.5|GB/T 11253-2007|冷轧|GB/T 708-2006</t>
        </is>
      </c>
      <c r="E72" t="inlineStr">
        <is>
          <t>物资名称 冷轧钢板;物资简称 钢板;牌号 Q215;厚度 δ2.5;宽 ;长 ;技术标准号 GB/T 11253-2007;加工工艺 冷轧;热处理工艺 ;特殊要求 ;规格标准号 GB/T 708-2006</t>
        </is>
      </c>
      <c r="F72" t="inlineStr">
        <is>
          <t>千克</t>
        </is>
      </c>
    </row>
    <row r="73">
      <c r="A73" t="inlineStr">
        <is>
          <t>100101</t>
        </is>
      </c>
      <c r="B73" t="inlineStr">
        <is>
          <t>冷轧板材</t>
        </is>
      </c>
      <c r="C73" t="inlineStr">
        <is>
          <t>600596700</t>
        </is>
      </c>
      <c r="D73" t="inlineStr">
        <is>
          <t>冷轧钢板|钢板|Q235|δ0.5|GB/T 11253-2007|冷轧|GB/T 708-2006</t>
        </is>
      </c>
      <c r="E73" t="inlineStr">
        <is>
          <t>物资名称 冷轧钢板;物资简称 钢板;牌号 Q235;厚度 δ0.5;宽 ;长 ;技术标准号 GB/T 11253-2007;加工工艺 冷轧;热处理工艺 ;特殊要求 ;规格标准号 GB/T 708-2006</t>
        </is>
      </c>
      <c r="F73" t="inlineStr">
        <is>
          <t>千克</t>
        </is>
      </c>
    </row>
    <row r="74">
      <c r="A74" t="inlineStr">
        <is>
          <t>100101</t>
        </is>
      </c>
      <c r="B74" t="inlineStr">
        <is>
          <t>冷轧板材</t>
        </is>
      </c>
      <c r="C74" t="inlineStr">
        <is>
          <t>600596600</t>
        </is>
      </c>
      <c r="D74" t="inlineStr">
        <is>
          <t>冷轧钢板|钢板|Q235|δ1.2|GB/T 11253-2007|冷轧|GB/T 708-2006</t>
        </is>
      </c>
      <c r="E74" t="inlineStr">
        <is>
          <t>物资名称 冷轧钢板;物资简称 钢板;牌号 Q235;厚度 δ1.2;宽 ;长 ;技术标准号 GB/T 11253-2007;加工工艺 冷轧;热处理工艺 ;特殊要求 ;规格标准号 GB/T 708-2006</t>
        </is>
      </c>
      <c r="F74" t="inlineStr">
        <is>
          <t>千克</t>
        </is>
      </c>
    </row>
    <row r="75">
      <c r="A75" t="inlineStr">
        <is>
          <t>100101</t>
        </is>
      </c>
      <c r="B75" t="inlineStr">
        <is>
          <t>冷轧板材</t>
        </is>
      </c>
      <c r="C75" t="inlineStr">
        <is>
          <t>600596500</t>
        </is>
      </c>
      <c r="D75" t="inlineStr">
        <is>
          <t>冷轧优质碳素结构钢板|钢板|10|GB/T 13237-2013|GB/T 708-2006</t>
        </is>
      </c>
      <c r="E75" t="inlineStr">
        <is>
          <t>物资名称 冷轧优质碳素结构钢板;物资简称 钢板;牌号 10;厚度 ;宽 ;长 ;技术标准号 GB/T 13237-2013;加工工艺 ;热处理工艺 ;特殊要求 ;规格标准号 GB/T 708-2006</t>
        </is>
      </c>
      <c r="F75" t="inlineStr">
        <is>
          <t>千克</t>
        </is>
      </c>
    </row>
    <row r="76">
      <c r="A76" t="inlineStr">
        <is>
          <t>100101</t>
        </is>
      </c>
      <c r="B76" t="inlineStr">
        <is>
          <t>冷轧板材</t>
        </is>
      </c>
      <c r="C76" t="inlineStr">
        <is>
          <t>600596400</t>
        </is>
      </c>
      <c r="D76" t="inlineStr">
        <is>
          <t>冷轧优质碳素结构钢板|钢板|10|δ3|GB/T 13237-2013|冷轧|GB/T 708-2006</t>
        </is>
      </c>
      <c r="E76" t="inlineStr">
        <is>
          <t>物资名称 冷轧优质碳素结构钢板;物资简称 钢板;牌号 10;厚度 δ3;宽 ;长 ;技术标准号 GB/T 13237-2013;加工工艺 冷轧;热处理工艺 ;特殊要求 ;规格标准号 GB/T 708-2006</t>
        </is>
      </c>
      <c r="F76" t="inlineStr">
        <is>
          <t>千克</t>
        </is>
      </c>
    </row>
    <row r="77">
      <c r="A77" t="inlineStr">
        <is>
          <t>100101</t>
        </is>
      </c>
      <c r="B77" t="inlineStr">
        <is>
          <t>冷轧板材</t>
        </is>
      </c>
      <c r="C77" t="inlineStr">
        <is>
          <t>600596300</t>
        </is>
      </c>
      <c r="D77" t="inlineStr">
        <is>
          <t>冷轧优质碳素结构钢板|钢板|20|GB/T 13237-2013|GB/T 708-2006</t>
        </is>
      </c>
      <c r="E77" t="inlineStr">
        <is>
          <t>物资名称 冷轧优质碳素结构钢板;物资简称 钢板;牌号 20;厚度 ;宽 ;长 ;技术标准号 GB/T 13237-2013;加工工艺 ;热处理工艺 ;特殊要求 ;规格标准号 GB/T 708-2006</t>
        </is>
      </c>
      <c r="F77" t="inlineStr">
        <is>
          <t>千克</t>
        </is>
      </c>
    </row>
    <row r="78">
      <c r="A78" t="inlineStr">
        <is>
          <t>100101</t>
        </is>
      </c>
      <c r="B78" t="inlineStr">
        <is>
          <t>冷轧板材</t>
        </is>
      </c>
      <c r="C78" t="inlineStr">
        <is>
          <t>600596200</t>
        </is>
      </c>
      <c r="D78" t="inlineStr">
        <is>
          <t>冷轧优质碳素结构钢板|钢板|20|δ0.8|GB/T 13237-2013|冷轧|GB/T 708-2006</t>
        </is>
      </c>
      <c r="E78" t="inlineStr">
        <is>
          <t>物资名称 冷轧优质碳素结构钢板;物资简称 钢板;牌号 20;厚度 δ0.8;宽 ;长 ;技术标准号 GB/T 13237-2013;加工工艺 冷轧;热处理工艺 ;特殊要求 ;规格标准号 GB/T 708-2006</t>
        </is>
      </c>
      <c r="F78" t="inlineStr">
        <is>
          <t>千克</t>
        </is>
      </c>
    </row>
    <row r="79">
      <c r="A79" t="inlineStr">
        <is>
          <t>100101</t>
        </is>
      </c>
      <c r="B79" t="inlineStr">
        <is>
          <t>冷轧板材</t>
        </is>
      </c>
      <c r="C79" t="inlineStr">
        <is>
          <t>600596100</t>
        </is>
      </c>
      <c r="D79" t="inlineStr">
        <is>
          <t>冷轧优质碳素结构钢板|钢板|20|δ1|GB/T 13237-2013|冷轧|FB|GB/T 708-2006</t>
        </is>
      </c>
      <c r="E79" t="inlineStr">
        <is>
          <t>物资名称 冷轧优质碳素结构钢板;物资简称 钢板;牌号 20;厚度 δ1;宽 ;长 ;技术标准号 GB/T 13237-2013;加工工艺 冷轧;热处理工艺 ;特殊要求 FB;规格标准号 GB/T 708-2006</t>
        </is>
      </c>
      <c r="F79" t="inlineStr">
        <is>
          <t>千克</t>
        </is>
      </c>
    </row>
    <row r="80">
      <c r="A80" t="inlineStr">
        <is>
          <t>100101</t>
        </is>
      </c>
      <c r="B80" t="inlineStr">
        <is>
          <t>冷轧板材</t>
        </is>
      </c>
      <c r="C80" t="inlineStr">
        <is>
          <t>600596000</t>
        </is>
      </c>
      <c r="D80" t="inlineStr">
        <is>
          <t>冷轧优质碳素结构钢板|钢板|20|δ1.2|GB/T 13237-2013|冷轧|GB/T 708-2006</t>
        </is>
      </c>
      <c r="E80" t="inlineStr">
        <is>
          <t>物资名称 冷轧优质碳素结构钢板;物资简称 钢板;牌号 20;厚度 δ1.2;宽 ;长 ;技术标准号 GB/T 13237-2013;加工工艺 冷轧;热处理工艺 ;特殊要求 ;规格标准号 GB/T 708-2006</t>
        </is>
      </c>
      <c r="F80" t="inlineStr">
        <is>
          <t>千克</t>
        </is>
      </c>
    </row>
    <row r="81">
      <c r="A81" t="inlineStr">
        <is>
          <t>100101</t>
        </is>
      </c>
      <c r="B81" t="inlineStr">
        <is>
          <t>冷轧板材</t>
        </is>
      </c>
      <c r="C81" t="inlineStr">
        <is>
          <t>600595900</t>
        </is>
      </c>
      <c r="D81" t="inlineStr">
        <is>
          <t>冷轧优质碳素结构钢板|钢板|20|δ1.5|GB/T 13237-2013|冷轧|FB|GB/T 708-2006</t>
        </is>
      </c>
      <c r="E81" t="inlineStr">
        <is>
          <t>物资名称 冷轧优质碳素结构钢板;物资简称 钢板;牌号 20;厚度 δ1.5;宽 ;长 ;技术标准号 GB/T 13237-2013;加工工艺 冷轧;热处理工艺 ;特殊要求 FB;规格标准号 GB/T 708-2006</t>
        </is>
      </c>
      <c r="F81" t="inlineStr">
        <is>
          <t>千克</t>
        </is>
      </c>
    </row>
    <row r="82">
      <c r="A82" t="inlineStr">
        <is>
          <t>100101</t>
        </is>
      </c>
      <c r="B82" t="inlineStr">
        <is>
          <t>冷轧板材</t>
        </is>
      </c>
      <c r="C82" t="inlineStr">
        <is>
          <t>600595800</t>
        </is>
      </c>
      <c r="D82" t="inlineStr">
        <is>
          <t>冷轧优质碳素结构钢板|钢板|20|δ2|GB/T 13237-2013|冷轧|退火|GB/T 708-2006</t>
        </is>
      </c>
      <c r="E82" t="inlineStr">
        <is>
          <t>物资名称 冷轧优质碳素结构钢板;物资简称 钢板;牌号 20;厚度 δ2;宽 ;长 ;技术标准号 GB/T 13237-2013;加工工艺 冷轧;热处理工艺 退火;特殊要求 ;规格标准号 GB/T 708-2006</t>
        </is>
      </c>
      <c r="F82" t="inlineStr">
        <is>
          <t>千克</t>
        </is>
      </c>
    </row>
    <row r="83">
      <c r="A83" t="inlineStr">
        <is>
          <t>100101</t>
        </is>
      </c>
      <c r="B83" t="inlineStr">
        <is>
          <t>冷轧板材</t>
        </is>
      </c>
      <c r="C83" t="inlineStr">
        <is>
          <t>600595700</t>
        </is>
      </c>
      <c r="D83" t="inlineStr">
        <is>
          <t>冷轧优质碳素结构钢板|钢板|20|δ3|GB/T 13237-2013|冷轧|退火|GB/T 708-2006</t>
        </is>
      </c>
      <c r="E83" t="inlineStr">
        <is>
          <t>物资名称 冷轧优质碳素结构钢板;物资简称 钢板;牌号 20;厚度 δ3;宽 ;长 ;技术标准号 GB/T 13237-2013;加工工艺 冷轧;热处理工艺 退火;特殊要求 ;规格标准号 GB/T 708-2006</t>
        </is>
      </c>
      <c r="F83" t="inlineStr">
        <is>
          <t>千克</t>
        </is>
      </c>
    </row>
    <row r="84">
      <c r="A84" t="inlineStr">
        <is>
          <t>100101</t>
        </is>
      </c>
      <c r="B84" t="inlineStr">
        <is>
          <t>冷轧板材</t>
        </is>
      </c>
      <c r="C84" t="inlineStr">
        <is>
          <t>600595600</t>
        </is>
      </c>
      <c r="D84" t="inlineStr">
        <is>
          <t>冷轧优质碳素结构钢板|钢板|20|δ3|GB/T 13237-2013|冷轧|FB|GB/T 708-2006</t>
        </is>
      </c>
      <c r="E84" t="inlineStr">
        <is>
          <t>物资名称 冷轧优质碳素结构钢板;物资简称 钢板;牌号 20;厚度 δ3;宽 ;长 ;技术标准号 GB/T 13237-2013;加工工艺 冷轧;热处理工艺 ;特殊要求 FB;规格标准号 GB/T 708-2006</t>
        </is>
      </c>
      <c r="F84" t="inlineStr">
        <is>
          <t>千克</t>
        </is>
      </c>
    </row>
    <row r="85">
      <c r="A85" t="inlineStr">
        <is>
          <t>100101</t>
        </is>
      </c>
      <c r="B85" t="inlineStr">
        <is>
          <t>冷轧板材</t>
        </is>
      </c>
      <c r="C85" t="inlineStr">
        <is>
          <t>600595500</t>
        </is>
      </c>
      <c r="D85" t="inlineStr">
        <is>
          <t>冷轧优质碳素结构钢板|钢板|40|GB/T 13237-2013|GB/T 708-2006</t>
        </is>
      </c>
      <c r="E85" t="inlineStr">
        <is>
          <t>物资名称 冷轧优质碳素结构钢板;物资简称 钢板;牌号 40;厚度 ;宽 ;长 ;技术标准号 GB/T 13237-2013;加工工艺 ;热处理工艺 ;特殊要求 ;规格标准号 GB/T 708-2006</t>
        </is>
      </c>
      <c r="F85" t="inlineStr">
        <is>
          <t>千克</t>
        </is>
      </c>
    </row>
    <row r="86">
      <c r="A86" t="inlineStr">
        <is>
          <t>100101</t>
        </is>
      </c>
      <c r="B86" t="inlineStr">
        <is>
          <t>冷轧板材</t>
        </is>
      </c>
      <c r="C86" t="inlineStr">
        <is>
          <t>600595400</t>
        </is>
      </c>
      <c r="D86" t="inlineStr">
        <is>
          <t>冷轧优质碳素结构钢板|钢板|40|δ0.8|GB/T 13237-2013|冷轧|GB/T 708-2006</t>
        </is>
      </c>
      <c r="E86" t="inlineStr">
        <is>
          <t>物资名称 冷轧优质碳素结构钢板;物资简称 钢板;牌号 40;厚度 δ0.8;宽 ;长 ;技术标准号 GB/T 13237-2013;加工工艺 冷轧;热处理工艺 ;特殊要求 ;规格标准号 GB/T 708-2006</t>
        </is>
      </c>
      <c r="F86" t="inlineStr">
        <is>
          <t>千克</t>
        </is>
      </c>
    </row>
    <row r="87">
      <c r="A87" t="inlineStr">
        <is>
          <t>100101</t>
        </is>
      </c>
      <c r="B87" t="inlineStr">
        <is>
          <t>冷轧板材</t>
        </is>
      </c>
      <c r="C87" t="inlineStr">
        <is>
          <t>600595300</t>
        </is>
      </c>
      <c r="D87" t="inlineStr">
        <is>
          <t>冷轧优质碳素结构钢板|钢板|40|δ1.5|GB/T 13237-2013|冷轧|GB/T 708-2006</t>
        </is>
      </c>
      <c r="E87" t="inlineStr">
        <is>
          <t>物资名称 冷轧优质碳素结构钢板;物资简称 钢板;牌号 40;厚度 δ1.5;宽 ;长 ;技术标准号 GB/T 13237-2013;加工工艺 冷轧;热处理工艺 ;特殊要求 ;规格标准号 GB/T 708-2006</t>
        </is>
      </c>
      <c r="F87" t="inlineStr">
        <is>
          <t>千克</t>
        </is>
      </c>
    </row>
    <row r="88">
      <c r="A88" t="inlineStr">
        <is>
          <t>100101</t>
        </is>
      </c>
      <c r="B88" t="inlineStr">
        <is>
          <t>冷轧板材</t>
        </is>
      </c>
      <c r="C88" t="inlineStr">
        <is>
          <t>600595200</t>
        </is>
      </c>
      <c r="D88" t="inlineStr">
        <is>
          <t>冷轧优质碳素结构钢板|钢板|40|δ2.8|GB/T 13237-2013|冷轧|GB/T 708-2006</t>
        </is>
      </c>
      <c r="E88" t="inlineStr">
        <is>
          <t>物资名称 冷轧优质碳素结构钢板;物资简称 钢板;牌号 40;厚度 δ2.8;宽 ;长 ;技术标准号 GB/T 13237-2013;加工工艺 冷轧;热处理工艺 ;特殊要求 ;规格标准号 GB/T 708-2006</t>
        </is>
      </c>
      <c r="F88" t="inlineStr">
        <is>
          <t>千克</t>
        </is>
      </c>
    </row>
    <row r="89">
      <c r="A89" t="inlineStr">
        <is>
          <t>100101</t>
        </is>
      </c>
      <c r="B89" t="inlineStr">
        <is>
          <t>冷轧板材</t>
        </is>
      </c>
      <c r="C89" t="inlineStr">
        <is>
          <t>600595100</t>
        </is>
      </c>
      <c r="D89" t="inlineStr">
        <is>
          <t>冷轧优质碳素结构钢板|钢板|45|GB/T 13237-2013|GB/T 708-2006</t>
        </is>
      </c>
      <c r="E89" t="inlineStr">
        <is>
          <t>物资名称 冷轧优质碳素结构钢板;物资简称 钢板;牌号 45;厚度 ;宽 ;长 ;技术标准号 GB/T 13237-2013;加工工艺 ;热处理工艺 ;特殊要求 ;规格标准号 GB/T 708-2006</t>
        </is>
      </c>
      <c r="F89" t="inlineStr">
        <is>
          <t>千克</t>
        </is>
      </c>
    </row>
    <row r="90">
      <c r="A90" t="inlineStr">
        <is>
          <t>100101</t>
        </is>
      </c>
      <c r="B90" t="inlineStr">
        <is>
          <t>冷轧板材</t>
        </is>
      </c>
      <c r="C90" t="inlineStr">
        <is>
          <t>600595000</t>
        </is>
      </c>
      <c r="D90" t="inlineStr">
        <is>
          <t>冷轧优质碳素结构钢板|钢板|45|δ1.5|GB/T 13237-2013|冷轧|GB/T 708-2006</t>
        </is>
      </c>
      <c r="E90" t="inlineStr">
        <is>
          <t>物资名称 冷轧优质碳素结构钢板;物资简称 钢板;牌号 45;厚度 δ1.5;宽 ;长 ;技术标准号 GB/T 13237-2013;加工工艺 冷轧;热处理工艺 ;特殊要求 ;规格标准号 GB/T 708-2006</t>
        </is>
      </c>
      <c r="F90" t="inlineStr">
        <is>
          <t>千克</t>
        </is>
      </c>
    </row>
    <row r="91">
      <c r="A91" t="inlineStr">
        <is>
          <t>100101</t>
        </is>
      </c>
      <c r="B91" t="inlineStr">
        <is>
          <t>冷轧板材</t>
        </is>
      </c>
      <c r="C91" t="inlineStr">
        <is>
          <t>600594900</t>
        </is>
      </c>
      <c r="D91" t="inlineStr">
        <is>
          <t>冷轧优质碳素结构钢板|钢板|45|δ2|GB/T 13237-2013|冷轧|GB/T 708-2006</t>
        </is>
      </c>
      <c r="E91" t="inlineStr">
        <is>
          <t>物资名称 冷轧优质碳素结构钢板;物资简称 钢板;牌号 45;厚度 δ2;宽 ;长 ;技术标准号 GB/T 13237-2013;加工工艺 冷轧;热处理工艺 ;特殊要求 ;规格标准号 GB/T 708-2006</t>
        </is>
      </c>
      <c r="F91" t="inlineStr">
        <is>
          <t>千克</t>
        </is>
      </c>
    </row>
    <row r="92">
      <c r="A92" t="inlineStr">
        <is>
          <t>100101</t>
        </is>
      </c>
      <c r="B92" t="inlineStr">
        <is>
          <t>冷轧板材</t>
        </is>
      </c>
      <c r="C92" t="inlineStr">
        <is>
          <t>600594800</t>
        </is>
      </c>
      <c r="D92" t="inlineStr">
        <is>
          <t>冷轧优质碳素结构钢板|钢板|45|δ2.5|GB/T 13237-2013|冷轧|GB/T 708-2006</t>
        </is>
      </c>
      <c r="E92" t="inlineStr">
        <is>
          <t>物资名称 冷轧优质碳素结构钢板;物资简称 钢板;牌号 45;厚度 δ2.5;宽 ;长 ;技术标准号 GB/T 13237-2013;加工工艺 冷轧;热处理工艺 ;特殊要求 ;规格标准号 GB/T 708-2006</t>
        </is>
      </c>
      <c r="F92" t="inlineStr">
        <is>
          <t>千克</t>
        </is>
      </c>
    </row>
    <row r="93">
      <c r="A93" t="inlineStr">
        <is>
          <t>100101</t>
        </is>
      </c>
      <c r="B93" t="inlineStr">
        <is>
          <t>冷轧板材</t>
        </is>
      </c>
      <c r="C93" t="inlineStr">
        <is>
          <t>600594700</t>
        </is>
      </c>
      <c r="D93" t="inlineStr">
        <is>
          <t>冷轧不锈钢板|钢板|1Cr18Ni9Ti|GB 3280-1992|GB/T 708-2006</t>
        </is>
      </c>
      <c r="E93" t="inlineStr">
        <is>
          <t>物资名称 冷轧不锈钢板;物资简称 钢板;牌号 1Cr18Ni9Ti;厚度 ;宽 ;长 ;技术标准号 GB 3280-1992;加工工艺 ;热处理工艺 ;特殊要求 ;规格标准号 GB/T 708-2006</t>
        </is>
      </c>
      <c r="F93" t="inlineStr">
        <is>
          <t>千克</t>
        </is>
      </c>
    </row>
    <row r="94">
      <c r="A94" t="inlineStr">
        <is>
          <t>100101</t>
        </is>
      </c>
      <c r="B94" t="inlineStr">
        <is>
          <t>冷轧板材</t>
        </is>
      </c>
      <c r="C94" t="inlineStr">
        <is>
          <t>600594600</t>
        </is>
      </c>
      <c r="D94" t="inlineStr">
        <is>
          <t>冷轧不锈钢板|钢板|1Cr18Ni9Ti|δ0.2|GB 3280-1992|冷轧|GB/T 708-2006</t>
        </is>
      </c>
      <c r="E94" t="inlineStr">
        <is>
          <t>物资名称 冷轧不锈钢板;物资简称 钢板;牌号 1Cr18Ni9Ti;厚度 δ0.2;宽 ;长 ;技术标准号 GB 3280-1992;加工工艺 冷轧;热处理工艺 ;特殊要求 ;规格标准号 GB/T 708-2006</t>
        </is>
      </c>
      <c r="F94" t="inlineStr">
        <is>
          <t>千克</t>
        </is>
      </c>
    </row>
    <row r="95">
      <c r="A95" t="inlineStr">
        <is>
          <t>100101</t>
        </is>
      </c>
      <c r="B95" t="inlineStr">
        <is>
          <t>冷轧板材</t>
        </is>
      </c>
      <c r="C95" t="inlineStr">
        <is>
          <t>600594500</t>
        </is>
      </c>
      <c r="D95" t="inlineStr">
        <is>
          <t>冷轧不锈钢板|钢板|1Cr18Ni9Ti|δ0.8|GB 3280-1992|冷轧|GB/T 708-2006</t>
        </is>
      </c>
      <c r="E95" t="inlineStr">
        <is>
          <t>物资名称 冷轧不锈钢板;物资简称 钢板;牌号 1Cr18Ni9Ti;厚度 δ0.8;宽 ;长 ;技术标准号 GB 3280-1992;加工工艺 冷轧;热处理工艺 ;特殊要求 ;规格标准号 GB/T 708-2006</t>
        </is>
      </c>
      <c r="F95" t="inlineStr">
        <is>
          <t>千克</t>
        </is>
      </c>
    </row>
    <row r="96">
      <c r="A96" t="inlineStr">
        <is>
          <t>100101</t>
        </is>
      </c>
      <c r="B96" t="inlineStr">
        <is>
          <t>冷轧板材</t>
        </is>
      </c>
      <c r="C96" t="inlineStr">
        <is>
          <t>600594400</t>
        </is>
      </c>
      <c r="D96" t="inlineStr">
        <is>
          <t>冷轧不锈钢板|钢板|1Cr18Ni9Ti|δ1.2|GB 3280-1992|冷轧|GB/T 708-2006</t>
        </is>
      </c>
      <c r="E96" t="inlineStr">
        <is>
          <t>物资名称 冷轧不锈钢板;物资简称 钢板;牌号 1Cr18Ni9Ti;厚度 δ1.2;宽 ;长 ;技术标准号 GB 3280-1992;加工工艺 冷轧;热处理工艺 ;特殊要求 ;规格标准号 GB/T 708-2006</t>
        </is>
      </c>
      <c r="F96" t="inlineStr">
        <is>
          <t>千克</t>
        </is>
      </c>
    </row>
    <row r="97">
      <c r="A97" t="inlineStr">
        <is>
          <t>100101</t>
        </is>
      </c>
      <c r="B97" t="inlineStr">
        <is>
          <t>冷轧板材</t>
        </is>
      </c>
      <c r="C97" t="inlineStr">
        <is>
          <t>600594300</t>
        </is>
      </c>
      <c r="D97" t="inlineStr">
        <is>
          <t>冷轧不锈钢板|钢板|1Cr18Ni9Ti|δ2|GB 3280-1992|冷轧|GB/T 708-2006</t>
        </is>
      </c>
      <c r="E97" t="inlineStr">
        <is>
          <t>物资名称 冷轧不锈钢板;物资简称 钢板;牌号 1Cr18Ni9Ti;厚度 δ2;宽 ;长 ;技术标准号 GB 3280-1992;加工工艺 冷轧;热处理工艺 ;特殊要求 ;规格标准号 GB/T 708-2006</t>
        </is>
      </c>
      <c r="F97" t="inlineStr">
        <is>
          <t>千克</t>
        </is>
      </c>
    </row>
    <row r="98">
      <c r="A98" t="inlineStr">
        <is>
          <t>100101</t>
        </is>
      </c>
      <c r="B98" t="inlineStr">
        <is>
          <t>冷轧板材</t>
        </is>
      </c>
      <c r="C98" t="inlineStr">
        <is>
          <t>600594200</t>
        </is>
      </c>
      <c r="D98" t="inlineStr">
        <is>
          <t>冷轧不锈钢板|钢板|06Cr19Ni10|GB/T 3280-2007|GB/T 708-2006</t>
        </is>
      </c>
      <c r="E98" t="inlineStr">
        <is>
          <t>物资名称 冷轧不锈钢板;物资简称 钢板;牌号 06Cr19Ni10;厚度 ;宽 ;长 ;技术标准号 GB/T 3280-2007;加工工艺 ;热处理工艺 ;特殊要求 ;规格标准号 GB/T 708-2006</t>
        </is>
      </c>
      <c r="F98" t="inlineStr">
        <is>
          <t>千克</t>
        </is>
      </c>
    </row>
    <row r="99">
      <c r="A99" t="inlineStr">
        <is>
          <t>100101</t>
        </is>
      </c>
      <c r="B99" t="inlineStr">
        <is>
          <t>冷轧板材</t>
        </is>
      </c>
      <c r="C99" t="inlineStr">
        <is>
          <t>600594100</t>
        </is>
      </c>
      <c r="D99" t="inlineStr">
        <is>
          <t>冷轧不锈钢板|钢板|06Cr19Ni10|δ1.5GB/T 3280-2007|冷轧|GB/T 708-2006</t>
        </is>
      </c>
      <c r="E99" t="inlineStr">
        <is>
          <t>物资名称 冷轧不锈钢板;物资简称 钢板;牌号 06Cr19Ni10;厚度 δ1.5;宽 ;长 ;技术标准号 GB/T 3280-2007;加工工艺 冷轧;热处理工艺 ;特殊要求 ;规格标准号 GB/T 708-2006</t>
        </is>
      </c>
      <c r="F99" t="inlineStr">
        <is>
          <t>千克</t>
        </is>
      </c>
    </row>
    <row r="100">
      <c r="A100" t="inlineStr">
        <is>
          <t>100101</t>
        </is>
      </c>
      <c r="B100" t="inlineStr">
        <is>
          <t>冷轧板材</t>
        </is>
      </c>
      <c r="C100" t="inlineStr">
        <is>
          <t>600594000</t>
        </is>
      </c>
      <c r="D100" t="inlineStr">
        <is>
          <t>冷轧不锈钢板|钢板|12Cr18Ni9|GB/T 3280-2007|GB/T 708-2006</t>
        </is>
      </c>
      <c r="E100" t="inlineStr">
        <is>
          <t>物资名称 冷轧不锈钢板;物资简称 钢板;牌号 12Cr18Ni9;厚度 ;宽 ;长 ;技术标准号 GB/T 3280-2007;加工工艺 ;热处理工艺 ;特殊要求 ;规格标准号 GB/T 708-2006</t>
        </is>
      </c>
      <c r="F100" t="inlineStr">
        <is>
          <t>千克</t>
        </is>
      </c>
    </row>
    <row r="101">
      <c r="A101" t="inlineStr">
        <is>
          <t>100101</t>
        </is>
      </c>
      <c r="B101" t="inlineStr">
        <is>
          <t>冷轧板材</t>
        </is>
      </c>
      <c r="C101" t="inlineStr">
        <is>
          <t>600593900</t>
        </is>
      </c>
      <c r="D101" t="inlineStr">
        <is>
          <t>冷轧不锈钢板|钢板|12Cr18Ni9|δ0.8|GB/T 3280-2007|冷轧|GB/T 708-2006</t>
        </is>
      </c>
      <c r="E101" t="inlineStr">
        <is>
          <t>物资名称 冷轧不锈钢板;物资简称 钢板;牌号 12Cr18Ni9;厚度 δ0.8;宽 ;长 ;技术标准号 GB/T 3280-2007;加工工艺 冷轧;热处理工艺 ;特殊要求 ;规格标准号 GB/T 708-2006</t>
        </is>
      </c>
      <c r="F101" t="inlineStr">
        <is>
          <t>千克</t>
        </is>
      </c>
    </row>
    <row r="102">
      <c r="A102" t="inlineStr">
        <is>
          <t>100101</t>
        </is>
      </c>
      <c r="B102" t="inlineStr">
        <is>
          <t>冷轧板材</t>
        </is>
      </c>
      <c r="C102" t="inlineStr">
        <is>
          <t>600593800</t>
        </is>
      </c>
      <c r="D102" t="inlineStr">
        <is>
          <t>冷轧不锈钢板|钢板|20Cr13|GB/T 3280-2007|GB/T 708-2006</t>
        </is>
      </c>
      <c r="E102" t="inlineStr">
        <is>
          <t>物资名称 冷轧不锈钢板;物资简称 钢板;牌号 20Cr13;厚度 ;宽 ;长 ;技术标准号 GB/T 3280-2007;加工工艺 ;热处理工艺 ;特殊要求 ;规格标准号 GB/T 708-2006</t>
        </is>
      </c>
      <c r="F102" t="inlineStr">
        <is>
          <t>千克</t>
        </is>
      </c>
    </row>
    <row r="103">
      <c r="A103" t="inlineStr">
        <is>
          <t>100101</t>
        </is>
      </c>
      <c r="B103" t="inlineStr">
        <is>
          <t>冷轧板材</t>
        </is>
      </c>
      <c r="C103" t="inlineStr">
        <is>
          <t>600593700</t>
        </is>
      </c>
      <c r="D103" t="inlineStr">
        <is>
          <t>冷轧不锈钢板|钢板|20Cr13|δ0.8|GB/T 3280-2007|冷轧|GB/T 708-2006</t>
        </is>
      </c>
      <c r="E103" t="inlineStr">
        <is>
          <t>物资名称 冷轧不锈钢板;物资简称 钢板;牌号 20Cr13;厚度 δ0.8;宽 ;长 ;技术标准号 GB/T 3280-2007;加工工艺 冷轧;热处理工艺 ;特殊要求 ;规格标准号 GB/T 708-2006</t>
        </is>
      </c>
      <c r="F103" t="inlineStr">
        <is>
          <t>千克</t>
        </is>
      </c>
    </row>
    <row r="104">
      <c r="A104" t="inlineStr">
        <is>
          <t>100101</t>
        </is>
      </c>
      <c r="B104" t="inlineStr">
        <is>
          <t>冷轧板材</t>
        </is>
      </c>
      <c r="C104" t="inlineStr">
        <is>
          <t>600593600</t>
        </is>
      </c>
      <c r="D104" t="inlineStr">
        <is>
          <t>冷轧不锈钢板|钢板|20Cr13|δ1|GB/T 3280-2007|冷轧|GB/T 708-2006</t>
        </is>
      </c>
      <c r="E104" t="inlineStr">
        <is>
          <t>物资名称 冷轧不锈钢板;物资简称 钢板;牌号 20Cr13;厚度 δ1;宽 ;长 ;技术标准号 GB/T 3280-2007;加工工艺 冷轧;热处理工艺 ;特殊要求 ;规格标准号 GB/T 708-2006</t>
        </is>
      </c>
      <c r="F104" t="inlineStr">
        <is>
          <t>千克</t>
        </is>
      </c>
    </row>
    <row r="105">
      <c r="A105" t="inlineStr">
        <is>
          <t>100101</t>
        </is>
      </c>
      <c r="B105" t="inlineStr">
        <is>
          <t>冷轧板材</t>
        </is>
      </c>
      <c r="C105" t="inlineStr">
        <is>
          <t>600593500</t>
        </is>
      </c>
      <c r="D105" t="inlineStr">
        <is>
          <t>冷轧耐热钢板|钢板|06Cr19Ni9|GB/T 4238-2007|GB/T 3280-2007</t>
        </is>
      </c>
      <c r="E105" t="inlineStr">
        <is>
          <t>物资名称 冷轧耐热钢板;物资简称 钢板;牌号 06Cr19Ni9;厚度 ;宽 ;长 ;技术标准号 GB/T 4238-2007;加工工艺 ;热处理工艺 ;特殊要求 ;规格标准号 GB/T 3280-2007</t>
        </is>
      </c>
      <c r="F105" t="inlineStr">
        <is>
          <t>千克</t>
        </is>
      </c>
    </row>
    <row r="106">
      <c r="A106" t="inlineStr">
        <is>
          <t>100101</t>
        </is>
      </c>
      <c r="B106" t="inlineStr">
        <is>
          <t>冷轧板材</t>
        </is>
      </c>
      <c r="C106" t="inlineStr">
        <is>
          <t>600593400</t>
        </is>
      </c>
      <c r="D106" t="inlineStr">
        <is>
          <t>冷轧耐热钢板|钢板|06Cr19Ni9|δ0.5|GB/T 4238-2007|冷轧|GB/T 3280-2007</t>
        </is>
      </c>
      <c r="E106" t="inlineStr">
        <is>
          <t>物资名称 冷轧耐热钢板;物资简称 钢板;牌号 06Cr19Ni9;厚度 δ0.5;宽 ;长 ;技术标准号 GB/T 4238-2007;加工工艺 冷轧;热处理工艺 ;特殊要求 ;规格标准号 GB/T 3280-2007</t>
        </is>
      </c>
      <c r="F106" t="inlineStr">
        <is>
          <t>千克</t>
        </is>
      </c>
    </row>
    <row r="107">
      <c r="A107" t="inlineStr">
        <is>
          <t>100101</t>
        </is>
      </c>
      <c r="B107" t="inlineStr">
        <is>
          <t>冷轧板材</t>
        </is>
      </c>
      <c r="C107" t="inlineStr">
        <is>
          <t>600593300</t>
        </is>
      </c>
      <c r="D107" t="inlineStr">
        <is>
          <t>冷轧耐热钢板|钢板|1Cr18Ni9Ti|GB 4238-1992|冷轧|GB/T 708-2006</t>
        </is>
      </c>
      <c r="E107" t="inlineStr">
        <is>
          <t>物资名称 冷轧耐热钢板;物资简称 钢板;牌号 1Cr18Ni9Ti;厚度 ;宽 ;长 ;技术标准号 GB 4238-1992;加工工艺 冷轧;热处理工艺 ;特殊要求 ;规格标准号 GB/T 708-2006</t>
        </is>
      </c>
      <c r="F107" t="inlineStr">
        <is>
          <t>千克</t>
        </is>
      </c>
    </row>
    <row r="108">
      <c r="A108" t="inlineStr">
        <is>
          <t>100101</t>
        </is>
      </c>
      <c r="B108" t="inlineStr">
        <is>
          <t>冷轧板材</t>
        </is>
      </c>
      <c r="C108" t="inlineStr">
        <is>
          <t>600593200</t>
        </is>
      </c>
      <c r="D108" t="inlineStr">
        <is>
          <t>冷轧耐热钢板|钢板|1Cr18Ni9Ti|δ0.8|GB 4238-1992|冷轧|GB/T 708-2006</t>
        </is>
      </c>
      <c r="E108" t="inlineStr">
        <is>
          <t>物资名称 冷轧耐热钢板;物资简称 钢板;牌号 1Cr18Ni9Ti;厚度 δ0.8;宽 ;长 ;技术标准号 GB 4238-1992;加工工艺 冷轧;热处理工艺 ;特殊要求 ;规格标准号 GB/T 708-2006</t>
        </is>
      </c>
      <c r="F108" t="inlineStr">
        <is>
          <t>千克</t>
        </is>
      </c>
    </row>
    <row r="109">
      <c r="A109" t="inlineStr">
        <is>
          <t>100101</t>
        </is>
      </c>
      <c r="B109" t="inlineStr">
        <is>
          <t>冷轧板材</t>
        </is>
      </c>
      <c r="C109" t="inlineStr">
        <is>
          <t>600593100</t>
        </is>
      </c>
      <c r="D109" t="inlineStr">
        <is>
          <t>冷轧耐热钢板|钢板|1Cr18Ni9Ti|δ1|GB 4238-1992|冷轧|GB/T 708-2006</t>
        </is>
      </c>
      <c r="E109" t="inlineStr">
        <is>
          <t>物资名称 冷轧耐热钢板;物资简称 钢板;牌号 1Cr18Ni9Ti;厚度 δ1;宽 ;长 ;技术标准号 GB 4238-1992;加工工艺 冷轧;热处理工艺 ;特殊要求 ;规格标准号 GB/T 708-2006</t>
        </is>
      </c>
      <c r="F109" t="inlineStr">
        <is>
          <t>千克</t>
        </is>
      </c>
    </row>
    <row r="110">
      <c r="A110" t="inlineStr">
        <is>
          <t>100101</t>
        </is>
      </c>
      <c r="B110" t="inlineStr">
        <is>
          <t>冷轧板材</t>
        </is>
      </c>
      <c r="C110" t="inlineStr">
        <is>
          <t>600593000</t>
        </is>
      </c>
      <c r="D110" t="inlineStr">
        <is>
          <t>冷轧耐热钢板|钢板|1Cr18Ni9Ti|δ1.2|GB 4238-1992|冷轧|GB/T 708-2006</t>
        </is>
      </c>
      <c r="E110" t="inlineStr">
        <is>
          <t>物资名称 冷轧耐热钢板;物资简称 钢板;牌号 1Cr18Ni9Ti;厚度 δ1.2;宽 ;长 ;技术标准号 GB 4238-1992;加工工艺 冷轧;热处理工艺 ;特殊要求 ;规格标准号 GB/T 708-2006</t>
        </is>
      </c>
      <c r="F110" t="inlineStr">
        <is>
          <t>千克</t>
        </is>
      </c>
    </row>
    <row r="111">
      <c r="A111" t="inlineStr">
        <is>
          <t>100101</t>
        </is>
      </c>
      <c r="B111" t="inlineStr">
        <is>
          <t>冷轧板材</t>
        </is>
      </c>
      <c r="C111" t="inlineStr">
        <is>
          <t>600592900</t>
        </is>
      </c>
      <c r="D111" t="inlineStr">
        <is>
          <t>冷轧耐热钢板|钢板|1Cr18Ni9Ti|δ1.5|GB 4238-1992|冷轧|GB/T 708-2006</t>
        </is>
      </c>
      <c r="E111" t="inlineStr">
        <is>
          <t>物资名称 冷轧耐热钢板;物资简称 钢板;牌号 1Cr18Ni9Ti;厚度 δ1.5;宽 ;长 ;技术标准号 GB 4238-1992;加工工艺 冷轧;热处理工艺 ;特殊要求 ;规格标准号 GB/T 708-2006</t>
        </is>
      </c>
      <c r="F111" t="inlineStr">
        <is>
          <t>千克</t>
        </is>
      </c>
    </row>
    <row r="112">
      <c r="A112" t="inlineStr">
        <is>
          <t>100101</t>
        </is>
      </c>
      <c r="B112" t="inlineStr">
        <is>
          <t>冷轧板材</t>
        </is>
      </c>
      <c r="C112" t="inlineStr">
        <is>
          <t>600592800</t>
        </is>
      </c>
      <c r="D112" t="inlineStr">
        <is>
          <t>冷轧耐热钢板|钢板|1Cr18Ni9Ti|δ2|GB 4238-1992|冷轧|GB/T 708-2006</t>
        </is>
      </c>
      <c r="E112" t="inlineStr">
        <is>
          <t>物资名称 冷轧耐热钢板;物资简称 钢板;牌号 1Cr18Ni9Ti;厚度 δ2;宽 ;长 ;技术标准号 GB 4238-1992;加工工艺 冷轧;热处理工艺 ;特殊要求 ;规格标准号 GB/T 708-2006</t>
        </is>
      </c>
      <c r="F112" t="inlineStr">
        <is>
          <t>千克</t>
        </is>
      </c>
    </row>
    <row r="113">
      <c r="A113" t="inlineStr">
        <is>
          <t>100101</t>
        </is>
      </c>
      <c r="B113" t="inlineStr">
        <is>
          <t>冷轧板材</t>
        </is>
      </c>
      <c r="C113" t="inlineStr">
        <is>
          <t>600592700</t>
        </is>
      </c>
      <c r="D113" t="inlineStr">
        <is>
          <t>冷轧耐热钢板|钢板|1Cr18Ni9Ti|δ2.5|GB 4238-1992|冷轧|GB/T 708-2006</t>
        </is>
      </c>
      <c r="E113" t="inlineStr">
        <is>
          <t>物资名称 冷轧耐热钢板;物资简称 钢板;牌号 1Cr18Ni9Ti;厚度 δ2.5;宽 ;长 ;技术标准号 GB 4238-1992;加工工艺 冷轧;热处理工艺 ;特殊要求 ;规格标准号 GB/T 708-2006</t>
        </is>
      </c>
      <c r="F113" t="inlineStr">
        <is>
          <t>千克</t>
        </is>
      </c>
    </row>
    <row r="114">
      <c r="A114" t="inlineStr">
        <is>
          <t>100101</t>
        </is>
      </c>
      <c r="B114" t="inlineStr">
        <is>
          <t>冷轧板材</t>
        </is>
      </c>
      <c r="C114" t="inlineStr">
        <is>
          <t>600592600</t>
        </is>
      </c>
      <c r="D114" t="inlineStr">
        <is>
          <t>冷轧耐热钢板|钢板|1Cr18Ni9Ti|δ3|GB 4238-1992|冷轧|GB/T 708-2006</t>
        </is>
      </c>
      <c r="E114" t="inlineStr">
        <is>
          <t>物资名称 冷轧耐热钢板;物资简称 钢板;牌号 1Cr18Ni9Ti;厚度 δ3;宽 ;长 ;技术标准号 GB 4238-1992;加工工艺 冷轧;热处理工艺 ;特殊要求 ;规格标准号 GB/T 708-2006</t>
        </is>
      </c>
      <c r="F114" t="inlineStr">
        <is>
          <t>千克</t>
        </is>
      </c>
    </row>
    <row r="115">
      <c r="A115" t="inlineStr">
        <is>
          <t>100101</t>
        </is>
      </c>
      <c r="B115" t="inlineStr">
        <is>
          <t>冷轧板材</t>
        </is>
      </c>
      <c r="C115" t="inlineStr">
        <is>
          <t>600592500</t>
        </is>
      </c>
      <c r="D115" t="inlineStr">
        <is>
          <t>冷轧耐热钢板|钢板|1Cr18Ni9Ti|δ4|GB 4238-1992|冷轧|GB/T 708-2006</t>
        </is>
      </c>
      <c r="E115" t="inlineStr">
        <is>
          <t>物资名称 冷轧耐热钢板;物资简称 钢板;牌号 1Cr18Ni9Ti;厚度 δ4;宽 ;长 ;技术标准号 GB 4238-1992;加工工艺 冷轧;热处理工艺 ;特殊要求 ;规格标准号 GB/T 708-2006</t>
        </is>
      </c>
      <c r="F115" t="inlineStr">
        <is>
          <t>千克</t>
        </is>
      </c>
    </row>
    <row r="116">
      <c r="A116" t="inlineStr">
        <is>
          <t>100102</t>
        </is>
      </c>
      <c r="B116" t="inlineStr">
        <is>
          <t>热轧板材</t>
        </is>
      </c>
      <c r="C116" t="inlineStr">
        <is>
          <t>603563500</t>
        </is>
      </c>
      <c r="D116" t="inlineStr">
        <is>
          <t>热轧优质碳素结构钢板|钢板|45|δ10|GB/T 711-2017|热轧|GB/T 711-2017</t>
        </is>
      </c>
      <c r="E116" t="inlineStr">
        <is>
          <t>物资名称 热轧优质碳素结构钢板;物资简称 钢板;牌号 45;厚度 δ10;宽 ;长 ;技术标准号 GB/T 711-2017;加工工艺 热轧;热处理工艺 ;特殊要求 ;规格标准号 GB/T 711-2017</t>
        </is>
      </c>
      <c r="F116" t="inlineStr">
        <is>
          <t>千克</t>
        </is>
      </c>
    </row>
    <row r="117">
      <c r="A117" t="inlineStr">
        <is>
          <t>100102</t>
        </is>
      </c>
      <c r="B117" t="inlineStr">
        <is>
          <t>热轧板材</t>
        </is>
      </c>
      <c r="C117" t="inlineStr">
        <is>
          <t>603553000</t>
        </is>
      </c>
      <c r="D117" t="inlineStr">
        <is>
          <t>热轧合金结构钢板|钢板|30CrMnSiA|GB/T 11251-2020|热轧|GB/T 709-2019</t>
        </is>
      </c>
      <c r="E117" t="inlineStr">
        <is>
          <t>物资名称 热轧合金结构钢板;物资简称 钢板;牌号 30CrMnSiA;厚度 δ;宽 ;长 ;技术标准号 GB/T 11251-2020;加工工艺 热轧;热处理工艺 ;特殊要求 ;规格标准号 GB/T 709-2019</t>
        </is>
      </c>
      <c r="F117" t="inlineStr">
        <is>
          <t>千克</t>
        </is>
      </c>
    </row>
    <row r="118">
      <c r="A118" t="inlineStr">
        <is>
          <t>100102</t>
        </is>
      </c>
      <c r="B118" t="inlineStr">
        <is>
          <t>热轧板材</t>
        </is>
      </c>
      <c r="C118" t="inlineStr">
        <is>
          <t>603551500</t>
        </is>
      </c>
      <c r="D118" t="inlineStr">
        <is>
          <t>热轧合金结构钢板|钢板|30CrMnSiA|δ60|GB/T 11251-2009|热轧|GB/T 709-2019</t>
        </is>
      </c>
      <c r="E118" t="inlineStr">
        <is>
          <t>物资名称 热轧合金结构钢板;物资简称 钢板;牌号 30CrMnSiA;厚度 δ60;宽 ;长 ;技术标准号 GB/T 11251-2009;加工工艺 热轧;热处理工艺 ;特殊要求 ;规格标准号 GB/T 709-2019</t>
        </is>
      </c>
      <c r="F118" t="inlineStr">
        <is>
          <t>千克</t>
        </is>
      </c>
    </row>
    <row r="119">
      <c r="A119" t="inlineStr">
        <is>
          <t>100102</t>
        </is>
      </c>
      <c r="B119" t="inlineStr">
        <is>
          <t>热轧板材</t>
        </is>
      </c>
      <c r="C119" t="inlineStr">
        <is>
          <t>603542300</t>
        </is>
      </c>
      <c r="D119" t="inlineStr">
        <is>
          <t>热轧航空用合金结构钢板|钢板|30CrMnSiA|GJB 2150A-2018|热轧|GB/T 709-2019</t>
        </is>
      </c>
      <c r="E119" t="inlineStr">
        <is>
          <t>物资名称 热轧航空用合金结构钢板;物资简称 钢板;牌号 30CrMnSiA;厚度 δ;宽 ;长 ;技术标准号 GJB 2150A-2018;加工工艺 热轧;热处理工艺 ;特殊要求 ;规格标准号 GB/T 709-2019</t>
        </is>
      </c>
      <c r="F119" t="inlineStr">
        <is>
          <t>千克</t>
        </is>
      </c>
    </row>
    <row r="120">
      <c r="A120" t="inlineStr">
        <is>
          <t>100102</t>
        </is>
      </c>
      <c r="B120" t="inlineStr">
        <is>
          <t>热轧板材</t>
        </is>
      </c>
      <c r="C120" t="inlineStr">
        <is>
          <t>602975000</t>
        </is>
      </c>
      <c r="D120" t="inlineStr">
        <is>
          <t>热轧不锈钢板|钢板|1Cr18Ni9Ti|δ14|GB/T 4237-2015|热轧|GB/T 709-2006</t>
        </is>
      </c>
      <c r="E120" t="inlineStr">
        <is>
          <t>物资名称 热轧不锈钢板;物资简称 钢板;牌号 1Cr18Ni9Ti;厚度 δ14;宽 ;长 ;技术标准号 GB/T 4237-2015;加工工艺 热轧;热处理工艺 ;特殊要求 ;规格标准号 GB/T 709-2006</t>
        </is>
      </c>
      <c r="F120" t="inlineStr">
        <is>
          <t>千克</t>
        </is>
      </c>
    </row>
    <row r="121">
      <c r="A121" t="inlineStr">
        <is>
          <t>100102</t>
        </is>
      </c>
      <c r="B121" t="inlineStr">
        <is>
          <t>热轧板材</t>
        </is>
      </c>
      <c r="C121" t="inlineStr">
        <is>
          <t>602374200</t>
        </is>
      </c>
      <c r="D121" t="inlineStr">
        <is>
          <t>热轧优质碳素结构钢板|钢板|10|GB/T 710-2008|热轧|GB/T 709-2006</t>
        </is>
      </c>
      <c r="E121" t="inlineStr">
        <is>
          <t>物资名称 热轧优质碳素结构钢板;物资简称 钢板;牌号 10;厚度 δ;宽 ;长 ;技术标准号 GB/T 710-2008;加工工艺 热轧;热处理工艺 ;特殊要求 ;规格标准号 GB/T 709-2006</t>
        </is>
      </c>
      <c r="F121" t="inlineStr">
        <is>
          <t>千克</t>
        </is>
      </c>
    </row>
    <row r="122">
      <c r="A122" t="inlineStr">
        <is>
          <t>100102</t>
        </is>
      </c>
      <c r="B122" t="inlineStr">
        <is>
          <t>热轧板材</t>
        </is>
      </c>
      <c r="C122" t="inlineStr">
        <is>
          <t>602366500</t>
        </is>
      </c>
      <c r="D122" t="inlineStr">
        <is>
          <t>热轧优质碳素结构钢板|钢板|20|GB/T 711-2017|热轧|GB/T 709-2019</t>
        </is>
      </c>
      <c r="E122" t="inlineStr">
        <is>
          <t>物资名称 热轧优质碳素结构钢板;物资简称 钢板;牌号 20;厚度 δ;宽 ;长 ;技术标准号 GB/T 711-2017;加工工艺 热轧;热处理工艺 ;特殊要求 ;规格标准号 GB/T 709-2019</t>
        </is>
      </c>
      <c r="F122" t="inlineStr">
        <is>
          <t>千克</t>
        </is>
      </c>
    </row>
    <row r="123">
      <c r="A123" t="inlineStr">
        <is>
          <t>100102</t>
        </is>
      </c>
      <c r="B123" t="inlineStr">
        <is>
          <t>热轧板材</t>
        </is>
      </c>
      <c r="C123" t="inlineStr">
        <is>
          <t>602207600</t>
        </is>
      </c>
      <c r="D123" t="inlineStr">
        <is>
          <t>热轧不锈钢板|钢板|06Cr19Ni10|δ20|GB/T 4237-2015|热轧|GB/T 709-2006</t>
        </is>
      </c>
      <c r="E123" t="inlineStr">
        <is>
          <t>物资名称 热轧不锈钢板;物资简称 钢板;牌号 06Cr19Ni10;厚度 δ20;宽 ;长 ;技术标准号 GB/T 4237-2015;加工工艺 热轧;热处理工艺 ;特殊要求 ;规格标准号 GB/T 709-2006</t>
        </is>
      </c>
      <c r="F123" t="inlineStr">
        <is>
          <t>千克</t>
        </is>
      </c>
    </row>
    <row r="124">
      <c r="A124" t="inlineStr">
        <is>
          <t>100102</t>
        </is>
      </c>
      <c r="B124" t="inlineStr">
        <is>
          <t>热轧板材</t>
        </is>
      </c>
      <c r="C124" t="inlineStr">
        <is>
          <t>602207500</t>
        </is>
      </c>
      <c r="D124" t="inlineStr">
        <is>
          <t>热轧不锈钢板|钢板|06Cr19Ni10|δ25|GB/T 4237-2015|热轧|GB/T 709-2006</t>
        </is>
      </c>
      <c r="E124" t="inlineStr">
        <is>
          <t>物资名称 热轧不锈钢板;物资简称 钢板;牌号 06Cr19Ni10;厚度 δ25;宽 ;长 ;技术标准号 GB/T 4237-2015;加工工艺 热轧;热处理工艺 ;特殊要求 ;规格标准号 GB/T 709-2006</t>
        </is>
      </c>
      <c r="F124" t="inlineStr">
        <is>
          <t>千克</t>
        </is>
      </c>
    </row>
    <row r="125">
      <c r="A125" t="inlineStr">
        <is>
          <t>100102</t>
        </is>
      </c>
      <c r="B125" t="inlineStr">
        <is>
          <t>热轧板材</t>
        </is>
      </c>
      <c r="C125" t="inlineStr">
        <is>
          <t>602207400</t>
        </is>
      </c>
      <c r="D125" t="inlineStr">
        <is>
          <t>热轧不锈钢板|钢板|06Cr19Ni10|δ16|GB/T 4237-2015|热轧|GB/T 709-2006</t>
        </is>
      </c>
      <c r="E125" t="inlineStr">
        <is>
          <t>物资名称 热轧不锈钢板;物资简称 钢板;牌号 06Cr19Ni10;厚度 δ16;宽 ;长 ;技术标准号 GB/T 4237-2015;加工工艺 热轧;热处理工艺 ;特殊要求 ;规格标准号 GB/T 709-2006</t>
        </is>
      </c>
      <c r="F125" t="inlineStr">
        <is>
          <t>千克</t>
        </is>
      </c>
    </row>
    <row r="126">
      <c r="A126" t="inlineStr">
        <is>
          <t>100102</t>
        </is>
      </c>
      <c r="B126" t="inlineStr">
        <is>
          <t>热轧板材</t>
        </is>
      </c>
      <c r="C126" t="inlineStr">
        <is>
          <t>602207300</t>
        </is>
      </c>
      <c r="D126" t="inlineStr">
        <is>
          <t>热轧不锈钢板|钢板|06Cr19Ni10|δ30|GB/T 4237-2015|热轧|GB/T 709-2006</t>
        </is>
      </c>
      <c r="E126" t="inlineStr">
        <is>
          <t>物资名称 热轧不锈钢板;物资简称 钢板;牌号 06Cr19Ni10;厚度 δ30;宽 ;长 ;技术标准号 GB/T 4237-2015;加工工艺 热轧;热处理工艺 ;特殊要求 ;规格标准号 GB/T 709-2006</t>
        </is>
      </c>
      <c r="F126" t="inlineStr">
        <is>
          <t>千克</t>
        </is>
      </c>
    </row>
    <row r="127">
      <c r="A127" t="inlineStr">
        <is>
          <t>100102</t>
        </is>
      </c>
      <c r="B127" t="inlineStr">
        <is>
          <t>热轧板材</t>
        </is>
      </c>
      <c r="C127" t="inlineStr">
        <is>
          <t>602207200</t>
        </is>
      </c>
      <c r="D127" t="inlineStr">
        <is>
          <t>热轧不锈钢板|钢板|06Cr19Ni10|δ50|GB/T 4237-2015|热轧|GB/T 709-2006</t>
        </is>
      </c>
      <c r="E127" t="inlineStr">
        <is>
          <t>物资名称 热轧不锈钢板;物资简称 钢板;牌号 06Cr19Ni10;厚度 δ50;宽 ;长 ;技术标准号 GB/T 4237-2015;加工工艺 热轧;热处理工艺 ;特殊要求 ;规格标准号 GB/T 709-2006</t>
        </is>
      </c>
      <c r="F127" t="inlineStr">
        <is>
          <t>千克</t>
        </is>
      </c>
    </row>
    <row r="128">
      <c r="A128" t="inlineStr">
        <is>
          <t>100102</t>
        </is>
      </c>
      <c r="B128" t="inlineStr">
        <is>
          <t>热轧板材</t>
        </is>
      </c>
      <c r="C128" t="inlineStr">
        <is>
          <t>602207100</t>
        </is>
      </c>
      <c r="D128" t="inlineStr">
        <is>
          <t>热轧不锈钢板|钢板|06Cr19Ni10|δ40|GB/T 4237-2015|热轧|GB/T 709-2006</t>
        </is>
      </c>
      <c r="E128" t="inlineStr">
        <is>
          <t>物资名称 热轧不锈钢板;物资简称 钢板;牌号 06Cr19Ni10;厚度 δ40;宽 ;长 ;技术标准号 GB/T 4237-2015;加工工艺 热轧;热处理工艺 ;特殊要求 ;规格标准号 GB/T 709-2006</t>
        </is>
      </c>
      <c r="F128" t="inlineStr">
        <is>
          <t>千克</t>
        </is>
      </c>
    </row>
    <row r="129">
      <c r="A129" t="inlineStr">
        <is>
          <t>100102</t>
        </is>
      </c>
      <c r="B129" t="inlineStr">
        <is>
          <t>热轧板材</t>
        </is>
      </c>
      <c r="C129" t="inlineStr">
        <is>
          <t>602207000</t>
        </is>
      </c>
      <c r="D129" t="inlineStr">
        <is>
          <t>热轧不锈钢板|钢板|06Cr19Ni10|δ18|GB/T 4237-2015|热轧|GB/T 709-2006</t>
        </is>
      </c>
      <c r="E129" t="inlineStr">
        <is>
          <t>物资名称 热轧不锈钢板;物资简称 钢板;牌号 06Cr19Ni10;厚度 δ18;宽 ;长 ;技术标准号 GB/T 4237-2015;加工工艺 热轧;热处理工艺 ;特殊要求 ;规格标准号 GB/T 709-2006</t>
        </is>
      </c>
      <c r="F129" t="inlineStr">
        <is>
          <t>千克</t>
        </is>
      </c>
    </row>
    <row r="130">
      <c r="A130" t="inlineStr">
        <is>
          <t>100102</t>
        </is>
      </c>
      <c r="B130" t="inlineStr">
        <is>
          <t>热轧板材</t>
        </is>
      </c>
      <c r="C130" t="inlineStr">
        <is>
          <t>602184200</t>
        </is>
      </c>
      <c r="D130" t="inlineStr">
        <is>
          <t>热轧优质碳素结构钢板|钢板|45|δ25|GB/T 711-2017|热轧|GB/T 709-2019</t>
        </is>
      </c>
      <c r="E130" t="inlineStr">
        <is>
          <t>物资名称 热轧优质碳素结构钢板;物资简称 钢板;牌号 45;厚度 δ25;宽 ;长 ;技术标准号 GB/T 711-2017;加工工艺 热轧;热处理工艺 ;特殊要求 ;规格标准号 GB/T 709-2019</t>
        </is>
      </c>
      <c r="F130" t="inlineStr">
        <is>
          <t>千克</t>
        </is>
      </c>
    </row>
    <row r="131">
      <c r="A131" t="inlineStr">
        <is>
          <t>100102</t>
        </is>
      </c>
      <c r="B131" t="inlineStr">
        <is>
          <t>热轧板材</t>
        </is>
      </c>
      <c r="C131" t="inlineStr">
        <is>
          <t>601445300</t>
        </is>
      </c>
      <c r="D131" t="inlineStr">
        <is>
          <t>热轧合金结构钢板|钢板|30CrMnSiA|GB/T 11251-2009|热轧|GB/T 709-2006</t>
        </is>
      </c>
      <c r="E131" t="inlineStr">
        <is>
          <t>物资名称 热轧合金结构钢板;物资简称 钢板;牌号 30CrMnSiA;厚度 δ;宽 ;长 ;技术标准号 GB/T 11251-2009;加工工艺 热轧;热处理工艺 ;特殊要求 ;规格标准号 GB/T 709-2006</t>
        </is>
      </c>
      <c r="F131" t="inlineStr">
        <is>
          <t>千克</t>
        </is>
      </c>
    </row>
    <row r="132">
      <c r="A132" t="inlineStr">
        <is>
          <t>100102</t>
        </is>
      </c>
      <c r="B132" t="inlineStr">
        <is>
          <t>热轧板材</t>
        </is>
      </c>
      <c r="C132" t="inlineStr">
        <is>
          <t>601417800</t>
        </is>
      </c>
      <c r="D132" t="inlineStr">
        <is>
          <t>热镀锌薄钢板|热镀锌薄钢板|Q235|GB/T 700-1988</t>
        </is>
      </c>
      <c r="E132" t="inlineStr">
        <is>
          <t xml:space="preserve">物资名称 热镀锌薄钢板;物资简称 热镀锌薄钢板;牌号 Q235;厚度 δ;宽 ;长 ;技术标准号 GB/T 700-1988;加工工艺 ;热处理工艺 ;特殊要求 ;规格标准号 </t>
        </is>
      </c>
      <c r="F132" t="inlineStr">
        <is>
          <t>千克</t>
        </is>
      </c>
    </row>
    <row r="133">
      <c r="A133" t="inlineStr">
        <is>
          <t>100102</t>
        </is>
      </c>
      <c r="B133" t="inlineStr">
        <is>
          <t>热轧板材</t>
        </is>
      </c>
      <c r="C133" t="inlineStr">
        <is>
          <t>600999300</t>
        </is>
      </c>
      <c r="D133" t="inlineStr">
        <is>
          <t>热轧优质碳素结构钢板|钢板|10|δ12|GB/T 711-2008|热轧|GB/T 709-2006</t>
        </is>
      </c>
      <c r="E133" t="inlineStr">
        <is>
          <t>物资名称 热轧优质碳素结构钢板;物资简称 钢板;牌号 10;厚度 δ12;宽 ;长 ;技术标准号 GB/T 711-2008;加工工艺 热轧;热处理工艺 ;特殊要求 ;规格标准号 GB/T 709-2006</t>
        </is>
      </c>
      <c r="F133" t="inlineStr">
        <is>
          <t>千克</t>
        </is>
      </c>
    </row>
    <row r="134">
      <c r="A134" t="inlineStr">
        <is>
          <t>100102</t>
        </is>
      </c>
      <c r="B134" t="inlineStr">
        <is>
          <t>热轧板材</t>
        </is>
      </c>
      <c r="C134" t="inlineStr">
        <is>
          <t>600998500</t>
        </is>
      </c>
      <c r="D134" t="inlineStr">
        <is>
          <t>热轧优质碳素结构钢板|钢板|45|δ7|GB/T699-1999|热轧</t>
        </is>
      </c>
      <c r="E134" t="inlineStr">
        <is>
          <t xml:space="preserve">物资名称 热轧优质碳素结构钢板;物资简称 钢板;牌号 45;厚度 δ7;宽 ;长 ;技术标准号 GB/T699-1999;加工工艺 热轧;热处理工艺 ;特殊要求 ;规格标准号 </t>
        </is>
      </c>
      <c r="F134" t="inlineStr">
        <is>
          <t>千克</t>
        </is>
      </c>
    </row>
    <row r="135">
      <c r="A135" t="inlineStr">
        <is>
          <t>100102</t>
        </is>
      </c>
      <c r="B135" t="inlineStr">
        <is>
          <t>热轧板材</t>
        </is>
      </c>
      <c r="C135" t="inlineStr">
        <is>
          <t>600940400</t>
        </is>
      </c>
      <c r="D135" t="inlineStr">
        <is>
          <t>钢板|钢板|0Cr18Ni9|GB/T 4237-1992</t>
        </is>
      </c>
      <c r="E135" t="inlineStr">
        <is>
          <t xml:space="preserve">物资名称 钢板;物资简称 钢板;牌号 0Cr18Ni9;厚度 δ;宽 ;长 ;技术标准号 GB/T 4237-1992;加工工艺 ;热处理工艺 ;特殊要求 ;规格标准号 </t>
        </is>
      </c>
      <c r="F135" t="inlineStr">
        <is>
          <t>千克</t>
        </is>
      </c>
    </row>
    <row r="136">
      <c r="A136" t="inlineStr">
        <is>
          <t>100102</t>
        </is>
      </c>
      <c r="B136" t="inlineStr">
        <is>
          <t>热轧板材</t>
        </is>
      </c>
      <c r="C136" t="inlineStr">
        <is>
          <t>600940300</t>
        </is>
      </c>
      <c r="D136" t="inlineStr">
        <is>
          <t>热镀锌薄钢板|热镀锌薄钢板|Q235-A|δ1.2-Y-A|GB/T 700-1988|GB 5066-85</t>
        </is>
      </c>
      <c r="E136" t="inlineStr">
        <is>
          <t>物资名称 热镀锌薄钢板;物资简称 热镀锌薄钢板;牌号 Q235-A;厚度 δ1.2-Y-A;宽 ;长 ;技术标准号 GB/T 700-1988;加工工艺 ;热处理工艺 ;特殊要求 ;规格标准号 GB 5066-85</t>
        </is>
      </c>
      <c r="F136" t="inlineStr">
        <is>
          <t>千克</t>
        </is>
      </c>
    </row>
    <row r="137">
      <c r="A137" t="inlineStr">
        <is>
          <t>100102</t>
        </is>
      </c>
      <c r="B137" t="inlineStr">
        <is>
          <t>热轧板材</t>
        </is>
      </c>
      <c r="C137" t="inlineStr">
        <is>
          <t>600940200</t>
        </is>
      </c>
      <c r="D137" t="inlineStr">
        <is>
          <t>钢板|钢板|20-Ⅱ-P|δB-0.5|GB/T 710-1991|GB/T 708-1988</t>
        </is>
      </c>
      <c r="E137" t="inlineStr">
        <is>
          <t>物资名称 钢板;物资简称 钢板;牌号 20-Ⅱ-P;厚度 δB-0.5;宽 ;长 ;技术标准号 GB/T 710-1991;加工工艺 ;热处理工艺 ;特殊要求 ;规格标准号 GB/T 708-1988</t>
        </is>
      </c>
      <c r="F137" t="inlineStr">
        <is>
          <t>千克</t>
        </is>
      </c>
    </row>
    <row r="138">
      <c r="A138" t="inlineStr">
        <is>
          <t>100102</t>
        </is>
      </c>
      <c r="B138" t="inlineStr">
        <is>
          <t>热轧板材</t>
        </is>
      </c>
      <c r="C138" t="inlineStr">
        <is>
          <t>600940100</t>
        </is>
      </c>
      <c r="D138" t="inlineStr">
        <is>
          <t>热镀锌薄钢板|热镀锌薄钢板|Q235-B.F|δ0.5-Y-A|GB/T 700-1988|YB 5131-1993</t>
        </is>
      </c>
      <c r="E138" t="inlineStr">
        <is>
          <t>物资名称 热镀锌薄钢板;物资简称 热镀锌薄钢板;牌号 Q235-B.F;厚度 δ0.5-Y-A;宽 ;长 ;技术标准号 GB/T 700-1988;加工工艺 ;热处理工艺 ;特殊要求 ;规格标准号 YB 5131-1993</t>
        </is>
      </c>
      <c r="F138" t="inlineStr">
        <is>
          <t>千克</t>
        </is>
      </c>
    </row>
    <row r="139">
      <c r="A139" t="inlineStr">
        <is>
          <t>100102</t>
        </is>
      </c>
      <c r="B139" t="inlineStr">
        <is>
          <t>热轧板材</t>
        </is>
      </c>
      <c r="C139" t="inlineStr">
        <is>
          <t>600940000</t>
        </is>
      </c>
      <c r="D139" t="inlineStr">
        <is>
          <t>热镀锌薄钢板|热镀锌薄钢板|Q235-B.F|δ1.5-Y-A|GB/T 700-1988|YB 5131-1993</t>
        </is>
      </c>
      <c r="E139" t="inlineStr">
        <is>
          <t>物资名称 热镀锌薄钢板;物资简称 热镀锌薄钢板;牌号 Q235-B.F;厚度 δ1.5-Y-A;宽 ;长 ;技术标准号 GB/T 700-1988;加工工艺 ;热处理工艺 ;特殊要求 ;规格标准号 YB 5131-1993</t>
        </is>
      </c>
      <c r="F139" t="inlineStr">
        <is>
          <t>千克</t>
        </is>
      </c>
    </row>
    <row r="140">
      <c r="A140" t="inlineStr">
        <is>
          <t>100102</t>
        </is>
      </c>
      <c r="B140" t="inlineStr">
        <is>
          <t>热轧板材</t>
        </is>
      </c>
      <c r="C140" t="inlineStr">
        <is>
          <t>600939900</t>
        </is>
      </c>
      <c r="D140" t="inlineStr">
        <is>
          <t>钢板|钢板|20-Ⅱ-P|δB-2|GB/T 710-1989|GB/T 708-1988</t>
        </is>
      </c>
      <c r="E140" t="inlineStr">
        <is>
          <t>物资名称 钢板;物资简称 钢板;牌号 20-Ⅱ-P;厚度 δB-2;宽 ;长 ;技术标准号 GB/T 710-1989;加工工艺 ;热处理工艺 ;特殊要求 ;规格标准号 GB/T 708-1988</t>
        </is>
      </c>
      <c r="F140" t="inlineStr">
        <is>
          <t>千克</t>
        </is>
      </c>
    </row>
    <row r="141">
      <c r="A141" t="inlineStr">
        <is>
          <t>100102</t>
        </is>
      </c>
      <c r="B141" t="inlineStr">
        <is>
          <t>热轧板材</t>
        </is>
      </c>
      <c r="C141" t="inlineStr">
        <is>
          <t>600939800</t>
        </is>
      </c>
      <c r="D141" t="inlineStr">
        <is>
          <t>钢板|钢板|20-Ⅱ-P|δB-1|GB/T 710-1991|GB/T 708-1988</t>
        </is>
      </c>
      <c r="E141" t="inlineStr">
        <is>
          <t>物资名称 钢板;物资简称 钢板;牌号 20-Ⅱ-P;厚度 δB-1;宽 ;长 ;技术标准号 GB/T 710-1991;加工工艺 ;热处理工艺 ;特殊要求 ;规格标准号 GB/T 708-1988</t>
        </is>
      </c>
      <c r="F141" t="inlineStr">
        <is>
          <t>千克</t>
        </is>
      </c>
    </row>
    <row r="142">
      <c r="A142" t="inlineStr">
        <is>
          <t>100102</t>
        </is>
      </c>
      <c r="B142" t="inlineStr">
        <is>
          <t>热轧板材</t>
        </is>
      </c>
      <c r="C142" t="inlineStr">
        <is>
          <t>600600100</t>
        </is>
      </c>
      <c r="D142" t="inlineStr">
        <is>
          <t>热轧钢板|钢板|Q235A|GB/T 3274-2007|GB/T 709-2006</t>
        </is>
      </c>
      <c r="E142" t="inlineStr">
        <is>
          <t>物资名称 热轧钢板;物资简称 钢板;牌号 Q235A;厚度 δ;宽 ;长 ;技术标准号 GB/T 3274-2007;加工工艺 ;热处理工艺 ;特殊要求 ;规格标准号 GB/T 709-2006</t>
        </is>
      </c>
      <c r="F142" t="inlineStr">
        <is>
          <t>千克</t>
        </is>
      </c>
    </row>
    <row r="143">
      <c r="A143" t="inlineStr">
        <is>
          <t>100102</t>
        </is>
      </c>
      <c r="B143" t="inlineStr">
        <is>
          <t>热轧板材</t>
        </is>
      </c>
      <c r="C143" t="inlineStr">
        <is>
          <t>600600000</t>
        </is>
      </c>
      <c r="D143" t="inlineStr">
        <is>
          <t>热轧钢板|钢板|Q235A|δ4|GB/T 3274-2007|热轧|GB/T 709-2006</t>
        </is>
      </c>
      <c r="E143" t="inlineStr">
        <is>
          <t>物资名称 热轧钢板;物资简称 钢板;牌号 Q235A;厚度 δ4;宽 ;长 ;技术标准号 GB/T 3274-2007;加工工艺 热轧;热处理工艺 ;特殊要求 ;规格标准号 GB/T 709-2006</t>
        </is>
      </c>
      <c r="F143" t="inlineStr">
        <is>
          <t>千克</t>
        </is>
      </c>
    </row>
    <row r="144">
      <c r="A144" t="inlineStr">
        <is>
          <t>100102</t>
        </is>
      </c>
      <c r="B144" t="inlineStr">
        <is>
          <t>热轧板材</t>
        </is>
      </c>
      <c r="C144" t="inlineStr">
        <is>
          <t>600599900</t>
        </is>
      </c>
      <c r="D144" t="inlineStr">
        <is>
          <t>热轧钢板|钢板|Q235A|δ6|GB/T 3274-2007|热轧|GB/T 709-2006</t>
        </is>
      </c>
      <c r="E144" t="inlineStr">
        <is>
          <t>物资名称 热轧钢板;物资简称 钢板;牌号 Q235A;厚度 δ6;宽 ;长 ;技术标准号 GB/T 3274-2007;加工工艺 热轧;热处理工艺 ;特殊要求 ;规格标准号 GB/T 709-2006</t>
        </is>
      </c>
      <c r="F144" t="inlineStr">
        <is>
          <t>千克</t>
        </is>
      </c>
    </row>
    <row r="145">
      <c r="A145" t="inlineStr">
        <is>
          <t>100102</t>
        </is>
      </c>
      <c r="B145" t="inlineStr">
        <is>
          <t>热轧板材</t>
        </is>
      </c>
      <c r="C145" t="inlineStr">
        <is>
          <t>600599800</t>
        </is>
      </c>
      <c r="D145" t="inlineStr">
        <is>
          <t>热轧钢板|钢板|Q235A|δ5|GB/T 3274-2007|热轧|GB/T 709-2006</t>
        </is>
      </c>
      <c r="E145" t="inlineStr">
        <is>
          <t>物资名称 热轧钢板;物资简称 钢板;牌号 Q235A;厚度 δ5;宽 ;长 ;技术标准号 GB/T 3274-2007;加工工艺 热轧;热处理工艺 ;特殊要求 ;规格标准号 GB/T 709-2006</t>
        </is>
      </c>
      <c r="F145" t="inlineStr">
        <is>
          <t>千克</t>
        </is>
      </c>
    </row>
    <row r="146">
      <c r="A146" t="inlineStr">
        <is>
          <t>100102</t>
        </is>
      </c>
      <c r="B146" t="inlineStr">
        <is>
          <t>热轧板材</t>
        </is>
      </c>
      <c r="C146" t="inlineStr">
        <is>
          <t>600599700</t>
        </is>
      </c>
      <c r="D146" t="inlineStr">
        <is>
          <t>热轧钢板|钢板|Q235A|δ8|GB/T 3274-2007|热轧|GB/T 709-2006</t>
        </is>
      </c>
      <c r="E146" t="inlineStr">
        <is>
          <t>物资名称 热轧钢板;物资简称 钢板;牌号 Q235A;厚度 δ8;宽 ;长 ;技术标准号 GB/T 3274-2007;加工工艺 热轧;热处理工艺 ;特殊要求 ;规格标准号 GB/T 709-2006</t>
        </is>
      </c>
      <c r="F146" t="inlineStr">
        <is>
          <t>千克</t>
        </is>
      </c>
    </row>
    <row r="147">
      <c r="A147" t="inlineStr">
        <is>
          <t>100102</t>
        </is>
      </c>
      <c r="B147" t="inlineStr">
        <is>
          <t>热轧板材</t>
        </is>
      </c>
      <c r="C147" t="inlineStr">
        <is>
          <t>600599600</t>
        </is>
      </c>
      <c r="D147" t="inlineStr">
        <is>
          <t>热轧钢板|钢板|Q235A|δ10|GB/T 3274-2007|热轧|GB/T 709-2006</t>
        </is>
      </c>
      <c r="E147" t="inlineStr">
        <is>
          <t>物资名称 热轧钢板;物资简称 钢板;牌号 Q235A;厚度 δ10;宽 ;长 ;技术标准号 GB/T 3274-2007;加工工艺 热轧;热处理工艺 ;特殊要求 ;规格标准号 GB/T 709-2006</t>
        </is>
      </c>
      <c r="F147" t="inlineStr">
        <is>
          <t>千克</t>
        </is>
      </c>
    </row>
    <row r="148">
      <c r="A148" t="inlineStr">
        <is>
          <t>100102</t>
        </is>
      </c>
      <c r="B148" t="inlineStr">
        <is>
          <t>热轧板材</t>
        </is>
      </c>
      <c r="C148" t="inlineStr">
        <is>
          <t>600599500</t>
        </is>
      </c>
      <c r="D148" t="inlineStr">
        <is>
          <t>热轧钢板|钢板|Q235A|δ20|GB/T 3274-2007|热轧|GB/T 709-2006</t>
        </is>
      </c>
      <c r="E148" t="inlineStr">
        <is>
          <t>物资名称 热轧钢板;物资简称 钢板;牌号 Q235A;厚度 δ20;宽 ;长 ;技术标准号 GB/T 3274-2007;加工工艺 热轧;热处理工艺 ;特殊要求 ;规格标准号 GB/T 709-2006</t>
        </is>
      </c>
      <c r="F148" t="inlineStr">
        <is>
          <t>千克</t>
        </is>
      </c>
    </row>
    <row r="149">
      <c r="A149" t="inlineStr">
        <is>
          <t>100102</t>
        </is>
      </c>
      <c r="B149" t="inlineStr">
        <is>
          <t>热轧板材</t>
        </is>
      </c>
      <c r="C149" t="inlineStr">
        <is>
          <t>600599400</t>
        </is>
      </c>
      <c r="D149" t="inlineStr">
        <is>
          <t>热轧钢板|钢板|Q235A|δ30|GB/T 3274-2007|热轧|GB/T 709-2006</t>
        </is>
      </c>
      <c r="E149" t="inlineStr">
        <is>
          <t>物资名称 热轧钢板;物资简称 钢板;牌号 Q235A;厚度 δ30;宽 ;长 ;技术标准号 GB/T 3274-2007;加工工艺 热轧;热处理工艺 ;特殊要求 ;规格标准号 GB/T 709-2006</t>
        </is>
      </c>
      <c r="F149" t="inlineStr">
        <is>
          <t>千克</t>
        </is>
      </c>
    </row>
    <row r="150">
      <c r="A150" t="inlineStr">
        <is>
          <t>100102</t>
        </is>
      </c>
      <c r="B150" t="inlineStr">
        <is>
          <t>热轧板材</t>
        </is>
      </c>
      <c r="C150" t="inlineStr">
        <is>
          <t>600599300</t>
        </is>
      </c>
      <c r="D150" t="inlineStr">
        <is>
          <t>热轧钢板|钢板|Q235A|δ35|GB/T 3274-2007|热轧|GB/T 709-2006</t>
        </is>
      </c>
      <c r="E150" t="inlineStr">
        <is>
          <t>物资名称 热轧钢板;物资简称 钢板;牌号 Q235A;厚度 δ35;宽 ;长 ;技术标准号 GB/T 3274-2007;加工工艺 热轧;热处理工艺 ;特殊要求 ;规格标准号 GB/T 709-2006</t>
        </is>
      </c>
      <c r="F150" t="inlineStr">
        <is>
          <t>千克</t>
        </is>
      </c>
    </row>
    <row r="151">
      <c r="A151" t="inlineStr">
        <is>
          <t>100102</t>
        </is>
      </c>
      <c r="B151" t="inlineStr">
        <is>
          <t>热轧板材</t>
        </is>
      </c>
      <c r="C151" t="inlineStr">
        <is>
          <t>600599200</t>
        </is>
      </c>
      <c r="D151" t="inlineStr">
        <is>
          <t>热轧优质碳素结构钢板|钢板|8Al|GB/T 710-2008|GB/T 709-2006</t>
        </is>
      </c>
      <c r="E151" t="inlineStr">
        <is>
          <t>物资名称 热轧优质碳素结构钢板;物资简称 钢板;牌号 8Al;厚度 δ;宽 ;长 ;技术标准号 GB/T 710-2008;加工工艺 ;热处理工艺 ;特殊要求 ;规格标准号 GB/T 709-2006</t>
        </is>
      </c>
      <c r="F151" t="inlineStr">
        <is>
          <t>千克</t>
        </is>
      </c>
    </row>
    <row r="152">
      <c r="A152" t="inlineStr">
        <is>
          <t>100102</t>
        </is>
      </c>
      <c r="B152" t="inlineStr">
        <is>
          <t>热轧板材</t>
        </is>
      </c>
      <c r="C152" t="inlineStr">
        <is>
          <t>600599100</t>
        </is>
      </c>
      <c r="D152" t="inlineStr">
        <is>
          <t>热轧优质碳素结构钢板|钢板|8Al|δ5|GB/T 710-2008|热轧|GB/T 709-2006</t>
        </is>
      </c>
      <c r="E152" t="inlineStr">
        <is>
          <t>物资名称 热轧优质碳素结构钢板;物资简称 钢板;牌号 8Al;厚度 δ5;宽 ;长 ;技术标准号 GB/T 710-2008;加工工艺 热轧;热处理工艺 ;特殊要求 ;规格标准号 GB/T 709-2006</t>
        </is>
      </c>
      <c r="F152" t="inlineStr">
        <is>
          <t>千克</t>
        </is>
      </c>
    </row>
    <row r="153">
      <c r="A153" t="inlineStr">
        <is>
          <t>100102</t>
        </is>
      </c>
      <c r="B153" t="inlineStr">
        <is>
          <t>热轧板材</t>
        </is>
      </c>
      <c r="C153" t="inlineStr">
        <is>
          <t>600599000</t>
        </is>
      </c>
      <c r="D153" t="inlineStr">
        <is>
          <t>热轧优质碳素结构钢板|钢板|20|GB/T 710-2008|GB/T 709-2006</t>
        </is>
      </c>
      <c r="E153" t="inlineStr">
        <is>
          <t>物资名称 热轧优质碳素结构钢板;物资简称 钢板;牌号 20;厚度 δ;宽 ;长 ;技术标准号 GB/T 710-2008;加工工艺 ;热处理工艺 ;特殊要求 ;规格标准号 GB/T 709-2006</t>
        </is>
      </c>
      <c r="F153" t="inlineStr">
        <is>
          <t>千克</t>
        </is>
      </c>
    </row>
    <row r="154">
      <c r="A154" t="inlineStr">
        <is>
          <t>100102</t>
        </is>
      </c>
      <c r="B154" t="inlineStr">
        <is>
          <t>热轧板材</t>
        </is>
      </c>
      <c r="C154" t="inlineStr">
        <is>
          <t>600598900</t>
        </is>
      </c>
      <c r="D154" t="inlineStr">
        <is>
          <t>热轧优质碳素结构钢板|钢板|20|δ1.5|GB/T 710-2008|热轧|GB/T 709-2006</t>
        </is>
      </c>
      <c r="E154" t="inlineStr">
        <is>
          <t>物资名称 热轧优质碳素结构钢板;物资简称 钢板;牌号 20;厚度 δ1.5;宽 ;长 ;技术标准号 GB/T 710-2008;加工工艺 热轧;热处理工艺 ;特殊要求 ;规格标准号 GB/T 709-2006</t>
        </is>
      </c>
      <c r="F154" t="inlineStr">
        <is>
          <t>千克</t>
        </is>
      </c>
    </row>
    <row r="155">
      <c r="A155" t="inlineStr">
        <is>
          <t>100102</t>
        </is>
      </c>
      <c r="B155" t="inlineStr">
        <is>
          <t>热轧板材</t>
        </is>
      </c>
      <c r="C155" t="inlineStr">
        <is>
          <t>600598800</t>
        </is>
      </c>
      <c r="D155" t="inlineStr">
        <is>
          <t>热轧优质碳素结构钢板|钢板|20|δ2|GB/T 710-2008|热轧|GB/T 709-2006</t>
        </is>
      </c>
      <c r="E155" t="inlineStr">
        <is>
          <t>物资名称 热轧优质碳素结构钢板;物资简称 钢板;牌号 20;厚度 δ2;宽 ;长 ;技术标准号 GB/T 710-2008;加工工艺 热轧;热处理工艺 ;特殊要求 ;规格标准号 GB/T 709-2006</t>
        </is>
      </c>
      <c r="F155" t="inlineStr">
        <is>
          <t>千克</t>
        </is>
      </c>
    </row>
    <row r="156">
      <c r="A156" t="inlineStr">
        <is>
          <t>100102</t>
        </is>
      </c>
      <c r="B156" t="inlineStr">
        <is>
          <t>热轧板材</t>
        </is>
      </c>
      <c r="C156" t="inlineStr">
        <is>
          <t>600598700</t>
        </is>
      </c>
      <c r="D156" t="inlineStr">
        <is>
          <t>热轧优质碳素结构钢板|钢板|20|δ2.5|GB/T 710-2008|热轧|GB/T 709-2006</t>
        </is>
      </c>
      <c r="E156" t="inlineStr">
        <is>
          <t>物资名称 热轧优质碳素结构钢板;物资简称 钢板;牌号 20;厚度 δ2.5;宽 ;长 ;技术标准号 GB/T 710-2008;加工工艺 热轧;热处理工艺 ;特殊要求 ;规格标准号 GB/T 709-2006</t>
        </is>
      </c>
      <c r="F156" t="inlineStr">
        <is>
          <t>千克</t>
        </is>
      </c>
    </row>
    <row r="157">
      <c r="A157" t="inlineStr">
        <is>
          <t>100102</t>
        </is>
      </c>
      <c r="B157" t="inlineStr">
        <is>
          <t>热轧板材</t>
        </is>
      </c>
      <c r="C157" t="inlineStr">
        <is>
          <t>600598600</t>
        </is>
      </c>
      <c r="D157" t="inlineStr">
        <is>
          <t>热轧优质碳素结构钢板|钢板|20|δ4|GB/T 711-2008|热轧|GB/T 709-2006</t>
        </is>
      </c>
      <c r="E157" t="inlineStr">
        <is>
          <t>物资名称 热轧优质碳素结构钢板;物资简称 钢板;牌号 20;厚度 δ4;宽 ;长 ;技术标准号 GB/T 711-2008;加工工艺 热轧;热处理工艺 ;特殊要求 ;规格标准号 GB/T 709-2006</t>
        </is>
      </c>
      <c r="F157" t="inlineStr">
        <is>
          <t>千克</t>
        </is>
      </c>
    </row>
    <row r="158">
      <c r="A158" t="inlineStr">
        <is>
          <t>100102</t>
        </is>
      </c>
      <c r="B158" t="inlineStr">
        <is>
          <t>热轧板材</t>
        </is>
      </c>
      <c r="C158" t="inlineStr">
        <is>
          <t>600598500</t>
        </is>
      </c>
      <c r="D158" t="inlineStr">
        <is>
          <t>热轧优质碳素结构钢板|钢板|20|δ5|GB/T 711-2008|热轧|GB/T 709-2006</t>
        </is>
      </c>
      <c r="E158" t="inlineStr">
        <is>
          <t>物资名称 热轧优质碳素结构钢板;物资简称 钢板;牌号 20;厚度 δ5;宽 ;长 ;技术标准号 GB/T 711-2008;加工工艺 热轧;热处理工艺 ;特殊要求 ;规格标准号 GB/T 709-2006</t>
        </is>
      </c>
      <c r="F158" t="inlineStr">
        <is>
          <t>千克</t>
        </is>
      </c>
    </row>
    <row r="159">
      <c r="A159" t="inlineStr">
        <is>
          <t>100102</t>
        </is>
      </c>
      <c r="B159" t="inlineStr">
        <is>
          <t>热轧板材</t>
        </is>
      </c>
      <c r="C159" t="inlineStr">
        <is>
          <t>600598400</t>
        </is>
      </c>
      <c r="D159" t="inlineStr">
        <is>
          <t>热轧优质碳素结构钢板|钢板|25|GB/T 711-2008|GB/T 709-2006</t>
        </is>
      </c>
      <c r="E159" t="inlineStr">
        <is>
          <t>物资名称 热轧优质碳素结构钢板;物资简称 钢板;牌号 25;厚度 ;宽 ;长 ;技术标准号 GB/T 711-2008;加工工艺 ;热处理工艺 ;特殊要求 ;规格标准号 GB/T 709-2006</t>
        </is>
      </c>
      <c r="F159" t="inlineStr">
        <is>
          <t>千克</t>
        </is>
      </c>
    </row>
    <row r="160">
      <c r="A160" t="inlineStr">
        <is>
          <t>100102</t>
        </is>
      </c>
      <c r="B160" t="inlineStr">
        <is>
          <t>热轧板材</t>
        </is>
      </c>
      <c r="C160" t="inlineStr">
        <is>
          <t>600598300</t>
        </is>
      </c>
      <c r="D160" t="inlineStr">
        <is>
          <t>热轧优质碳素结构钢板|钢板|25|δ12|GB/T 711-2008|热轧|GB/T 709-2006</t>
        </is>
      </c>
      <c r="E160" t="inlineStr">
        <is>
          <t>物资名称 热轧优质碳素结构钢板;物资简称 钢板;牌号 25;厚度 δ12;宽 ;长 ;技术标准号 GB/T 711-2008;加工工艺 热轧;热处理工艺 ;特殊要求 ;规格标准号 GB/T 709-2006</t>
        </is>
      </c>
      <c r="F160" t="inlineStr">
        <is>
          <t>千克</t>
        </is>
      </c>
    </row>
    <row r="161">
      <c r="A161" t="inlineStr">
        <is>
          <t>100102</t>
        </is>
      </c>
      <c r="B161" t="inlineStr">
        <is>
          <t>热轧板材</t>
        </is>
      </c>
      <c r="C161" t="inlineStr">
        <is>
          <t>600598200</t>
        </is>
      </c>
      <c r="D161" t="inlineStr">
        <is>
          <t>热轧优质碳素结构钢板|钢板|35|GB/T 710-2008|GB/T 709-2006</t>
        </is>
      </c>
      <c r="E161" t="inlineStr">
        <is>
          <t>物资名称 热轧优质碳素结构钢板;物资简称 钢板;牌号 35;厚度 δ;宽 ;长 ;技术标准号 GB/T 710-2008;加工工艺 ;热处理工艺 ;特殊要求 ;规格标准号 GB/T 709-2006</t>
        </is>
      </c>
      <c r="F161" t="inlineStr">
        <is>
          <t>千克</t>
        </is>
      </c>
    </row>
    <row r="162">
      <c r="A162" t="inlineStr">
        <is>
          <t>100102</t>
        </is>
      </c>
      <c r="B162" t="inlineStr">
        <is>
          <t>热轧板材</t>
        </is>
      </c>
      <c r="C162" t="inlineStr">
        <is>
          <t>600598100</t>
        </is>
      </c>
      <c r="D162" t="inlineStr">
        <is>
          <t>热轧优质碳素结构钢板|钢板|35|δ1.5|GB/T 710-2008|热轧|GB/T 709-2006</t>
        </is>
      </c>
      <c r="E162" t="inlineStr">
        <is>
          <t>物资名称 热轧优质碳素结构钢板;物资简称 钢板;牌号 35;厚度 δ1.5;宽 ;长 ;技术标准号 GB/T 710-2008;加工工艺 热轧;热处理工艺 ;特殊要求 ;规格标准号 GB/T 709-2006</t>
        </is>
      </c>
      <c r="F162" t="inlineStr">
        <is>
          <t>千克</t>
        </is>
      </c>
    </row>
    <row r="163">
      <c r="A163" t="inlineStr">
        <is>
          <t>100102</t>
        </is>
      </c>
      <c r="B163" t="inlineStr">
        <is>
          <t>热轧板材</t>
        </is>
      </c>
      <c r="C163" t="inlineStr">
        <is>
          <t>600598000</t>
        </is>
      </c>
      <c r="D163" t="inlineStr">
        <is>
          <t>热轧优质碳素结构钢板|钢板|45|GB/T 711-2008|GB/T 709-2006</t>
        </is>
      </c>
      <c r="E163" t="inlineStr">
        <is>
          <t>物资名称 热轧优质碳素结构钢板;物资简称 钢板;牌号 45;厚度 ;宽 ;长 ;技术标准号 GB/T 711-2008;加工工艺 ;热处理工艺 ;特殊要求 ;规格标准号 GB/T 709-2006</t>
        </is>
      </c>
      <c r="F163" t="inlineStr">
        <is>
          <t>千克</t>
        </is>
      </c>
    </row>
    <row r="164">
      <c r="A164" t="inlineStr">
        <is>
          <t>100102</t>
        </is>
      </c>
      <c r="B164" t="inlineStr">
        <is>
          <t>热轧板材</t>
        </is>
      </c>
      <c r="C164" t="inlineStr">
        <is>
          <t>600597900</t>
        </is>
      </c>
      <c r="D164" t="inlineStr">
        <is>
          <t>热轧优质碳素结构钢板|钢板|45|δ6|GB/T 711-2008|热轧|GB/T 709-2006</t>
        </is>
      </c>
      <c r="E164" t="inlineStr">
        <is>
          <t>物资名称 热轧优质碳素结构钢板;物资简称 钢板;牌号 45;厚度 δ6;宽 ;长 ;技术标准号 GB/T 711-2008;加工工艺 热轧;热处理工艺 ;特殊要求 ;规格标准号 GB/T 709-2006</t>
        </is>
      </c>
      <c r="F164" t="inlineStr">
        <is>
          <t>千克</t>
        </is>
      </c>
    </row>
    <row r="165">
      <c r="A165" t="inlineStr">
        <is>
          <t>100102</t>
        </is>
      </c>
      <c r="B165" t="inlineStr">
        <is>
          <t>热轧板材</t>
        </is>
      </c>
      <c r="C165" t="inlineStr">
        <is>
          <t>600597800</t>
        </is>
      </c>
      <c r="D165" t="inlineStr">
        <is>
          <t>热轧优质碳素结构钢板|钢板|45|δ8|GB/T 711-2008|热轧|GB/T 709-2006</t>
        </is>
      </c>
      <c r="E165" t="inlineStr">
        <is>
          <t>物资名称 热轧优质碳素结构钢板;物资简称 钢板;牌号 45;厚度 δ8;宽 ;长 ;技术标准号 GB/T 711-2008;加工工艺 热轧;热处理工艺 ;特殊要求 ;规格标准号 GB/T 709-2006</t>
        </is>
      </c>
      <c r="F165" t="inlineStr">
        <is>
          <t>千克</t>
        </is>
      </c>
    </row>
    <row r="166">
      <c r="A166" t="inlineStr">
        <is>
          <t>100102</t>
        </is>
      </c>
      <c r="B166" t="inlineStr">
        <is>
          <t>热轧板材</t>
        </is>
      </c>
      <c r="C166" t="inlineStr">
        <is>
          <t>600597700</t>
        </is>
      </c>
      <c r="D166" t="inlineStr">
        <is>
          <t>热轧优质碳素结构钢板|钢板|45|δ10|GB/T 711-2008|热轧|GB/T 709-2006</t>
        </is>
      </c>
      <c r="E166" t="inlineStr">
        <is>
          <t>物资名称 热轧优质碳素结构钢板;物资简称 钢板;牌号 45;厚度 δ10;宽 ;长 ;技术标准号 GB/T 711-2008;加工工艺 热轧;热处理工艺 ;特殊要求 ;规格标准号 GB/T 709-2006</t>
        </is>
      </c>
      <c r="F166" t="inlineStr">
        <is>
          <t>千克</t>
        </is>
      </c>
    </row>
    <row r="167">
      <c r="A167" t="inlineStr">
        <is>
          <t>100102</t>
        </is>
      </c>
      <c r="B167" t="inlineStr">
        <is>
          <t>热轧板材</t>
        </is>
      </c>
      <c r="C167" t="inlineStr">
        <is>
          <t>600597600</t>
        </is>
      </c>
      <c r="D167" t="inlineStr">
        <is>
          <t>热轧优质碳素结构钢板|钢板|45|δ12|GB/T 711-2008|热轧|GB/T 709-2006</t>
        </is>
      </c>
      <c r="E167" t="inlineStr">
        <is>
          <t>物资名称 热轧优质碳素结构钢板;物资简称 钢板;牌号 45;厚度 δ12;宽 ;长 ;技术标准号 GB/T 711-2008;加工工艺 热轧;热处理工艺 ;特殊要求 ;规格标准号 GB/T 709-2006</t>
        </is>
      </c>
      <c r="F167" t="inlineStr">
        <is>
          <t>千克</t>
        </is>
      </c>
    </row>
    <row r="168">
      <c r="A168" t="inlineStr">
        <is>
          <t>100102</t>
        </is>
      </c>
      <c r="B168" t="inlineStr">
        <is>
          <t>热轧板材</t>
        </is>
      </c>
      <c r="C168" t="inlineStr">
        <is>
          <t>600597500</t>
        </is>
      </c>
      <c r="D168" t="inlineStr">
        <is>
          <t>热轧优质碳素结构钢板|钢板|45|δ15|GB/T 711-2008|热轧|GB/T 709-2006</t>
        </is>
      </c>
      <c r="E168" t="inlineStr">
        <is>
          <t>物资名称 热轧优质碳素结构钢板;物资简称 钢板;牌号 45;厚度 δ15;宽 ;长 ;技术标准号 GB/T 711-2008;加工工艺 热轧;热处理工艺 ;特殊要求 ;规格标准号 GB/T 709-2006</t>
        </is>
      </c>
      <c r="F168" t="inlineStr">
        <is>
          <t>千克</t>
        </is>
      </c>
    </row>
    <row r="169">
      <c r="A169" t="inlineStr">
        <is>
          <t>100102</t>
        </is>
      </c>
      <c r="B169" t="inlineStr">
        <is>
          <t>热轧板材</t>
        </is>
      </c>
      <c r="C169" t="inlineStr">
        <is>
          <t>600597400</t>
        </is>
      </c>
      <c r="D169" t="inlineStr">
        <is>
          <t>热轧优质碳素结构钢板|钢板|45|δ20|GB/T 711-2008|热轧|GB/T 709-2006</t>
        </is>
      </c>
      <c r="E169" t="inlineStr">
        <is>
          <t>物资名称 热轧优质碳素结构钢板;物资简称 钢板;牌号 45;厚度 δ20;宽 ;长 ;技术标准号 GB/T 711-2008;加工工艺 热轧;热处理工艺 ;特殊要求 ;规格标准号 GB/T 709-2006</t>
        </is>
      </c>
      <c r="F169" t="inlineStr">
        <is>
          <t>千克</t>
        </is>
      </c>
    </row>
    <row r="170">
      <c r="A170" t="inlineStr">
        <is>
          <t>100102</t>
        </is>
      </c>
      <c r="B170" t="inlineStr">
        <is>
          <t>热轧板材</t>
        </is>
      </c>
      <c r="C170" t="inlineStr">
        <is>
          <t>600597300</t>
        </is>
      </c>
      <c r="D170" t="inlineStr">
        <is>
          <t>热轧优质碳素结构钢板|钢板|45|δ35|GB/T 711-2008|热轧|GB/T 709-2006</t>
        </is>
      </c>
      <c r="E170" t="inlineStr">
        <is>
          <t>物资名称 热轧优质碳素结构钢板;物资简称 钢板;牌号 45;厚度 δ35;宽 ;长 ;技术标准号 GB/T 711-2008;加工工艺 热轧;热处理工艺 ;特殊要求 ;规格标准号 GB/T 709-2006</t>
        </is>
      </c>
      <c r="F170" t="inlineStr">
        <is>
          <t>千克</t>
        </is>
      </c>
    </row>
    <row r="171">
      <c r="A171" t="inlineStr">
        <is>
          <t>100102</t>
        </is>
      </c>
      <c r="B171" t="inlineStr">
        <is>
          <t>热轧板材</t>
        </is>
      </c>
      <c r="C171" t="inlineStr">
        <is>
          <t>600597200</t>
        </is>
      </c>
      <c r="D171" t="inlineStr">
        <is>
          <t>热轧优质碳素结构钢板|钢板|45|δ40|GB/T 711-2008|热轧|GB/T 709-2006</t>
        </is>
      </c>
      <c r="E171" t="inlineStr">
        <is>
          <t>物资名称 热轧优质碳素结构钢板;物资简称 钢板;牌号 45;厚度 δ40;宽 ;长 ;技术标准号 GB/T 711-2008;加工工艺 热轧;热处理工艺 ;特殊要求 ;规格标准号 GB/T 709-2006</t>
        </is>
      </c>
      <c r="F171" t="inlineStr">
        <is>
          <t>千克</t>
        </is>
      </c>
    </row>
    <row r="172">
      <c r="A172" t="inlineStr">
        <is>
          <t>100102</t>
        </is>
      </c>
      <c r="B172" t="inlineStr">
        <is>
          <t>热轧板材</t>
        </is>
      </c>
      <c r="C172" t="inlineStr">
        <is>
          <t>600597100</t>
        </is>
      </c>
      <c r="D172" t="inlineStr">
        <is>
          <t>热轧优质碳素结构钢板|钢板|45|δ55|GB/T 711-2008|热轧|GB/T 709-2006</t>
        </is>
      </c>
      <c r="E172" t="inlineStr">
        <is>
          <t>物资名称 热轧优质碳素结构钢板;物资简称 钢板;牌号 45;厚度 δ55;宽 ;长 ;技术标准号 GB/T 711-2008;加工工艺 热轧;热处理工艺 ;特殊要求 ;规格标准号 GB/T 709-2006</t>
        </is>
      </c>
      <c r="F172" t="inlineStr">
        <is>
          <t>千克</t>
        </is>
      </c>
    </row>
    <row r="173">
      <c r="A173" t="inlineStr">
        <is>
          <t>100199</t>
        </is>
      </c>
      <c r="B173" t="inlineStr">
        <is>
          <t>其他板材</t>
        </is>
      </c>
      <c r="C173" t="inlineStr">
        <is>
          <t>601498400</t>
        </is>
      </c>
      <c r="D173" t="inlineStr">
        <is>
          <t>钛板|钛板|TA15 M|δ2|100|100|XJ/BS 5282-2004</t>
        </is>
      </c>
      <c r="E173" t="inlineStr">
        <is>
          <t xml:space="preserve">物资名称 钛板;物资简称 钛板;牌号 TA15 M;厚度 δ2;宽 100;长 100;技术标准号 XJ/BS 5282-2004;加工工艺 ;热处理工艺 ;特殊要求 ;规格标准号 </t>
        </is>
      </c>
      <c r="F173" t="inlineStr">
        <is>
          <t>把</t>
        </is>
      </c>
    </row>
    <row r="174">
      <c r="A174" t="inlineStr">
        <is>
          <t>100201</t>
        </is>
      </c>
      <c r="B174" t="inlineStr">
        <is>
          <t>圆钢</t>
        </is>
      </c>
      <c r="C174" t="inlineStr">
        <is>
          <t>603571900</t>
        </is>
      </c>
      <c r="D174" t="inlineStr">
        <is>
          <t>热轧航空用不锈圆钢|圆钢|2Cr13Ni2|Φ18|YB675-1973|热轧</t>
        </is>
      </c>
      <c r="E174" t="inlineStr">
        <is>
          <t>物资名称 热轧航空用不锈圆钢;物资简称 圆钢;牌号 2Cr13Ni2;直径 Φ18;技术标准号 YB675-1973;加工工艺 热轧;热处理工艺 ;特殊要求 ;规格标准号</t>
        </is>
      </c>
      <c r="F174" t="inlineStr">
        <is>
          <t>千克</t>
        </is>
      </c>
    </row>
    <row r="175">
      <c r="A175" t="inlineStr">
        <is>
          <t>100201</t>
        </is>
      </c>
      <c r="B175" t="inlineStr">
        <is>
          <t>圆钢</t>
        </is>
      </c>
      <c r="C175" t="inlineStr">
        <is>
          <t>603571800</t>
        </is>
      </c>
      <c r="D175" t="inlineStr">
        <is>
          <t>热轧优质碳素结构圆钢|圆钢|45|Φ60|GB/T 699-2015|热轧|GB/T 702-2017</t>
        </is>
      </c>
      <c r="E175" t="inlineStr">
        <is>
          <t>物资名称 热轧优质碳素结构圆钢;物资简称 圆钢;牌号 45;直径 Φ60;技术标准号 GB/T 699-2015;加工工艺 热轧;热处理工艺 ;特殊要求 ;规格标准号 GB/T 702-2017</t>
        </is>
      </c>
      <c r="F175" t="inlineStr">
        <is>
          <t>千克</t>
        </is>
      </c>
    </row>
    <row r="176">
      <c r="A176" t="inlineStr">
        <is>
          <t>100201</t>
        </is>
      </c>
      <c r="B176" t="inlineStr">
        <is>
          <t>圆钢</t>
        </is>
      </c>
      <c r="C176" t="inlineStr">
        <is>
          <t>603571700</t>
        </is>
      </c>
      <c r="D176" t="inlineStr">
        <is>
          <t>热轧航空用不锈圆钢|圆钢|2Cr13Ni2|Φ26|YB675-1973|热轧</t>
        </is>
      </c>
      <c r="E176" t="inlineStr">
        <is>
          <t>物资名称 热轧航空用不锈圆钢;物资简称 圆钢;牌号 2Cr13Ni2;直径 Φ26;技术标准号 YB675-1973;加工工艺 热轧;热处理工艺 ;特殊要求 ;规格标准号</t>
        </is>
      </c>
      <c r="F176" t="inlineStr">
        <is>
          <t>千克</t>
        </is>
      </c>
    </row>
    <row r="177">
      <c r="A177" t="inlineStr">
        <is>
          <t>100201</t>
        </is>
      </c>
      <c r="B177" t="inlineStr">
        <is>
          <t>圆钢</t>
        </is>
      </c>
      <c r="C177" t="inlineStr">
        <is>
          <t>603571600</t>
        </is>
      </c>
      <c r="D177" t="inlineStr">
        <is>
          <t>热轧航空用不锈圆钢|圆钢|2Cr13Ni2|Φ40|YB675-1973|热轧</t>
        </is>
      </c>
      <c r="E177" t="inlineStr">
        <is>
          <t>物资名称 热轧航空用不锈圆钢;物资简称 圆钢;牌号 2Cr13Ni2;直径 Φ40;技术标准号 YB675-1973;加工工艺 热轧;热处理工艺 ;特殊要求 ;规格标准号</t>
        </is>
      </c>
      <c r="F177" t="inlineStr">
        <is>
          <t>千克</t>
        </is>
      </c>
    </row>
    <row r="178">
      <c r="A178" t="inlineStr">
        <is>
          <t>100201</t>
        </is>
      </c>
      <c r="B178" t="inlineStr">
        <is>
          <t>圆钢</t>
        </is>
      </c>
      <c r="C178" t="inlineStr">
        <is>
          <t>603571500</t>
        </is>
      </c>
      <c r="D178" t="inlineStr">
        <is>
          <t>热轧航空用不锈圆钢|圆钢|2Cr13Ni2|Φ24|YB675-1973|热轧</t>
        </is>
      </c>
      <c r="E178" t="inlineStr">
        <is>
          <t>物资名称 热轧航空用不锈圆钢;物资简称 圆钢;牌号 2Cr13Ni2;直径 Φ24;技术标准号 YB675-1973;加工工艺 热轧;热处理工艺 ;特殊要求 ;规格标准号</t>
        </is>
      </c>
      <c r="F178" t="inlineStr">
        <is>
          <t>千克</t>
        </is>
      </c>
    </row>
    <row r="179">
      <c r="A179" t="inlineStr">
        <is>
          <t>100201</t>
        </is>
      </c>
      <c r="B179" t="inlineStr">
        <is>
          <t>圆钢</t>
        </is>
      </c>
      <c r="C179" t="inlineStr">
        <is>
          <t>603569200</t>
        </is>
      </c>
      <c r="D179" t="inlineStr">
        <is>
          <t>热轧优质碳素结构圆钢|圆钢|45|Φ235|GB/T 699-2015|热轧|GB/T 702-2017</t>
        </is>
      </c>
      <c r="E179" t="inlineStr">
        <is>
          <t>物资名称 热轧优质碳素结构圆钢;物资简称 圆钢;牌号 45;直径 Φ235;技术标准号 GB/T 699-2015;加工工艺 热轧;热处理工艺 ;特殊要求 ;规格标准号 GB/T 702-2017</t>
        </is>
      </c>
      <c r="F179" t="inlineStr">
        <is>
          <t>千克</t>
        </is>
      </c>
    </row>
    <row r="180">
      <c r="A180" t="inlineStr">
        <is>
          <t>100201</t>
        </is>
      </c>
      <c r="B180" t="inlineStr">
        <is>
          <t>圆钢</t>
        </is>
      </c>
      <c r="C180" t="inlineStr">
        <is>
          <t>603568700</t>
        </is>
      </c>
      <c r="D180" t="inlineStr">
        <is>
          <t>合金结构钢棒|钢棒|30CrMnSiA|Φ6|GB/T 3077-2015</t>
        </is>
      </c>
      <c r="E180" t="inlineStr">
        <is>
          <t>物资名称 合金结构钢棒;物资简称 钢棒;牌号 30CrMnSiA;直径 Φ6;技术标准号 GB/T 3077-2015;加工工艺 ;热处理工艺 ;特殊要求 ;规格标准号</t>
        </is>
      </c>
      <c r="F180" t="inlineStr">
        <is>
          <t>千克</t>
        </is>
      </c>
    </row>
    <row r="181">
      <c r="A181" t="inlineStr">
        <is>
          <t>100201</t>
        </is>
      </c>
      <c r="B181" t="inlineStr">
        <is>
          <t>圆钢</t>
        </is>
      </c>
      <c r="C181" t="inlineStr">
        <is>
          <t>603568400</t>
        </is>
      </c>
      <c r="D181" t="inlineStr">
        <is>
          <t>合金结构钢棒|钢棒|30CrMnSiA|Φ5|GB/T 3077-2015</t>
        </is>
      </c>
      <c r="E181" t="inlineStr">
        <is>
          <t>物资名称 合金结构钢棒;物资简称 钢棒;牌号 30CrMnSiA;直径 Φ5;技术标准号 GB/T 3077-2015;加工工艺 ;热处理工艺 ;特殊要求 ;规格标准号</t>
        </is>
      </c>
      <c r="F181" t="inlineStr">
        <is>
          <t>千克</t>
        </is>
      </c>
    </row>
    <row r="182">
      <c r="A182" t="inlineStr">
        <is>
          <t>100201</t>
        </is>
      </c>
      <c r="B182" t="inlineStr">
        <is>
          <t>圆钢</t>
        </is>
      </c>
      <c r="C182" t="inlineStr">
        <is>
          <t>603568100</t>
        </is>
      </c>
      <c r="D182" t="inlineStr">
        <is>
          <t>合金结构钢棒|钢棒|30CrMnSiA|Φ12|GB/T 3077-2015</t>
        </is>
      </c>
      <c r="E182" t="inlineStr">
        <is>
          <t>物资名称 合金结构钢棒;物资简称 钢棒;牌号 30CrMnSiA;直径 Φ12;技术标准号 GB/T 3077-2015;加工工艺 ;热处理工艺 ;特殊要求 ;规格标准号</t>
        </is>
      </c>
      <c r="F182" t="inlineStr">
        <is>
          <t>千克</t>
        </is>
      </c>
    </row>
    <row r="183">
      <c r="A183" t="inlineStr">
        <is>
          <t>100201</t>
        </is>
      </c>
      <c r="B183" t="inlineStr">
        <is>
          <t>圆钢</t>
        </is>
      </c>
      <c r="C183" t="inlineStr">
        <is>
          <t>603568000</t>
        </is>
      </c>
      <c r="D183" t="inlineStr">
        <is>
          <t>合金结构钢棒|钢棒|30CrMnSiA|Φ10|GB/T 3077-2015</t>
        </is>
      </c>
      <c r="E183" t="inlineStr">
        <is>
          <t>物资名称 合金结构钢棒;物资简称 钢棒;牌号 30CrMnSiA;直径 Φ10;技术标准号 GB/T 3077-2015;加工工艺 ;热处理工艺 ;特殊要求 ;规格标准号</t>
        </is>
      </c>
      <c r="F183" t="inlineStr">
        <is>
          <t>千克</t>
        </is>
      </c>
    </row>
    <row r="184">
      <c r="A184" t="inlineStr">
        <is>
          <t>100201</t>
        </is>
      </c>
      <c r="B184" t="inlineStr">
        <is>
          <t>圆钢</t>
        </is>
      </c>
      <c r="C184" t="inlineStr">
        <is>
          <t>603567300</t>
        </is>
      </c>
      <c r="D184" t="inlineStr">
        <is>
          <t>热轧优质碳素结构圆钢|圆钢|45|Φ55|GB/T 699-2015|热轧|GB/T 702-2017</t>
        </is>
      </c>
      <c r="E184" t="inlineStr">
        <is>
          <t>物资名称 热轧优质碳素结构圆钢;物资简称 圆钢;牌号 45;直径 Φ55;技术标准号 GB/T 699-2015;加工工艺 热轧;热处理工艺 ;特殊要求 ;规格标准号 GB/T 702-2017</t>
        </is>
      </c>
      <c r="F184" t="inlineStr">
        <is>
          <t>千克</t>
        </is>
      </c>
    </row>
    <row r="185">
      <c r="A185" t="inlineStr">
        <is>
          <t>100201</t>
        </is>
      </c>
      <c r="B185" t="inlineStr">
        <is>
          <t>圆钢</t>
        </is>
      </c>
      <c r="C185" t="inlineStr">
        <is>
          <t>603564000</t>
        </is>
      </c>
      <c r="D185" t="inlineStr">
        <is>
          <t>热轧不锈圆钢|圆钢|14Cr17Ni2|Φ55|GB/T 1220-2007|热轧|GB/T 702-2008</t>
        </is>
      </c>
      <c r="E185" t="inlineStr">
        <is>
          <t>物资名称 热轧不锈圆钢;物资简称 圆钢;牌号 14Cr17Ni2;直径 Φ55;技术标准号 GB/T 1220-2007;加工工艺 热轧;热处理工艺 ;特殊要求 ;规格标准号 GB/T 702-2008</t>
        </is>
      </c>
      <c r="F185" t="inlineStr">
        <is>
          <t>千克</t>
        </is>
      </c>
    </row>
    <row r="186">
      <c r="A186" t="inlineStr">
        <is>
          <t>100201</t>
        </is>
      </c>
      <c r="B186" t="inlineStr">
        <is>
          <t>圆钢</t>
        </is>
      </c>
      <c r="C186" t="inlineStr">
        <is>
          <t>603563900</t>
        </is>
      </c>
      <c r="D186" t="inlineStr">
        <is>
          <t>热轧不锈圆钢|圆钢|14Cr17Ni2|Φ36|GB/T 1220-2007|热轧|GB/T 702-2008</t>
        </is>
      </c>
      <c r="E186" t="inlineStr">
        <is>
          <t>物资名称 热轧不锈圆钢;物资简称 圆钢;牌号 14Cr17Ni2;直径 Φ36;技术标准号 GB/T 1220-2007;加工工艺 热轧;热处理工艺 ;特殊要求 ;规格标准号 GB/T 702-2008</t>
        </is>
      </c>
      <c r="F186" t="inlineStr">
        <is>
          <t>千克</t>
        </is>
      </c>
    </row>
    <row r="187">
      <c r="A187" t="inlineStr">
        <is>
          <t>100201</t>
        </is>
      </c>
      <c r="B187" t="inlineStr">
        <is>
          <t>圆钢</t>
        </is>
      </c>
      <c r="C187" t="inlineStr">
        <is>
          <t>603563800</t>
        </is>
      </c>
      <c r="D187" t="inlineStr">
        <is>
          <t>热轧不锈圆钢|圆钢|14Cr17Ni2|Φ70|GB/T 1220-2007|热轧|GB/T 702-2008</t>
        </is>
      </c>
      <c r="E187" t="inlineStr">
        <is>
          <t>物资名称 热轧不锈圆钢;物资简称 圆钢;牌号 14Cr17Ni2;直径 Φ70;技术标准号 GB/T 1220-2007;加工工艺 热轧;热处理工艺 ;特殊要求 ;规格标准号 GB/T 702-2008</t>
        </is>
      </c>
      <c r="F187" t="inlineStr">
        <is>
          <t>千克</t>
        </is>
      </c>
    </row>
    <row r="188">
      <c r="A188" t="inlineStr">
        <is>
          <t>100201</t>
        </is>
      </c>
      <c r="B188" t="inlineStr">
        <is>
          <t>圆钢</t>
        </is>
      </c>
      <c r="C188" t="inlineStr">
        <is>
          <t>603563700</t>
        </is>
      </c>
      <c r="D188" t="inlineStr">
        <is>
          <t>热轧不锈圆钢|圆钢|14Cr17Ni2|Φ80|GB/T 1220-2007|热轧|GB/T 702-2008</t>
        </is>
      </c>
      <c r="E188" t="inlineStr">
        <is>
          <t>物资名称 热轧不锈圆钢;物资简称 圆钢;牌号 14Cr17Ni2;直径 Φ80;技术标准号 GB/T 1220-2007;加工工艺 热轧;热处理工艺 ;特殊要求 ;规格标准号 GB/T 702-2008</t>
        </is>
      </c>
      <c r="F188" t="inlineStr">
        <is>
          <t>千克</t>
        </is>
      </c>
    </row>
    <row r="189">
      <c r="A189" t="inlineStr">
        <is>
          <t>100201</t>
        </is>
      </c>
      <c r="B189" t="inlineStr">
        <is>
          <t>圆钢</t>
        </is>
      </c>
      <c r="C189" t="inlineStr">
        <is>
          <t>603563600</t>
        </is>
      </c>
      <c r="D189" t="inlineStr">
        <is>
          <t>热轧合金结构圆钢|圆钢|30CrMnSiA|Φ80|GB/T 3077-2015|热轧|GB/T 702-2008</t>
        </is>
      </c>
      <c r="E189" t="inlineStr">
        <is>
          <t>物资名称 热轧合金结构圆钢;物资简称 圆钢;牌号 30CrMnSiA;直径 Φ80;技术标准号 GB/T 3077-2015;加工工艺 热轧;热处理工艺 ;特殊要求 ;规格标准号 GB/T 702-2008</t>
        </is>
      </c>
      <c r="F189" t="inlineStr">
        <is>
          <t>千克</t>
        </is>
      </c>
    </row>
    <row r="190">
      <c r="A190" t="inlineStr">
        <is>
          <t>100201</t>
        </is>
      </c>
      <c r="B190" t="inlineStr">
        <is>
          <t>圆钢</t>
        </is>
      </c>
      <c r="C190" t="inlineStr">
        <is>
          <t>603558300</t>
        </is>
      </c>
      <c r="D190" t="inlineStr">
        <is>
          <t>合金结构钢棒|钢棒|30CrMnSiA|Φ80|GB/T 3077-2015</t>
        </is>
      </c>
      <c r="E190" t="inlineStr">
        <is>
          <t>物资名称 合金结构钢棒;物资简称 钢棒;牌号 30CrMnSiA;直径 Φ80;技术标准号 GB/T 3077-2015;加工工艺 ;热处理工艺 ;特殊要求 ;规格标准号</t>
        </is>
      </c>
      <c r="F190" t="inlineStr">
        <is>
          <t>千克</t>
        </is>
      </c>
    </row>
    <row r="191">
      <c r="A191" t="inlineStr">
        <is>
          <t>100201</t>
        </is>
      </c>
      <c r="B191" t="inlineStr">
        <is>
          <t>圆钢</t>
        </is>
      </c>
      <c r="C191" t="inlineStr">
        <is>
          <t>603558200</t>
        </is>
      </c>
      <c r="D191" t="inlineStr">
        <is>
          <t>热轧合金结构圆钢|圆钢|35CrMnSiA|Φ70|GB/T 3077-2015|热轧</t>
        </is>
      </c>
      <c r="E191" t="inlineStr">
        <is>
          <t>物资名称 热轧合金结构圆钢;物资简称 圆钢;牌号 35CrMnSiA;直径 Φ70;技术标准号 GB/T 3077-2015;加工工艺 热轧;热处理工艺 ;特殊要求 ;规格标准号</t>
        </is>
      </c>
      <c r="F191" t="inlineStr">
        <is>
          <t>千克</t>
        </is>
      </c>
    </row>
    <row r="192">
      <c r="A192" t="inlineStr">
        <is>
          <t>100201</t>
        </is>
      </c>
      <c r="B192" t="inlineStr">
        <is>
          <t>圆钢</t>
        </is>
      </c>
      <c r="C192" t="inlineStr">
        <is>
          <t>603550100</t>
        </is>
      </c>
      <c r="D192" t="inlineStr">
        <is>
          <t>热轧合金结构圆钢|圆钢|30CrMnSi|Φ50|GB/T 3077-2015|热轧|GB/T 702-2017</t>
        </is>
      </c>
      <c r="E192" t="inlineStr">
        <is>
          <t>物资名称 热轧合金结构圆钢;物资简称 圆钢;牌号 30CrMnSi;直径 Φ50;技术标准号 GB/T 3077-2015;加工工艺 热轧;热处理工艺 ;特殊要求 ;规格标准号 GB/T 702-2017</t>
        </is>
      </c>
      <c r="F192" t="inlineStr">
        <is>
          <t>千克</t>
        </is>
      </c>
    </row>
    <row r="193">
      <c r="A193" t="inlineStr">
        <is>
          <t>100201</t>
        </is>
      </c>
      <c r="B193" t="inlineStr">
        <is>
          <t>圆钢</t>
        </is>
      </c>
      <c r="C193" t="inlineStr">
        <is>
          <t>603545500</t>
        </is>
      </c>
      <c r="D193" t="inlineStr">
        <is>
          <t>热轧不锈圆钢|圆钢|20Cr13|GB/T 1220-2007|热轧|GB/T 702-2017</t>
        </is>
      </c>
      <c r="E193" t="inlineStr">
        <is>
          <t>物资名称 热轧不锈圆钢;物资简称 圆钢;牌号 20Cr13;直径 Φ;技术标准号 GB/T 1220-2007;加工工艺 热轧;热处理工艺 ;特殊要求 ;规格标准号 GB/T 702-2017</t>
        </is>
      </c>
      <c r="F193" t="inlineStr">
        <is>
          <t>千克</t>
        </is>
      </c>
    </row>
    <row r="194">
      <c r="A194" t="inlineStr">
        <is>
          <t>100201</t>
        </is>
      </c>
      <c r="B194" t="inlineStr">
        <is>
          <t>圆钢</t>
        </is>
      </c>
      <c r="C194" t="inlineStr">
        <is>
          <t>603542200</t>
        </is>
      </c>
      <c r="D194" t="inlineStr">
        <is>
          <t>热轧航空用优质结构圆钢|圆钢|30CrMnSiNi2A|Φ80|GJB 1951-1994|热轧|GB/T 702-2017</t>
        </is>
      </c>
      <c r="E194" t="inlineStr">
        <is>
          <t>物资名称 热轧航空用优质结构圆钢;物资简称 圆钢;牌号 30CrMnSiNi2A;直径 Φ80;技术标准号 GJB 1951-1994;加工工艺 热轧;热处理工艺 ;特殊要求 ;规格标准号 GB/T 702-2017</t>
        </is>
      </c>
      <c r="F194" t="inlineStr">
        <is>
          <t>千克</t>
        </is>
      </c>
    </row>
    <row r="195">
      <c r="A195" t="inlineStr">
        <is>
          <t>100201</t>
        </is>
      </c>
      <c r="B195" t="inlineStr">
        <is>
          <t>圆钢</t>
        </is>
      </c>
      <c r="C195" t="inlineStr">
        <is>
          <t>603541700</t>
        </is>
      </c>
      <c r="D195" t="inlineStr">
        <is>
          <t>合金结构钢棒|钢棒|30CrMnSiA|GB/T 3077-2015</t>
        </is>
      </c>
      <c r="E195" t="inlineStr">
        <is>
          <t>物资名称 合金结构钢棒;物资简称 钢棒;牌号 30CrMnSiA;直径 Φ;技术标准号 GB/T 3077-2015;加工工艺 ;热处理工艺 ;特殊要求 ;规格标准号</t>
        </is>
      </c>
      <c r="F195" t="inlineStr">
        <is>
          <t>千克</t>
        </is>
      </c>
    </row>
    <row r="196">
      <c r="A196" t="inlineStr">
        <is>
          <t>100201</t>
        </is>
      </c>
      <c r="B196" t="inlineStr">
        <is>
          <t>圆钢</t>
        </is>
      </c>
      <c r="C196" t="inlineStr">
        <is>
          <t>603541200</t>
        </is>
      </c>
      <c r="D196" t="inlineStr">
        <is>
          <t>热轧不锈圆钢|圆钢|12Cr18Ni9|Φ90|GB/T 1220-2007|热轧|GB/T 702-2008</t>
        </is>
      </c>
      <c r="E196" t="inlineStr">
        <is>
          <t>物资名称 热轧不锈圆钢;物资简称 圆钢;牌号 12Cr18Ni9;直径 Φ90;技术标准号 GB/T 1220-2007;加工工艺 热轧;热处理工艺 ;特殊要求 ;规格标准号 GB/T 702-2008</t>
        </is>
      </c>
      <c r="F196" t="inlineStr">
        <is>
          <t>千克</t>
        </is>
      </c>
    </row>
    <row r="197">
      <c r="A197" t="inlineStr">
        <is>
          <t>100201</t>
        </is>
      </c>
      <c r="B197" t="inlineStr">
        <is>
          <t>圆钢</t>
        </is>
      </c>
      <c r="C197" t="inlineStr">
        <is>
          <t>603540400</t>
        </is>
      </c>
      <c r="D197" t="inlineStr">
        <is>
          <t>热轧合金结构圆钢|圆钢|30CrMnSiA|Φ15|GB/T 3077-1999|热轧|GB/T 702-2008</t>
        </is>
      </c>
      <c r="E197" t="inlineStr">
        <is>
          <t>物资名称 热轧合金结构圆钢;物资简称 圆钢;牌号 30CrMnSiA;直径 Φ15;技术标准号 GB/T 3077-1999;加工工艺 热轧;热处理工艺 ;特殊要求 ;规格标准号 GB/T 702-2008</t>
        </is>
      </c>
      <c r="F197" t="inlineStr">
        <is>
          <t>千克</t>
        </is>
      </c>
    </row>
    <row r="198">
      <c r="A198" t="inlineStr">
        <is>
          <t>100201</t>
        </is>
      </c>
      <c r="B198" t="inlineStr">
        <is>
          <t>圆钢</t>
        </is>
      </c>
      <c r="C198" t="inlineStr">
        <is>
          <t>603538900</t>
        </is>
      </c>
      <c r="D198" t="inlineStr">
        <is>
          <t>热轧合金结构圆钢|圆钢|30CrMnSiA|GB/T 3077-2015|热轧|GB/T 702-2017</t>
        </is>
      </c>
      <c r="E198" t="inlineStr">
        <is>
          <t>物资名称 热轧合金结构圆钢;物资简称 圆钢;牌号 30CrMnSiA;直径 Φ;技术标准号 GB/T 3077-2015;加工工艺 热轧;热处理工艺 ;特殊要求 ;规格标准号 GB/T 702-2017</t>
        </is>
      </c>
      <c r="F198" t="inlineStr">
        <is>
          <t>千克</t>
        </is>
      </c>
    </row>
    <row r="199">
      <c r="A199" t="inlineStr">
        <is>
          <t>100201</t>
        </is>
      </c>
      <c r="B199" t="inlineStr">
        <is>
          <t>圆钢</t>
        </is>
      </c>
      <c r="C199" t="inlineStr">
        <is>
          <t>603537700</t>
        </is>
      </c>
      <c r="D199" t="inlineStr">
        <is>
          <t>热轧不锈圆钢|圆钢|06Cr19Ni10|GB/T 1220-2007|热轧|GB/T 702-2017</t>
        </is>
      </c>
      <c r="E199" t="inlineStr">
        <is>
          <t>物资名称 热轧不锈圆钢;物资简称 圆钢;牌号 06Cr19Ni10;直径 Φ;技术标准号 GB/T 1220-2007;加工工艺 热轧;热处理工艺 ;特殊要求 ;规格标准号 GB/T 702-2017</t>
        </is>
      </c>
      <c r="F199" t="inlineStr">
        <is>
          <t>千克</t>
        </is>
      </c>
    </row>
    <row r="200">
      <c r="A200" t="inlineStr">
        <is>
          <t>100201</t>
        </is>
      </c>
      <c r="B200" t="inlineStr">
        <is>
          <t>圆钢</t>
        </is>
      </c>
      <c r="C200" t="inlineStr">
        <is>
          <t>603537500</t>
        </is>
      </c>
      <c r="D200" t="inlineStr">
        <is>
          <t>热轧合金结构圆钢|圆钢|35CrMnSiA|GB/T 3077-2015|热轧|GB/T 702-2017</t>
        </is>
      </c>
      <c r="E200" t="inlineStr">
        <is>
          <t>物资名称 热轧合金结构圆钢;物资简称 圆钢;牌号 35CrMnSiA;直径 Φ;技术标准号 GB/T 3077-2015;加工工艺 热轧;热处理工艺 ;特殊要求 ;规格标准号 GB/T 702-2017</t>
        </is>
      </c>
      <c r="F200" t="inlineStr">
        <is>
          <t>千克</t>
        </is>
      </c>
    </row>
    <row r="201">
      <c r="A201" t="inlineStr">
        <is>
          <t>100201</t>
        </is>
      </c>
      <c r="B201" t="inlineStr">
        <is>
          <t>圆钢</t>
        </is>
      </c>
      <c r="C201" t="inlineStr">
        <is>
          <t>603519700</t>
        </is>
      </c>
      <c r="D201" t="inlineStr">
        <is>
          <t>热轧不锈圆钢|圆钢|06Cr19Ni10|Φ160|GB/T 1220-2007|热轧|GB/T 702-2017</t>
        </is>
      </c>
      <c r="E201" t="inlineStr">
        <is>
          <t>物资名称 热轧不锈圆钢;物资简称 圆钢;牌号 06Cr19Ni10;直径 Φ160;技术标准号 GB/T 1220-2007;加工工艺 热轧;热处理工艺 ;特殊要求 ;规格标准号 GB/T 702-2017</t>
        </is>
      </c>
      <c r="F201" t="inlineStr">
        <is>
          <t>千克</t>
        </is>
      </c>
    </row>
    <row r="202">
      <c r="A202" t="inlineStr">
        <is>
          <t>100201</t>
        </is>
      </c>
      <c r="B202" t="inlineStr">
        <is>
          <t>圆钢</t>
        </is>
      </c>
      <c r="C202" t="inlineStr">
        <is>
          <t>603415800</t>
        </is>
      </c>
      <c r="D202" t="inlineStr">
        <is>
          <t>热轧不锈圆钢|圆钢|20Cr13|Φ95|GB/T 1220-2007|热轧|GB/T 702-2008</t>
        </is>
      </c>
      <c r="E202" t="inlineStr">
        <is>
          <t>物资名称 热轧不锈圆钢;物资简称 圆钢;牌号 20Cr13;直径 Φ95;技术标准号 GB/T 1220-2007;加工工艺 热轧;热处理工艺 ;特殊要求 ;规格标准号 GB/T 702-2008</t>
        </is>
      </c>
      <c r="F202" t="inlineStr">
        <is>
          <t>千克</t>
        </is>
      </c>
    </row>
    <row r="203">
      <c r="A203" t="inlineStr">
        <is>
          <t>100201</t>
        </is>
      </c>
      <c r="B203" t="inlineStr">
        <is>
          <t>圆钢</t>
        </is>
      </c>
      <c r="C203" t="inlineStr">
        <is>
          <t>603186400</t>
        </is>
      </c>
      <c r="D203" t="inlineStr">
        <is>
          <t>热轧合金结构圆钢|圆钢|30CrMnSiA|Φ54|GB/T 3077-1999|热轧|GB/T 702-2008</t>
        </is>
      </c>
      <c r="E203" t="inlineStr">
        <is>
          <t>物资名称 热轧合金结构圆钢;物资简称 圆钢;牌号 30CrMnSiA;直径 Φ54;技术标准号 GB/T 3077-1999;加工工艺 热轧;热处理工艺 ;特殊要求 ;规格标准号 GB/T 702-2008</t>
        </is>
      </c>
      <c r="F203" t="inlineStr">
        <is>
          <t>千克</t>
        </is>
      </c>
    </row>
    <row r="204">
      <c r="A204" t="inlineStr">
        <is>
          <t>100201</t>
        </is>
      </c>
      <c r="B204" t="inlineStr">
        <is>
          <t>圆钢</t>
        </is>
      </c>
      <c r="C204" t="inlineStr">
        <is>
          <t>603164500</t>
        </is>
      </c>
      <c r="D204" t="inlineStr">
        <is>
          <t>热轧不锈圆钢|圆钢|1Cr17Ni2|Φ12|GB/T 1220-1992|热轧|GB/T 702-2008</t>
        </is>
      </c>
      <c r="E204" t="inlineStr">
        <is>
          <t>物资名称 热轧不锈圆钢;物资简称 圆钢;牌号 1Cr17Ni2;直径 Φ12;技术标准号 GB/T 1220-1992;加工工艺 热轧;热处理工艺 ;特殊要求 ;规格标准号 GB/T 702-2008</t>
        </is>
      </c>
      <c r="F204" t="inlineStr">
        <is>
          <t>千克</t>
        </is>
      </c>
    </row>
    <row r="205">
      <c r="A205" t="inlineStr">
        <is>
          <t>100201</t>
        </is>
      </c>
      <c r="B205" t="inlineStr">
        <is>
          <t>圆钢</t>
        </is>
      </c>
      <c r="C205" t="inlineStr">
        <is>
          <t>603161300</t>
        </is>
      </c>
      <c r="D205" t="inlineStr">
        <is>
          <t>热轧航空用不锈圆钢|圆钢|1Cr18Ni9Ti|Φ95|GJB 2294A-2014|热轧|GB/T 702-2008</t>
        </is>
      </c>
      <c r="E205" t="inlineStr">
        <is>
          <t>物资名称 热轧航空用不锈圆钢;物资简称 圆钢;牌号 1Cr18Ni9Ti;直径 Φ95;技术标准号 GJB 2294A-2014;加工工艺 热轧;热处理工艺 ;特殊要求 ;规格标准号 GB/T 702-2008</t>
        </is>
      </c>
      <c r="F205" t="inlineStr">
        <is>
          <t>千克</t>
        </is>
      </c>
    </row>
    <row r="206">
      <c r="A206" t="inlineStr">
        <is>
          <t>100201</t>
        </is>
      </c>
      <c r="B206" t="inlineStr">
        <is>
          <t>圆钢</t>
        </is>
      </c>
      <c r="C206" t="inlineStr">
        <is>
          <t>603152900</t>
        </is>
      </c>
      <c r="D206" t="inlineStr">
        <is>
          <t>热轧航空用不锈圆钢|圆钢|1Cr18Ni9Ti|Φ132|GJB 2294A-2014|热轧|GB/T 702-2008</t>
        </is>
      </c>
      <c r="E206" t="inlineStr">
        <is>
          <t>物资名称 热轧航空用不锈圆钢;物资简称 圆钢;牌号 1Cr18Ni9Ti;直径 Φ132;技术标准号 GJB 2294A-2014;加工工艺 热轧;热处理工艺 ;特殊要求 ;规格标准号 GB/T 702-2008</t>
        </is>
      </c>
      <c r="F206" t="inlineStr">
        <is>
          <t>千克</t>
        </is>
      </c>
    </row>
    <row r="207">
      <c r="A207" t="inlineStr">
        <is>
          <t>100201</t>
        </is>
      </c>
      <c r="B207" t="inlineStr">
        <is>
          <t>圆钢</t>
        </is>
      </c>
      <c r="C207" t="inlineStr">
        <is>
          <t>603122200</t>
        </is>
      </c>
      <c r="D207" t="inlineStr">
        <is>
          <t>热轧合金结构圆钢|圆钢|40Cr|Φ16|GB/T 3077-2015|热轧|GB/T 702-2008</t>
        </is>
      </c>
      <c r="E207" t="inlineStr">
        <is>
          <t>物资名称 热轧合金结构圆钢;物资简称 圆钢;牌号 40Cr;直径 Φ16;技术标准号 GB/T 3077-2015;加工工艺 热轧;热处理工艺 ;特殊要求 ;规格标准号 GB/T 702-2008</t>
        </is>
      </c>
      <c r="F207" t="inlineStr">
        <is>
          <t>千克</t>
        </is>
      </c>
    </row>
    <row r="208">
      <c r="A208" t="inlineStr">
        <is>
          <t>100201</t>
        </is>
      </c>
      <c r="B208" t="inlineStr">
        <is>
          <t>圆钢</t>
        </is>
      </c>
      <c r="C208" t="inlineStr">
        <is>
          <t>603121900</t>
        </is>
      </c>
      <c r="D208" t="inlineStr">
        <is>
          <t>热轧合金结构圆钢|圆钢|30CrMnSiA|Φ55|GB/T 3077-1999|热轧|GB/T 702-2008</t>
        </is>
      </c>
      <c r="E208" t="inlineStr">
        <is>
          <t>物资名称 热轧合金结构圆钢;物资简称 圆钢;牌号 30CrMnSiA;直径 Φ55;技术标准号 GB/T 3077-1999;加工工艺 热轧;热处理工艺 ;特殊要求 ;规格标准号 GB/T 702-2008</t>
        </is>
      </c>
      <c r="F208" t="inlineStr">
        <is>
          <t>千克</t>
        </is>
      </c>
    </row>
    <row r="209">
      <c r="A209" t="inlineStr">
        <is>
          <t>100201</t>
        </is>
      </c>
      <c r="B209" t="inlineStr">
        <is>
          <t>圆钢</t>
        </is>
      </c>
      <c r="C209" t="inlineStr">
        <is>
          <t>603108600</t>
        </is>
      </c>
      <c r="D209" t="inlineStr">
        <is>
          <t>冷拉弹簧圆钢|圆钢|60Si2MnA|Φ6|GB/T 1222-2016|冷拉|GB/T 905-1994</t>
        </is>
      </c>
      <c r="E209" t="inlineStr">
        <is>
          <t>物资名称 冷拉弹簧圆钢;物资简称 圆钢;牌号 60Si2MnA;直径 Φ6;技术标准号 GB/T 1222-2016;加工工艺 冷拉;热处理工艺 ;特殊要求 ;规格标准号 GB/T 905-1994</t>
        </is>
      </c>
      <c r="F209" t="inlineStr">
        <is>
          <t>千克</t>
        </is>
      </c>
    </row>
    <row r="210">
      <c r="A210" t="inlineStr">
        <is>
          <t>100201</t>
        </is>
      </c>
      <c r="B210" t="inlineStr">
        <is>
          <t>圆钢</t>
        </is>
      </c>
      <c r="C210" t="inlineStr">
        <is>
          <t>603010600</t>
        </is>
      </c>
      <c r="D210" t="inlineStr">
        <is>
          <t>热轧合金结构圆钢|圆钢|40Cr|Φ25|GB/T 3077-2015|热轧|GB/T 702-2008</t>
        </is>
      </c>
      <c r="E210" t="inlineStr">
        <is>
          <t>物资名称 热轧合金结构圆钢;物资简称 圆钢;牌号 40Cr;直径 Φ25;技术标准号 GB/T 3077-2015;加工工艺 热轧;热处理工艺 ;特殊要求 ;规格标准号 GB/T 702-2008</t>
        </is>
      </c>
      <c r="F210" t="inlineStr">
        <is>
          <t>千克</t>
        </is>
      </c>
    </row>
    <row r="211">
      <c r="A211" t="inlineStr">
        <is>
          <t>100201</t>
        </is>
      </c>
      <c r="B211" t="inlineStr">
        <is>
          <t>圆钢</t>
        </is>
      </c>
      <c r="C211" t="inlineStr">
        <is>
          <t>603010500</t>
        </is>
      </c>
      <c r="D211" t="inlineStr">
        <is>
          <t>热轧合金结构圆钢|圆钢|40Cr|Φ30|GB/T 3077-2015|热轧|GB/T 702-2008</t>
        </is>
      </c>
      <c r="E211" t="inlineStr">
        <is>
          <t>物资名称 热轧合金结构圆钢;物资简称 圆钢;牌号 40Cr;直径 Φ30;技术标准号 GB/T 3077-2015;加工工艺 热轧;热处理工艺 ;特殊要求 ;规格标准号 GB/T 702-2008</t>
        </is>
      </c>
      <c r="F211" t="inlineStr">
        <is>
          <t>千克</t>
        </is>
      </c>
    </row>
    <row r="212">
      <c r="A212" t="inlineStr">
        <is>
          <t>100201</t>
        </is>
      </c>
      <c r="B212" t="inlineStr">
        <is>
          <t>圆钢</t>
        </is>
      </c>
      <c r="C212" t="inlineStr">
        <is>
          <t>603010300</t>
        </is>
      </c>
      <c r="D212" t="inlineStr">
        <is>
          <t>热轧不锈圆钢|圆钢|20Cr13|Φ100|GB/T 1220-2007|热轧|GB/T 702-2008</t>
        </is>
      </c>
      <c r="E212" t="inlineStr">
        <is>
          <t>物资名称 热轧不锈圆钢;物资简称 圆钢;牌号 20Cr13;直径 Φ100;技术标准号 GB/T 1220-2007;加工工艺 热轧;热处理工艺 ;特殊要求 ;规格标准号 GB/T 702-2008</t>
        </is>
      </c>
      <c r="F212" t="inlineStr">
        <is>
          <t>千克</t>
        </is>
      </c>
    </row>
    <row r="213">
      <c r="A213" t="inlineStr">
        <is>
          <t>100201</t>
        </is>
      </c>
      <c r="B213" t="inlineStr">
        <is>
          <t>圆钢</t>
        </is>
      </c>
      <c r="C213" t="inlineStr">
        <is>
          <t>602974900</t>
        </is>
      </c>
      <c r="D213" t="inlineStr">
        <is>
          <t>碳素工具圆钢|圆钢|T10A|Φ260|北京兵工</t>
        </is>
      </c>
      <c r="E213" t="inlineStr">
        <is>
          <t>物资名称 碳素工具圆钢;物资简称 圆钢;牌号 T10A;直径 Φ260;技术标准号 空;加工工艺 ;热处理工艺 ;特殊要求 北京兵工;规格标准号</t>
        </is>
      </c>
      <c r="F213" t="inlineStr">
        <is>
          <t>千克</t>
        </is>
      </c>
    </row>
    <row r="214">
      <c r="A214" t="inlineStr">
        <is>
          <t>100201</t>
        </is>
      </c>
      <c r="B214" t="inlineStr">
        <is>
          <t>圆钢</t>
        </is>
      </c>
      <c r="C214" t="inlineStr">
        <is>
          <t>602974800</t>
        </is>
      </c>
      <c r="D214" t="inlineStr">
        <is>
          <t>碳素工具圆钢|圆钢|T10A|Φ250|北京兵工</t>
        </is>
      </c>
      <c r="E214" t="inlineStr">
        <is>
          <t>物资名称 碳素工具圆钢;物资简称 圆钢;牌号 T10A;直径 Φ250;技术标准号 空;加工工艺 ;热处理工艺 ;特殊要求 北京兵工;规格标准号</t>
        </is>
      </c>
      <c r="F214" t="inlineStr">
        <is>
          <t>千克</t>
        </is>
      </c>
    </row>
    <row r="215">
      <c r="A215" t="inlineStr">
        <is>
          <t>100201</t>
        </is>
      </c>
      <c r="B215" t="inlineStr">
        <is>
          <t>圆钢</t>
        </is>
      </c>
      <c r="C215" t="inlineStr">
        <is>
          <t>602948300</t>
        </is>
      </c>
      <c r="D215" t="inlineStr">
        <is>
          <t>热轧优质碳素结构圆钢|圆钢|45|Φ220|GB/T 699-1999|热轧|GB/T 702-2008</t>
        </is>
      </c>
      <c r="E215" t="inlineStr">
        <is>
          <t>物资名称 热轧优质碳素结构圆钢;物资简称 圆钢;牌号 45;直径 Φ220;技术标准号 GB/T 699-1999;加工工艺 热轧;热处理工艺 ;特殊要求 ;规格标准号 GB/T 702-2008</t>
        </is>
      </c>
      <c r="F215" t="inlineStr">
        <is>
          <t>千克</t>
        </is>
      </c>
    </row>
    <row r="216">
      <c r="A216" t="inlineStr">
        <is>
          <t>100201</t>
        </is>
      </c>
      <c r="B216" t="inlineStr">
        <is>
          <t>圆钢</t>
        </is>
      </c>
      <c r="C216" t="inlineStr">
        <is>
          <t>602887100</t>
        </is>
      </c>
      <c r="D216" t="inlineStr">
        <is>
          <t>热轧合金结构圆钢|圆钢|40Cr|Φ60|GB/T 3077-2015|热轧|GB/T 702-2008</t>
        </is>
      </c>
      <c r="E216" t="inlineStr">
        <is>
          <t>物资名称 热轧合金结构圆钢;物资简称 圆钢;牌号 40Cr;直径 Φ60;技术标准号 GB/T 3077-2015;加工工艺 热轧;热处理工艺 ;特殊要求 ;规格标准号 GB/T 702-2008</t>
        </is>
      </c>
      <c r="F216" t="inlineStr">
        <is>
          <t>千克</t>
        </is>
      </c>
    </row>
    <row r="217">
      <c r="A217" t="inlineStr">
        <is>
          <t>100201</t>
        </is>
      </c>
      <c r="B217" t="inlineStr">
        <is>
          <t>圆钢</t>
        </is>
      </c>
      <c r="C217" t="inlineStr">
        <is>
          <t>602886800</t>
        </is>
      </c>
      <c r="D217" t="inlineStr">
        <is>
          <t>热轧航空用不锈圆钢|圆钢|1Cr18Ni9Ti|Φ75|GJB 2294A-2014|热轧|GB/T 702-2008</t>
        </is>
      </c>
      <c r="E217" t="inlineStr">
        <is>
          <t>物资名称 热轧航空用不锈圆钢;物资简称 圆钢;牌号 1Cr18Ni9Ti;直径 Φ75;技术标准号 GJB 2294A-2014;加工工艺 热轧;热处理工艺 ;特殊要求 ;规格标准号 GB/T 702-2008</t>
        </is>
      </c>
      <c r="F217" t="inlineStr">
        <is>
          <t>千克</t>
        </is>
      </c>
    </row>
    <row r="218">
      <c r="A218" t="inlineStr">
        <is>
          <t>100201</t>
        </is>
      </c>
      <c r="B218" t="inlineStr">
        <is>
          <t>圆钢</t>
        </is>
      </c>
      <c r="C218" t="inlineStr">
        <is>
          <t>602886700</t>
        </is>
      </c>
      <c r="D218" t="inlineStr">
        <is>
          <t>热轧航空用不锈圆钢|圆钢|1Cr18Ni9Ti|Φ80|GJB 2294A-2014|热轧|GB/T 702-2008</t>
        </is>
      </c>
      <c r="E218" t="inlineStr">
        <is>
          <t>物资名称 热轧航空用不锈圆钢;物资简称 圆钢;牌号 1Cr18Ni9Ti;直径 Φ80;技术标准号 GJB 2294A-2014;加工工艺 热轧;热处理工艺 ;特殊要求 ;规格标准号 GB/T 702-2008</t>
        </is>
      </c>
      <c r="F218" t="inlineStr">
        <is>
          <t>千克</t>
        </is>
      </c>
    </row>
    <row r="219">
      <c r="A219" t="inlineStr">
        <is>
          <t>100201</t>
        </is>
      </c>
      <c r="B219" t="inlineStr">
        <is>
          <t>圆钢</t>
        </is>
      </c>
      <c r="C219" t="inlineStr">
        <is>
          <t>602886600</t>
        </is>
      </c>
      <c r="D219" t="inlineStr">
        <is>
          <t>热轧航空用不锈圆钢|圆钢|1Cr18Ni9Ti|Φ45|GJB 2294A-2014|热轧|GB/T 702-2008</t>
        </is>
      </c>
      <c r="E219" t="inlineStr">
        <is>
          <t>物资名称 热轧航空用不锈圆钢;物资简称 圆钢;牌号 1Cr18Ni9Ti;直径 Φ45;技术标准号 GJB 2294A-2014;加工工艺 热轧;热处理工艺 ;特殊要求 ;规格标准号 GB/T 702-2008</t>
        </is>
      </c>
      <c r="F219" t="inlineStr">
        <is>
          <t>千克</t>
        </is>
      </c>
    </row>
    <row r="220">
      <c r="A220" t="inlineStr">
        <is>
          <t>100201</t>
        </is>
      </c>
      <c r="B220" t="inlineStr">
        <is>
          <t>圆钢</t>
        </is>
      </c>
      <c r="C220" t="inlineStr">
        <is>
          <t>602886500</t>
        </is>
      </c>
      <c r="D220" t="inlineStr">
        <is>
          <t>热轧航空用不锈圆钢|圆钢|1Cr18Ni9Ti|Φ30|GJB 2294A-2014|热轧|GB/T 702-2008</t>
        </is>
      </c>
      <c r="E220" t="inlineStr">
        <is>
          <t>物资名称 热轧航空用不锈圆钢;物资简称 圆钢;牌号 1Cr18Ni9Ti;直径 Φ30;技术标准号 GJB 2294A-2014;加工工艺 热轧;热处理工艺 ;特殊要求 ;规格标准号 GB/T 702-2008</t>
        </is>
      </c>
      <c r="F220" t="inlineStr">
        <is>
          <t>千克</t>
        </is>
      </c>
    </row>
    <row r="221">
      <c r="A221" t="inlineStr">
        <is>
          <t>100201</t>
        </is>
      </c>
      <c r="B221" t="inlineStr">
        <is>
          <t>圆钢</t>
        </is>
      </c>
      <c r="C221" t="inlineStr">
        <is>
          <t>602642300</t>
        </is>
      </c>
      <c r="D221" t="inlineStr">
        <is>
          <t>热轧航空用不锈圆钢|圆钢|1Cr18Ni9Ti|Φ50|GJB 2294A-2014|热轧|GB/T 702-2008</t>
        </is>
      </c>
      <c r="E221" t="inlineStr">
        <is>
          <t>物资名称 热轧航空用不锈圆钢;物资简称 圆钢;牌号 1Cr18Ni9Ti;直径 Φ50;技术标准号 GJB 2294A-2014;加工工艺 热轧;热处理工艺 ;特殊要求 ;规格标准号 GB/T 702-2008</t>
        </is>
      </c>
      <c r="F221" t="inlineStr">
        <is>
          <t>千克</t>
        </is>
      </c>
    </row>
    <row r="222">
      <c r="A222" t="inlineStr">
        <is>
          <t>100201</t>
        </is>
      </c>
      <c r="B222" t="inlineStr">
        <is>
          <t>圆钢</t>
        </is>
      </c>
      <c r="C222" t="inlineStr">
        <is>
          <t>602640500</t>
        </is>
      </c>
      <c r="D222" t="inlineStr">
        <is>
          <t>冷拉高碳铬轴承圆钢|圆钢|GCr15|Φ4.8|GB/T 18254-2002|冷拉</t>
        </is>
      </c>
      <c r="E222" t="inlineStr">
        <is>
          <t>物资名称 冷拉高碳铬轴承圆钢;物资简称 圆钢;牌号 GCr15;直径 Φ4.8;技术标准号 GB/T 18254-2002;加工工艺 冷拉;热处理工艺 ;特殊要求 ;规格标准号</t>
        </is>
      </c>
      <c r="F222" t="inlineStr">
        <is>
          <t>千克</t>
        </is>
      </c>
    </row>
    <row r="223">
      <c r="A223" t="inlineStr">
        <is>
          <t>100201</t>
        </is>
      </c>
      <c r="B223" t="inlineStr">
        <is>
          <t>圆钢</t>
        </is>
      </c>
      <c r="C223" t="inlineStr">
        <is>
          <t>602631700</t>
        </is>
      </c>
      <c r="D223" t="inlineStr">
        <is>
          <t>热轧优质碳素结构圆钢|圆钢|45|Φ6|GB/T 699-1999|热轧|GB/T 702-2008</t>
        </is>
      </c>
      <c r="E223" t="inlineStr">
        <is>
          <t>物资名称 热轧优质碳素结构圆钢;物资简称 圆钢;牌号 45;直径 Φ6;技术标准号 GB/T 699-1999;加工工艺 热轧;热处理工艺 ;特殊要求 ;规格标准号 GB/T 702-2008</t>
        </is>
      </c>
      <c r="F223" t="inlineStr">
        <is>
          <t>千克</t>
        </is>
      </c>
    </row>
    <row r="224">
      <c r="A224" t="inlineStr">
        <is>
          <t>100201</t>
        </is>
      </c>
      <c r="B224" t="inlineStr">
        <is>
          <t>圆钢</t>
        </is>
      </c>
      <c r="C224" t="inlineStr">
        <is>
          <t>602356800</t>
        </is>
      </c>
      <c r="D224" t="inlineStr">
        <is>
          <t>热轧合金结构圆钢|圆钢|45CrNiMoVA|Φ70|GB/T 3077-2015|热轧|GB/T 702-2017</t>
        </is>
      </c>
      <c r="E224" t="inlineStr">
        <is>
          <t>物资名称 热轧合金结构圆钢;物资简称 圆钢;牌号 45CrNiMoVA;直径 Φ70;技术标准号 GB/T 3077-2015;加工工艺 热轧;热处理工艺 ;特殊要求 ;规格标准号 GB/T 702-2017</t>
        </is>
      </c>
      <c r="F224" t="inlineStr">
        <is>
          <t>千克</t>
        </is>
      </c>
    </row>
    <row r="225">
      <c r="A225" t="inlineStr">
        <is>
          <t>100201</t>
        </is>
      </c>
      <c r="B225" t="inlineStr">
        <is>
          <t>圆钢</t>
        </is>
      </c>
      <c r="C225" t="inlineStr">
        <is>
          <t>602356700</t>
        </is>
      </c>
      <c r="D225" t="inlineStr">
        <is>
          <t>热轧不锈圆钢|圆钢|40Cr13|Φ12|GB/T 1220-2007|热轧|GB/T 702-2008</t>
        </is>
      </c>
      <c r="E225" t="inlineStr">
        <is>
          <t>物资名称 热轧不锈圆钢;物资简称 圆钢;牌号 40Cr13;直径 Φ12;技术标准号 GB/T 1220-2007;加工工艺 热轧;热处理工艺 ;特殊要求 ;规格标准号 GB/T 702-2008</t>
        </is>
      </c>
      <c r="F225" t="inlineStr">
        <is>
          <t>千克</t>
        </is>
      </c>
    </row>
    <row r="226">
      <c r="A226" t="inlineStr">
        <is>
          <t>100201</t>
        </is>
      </c>
      <c r="B226" t="inlineStr">
        <is>
          <t>圆钢</t>
        </is>
      </c>
      <c r="C226" t="inlineStr">
        <is>
          <t>602356600</t>
        </is>
      </c>
      <c r="D226" t="inlineStr">
        <is>
          <t>热轧合金结构圆钢|圆钢|45CrNiMoVA|Φ50|GB/T 3077-2015|热轧|GB/T 702-2017</t>
        </is>
      </c>
      <c r="E226" t="inlineStr">
        <is>
          <t>物资名称 热轧合金结构圆钢;物资简称 圆钢;牌号 45CrNiMoVA;直径 Φ50;技术标准号 GB/T 3077-2015;加工工艺 热轧;热处理工艺 ;特殊要求 ;规格标准号 GB/T 702-2017</t>
        </is>
      </c>
      <c r="F226" t="inlineStr">
        <is>
          <t>千克</t>
        </is>
      </c>
    </row>
    <row r="227">
      <c r="A227" t="inlineStr">
        <is>
          <t>100201</t>
        </is>
      </c>
      <c r="B227" t="inlineStr">
        <is>
          <t>圆钢</t>
        </is>
      </c>
      <c r="C227" t="inlineStr">
        <is>
          <t>602356500</t>
        </is>
      </c>
      <c r="D227" t="inlineStr">
        <is>
          <t>热轧合金结构圆钢|圆钢|45CrNiMoVA|Φ45|GB/T 3077-2015|热轧|GB/T 702-2017</t>
        </is>
      </c>
      <c r="E227" t="inlineStr">
        <is>
          <t>物资名称 热轧合金结构圆钢;物资简称 圆钢;牌号 45CrNiMoVA;直径 Φ45;技术标准号 GB/T 3077-2015;加工工艺 热轧;热处理工艺 ;特殊要求 ;规格标准号 GB/T 702-2017</t>
        </is>
      </c>
      <c r="F227" t="inlineStr">
        <is>
          <t>千克</t>
        </is>
      </c>
    </row>
    <row r="228">
      <c r="A228" t="inlineStr">
        <is>
          <t>100201</t>
        </is>
      </c>
      <c r="B228" t="inlineStr">
        <is>
          <t>圆钢</t>
        </is>
      </c>
      <c r="C228" t="inlineStr">
        <is>
          <t>602356400</t>
        </is>
      </c>
      <c r="D228" t="inlineStr">
        <is>
          <t>热轧优质碳素结构圆钢|圆钢|45|Φ8|GB/T 699-2015|热轧|GB/T 702-2017</t>
        </is>
      </c>
      <c r="E228" t="inlineStr">
        <is>
          <t>物资名称 热轧优质碳素结构圆钢;物资简称 圆钢;牌号 45;直径 Φ8;技术标准号 GB/T 699-2015;加工工艺 热轧;热处理工艺 ;特殊要求 ;规格标准号 GB/T 702-2017</t>
        </is>
      </c>
      <c r="F228" t="inlineStr">
        <is>
          <t>千克</t>
        </is>
      </c>
    </row>
    <row r="229">
      <c r="A229" t="inlineStr">
        <is>
          <t>100201</t>
        </is>
      </c>
      <c r="B229" t="inlineStr">
        <is>
          <t>圆钢</t>
        </is>
      </c>
      <c r="C229" t="inlineStr">
        <is>
          <t>602356300</t>
        </is>
      </c>
      <c r="D229" t="inlineStr">
        <is>
          <t>热轧优质碳素结构圆钢|圆钢|45|Φ265|GB/T 699-2015|热轧|GB/T 702-2008</t>
        </is>
      </c>
      <c r="E229" t="inlineStr">
        <is>
          <t>物资名称 热轧优质碳素结构圆钢;物资简称 圆钢;牌号 45;直径 Φ265;技术标准号 GB/T 699-2015;加工工艺 热轧;热处理工艺 ;特殊要求 ;规格标准号 GB/T 702-2008</t>
        </is>
      </c>
      <c r="F229" t="inlineStr">
        <is>
          <t>千克</t>
        </is>
      </c>
    </row>
    <row r="230">
      <c r="A230" t="inlineStr">
        <is>
          <t>100201</t>
        </is>
      </c>
      <c r="B230" t="inlineStr">
        <is>
          <t>圆钢</t>
        </is>
      </c>
      <c r="C230" t="inlineStr">
        <is>
          <t>602356200</t>
        </is>
      </c>
      <c r="D230" t="inlineStr">
        <is>
          <t>热轧合金结构圆钢|圆钢|30CrMnSiA|Φ14|GB/T 3077-2015|热轧|GB/T 702-2008</t>
        </is>
      </c>
      <c r="E230" t="inlineStr">
        <is>
          <t>物资名称 热轧合金结构圆钢;物资简称 圆钢;牌号 30CrMnSiA;直径 Φ14;技术标准号 GB/T 3077-2015;加工工艺 热轧;热处理工艺 ;特殊要求 ;规格标准号 GB/T 702-2008</t>
        </is>
      </c>
      <c r="F230" t="inlineStr">
        <is>
          <t>千克</t>
        </is>
      </c>
    </row>
    <row r="231">
      <c r="A231" t="inlineStr">
        <is>
          <t>100201</t>
        </is>
      </c>
      <c r="B231" t="inlineStr">
        <is>
          <t>圆钢</t>
        </is>
      </c>
      <c r="C231" t="inlineStr">
        <is>
          <t>602356100</t>
        </is>
      </c>
      <c r="D231" t="inlineStr">
        <is>
          <t>热轧优质碳素结构圆钢|圆钢|45|Φ205|GB/T 699-2015|热轧|GB/T 702-2008</t>
        </is>
      </c>
      <c r="E231" t="inlineStr">
        <is>
          <t>物资名称 热轧优质碳素结构圆钢;物资简称 圆钢;牌号 45;直径 Φ205;技术标准号 GB/T 699-2015;加工工艺 热轧;热处理工艺 ;特殊要求 ;规格标准号 GB/T 702-2008</t>
        </is>
      </c>
      <c r="F231" t="inlineStr">
        <is>
          <t>千克</t>
        </is>
      </c>
    </row>
    <row r="232">
      <c r="A232" t="inlineStr">
        <is>
          <t>100201</t>
        </is>
      </c>
      <c r="B232" t="inlineStr">
        <is>
          <t>圆钢</t>
        </is>
      </c>
      <c r="C232" t="inlineStr">
        <is>
          <t>602356000</t>
        </is>
      </c>
      <c r="D232" t="inlineStr">
        <is>
          <t>热轧航空用不锈圆钢|圆钢|1Cr18Ni9Ti|Φ27|GJB 2294-1995|热轧|GB/T 702-2008</t>
        </is>
      </c>
      <c r="E232" t="inlineStr">
        <is>
          <t>物资名称 热轧航空用不锈圆钢;物资简称 圆钢;牌号 1Cr18Ni9Ti;直径 Φ27;技术标准号 GJB 2294-1995;加工工艺 热轧;热处理工艺 ;特殊要求 ;规格标准号 GB/T 702-2008</t>
        </is>
      </c>
      <c r="F232" t="inlineStr">
        <is>
          <t>千克</t>
        </is>
      </c>
    </row>
    <row r="233">
      <c r="A233" t="inlineStr">
        <is>
          <t>100201</t>
        </is>
      </c>
      <c r="B233" t="inlineStr">
        <is>
          <t>圆钢</t>
        </is>
      </c>
      <c r="C233" t="inlineStr">
        <is>
          <t>602355100</t>
        </is>
      </c>
      <c r="D233" t="inlineStr">
        <is>
          <t>热轧航空用不锈圆钢|圆钢|1Cr18Ni9Ti|Φ75|GJB 2294-1995|热轧|GB/T 702-2008</t>
        </is>
      </c>
      <c r="E233" t="inlineStr">
        <is>
          <t>物资名称 热轧航空用不锈圆钢;物资简称 圆钢;牌号 1Cr18Ni9Ti;直径 Φ75;技术标准号 GJB 2294-1995;加工工艺 热轧;热处理工艺 ;特殊要求 ;规格标准号 GB/T 702-2008</t>
        </is>
      </c>
      <c r="F233" t="inlineStr">
        <is>
          <t>千克</t>
        </is>
      </c>
    </row>
    <row r="234">
      <c r="A234" t="inlineStr">
        <is>
          <t>100201</t>
        </is>
      </c>
      <c r="B234" t="inlineStr">
        <is>
          <t>圆钢</t>
        </is>
      </c>
      <c r="C234" t="inlineStr">
        <is>
          <t>602353200</t>
        </is>
      </c>
      <c r="D234" t="inlineStr">
        <is>
          <t>锻制航空航天用超高强度圆钢|圆钢|45CrNiMo1VA|Φ75|GJB 5063-2001|锻制|GB/T 908-2008</t>
        </is>
      </c>
      <c r="E234" t="inlineStr">
        <is>
          <t>物资名称 锻制航空航天用超高强度圆钢;物资简称 圆钢;牌号 45CrNiMo1VA;直径 Φ75;技术标准号 GJB 5063-2001;加工工艺 锻制;热处理工艺 ;特殊要求 ;规格标准号 GB/T 908-2008</t>
        </is>
      </c>
      <c r="F234" t="inlineStr">
        <is>
          <t>千克</t>
        </is>
      </c>
    </row>
    <row r="235">
      <c r="A235" t="inlineStr">
        <is>
          <t>100201</t>
        </is>
      </c>
      <c r="B235" t="inlineStr">
        <is>
          <t>圆钢</t>
        </is>
      </c>
      <c r="C235" t="inlineStr">
        <is>
          <t>602346100</t>
        </is>
      </c>
      <c r="D235" t="inlineStr">
        <is>
          <t>冷拉优质碳素结构圆钢|圆钢|45|Φ250|GB/T 3078-2008|冷拉|GB/T 905-1994</t>
        </is>
      </c>
      <c r="E235" t="inlineStr">
        <is>
          <t>物资名称 冷拉优质碳素结构圆钢;物资简称 圆钢;牌号 45;直径 Φ250;技术标准号 GB/T 3078-2008;加工工艺 冷拉;热处理工艺 ;特殊要求 ;规格标准号 GB/T 905-1994</t>
        </is>
      </c>
      <c r="F235" t="inlineStr">
        <is>
          <t>千克</t>
        </is>
      </c>
    </row>
    <row r="236">
      <c r="A236" t="inlineStr">
        <is>
          <t>100201</t>
        </is>
      </c>
      <c r="B236" t="inlineStr">
        <is>
          <t>圆钢</t>
        </is>
      </c>
      <c r="C236" t="inlineStr">
        <is>
          <t>602346000</t>
        </is>
      </c>
      <c r="D236" t="inlineStr">
        <is>
          <t>冷拉优质碳素结构圆钢|圆钢|45|Φ260|GB/T 3078-2008|冷拉|GB/T 905-1994</t>
        </is>
      </c>
      <c r="E236" t="inlineStr">
        <is>
          <t>物资名称 冷拉优质碳素结构圆钢;物资简称 圆钢;牌号 45;直径 Φ260;技术标准号 GB/T 3078-2008;加工工艺 冷拉;热处理工艺 ;特殊要求 ;规格标准号 GB/T 905-1994</t>
        </is>
      </c>
      <c r="F236" t="inlineStr">
        <is>
          <t>千克</t>
        </is>
      </c>
    </row>
    <row r="237">
      <c r="A237" t="inlineStr">
        <is>
          <t>100201</t>
        </is>
      </c>
      <c r="B237" t="inlineStr">
        <is>
          <t>圆钢</t>
        </is>
      </c>
      <c r="C237" t="inlineStr">
        <is>
          <t>602331600</t>
        </is>
      </c>
      <c r="D237" t="inlineStr">
        <is>
          <t>热轧优质碳素结构圆钢|圆钢|45|Φ60|GB/T 699-1999|热轧|GB/T 702-2008</t>
        </is>
      </c>
      <c r="E237" t="inlineStr">
        <is>
          <t>物资名称 热轧优质碳素结构圆钢;物资简称 圆钢;牌号 45;直径 Φ60;技术标准号 GB/T 699-1999;加工工艺 热轧;热处理工艺 ;特殊要求 ;规格标准号 GB/T 702-2008</t>
        </is>
      </c>
      <c r="F237" t="inlineStr">
        <is>
          <t>千克</t>
        </is>
      </c>
    </row>
    <row r="238">
      <c r="A238" t="inlineStr">
        <is>
          <t>100201</t>
        </is>
      </c>
      <c r="B238" t="inlineStr">
        <is>
          <t>圆钢</t>
        </is>
      </c>
      <c r="C238" t="inlineStr">
        <is>
          <t>602305400</t>
        </is>
      </c>
      <c r="D238" t="inlineStr">
        <is>
          <t>热轧耐热圆钢|圆钢|06Cr19Ni10|Φ5|GB/T 1221-2007|热轧|GB/T 702-2004</t>
        </is>
      </c>
      <c r="E238" t="inlineStr">
        <is>
          <t>物资名称 热轧耐热圆钢;物资简称 圆钢;牌号 06Cr19Ni10;直径 Φ5;技术标准号 GB/T 1221-2007;加工工艺 热轧;热处理工艺 ;特殊要求 ;规格标准号 GB/T 702-2004</t>
        </is>
      </c>
      <c r="F238" t="inlineStr">
        <is>
          <t>千克</t>
        </is>
      </c>
    </row>
    <row r="239">
      <c r="A239" t="inlineStr">
        <is>
          <t>100201</t>
        </is>
      </c>
      <c r="B239" t="inlineStr">
        <is>
          <t>圆钢</t>
        </is>
      </c>
      <c r="C239" t="inlineStr">
        <is>
          <t>602294600</t>
        </is>
      </c>
      <c r="D239" t="inlineStr">
        <is>
          <t>热轧航空用不锈圆钢|圆钢|1Cr18Ni9Ti|Φ25|GJB 2294A-2014|热轧|GB/T 702-2008</t>
        </is>
      </c>
      <c r="E239" t="inlineStr">
        <is>
          <t>物资名称 热轧航空用不锈圆钢;物资简称 圆钢;牌号 1Cr18Ni9Ti;直径 Φ25;技术标准号 GJB 2294A-2014;加工工艺 热轧;热处理工艺 ;特殊要求 ;规格标准号 GB/T 702-2008</t>
        </is>
      </c>
      <c r="F239" t="inlineStr">
        <is>
          <t>千克</t>
        </is>
      </c>
    </row>
    <row r="240">
      <c r="A240" t="inlineStr">
        <is>
          <t>100201</t>
        </is>
      </c>
      <c r="B240" t="inlineStr">
        <is>
          <t>圆钢</t>
        </is>
      </c>
      <c r="C240" t="inlineStr">
        <is>
          <t>602294500</t>
        </is>
      </c>
      <c r="D240" t="inlineStr">
        <is>
          <t>热轧航空用不锈圆钢|圆钢|1Cr18Ni9Ti|Φ40|GJB 2294A-2014|热轧|GB/T 702-2008</t>
        </is>
      </c>
      <c r="E240" t="inlineStr">
        <is>
          <t>物资名称 热轧航空用不锈圆钢;物资简称 圆钢;牌号 1Cr18Ni9Ti;直径 Φ40;技术标准号 GJB 2294A-2014;加工工艺 热轧;热处理工艺 ;特殊要求 ;规格标准号 GB/T 702-2008</t>
        </is>
      </c>
      <c r="F240" t="inlineStr">
        <is>
          <t>千克</t>
        </is>
      </c>
    </row>
    <row r="241">
      <c r="A241" t="inlineStr">
        <is>
          <t>100201</t>
        </is>
      </c>
      <c r="B241" t="inlineStr">
        <is>
          <t>圆钢</t>
        </is>
      </c>
      <c r="C241" t="inlineStr">
        <is>
          <t>602291000</t>
        </is>
      </c>
      <c r="D241" t="inlineStr">
        <is>
          <t>航空用优质结构圆钢|圆钢|38CrMoAlA|GJB 1951A-2020</t>
        </is>
      </c>
      <c r="E241" t="inlineStr">
        <is>
          <t xml:space="preserve">物资名称 航空用优质结构圆钢;物资简称 圆钢;牌号 38CrMoAlA;直径 Φ;技术标准号 GJB 1951A-2020;加工工艺 ;热处理工艺 ;特殊要求 ;规格标准号 </t>
        </is>
      </c>
      <c r="F241" t="inlineStr">
        <is>
          <t>千克</t>
        </is>
      </c>
    </row>
    <row r="242">
      <c r="A242" t="inlineStr">
        <is>
          <t>100201</t>
        </is>
      </c>
      <c r="B242" t="inlineStr">
        <is>
          <t>圆钢</t>
        </is>
      </c>
      <c r="C242" t="inlineStr">
        <is>
          <t>602289700</t>
        </is>
      </c>
      <c r="D242" t="inlineStr">
        <is>
          <t>热轧合金结构圆钢|圆钢|40Cr|GB/T 3077-2015|热轧|GB/T 702-2008</t>
        </is>
      </c>
      <c r="E242" t="inlineStr">
        <is>
          <t>物资名称 热轧合金结构圆钢;物资简称 圆钢;牌号 40Cr;直径 Φ;技术标准号 GB/T 3077-2015;加工工艺 热轧;热处理工艺 ;特殊要求 ;规格标准号 GB/T 702-2008</t>
        </is>
      </c>
      <c r="F242" t="inlineStr">
        <is>
          <t>千克</t>
        </is>
      </c>
    </row>
    <row r="243">
      <c r="A243" t="inlineStr">
        <is>
          <t>100201</t>
        </is>
      </c>
      <c r="B243" t="inlineStr">
        <is>
          <t>圆钢</t>
        </is>
      </c>
      <c r="C243" t="inlineStr">
        <is>
          <t>602289600</t>
        </is>
      </c>
      <c r="D243" t="inlineStr">
        <is>
          <t>热轧航空用不锈圆钢|圆钢|1Cr18Ni9Ti|GJB 2294A-2014|热轧</t>
        </is>
      </c>
      <c r="E243" t="inlineStr">
        <is>
          <t xml:space="preserve">物资名称 热轧航空用不锈圆钢;物资简称 圆钢;牌号 1Cr18Ni9Ti;直径 Φ;技术标准号 GJB 2294A-2014;加工工艺 热轧;热处理工艺 ;特殊要求 ;规格标准号 </t>
        </is>
      </c>
      <c r="F243" t="inlineStr">
        <is>
          <t>千克</t>
        </is>
      </c>
    </row>
    <row r="244">
      <c r="A244" t="inlineStr">
        <is>
          <t>100201</t>
        </is>
      </c>
      <c r="B244" t="inlineStr">
        <is>
          <t>圆钢</t>
        </is>
      </c>
      <c r="C244" t="inlineStr">
        <is>
          <t>602288400</t>
        </is>
      </c>
      <c r="D244" t="inlineStr">
        <is>
          <t>热轧合金结构圆钢|圆钢|40Cr|Φ52|GB/T 3077-2015|热轧|GB/T 702-2008</t>
        </is>
      </c>
      <c r="E244" t="inlineStr">
        <is>
          <t>物资名称 热轧合金结构圆钢;物资简称 圆钢;牌号 40Cr;直径 Φ52;技术标准号 GB/T 3077-2015;加工工艺 热轧;热处理工艺 ;特殊要求 ;规格标准号 GB/T 702-2008</t>
        </is>
      </c>
      <c r="F244" t="inlineStr">
        <is>
          <t>千克</t>
        </is>
      </c>
    </row>
    <row r="245">
      <c r="A245" t="inlineStr">
        <is>
          <t>100201</t>
        </is>
      </c>
      <c r="B245" t="inlineStr">
        <is>
          <t>圆钢</t>
        </is>
      </c>
      <c r="C245" t="inlineStr">
        <is>
          <t>602288300</t>
        </is>
      </c>
      <c r="D245" t="inlineStr">
        <is>
          <t>热轧航空用不锈圆钢|圆钢|1Cr18Ni9Ti|Φ68|GJB 2294A-2014|热轧|GB/T 702-2008</t>
        </is>
      </c>
      <c r="E245" t="inlineStr">
        <is>
          <t>物资名称 热轧航空用不锈圆钢;物资简称 圆钢;牌号 1Cr18Ni9Ti;直径 Φ68;技术标准号 GJB 2294A-2014;加工工艺 热轧;热处理工艺 ;特殊要求 ;规格标准号 GB/T 702-2008</t>
        </is>
      </c>
      <c r="F245" t="inlineStr">
        <is>
          <t>千克</t>
        </is>
      </c>
    </row>
    <row r="246">
      <c r="A246" t="inlineStr">
        <is>
          <t>100201</t>
        </is>
      </c>
      <c r="B246" t="inlineStr">
        <is>
          <t>圆钢</t>
        </is>
      </c>
      <c r="C246" t="inlineStr">
        <is>
          <t>602284900</t>
        </is>
      </c>
      <c r="D246" t="inlineStr">
        <is>
          <t>热轧不锈圆钢|圆钢|20Cr13|Φ85|GB/T 1220-2007|热轧|GB/T 702-2008</t>
        </is>
      </c>
      <c r="E246" t="inlineStr">
        <is>
          <t>物资名称 热轧不锈圆钢;物资简称 圆钢;牌号 20Cr13;直径 Φ85;技术标准号 GB/T 1220-2007;加工工艺 热轧;热处理工艺 ;特殊要求 ;规格标准号 GB/T 702-2008</t>
        </is>
      </c>
      <c r="F246" t="inlineStr">
        <is>
          <t>千克</t>
        </is>
      </c>
    </row>
    <row r="247">
      <c r="A247" t="inlineStr">
        <is>
          <t>100201</t>
        </is>
      </c>
      <c r="B247" t="inlineStr">
        <is>
          <t>圆钢</t>
        </is>
      </c>
      <c r="C247" t="inlineStr">
        <is>
          <t>602284800</t>
        </is>
      </c>
      <c r="D247" t="inlineStr">
        <is>
          <t>热轧不锈圆钢|圆钢|1Cr18Ni9Ti|Φ65|GB/T 1220-1992|热轧|GB/T 702-2008</t>
        </is>
      </c>
      <c r="E247" t="inlineStr">
        <is>
          <t>物资名称 热轧不锈圆钢;物资简称 圆钢;牌号 1Cr18Ni9Ti;直径 Φ65;技术标准号 GB/T 1220-1992;加工工艺 热轧;热处理工艺 ;特殊要求 ;规格标准号 GB/T 702-2008</t>
        </is>
      </c>
      <c r="F247" t="inlineStr">
        <is>
          <t>千克</t>
        </is>
      </c>
    </row>
    <row r="248">
      <c r="A248" t="inlineStr">
        <is>
          <t>100201</t>
        </is>
      </c>
      <c r="B248" t="inlineStr">
        <is>
          <t>圆钢</t>
        </is>
      </c>
      <c r="C248" t="inlineStr">
        <is>
          <t>602284700</t>
        </is>
      </c>
      <c r="D248" t="inlineStr">
        <is>
          <t>热轧航空用不锈圆钢|圆钢|1Cr18Ni9Ti|Φ160|GJB 2294A-2014|热轧|GB/T 702-2008</t>
        </is>
      </c>
      <c r="E248" t="inlineStr">
        <is>
          <t>物资名称 热轧航空用不锈圆钢;物资简称 圆钢;牌号 1Cr18Ni9Ti;直径 Φ160;技术标准号 GJB 2294A-2014;加工工艺 热轧;热处理工艺 ;特殊要求 ;规格标准号 GB/T 702-2008</t>
        </is>
      </c>
      <c r="F248" t="inlineStr">
        <is>
          <t>千克</t>
        </is>
      </c>
    </row>
    <row r="249">
      <c r="A249" t="inlineStr">
        <is>
          <t>100201</t>
        </is>
      </c>
      <c r="B249" t="inlineStr">
        <is>
          <t>圆钢</t>
        </is>
      </c>
      <c r="C249" t="inlineStr">
        <is>
          <t>602284600</t>
        </is>
      </c>
      <c r="D249" t="inlineStr">
        <is>
          <t>热轧航空用不锈圆钢|圆钢|1Cr18Ni9Ti|Φ60|GJB 2294A-2014|热轧|GB/T 702-2008</t>
        </is>
      </c>
      <c r="E249" t="inlineStr">
        <is>
          <t>物资名称 热轧航空用不锈圆钢;物资简称 圆钢;牌号 1Cr18Ni9Ti;直径 Φ60;技术标准号 GJB 2294A-2014;加工工艺 热轧;热处理工艺 ;特殊要求 ;规格标准号 GB/T 702-2008</t>
        </is>
      </c>
      <c r="F249" t="inlineStr">
        <is>
          <t>千克</t>
        </is>
      </c>
    </row>
    <row r="250">
      <c r="A250" t="inlineStr">
        <is>
          <t>100201</t>
        </is>
      </c>
      <c r="B250" t="inlineStr">
        <is>
          <t>圆钢</t>
        </is>
      </c>
      <c r="C250" t="inlineStr">
        <is>
          <t>602284500</t>
        </is>
      </c>
      <c r="D250" t="inlineStr">
        <is>
          <t>热轧航空用不锈圆钢|圆钢|1Cr18Ni9Ti|Φ70|GJB 2294A-2014|热轧|GB/T 702-2008</t>
        </is>
      </c>
      <c r="E250" t="inlineStr">
        <is>
          <t>物资名称 热轧航空用不锈圆钢;物资简称 圆钢;牌号 1Cr18Ni9Ti;直径 Φ70;技术标准号 GJB 2294A-2014;加工工艺 热轧;热处理工艺 ;特殊要求 ;规格标准号 GB/T 702-2008</t>
        </is>
      </c>
      <c r="F250" t="inlineStr">
        <is>
          <t>千克</t>
        </is>
      </c>
    </row>
    <row r="251">
      <c r="A251" t="inlineStr">
        <is>
          <t>100201</t>
        </is>
      </c>
      <c r="B251" t="inlineStr">
        <is>
          <t>圆钢</t>
        </is>
      </c>
      <c r="C251" t="inlineStr">
        <is>
          <t>602284400</t>
        </is>
      </c>
      <c r="D251" t="inlineStr">
        <is>
          <t>热轧航空用不锈圆钢|圆钢|1Cr18Ni9Ti|Φ28|GJB 2294A-2014|热轧|GB/T 702-2008</t>
        </is>
      </c>
      <c r="E251" t="inlineStr">
        <is>
          <t>物资名称 热轧航空用不锈圆钢;物资简称 圆钢;牌号 1Cr18Ni9Ti;直径 Φ28;技术标准号 GJB 2294A-2014;加工工艺 热轧;热处理工艺 ;特殊要求 ;规格标准号 GB/T 702-2008</t>
        </is>
      </c>
      <c r="F251" t="inlineStr">
        <is>
          <t>千克</t>
        </is>
      </c>
    </row>
    <row r="252">
      <c r="A252" t="inlineStr">
        <is>
          <t>100201</t>
        </is>
      </c>
      <c r="B252" t="inlineStr">
        <is>
          <t>圆钢</t>
        </is>
      </c>
      <c r="C252" t="inlineStr">
        <is>
          <t>602284300</t>
        </is>
      </c>
      <c r="D252" t="inlineStr">
        <is>
          <t>热轧航空用不锈圆钢|圆钢|1Cr18Ni9Ti|Φ52|GJB 2294A-2014|热轧|GB/T 702-2008</t>
        </is>
      </c>
      <c r="E252" t="inlineStr">
        <is>
          <t>物资名称 热轧航空用不锈圆钢;物资简称 圆钢;牌号 1Cr18Ni9Ti;直径 Φ52;技术标准号 GJB 2294A-2014;加工工艺 热轧;热处理工艺 ;特殊要求 ;规格标准号 GB/T 702-2008</t>
        </is>
      </c>
      <c r="F252" t="inlineStr">
        <is>
          <t>千克</t>
        </is>
      </c>
    </row>
    <row r="253">
      <c r="A253" t="inlineStr">
        <is>
          <t>100201</t>
        </is>
      </c>
      <c r="B253" t="inlineStr">
        <is>
          <t>圆钢</t>
        </is>
      </c>
      <c r="C253" t="inlineStr">
        <is>
          <t>602284200</t>
        </is>
      </c>
      <c r="D253" t="inlineStr">
        <is>
          <t>热轧航空用不锈圆钢|圆钢|1Cr18Ni9Ti|Φ62|GJB 2294A-2014|热轧|GB/T 702-2008</t>
        </is>
      </c>
      <c r="E253" t="inlineStr">
        <is>
          <t>物资名称 热轧航空用不锈圆钢;物资简称 圆钢;牌号 1Cr18Ni9Ti;直径 Φ62;技术标准号 GJB 2294A-2014;加工工艺 热轧;热处理工艺 ;特殊要求 ;规格标准号 GB/T 702-2008</t>
        </is>
      </c>
      <c r="F253" t="inlineStr">
        <is>
          <t>千克</t>
        </is>
      </c>
    </row>
    <row r="254">
      <c r="A254" t="inlineStr">
        <is>
          <t>100201</t>
        </is>
      </c>
      <c r="B254" t="inlineStr">
        <is>
          <t>圆钢</t>
        </is>
      </c>
      <c r="C254" t="inlineStr">
        <is>
          <t>602284100</t>
        </is>
      </c>
      <c r="D254" t="inlineStr">
        <is>
          <t>热轧航空用不锈圆钢|圆钢|1Cr18Ni9Ti|Φ85|GJB 2294A-2014|热轧|GB/T 702-2008</t>
        </is>
      </c>
      <c r="E254" t="inlineStr">
        <is>
          <t>物资名称 热轧航空用不锈圆钢;物资简称 圆钢;牌号 1Cr18Ni9Ti;直径 Φ85;技术标准号 GJB 2294A-2014;加工工艺 热轧;热处理工艺 ;特殊要求 ;规格标准号 GB/T 702-2008</t>
        </is>
      </c>
      <c r="F254" t="inlineStr">
        <is>
          <t>千克</t>
        </is>
      </c>
    </row>
    <row r="255">
      <c r="A255" t="inlineStr">
        <is>
          <t>100201</t>
        </is>
      </c>
      <c r="B255" t="inlineStr">
        <is>
          <t>圆钢</t>
        </is>
      </c>
      <c r="C255" t="inlineStr">
        <is>
          <t>602284000</t>
        </is>
      </c>
      <c r="D255" t="inlineStr">
        <is>
          <t>热轧航空用不锈圆钢|圆钢|1Cr18Ni9Ti|Φ65|GJB 2294A-2014|热轧|GB/T 702-2008</t>
        </is>
      </c>
      <c r="E255" t="inlineStr">
        <is>
          <t>物资名称 热轧航空用不锈圆钢;物资简称 圆钢;牌号 1Cr18Ni9Ti;直径 Φ65;技术标准号 GJB 2294A-2014;加工工艺 热轧;热处理工艺 ;特殊要求 ;规格标准号 GB/T 702-2008</t>
        </is>
      </c>
      <c r="F255" t="inlineStr">
        <is>
          <t>千克</t>
        </is>
      </c>
    </row>
    <row r="256">
      <c r="A256" t="inlineStr">
        <is>
          <t>100201</t>
        </is>
      </c>
      <c r="B256" t="inlineStr">
        <is>
          <t>圆钢</t>
        </is>
      </c>
      <c r="C256" t="inlineStr">
        <is>
          <t>602283900</t>
        </is>
      </c>
      <c r="D256" t="inlineStr">
        <is>
          <t>热轧航空用不锈圆钢|圆钢|1Cr18Ni9Ti|Φ35|GJB 2294A-2014|热轧|GB/T 702-2008</t>
        </is>
      </c>
      <c r="E256" t="inlineStr">
        <is>
          <t>物资名称 热轧航空用不锈圆钢;物资简称 圆钢;牌号 1Cr18Ni9Ti;直径 Φ35;技术标准号 GJB 2294A-2014;加工工艺 热轧;热处理工艺 ;特殊要求 ;规格标准号 GB/T 702-2008</t>
        </is>
      </c>
      <c r="F256" t="inlineStr">
        <is>
          <t>千克</t>
        </is>
      </c>
    </row>
    <row r="257">
      <c r="A257" t="inlineStr">
        <is>
          <t>100201</t>
        </is>
      </c>
      <c r="B257" t="inlineStr">
        <is>
          <t>圆钢</t>
        </is>
      </c>
      <c r="C257" t="inlineStr">
        <is>
          <t>602283800</t>
        </is>
      </c>
      <c r="D257" t="inlineStr">
        <is>
          <t>热轧航空用不锈圆钢|圆钢|1Cr18Ni9Ti|Φ58|GJB 2294A-2014|热轧|GB/T 702-2008</t>
        </is>
      </c>
      <c r="E257" t="inlineStr">
        <is>
          <t>物资名称 热轧航空用不锈圆钢;物资简称 圆钢;牌号 1Cr18Ni9Ti;直径 Φ58;技术标准号 GJB 2294A-2014;加工工艺 热轧;热处理工艺 ;特殊要求 ;规格标准号 GB/T 702-2008</t>
        </is>
      </c>
      <c r="F257" t="inlineStr">
        <is>
          <t>千克</t>
        </is>
      </c>
    </row>
    <row r="258">
      <c r="A258" t="inlineStr">
        <is>
          <t>100201</t>
        </is>
      </c>
      <c r="B258" t="inlineStr">
        <is>
          <t>圆钢</t>
        </is>
      </c>
      <c r="C258" t="inlineStr">
        <is>
          <t>602283700</t>
        </is>
      </c>
      <c r="D258" t="inlineStr">
        <is>
          <t>热轧航空用不锈圆钢|圆钢|1Cr18Ni9Ti|Φ10|GJB 2294A-2014|热轧|GB/T 702-2008</t>
        </is>
      </c>
      <c r="E258" t="inlineStr">
        <is>
          <t>物资名称 热轧航空用不锈圆钢;物资简称 圆钢;牌号 1Cr18Ni9Ti;直径 Φ10;技术标准号 GJB 2294A-2014;加工工艺 热轧;热处理工艺 ;特殊要求 ;规格标准号 GB/T 702-2008</t>
        </is>
      </c>
      <c r="F258" t="inlineStr">
        <is>
          <t>千克</t>
        </is>
      </c>
    </row>
    <row r="259">
      <c r="A259" t="inlineStr">
        <is>
          <t>100201</t>
        </is>
      </c>
      <c r="B259" t="inlineStr">
        <is>
          <t>圆钢</t>
        </is>
      </c>
      <c r="C259" t="inlineStr">
        <is>
          <t>602283600</t>
        </is>
      </c>
      <c r="D259" t="inlineStr">
        <is>
          <t>热轧航空用不锈圆钢|圆钢|1Cr18Ni9Ti|Φ90|GJB 2294A-2014|热轧|GB/T 702-2008</t>
        </is>
      </c>
      <c r="E259" t="inlineStr">
        <is>
          <t>物资名称 热轧航空用不锈圆钢;物资简称 圆钢;牌号 1Cr18Ni9Ti;直径 Φ90;技术标准号 GJB 2294A-2014;加工工艺 热轧;热处理工艺 ;特殊要求 ;规格标准号 GB/T 702-2008</t>
        </is>
      </c>
      <c r="F259" t="inlineStr">
        <is>
          <t>千克</t>
        </is>
      </c>
    </row>
    <row r="260">
      <c r="A260" t="inlineStr">
        <is>
          <t>100201</t>
        </is>
      </c>
      <c r="B260" t="inlineStr">
        <is>
          <t>圆钢</t>
        </is>
      </c>
      <c r="C260" t="inlineStr">
        <is>
          <t>602283500</t>
        </is>
      </c>
      <c r="D260" t="inlineStr">
        <is>
          <t>热轧航空用不锈圆钢|圆钢|1Cr18Ni9Ti|Φ105|GJB 2294A-2014|热轧|GB/T 702-2008</t>
        </is>
      </c>
      <c r="E260" t="inlineStr">
        <is>
          <t>物资名称 热轧航空用不锈圆钢;物资简称 圆钢;牌号 1Cr18Ni9Ti;直径 Φ105;技术标准号 GJB 2294A-2014;加工工艺 热轧;热处理工艺 ;特殊要求 ;规格标准号 GB/T 702-2008</t>
        </is>
      </c>
      <c r="F260" t="inlineStr">
        <is>
          <t>千克</t>
        </is>
      </c>
    </row>
    <row r="261">
      <c r="A261" t="inlineStr">
        <is>
          <t>100201</t>
        </is>
      </c>
      <c r="B261" t="inlineStr">
        <is>
          <t>圆钢</t>
        </is>
      </c>
      <c r="C261" t="inlineStr">
        <is>
          <t>602279000</t>
        </is>
      </c>
      <c r="D261" t="inlineStr">
        <is>
          <t>热轧优质碳素结构圆钢|圆钢|45|Φ205|GB/T 699-1999|热轧|GB/T 702-2008</t>
        </is>
      </c>
      <c r="E261" t="inlineStr">
        <is>
          <t>物资名称 热轧优质碳素结构圆钢;物资简称 圆钢;牌号 45;直径 Φ205;技术标准号 GB/T 699-1999;加工工艺 热轧;热处理工艺 ;特殊要求 ;规格标准号 GB/T 702-2008</t>
        </is>
      </c>
      <c r="F261" t="inlineStr">
        <is>
          <t>千克</t>
        </is>
      </c>
    </row>
    <row r="262">
      <c r="A262" t="inlineStr">
        <is>
          <t>100201</t>
        </is>
      </c>
      <c r="B262" t="inlineStr">
        <is>
          <t>圆钢</t>
        </is>
      </c>
      <c r="C262" t="inlineStr">
        <is>
          <t>602278900</t>
        </is>
      </c>
      <c r="D262" t="inlineStr">
        <is>
          <t>热轧航空用不锈圆钢|圆钢|1Cr18Ni9Ti|Φ135|GJB 2294-1995|热轧|GB/T 702-2008</t>
        </is>
      </c>
      <c r="E262" t="inlineStr">
        <is>
          <t>物资名称 热轧航空用不锈圆钢;物资简称 圆钢;牌号 1Cr18Ni9Ti;直径 Φ135;技术标准号 GJB 2294-1995;加工工艺 热轧;热处理工艺 ;特殊要求 ;规格标准号 GB/T 702-2008</t>
        </is>
      </c>
      <c r="F262" t="inlineStr">
        <is>
          <t>千克</t>
        </is>
      </c>
    </row>
    <row r="263">
      <c r="A263" t="inlineStr">
        <is>
          <t>100201</t>
        </is>
      </c>
      <c r="B263" t="inlineStr">
        <is>
          <t>圆钢</t>
        </is>
      </c>
      <c r="C263" t="inlineStr">
        <is>
          <t>602268400</t>
        </is>
      </c>
      <c r="D263" t="inlineStr">
        <is>
          <t>热轧不锈圆钢|圆钢|40Cr13|Φ18|GB/T 1220-2007|热轧|GB/T 702-2008</t>
        </is>
      </c>
      <c r="E263" t="inlineStr">
        <is>
          <t>物资名称 热轧不锈圆钢;物资简称 圆钢;牌号 40Cr13;直径 Φ18;技术标准号 GB/T 1220-2007;加工工艺 热轧;热处理工艺 ;特殊要求 ;规格标准号 GB/T 702-2008</t>
        </is>
      </c>
      <c r="F263" t="inlineStr">
        <is>
          <t>千克</t>
        </is>
      </c>
    </row>
    <row r="264">
      <c r="A264" t="inlineStr">
        <is>
          <t>100201</t>
        </is>
      </c>
      <c r="B264" t="inlineStr">
        <is>
          <t>圆钢</t>
        </is>
      </c>
      <c r="C264" t="inlineStr">
        <is>
          <t>602208900</t>
        </is>
      </c>
      <c r="D264" t="inlineStr">
        <is>
          <t>航空用优质结构圆钢|圆钢|38CrMoAlA|Φ40|GJB 1951A-2020|GB/T 702-2008</t>
        </is>
      </c>
      <c r="E264" t="inlineStr">
        <is>
          <t>物资名称 航空用优质结构圆钢;物资简称 圆钢;牌号 38CrMoAlA;直径 Φ40;技术标准号 GJB 1951A-2020;加工工艺 ;热处理工艺 ;特殊要求 ;规格标准号 GB/T 702-2008</t>
        </is>
      </c>
      <c r="F264" t="inlineStr">
        <is>
          <t>千克</t>
        </is>
      </c>
    </row>
    <row r="265">
      <c r="A265" t="inlineStr">
        <is>
          <t>100201</t>
        </is>
      </c>
      <c r="B265" t="inlineStr">
        <is>
          <t>圆钢</t>
        </is>
      </c>
      <c r="C265" t="inlineStr">
        <is>
          <t>602208800</t>
        </is>
      </c>
      <c r="D265" t="inlineStr">
        <is>
          <t>航空用优质结构圆钢|圆钢|38CrMoAlA|Φ100|GJB 1951A-2020|GB/T 702-2008</t>
        </is>
      </c>
      <c r="E265" t="inlineStr">
        <is>
          <t>物资名称 航空用优质结构圆钢;物资简称 圆钢;牌号 38CrMoAlA;直径 Φ100;技术标准号 GJB 1951A-2020;加工工艺 ;热处理工艺 ;特殊要求 ;规格标准号 GB/T 702-2008</t>
        </is>
      </c>
      <c r="F265" t="inlineStr">
        <is>
          <t>千克</t>
        </is>
      </c>
    </row>
    <row r="266">
      <c r="A266" t="inlineStr">
        <is>
          <t>100201</t>
        </is>
      </c>
      <c r="B266" t="inlineStr">
        <is>
          <t>圆钢</t>
        </is>
      </c>
      <c r="C266" t="inlineStr">
        <is>
          <t>602188900</t>
        </is>
      </c>
      <c r="D266" t="inlineStr">
        <is>
          <t>热轧不锈圆钢|圆钢|06Cr19Ni10|Φ50|GB/T 1220-2007|热轧|GB/T 702-2008</t>
        </is>
      </c>
      <c r="E266" t="inlineStr">
        <is>
          <t>物资名称 热轧不锈圆钢;物资简称 圆钢;牌号 06Cr19Ni10;直径 Φ50;技术标准号 GB/T 1220-2007;加工工艺 热轧;热处理工艺 ;特殊要求 ;规格标准号 GB/T 702-2008</t>
        </is>
      </c>
      <c r="F266" t="inlineStr">
        <is>
          <t>千克</t>
        </is>
      </c>
    </row>
    <row r="267">
      <c r="A267" t="inlineStr">
        <is>
          <t>100201</t>
        </is>
      </c>
      <c r="B267" t="inlineStr">
        <is>
          <t>圆钢</t>
        </is>
      </c>
      <c r="C267" t="inlineStr">
        <is>
          <t>602188800</t>
        </is>
      </c>
      <c r="D267" t="inlineStr">
        <is>
          <t>热轧不锈圆钢|圆钢|06Cr19Ni10|Φ70|GB/T 1220-2007|热轧|GB/T 702-2008</t>
        </is>
      </c>
      <c r="E267" t="inlineStr">
        <is>
          <t>物资名称 热轧不锈圆钢;物资简称 圆钢;牌号 06Cr19Ni10;直径 Φ70;技术标准号 GB/T 1220-2007;加工工艺 热轧;热处理工艺 ;特殊要求 ;规格标准号 GB/T 702-2008</t>
        </is>
      </c>
      <c r="F267" t="inlineStr">
        <is>
          <t>千克</t>
        </is>
      </c>
    </row>
    <row r="268">
      <c r="A268" t="inlineStr">
        <is>
          <t>100201</t>
        </is>
      </c>
      <c r="B268" t="inlineStr">
        <is>
          <t>圆钢</t>
        </is>
      </c>
      <c r="C268" t="inlineStr">
        <is>
          <t>602188700</t>
        </is>
      </c>
      <c r="D268" t="inlineStr">
        <is>
          <t>热轧不锈圆钢|圆钢|06Cr19Ni10|Φ280|GB/T 1220-2007|热轧|GB/T 702-2008</t>
        </is>
      </c>
      <c r="E268" t="inlineStr">
        <is>
          <t>物资名称 热轧不锈圆钢;物资简称 圆钢;牌号 06Cr19Ni10;直径 Φ280;技术标准号 GB/T 1220-2007;加工工艺 热轧;热处理工艺 ;特殊要求 ;规格标准号 GB/T 702-2008</t>
        </is>
      </c>
      <c r="F268" t="inlineStr">
        <is>
          <t>千克</t>
        </is>
      </c>
    </row>
    <row r="269">
      <c r="A269" t="inlineStr">
        <is>
          <t>100201</t>
        </is>
      </c>
      <c r="B269" t="inlineStr">
        <is>
          <t>圆钢</t>
        </is>
      </c>
      <c r="C269" t="inlineStr">
        <is>
          <t>602188600</t>
        </is>
      </c>
      <c r="D269" t="inlineStr">
        <is>
          <t>热轧不锈圆钢|圆钢|06Cr19Ni10|Φ80|GB/T 1220-2007|热轧|GB/T 702-2008</t>
        </is>
      </c>
      <c r="E269" t="inlineStr">
        <is>
          <t>物资名称 热轧不锈圆钢;物资简称 圆钢;牌号 06Cr19Ni10;直径 Φ80;技术标准号 GB/T 1220-2007;加工工艺 热轧;热处理工艺 ;特殊要求 ;规格标准号 GB/T 702-2008</t>
        </is>
      </c>
      <c r="F269" t="inlineStr">
        <is>
          <t>千克</t>
        </is>
      </c>
    </row>
    <row r="270">
      <c r="A270" t="inlineStr">
        <is>
          <t>100201</t>
        </is>
      </c>
      <c r="B270" t="inlineStr">
        <is>
          <t>圆钢</t>
        </is>
      </c>
      <c r="C270" t="inlineStr">
        <is>
          <t>602188500</t>
        </is>
      </c>
      <c r="D270" t="inlineStr">
        <is>
          <t>热轧不锈圆钢|圆钢|06Cr19Ni10|Φ12|GB/T 1220-2007|热轧|GB/T 702-2008</t>
        </is>
      </c>
      <c r="E270" t="inlineStr">
        <is>
          <t>物资名称 热轧不锈圆钢;物资简称 圆钢;牌号 06Cr19Ni10;直径 Φ12;技术标准号 GB/T 1220-2007;加工工艺 热轧;热处理工艺 ;特殊要求 ;规格标准号 GB/T 702-2008</t>
        </is>
      </c>
      <c r="F270" t="inlineStr">
        <is>
          <t>千克</t>
        </is>
      </c>
    </row>
    <row r="271">
      <c r="A271" t="inlineStr">
        <is>
          <t>100201</t>
        </is>
      </c>
      <c r="B271" t="inlineStr">
        <is>
          <t>圆钢</t>
        </is>
      </c>
      <c r="C271" t="inlineStr">
        <is>
          <t>602188400</t>
        </is>
      </c>
      <c r="D271" t="inlineStr">
        <is>
          <t>热轧不锈圆钢|圆钢|06Cr19Ni10|Φ90|GB/T 1220-2007|热轧|GB/T 702-2008</t>
        </is>
      </c>
      <c r="E271" t="inlineStr">
        <is>
          <t>物资名称 热轧不锈圆钢;物资简称 圆钢;牌号 06Cr19Ni10;直径 Φ90;技术标准号 GB/T 1220-2007;加工工艺 热轧;热处理工艺 ;特殊要求 ;规格标准号 GB/T 702-2008</t>
        </is>
      </c>
      <c r="F271" t="inlineStr">
        <is>
          <t>千克</t>
        </is>
      </c>
    </row>
    <row r="272">
      <c r="A272" t="inlineStr">
        <is>
          <t>100201</t>
        </is>
      </c>
      <c r="B272" t="inlineStr">
        <is>
          <t>圆钢</t>
        </is>
      </c>
      <c r="C272" t="inlineStr">
        <is>
          <t>602184700</t>
        </is>
      </c>
      <c r="D272" t="inlineStr">
        <is>
          <t>热轧合金结构圆钢|圆钢|35CrMnSiA|Φ25|GB/T 3077-2015|热轧|GB/T 702-2017</t>
        </is>
      </c>
      <c r="E272" t="inlineStr">
        <is>
          <t>物资名称 热轧合金结构圆钢;物资简称 圆钢;牌号 35CrMnSiA;直径 Φ25;技术标准号 GB/T 3077-2015;加工工艺 热轧;热处理工艺 ;特殊要求 ;规格标准号 GB/T 702-2017</t>
        </is>
      </c>
      <c r="F272" t="inlineStr">
        <is>
          <t>千克</t>
        </is>
      </c>
    </row>
    <row r="273">
      <c r="A273" t="inlineStr">
        <is>
          <t>100201</t>
        </is>
      </c>
      <c r="B273" t="inlineStr">
        <is>
          <t>圆钢</t>
        </is>
      </c>
      <c r="C273" t="inlineStr">
        <is>
          <t>602184600</t>
        </is>
      </c>
      <c r="D273" t="inlineStr">
        <is>
          <t>热轧合金结构圆钢|圆钢|35CrMnSiA|Φ60|GB/T 3077-2015|热轧|GB/T 702-2017</t>
        </is>
      </c>
      <c r="E273" t="inlineStr">
        <is>
          <t>物资名称 热轧合金结构圆钢;物资简称 圆钢;牌号 35CrMnSiA;直径 Φ60;技术标准号 GB/T 3077-2015;加工工艺 热轧;热处理工艺 ;特殊要求 ;规格标准号 GB/T 702-2017</t>
        </is>
      </c>
      <c r="F273" t="inlineStr">
        <is>
          <t>千克</t>
        </is>
      </c>
    </row>
    <row r="274">
      <c r="A274" t="inlineStr">
        <is>
          <t>100201</t>
        </is>
      </c>
      <c r="B274" t="inlineStr">
        <is>
          <t>圆钢</t>
        </is>
      </c>
      <c r="C274" t="inlineStr">
        <is>
          <t>602184500</t>
        </is>
      </c>
      <c r="D274" t="inlineStr">
        <is>
          <t>热轧合金结构圆钢|圆钢|35CrMnSiA|Φ15|GB/T 3077-2015|热轧|GB/T 702-2017</t>
        </is>
      </c>
      <c r="E274" t="inlineStr">
        <is>
          <t>物资名称 热轧合金结构圆钢;物资简称 圆钢;牌号 35CrMnSiA;直径 Φ15;技术标准号 GB/T 3077-2015;加工工艺 热轧;热处理工艺 ;特殊要求 ;规格标准号 GB/T 702-2017</t>
        </is>
      </c>
      <c r="F274" t="inlineStr">
        <is>
          <t>千克</t>
        </is>
      </c>
    </row>
    <row r="275">
      <c r="A275" t="inlineStr">
        <is>
          <t>100201</t>
        </is>
      </c>
      <c r="B275" t="inlineStr">
        <is>
          <t>圆钢</t>
        </is>
      </c>
      <c r="C275" t="inlineStr">
        <is>
          <t>602184400</t>
        </is>
      </c>
      <c r="D275" t="inlineStr">
        <is>
          <t>热轧合金结构圆钢|圆钢|35CrMnSiA|Φ20|GB/T 3077-2015|热轧|GB/T 702-2017</t>
        </is>
      </c>
      <c r="E275" t="inlineStr">
        <is>
          <t>物资名称 热轧合金结构圆钢;物资简称 圆钢;牌号 35CrMnSiA;直径 Φ20;技术标准号 GB/T 3077-2015;加工工艺 热轧;热处理工艺 ;特殊要求 ;规格标准号 GB/T 702-2017</t>
        </is>
      </c>
      <c r="F275" t="inlineStr">
        <is>
          <t>千克</t>
        </is>
      </c>
    </row>
    <row r="276">
      <c r="A276" t="inlineStr">
        <is>
          <t>100201</t>
        </is>
      </c>
      <c r="B276" t="inlineStr">
        <is>
          <t>圆钢</t>
        </is>
      </c>
      <c r="C276" t="inlineStr">
        <is>
          <t>602184300</t>
        </is>
      </c>
      <c r="D276" t="inlineStr">
        <is>
          <t>热轧合金结构圆钢|圆钢|35CrMnSiA|Φ10|GB/T 3077-2015|热轧|GB/T 702-2017</t>
        </is>
      </c>
      <c r="E276" t="inlineStr">
        <is>
          <t>物资名称 热轧合金结构圆钢;物资简称 圆钢;牌号 35CrMnSiA;直径 Φ10;技术标准号 GB/T 3077-2015;加工工艺 热轧;热处理工艺 ;特殊要求 ;规格标准号 GB/T 702-2017</t>
        </is>
      </c>
      <c r="F276" t="inlineStr">
        <is>
          <t>千克</t>
        </is>
      </c>
    </row>
    <row r="277">
      <c r="A277" t="inlineStr">
        <is>
          <t>100201</t>
        </is>
      </c>
      <c r="B277" t="inlineStr">
        <is>
          <t>圆钢</t>
        </is>
      </c>
      <c r="C277" t="inlineStr">
        <is>
          <t>602161400</t>
        </is>
      </c>
      <c r="D277" t="inlineStr">
        <is>
          <t>热轧合金结构圆钢|圆钢|35CrMnSiA|Φ60|GB/T 3077-2015|热轧|GB/T 702-2017</t>
        </is>
      </c>
      <c r="E277" t="inlineStr">
        <is>
          <t>物资名称 热轧合金结构圆钢;物资简称 圆钢;牌号 35CrMnSiA;直径 Φ60;技术标准号 GB/T 3077-2015;加工工艺 热轧;热处理工艺 ;特殊要求 ;规格标准号 GB/T 702-2017</t>
        </is>
      </c>
      <c r="F277" t="inlineStr">
        <is>
          <t>千克</t>
        </is>
      </c>
    </row>
    <row r="278">
      <c r="A278" t="inlineStr">
        <is>
          <t>100201</t>
        </is>
      </c>
      <c r="B278" t="inlineStr">
        <is>
          <t>圆钢</t>
        </is>
      </c>
      <c r="C278" t="inlineStr">
        <is>
          <t>602161300</t>
        </is>
      </c>
      <c r="D278" t="inlineStr">
        <is>
          <t>热轧合金结构圆钢|圆钢|35CrMnSiA|Φ25|GB/T 3077-2015|热轧|GB/T 702-2017</t>
        </is>
      </c>
      <c r="E278" t="inlineStr">
        <is>
          <t>物资名称 热轧合金结构圆钢;物资简称 圆钢;牌号 35CrMnSiA;直径 Φ25;技术标准号 GB/T 3077-2015;加工工艺 热轧;热处理工艺 ;特殊要求 ;规格标准号 GB/T 702-2017</t>
        </is>
      </c>
      <c r="F278" t="inlineStr">
        <is>
          <t>千克</t>
        </is>
      </c>
    </row>
    <row r="279">
      <c r="A279" t="inlineStr">
        <is>
          <t>100201</t>
        </is>
      </c>
      <c r="B279" t="inlineStr">
        <is>
          <t>圆钢</t>
        </is>
      </c>
      <c r="C279" t="inlineStr">
        <is>
          <t>602161200</t>
        </is>
      </c>
      <c r="D279" t="inlineStr">
        <is>
          <t>热轧合金结构圆钢|圆钢|35CrMnSiA|Φ10|GB/T 3077-2015|热轧|GB/T 702-2017</t>
        </is>
      </c>
      <c r="E279" t="inlineStr">
        <is>
          <t>物资名称 热轧合金结构圆钢;物资简称 圆钢;牌号 35CrMnSiA;直径 Φ10;技术标准号 GB/T 3077-2015;加工工艺 热轧;热处理工艺 ;特殊要求 ;规格标准号 GB/T 702-2017</t>
        </is>
      </c>
      <c r="F279" t="inlineStr">
        <is>
          <t>千克</t>
        </is>
      </c>
    </row>
    <row r="280">
      <c r="A280" t="inlineStr">
        <is>
          <t>100201</t>
        </is>
      </c>
      <c r="B280" t="inlineStr">
        <is>
          <t>圆钢</t>
        </is>
      </c>
      <c r="C280" t="inlineStr">
        <is>
          <t>602161100</t>
        </is>
      </c>
      <c r="D280" t="inlineStr">
        <is>
          <t>热轧合金结构圆钢|圆钢|35CrMnSiA|Φ15|GB/T 3077-2015|热轧|GB/T 702-2017</t>
        </is>
      </c>
      <c r="E280" t="inlineStr">
        <is>
          <t>物资名称 热轧合金结构圆钢;物资简称 圆钢;牌号 35CrMnSiA;直径 Φ15;技术标准号 GB/T 3077-2015;加工工艺 热轧;热处理工艺 ;特殊要求 ;规格标准号 GB/T 702-2017</t>
        </is>
      </c>
      <c r="F280" t="inlineStr">
        <is>
          <t>千克</t>
        </is>
      </c>
    </row>
    <row r="281">
      <c r="A281" t="inlineStr">
        <is>
          <t>100201</t>
        </is>
      </c>
      <c r="B281" t="inlineStr">
        <is>
          <t>圆钢</t>
        </is>
      </c>
      <c r="C281" t="inlineStr">
        <is>
          <t>602161000</t>
        </is>
      </c>
      <c r="D281" t="inlineStr">
        <is>
          <t>热轧合金结构圆钢|圆钢|35CrMnSiA|Φ20|GB/T 3077-2015|热轧|GB/T 702-2017</t>
        </is>
      </c>
      <c r="E281" t="inlineStr">
        <is>
          <t>物资名称 热轧合金结构圆钢;物资简称 圆钢;牌号 35CrMnSiA;直径 Φ20;技术标准号 GB/T 3077-2015;加工工艺 热轧;热处理工艺 ;特殊要求 ;规格标准号 GB/T 702-2017</t>
        </is>
      </c>
      <c r="F281" t="inlineStr">
        <is>
          <t>千克</t>
        </is>
      </c>
    </row>
    <row r="282">
      <c r="A282" t="inlineStr">
        <is>
          <t>100201</t>
        </is>
      </c>
      <c r="B282" t="inlineStr">
        <is>
          <t>圆钢</t>
        </is>
      </c>
      <c r="C282" t="inlineStr">
        <is>
          <t>602147300</t>
        </is>
      </c>
      <c r="D282" t="inlineStr">
        <is>
          <t>热轧不锈圆钢|圆钢|20Cr13|Φ90|GB/T 1220-2007|热轧|GB/T 702-2008</t>
        </is>
      </c>
      <c r="E282" t="inlineStr">
        <is>
          <t>物资名称 热轧不锈圆钢;物资简称 圆钢;牌号 20Cr13;直径 Φ90;技术标准号 GB/T 1220-2007;加工工艺 热轧;热处理工艺 ;特殊要求 ;规格标准号 GB/T 702-2008</t>
        </is>
      </c>
      <c r="F282" t="inlineStr">
        <is>
          <t>千克</t>
        </is>
      </c>
    </row>
    <row r="283">
      <c r="A283" t="inlineStr">
        <is>
          <t>100201</t>
        </is>
      </c>
      <c r="B283" t="inlineStr">
        <is>
          <t>圆钢</t>
        </is>
      </c>
      <c r="C283" t="inlineStr">
        <is>
          <t>602147200</t>
        </is>
      </c>
      <c r="D283" t="inlineStr">
        <is>
          <t>热轧航空用不锈圆钢|圆钢|1Cr18Ni9Ti|Φ120|GJB 2294A-2014|热轧|GB/T 702-2008</t>
        </is>
      </c>
      <c r="E283" t="inlineStr">
        <is>
          <t>物资名称 热轧航空用不锈圆钢;物资简称 圆钢;牌号 1Cr18Ni9Ti;直径 Φ120;技术标准号 GJB 2294A-2014;加工工艺 热轧;热处理工艺 ;特殊要求 ;规格标准号 GB/T 702-2008</t>
        </is>
      </c>
      <c r="F283" t="inlineStr">
        <is>
          <t>千克</t>
        </is>
      </c>
    </row>
    <row r="284">
      <c r="A284" t="inlineStr">
        <is>
          <t>100201</t>
        </is>
      </c>
      <c r="B284" t="inlineStr">
        <is>
          <t>圆钢</t>
        </is>
      </c>
      <c r="C284" t="inlineStr">
        <is>
          <t>602147100</t>
        </is>
      </c>
      <c r="D284" t="inlineStr">
        <is>
          <t>热轧航空用不锈圆钢|圆钢|1Cr18Ni9Ti|Φ55|GJB 2294A-2014|热轧|GB/T 702-2008</t>
        </is>
      </c>
      <c r="E284" t="inlineStr">
        <is>
          <t>物资名称 热轧航空用不锈圆钢;物资简称 圆钢;牌号 1Cr18Ni9Ti;直径 Φ55;技术标准号 GJB 2294A-2014;加工工艺 热轧;热处理工艺 ;特殊要求 ;规格标准号 GB/T 702-2008</t>
        </is>
      </c>
      <c r="F284" t="inlineStr">
        <is>
          <t>千克</t>
        </is>
      </c>
    </row>
    <row r="285">
      <c r="A285" t="inlineStr">
        <is>
          <t>100201</t>
        </is>
      </c>
      <c r="B285" t="inlineStr">
        <is>
          <t>圆钢</t>
        </is>
      </c>
      <c r="C285" t="inlineStr">
        <is>
          <t>602147000</t>
        </is>
      </c>
      <c r="D285" t="inlineStr">
        <is>
          <t>热轧航空用不锈圆钢|圆钢|1Cr18Ni9Ti|Φ12|GJB 2294A-2014|热轧|GB/T 702-2008</t>
        </is>
      </c>
      <c r="E285" t="inlineStr">
        <is>
          <t>物资名称 热轧航空用不锈圆钢;物资简称 圆钢;牌号 1Cr18Ni9Ti;直径 Φ12;技术标准号 GJB 2294A-2014;加工工艺 热轧;热处理工艺 ;特殊要求 ;规格标准号 GB/T 702-2008</t>
        </is>
      </c>
      <c r="F285" t="inlineStr">
        <is>
          <t>千克</t>
        </is>
      </c>
    </row>
    <row r="286">
      <c r="A286" t="inlineStr">
        <is>
          <t>100201</t>
        </is>
      </c>
      <c r="B286" t="inlineStr">
        <is>
          <t>圆钢</t>
        </is>
      </c>
      <c r="C286" t="inlineStr">
        <is>
          <t>602146900</t>
        </is>
      </c>
      <c r="D286" t="inlineStr">
        <is>
          <t>热轧航空用不锈圆钢|圆钢|1Cr18Ni9Ti|Φ11|GJB 2294A-2014|热轧|GB/T 702-2008</t>
        </is>
      </c>
      <c r="E286" t="inlineStr">
        <is>
          <t>物资名称 热轧航空用不锈圆钢;物资简称 圆钢;牌号 1Cr18Ni9Ti;直径 Φ11;技术标准号 GJB 2294A-2014;加工工艺 热轧;热处理工艺 ;特殊要求 ;规格标准号 GB/T 702-2008</t>
        </is>
      </c>
      <c r="F286" t="inlineStr">
        <is>
          <t>千克</t>
        </is>
      </c>
    </row>
    <row r="287">
      <c r="A287" t="inlineStr">
        <is>
          <t>100201</t>
        </is>
      </c>
      <c r="B287" t="inlineStr">
        <is>
          <t>圆钢</t>
        </is>
      </c>
      <c r="C287" t="inlineStr">
        <is>
          <t>601815400</t>
        </is>
      </c>
      <c r="D287" t="inlineStr">
        <is>
          <t>热轧优质碳素结构圆钢|圆钢|45|Φ22|GB/T 699-2015|热轧|GB/T 702-2017</t>
        </is>
      </c>
      <c r="E287" t="inlineStr">
        <is>
          <t>物资名称 热轧优质碳素结构圆钢;物资简称 圆钢;牌号 45;直径 Φ22;技术标准号 GB/T 699-2015;加工工艺 热轧;热处理工艺 ;特殊要求 ;规格标准号 GB/T 702-2017</t>
        </is>
      </c>
      <c r="F287" t="inlineStr">
        <is>
          <t>千克</t>
        </is>
      </c>
    </row>
    <row r="288">
      <c r="A288" t="inlineStr">
        <is>
          <t>100201</t>
        </is>
      </c>
      <c r="B288" t="inlineStr">
        <is>
          <t>圆钢</t>
        </is>
      </c>
      <c r="C288" t="inlineStr">
        <is>
          <t>601815300</t>
        </is>
      </c>
      <c r="D288" t="inlineStr">
        <is>
          <t>热轧优质碳素结构圆钢|圆钢|45|Φ120|GB/T 699-2015|热轧|GB/T 702-2017</t>
        </is>
      </c>
      <c r="E288" t="inlineStr">
        <is>
          <t>物资名称 热轧优质碳素结构圆钢;物资简称 圆钢;牌号 45;直径 Φ120;技术标准号 GB/T 699-2015;加工工艺 热轧;热处理工艺 ;特殊要求 ;规格标准号 GB/T 702-2017</t>
        </is>
      </c>
      <c r="F288" t="inlineStr">
        <is>
          <t>千克</t>
        </is>
      </c>
    </row>
    <row r="289">
      <c r="A289" t="inlineStr">
        <is>
          <t>100201</t>
        </is>
      </c>
      <c r="B289" t="inlineStr">
        <is>
          <t>圆钢</t>
        </is>
      </c>
      <c r="C289" t="inlineStr">
        <is>
          <t>601749000</t>
        </is>
      </c>
      <c r="D289" t="inlineStr">
        <is>
          <t>热轧优质碳素结构圆钢|圆钢|45|GB/T 699-2015|热轧</t>
        </is>
      </c>
      <c r="E289" t="inlineStr">
        <is>
          <t xml:space="preserve">物资名称 热轧优质碳素结构圆钢;物资简称 圆钢;牌号 45;直径 Φ;技术标准号 GB/T 699-2015;加工工艺 热轧;热处理工艺 ;特殊要求 ;规格标准号 </t>
        </is>
      </c>
      <c r="F289" t="inlineStr">
        <is>
          <t>千克</t>
        </is>
      </c>
    </row>
    <row r="290">
      <c r="A290" t="inlineStr">
        <is>
          <t>100201</t>
        </is>
      </c>
      <c r="B290" t="inlineStr">
        <is>
          <t>圆钢</t>
        </is>
      </c>
      <c r="C290" t="inlineStr">
        <is>
          <t>601692200</t>
        </is>
      </c>
      <c r="D290" t="inlineStr">
        <is>
          <t>钢棒|圆钢|35CrMnSiA|Φ13|GB/T 3077-1999</t>
        </is>
      </c>
      <c r="E290" t="inlineStr">
        <is>
          <t xml:space="preserve">物资名称 钢棒;物资简称 圆钢;牌号 35CrMnSiA;直径 Φ13;技术标准号 GB/T 3077-1999;加工工艺 ;热处理工艺 ;特殊要求 ;规格标准号 </t>
        </is>
      </c>
      <c r="F290" t="inlineStr">
        <is>
          <t>千克</t>
        </is>
      </c>
    </row>
    <row r="291">
      <c r="A291" t="inlineStr">
        <is>
          <t>100201</t>
        </is>
      </c>
      <c r="B291" t="inlineStr">
        <is>
          <t>圆钢</t>
        </is>
      </c>
      <c r="C291" t="inlineStr">
        <is>
          <t>601692100</t>
        </is>
      </c>
      <c r="D291" t="inlineStr">
        <is>
          <t>钢棒|圆钢|35CrMnSiA|Φ30|GB/T 3077-1999</t>
        </is>
      </c>
      <c r="E291" t="inlineStr">
        <is>
          <t xml:space="preserve">物资名称 钢棒;物资简称 圆钢;牌号 35CrMnSiA;直径 Φ30;技术标准号 GB/T 3077-1999;加工工艺 ;热处理工艺 ;特殊要求 ;规格标准号 </t>
        </is>
      </c>
      <c r="F291" t="inlineStr">
        <is>
          <t>千克</t>
        </is>
      </c>
    </row>
    <row r="292">
      <c r="A292" t="inlineStr">
        <is>
          <t>100201</t>
        </is>
      </c>
      <c r="B292" t="inlineStr">
        <is>
          <t>圆钢</t>
        </is>
      </c>
      <c r="C292" t="inlineStr">
        <is>
          <t>601652600</t>
        </is>
      </c>
      <c r="D292" t="inlineStr">
        <is>
          <t>冷拉高碳铬轴承圆钢|圆钢|GCr15|Φ5|GB/T 18254-2002|冷拉</t>
        </is>
      </c>
      <c r="E292" t="inlineStr">
        <is>
          <t xml:space="preserve">物资名称 冷拉高碳铬轴承圆钢;物资简称 圆钢;牌号 GCr15;直径 Φ5;技术标准号 GB/T 18254-2002;加工工艺 冷拉;热处理工艺 ;特殊要求 ;规格标准号 </t>
        </is>
      </c>
      <c r="F292" t="inlineStr">
        <is>
          <t>千克</t>
        </is>
      </c>
    </row>
    <row r="293">
      <c r="A293" t="inlineStr">
        <is>
          <t>100201</t>
        </is>
      </c>
      <c r="B293" t="inlineStr">
        <is>
          <t>圆钢</t>
        </is>
      </c>
      <c r="C293" t="inlineStr">
        <is>
          <t>601605800</t>
        </is>
      </c>
      <c r="D293" t="inlineStr">
        <is>
          <t>圆钢|圆钢|40Cr Φ14|GB/T3191-1998</t>
        </is>
      </c>
      <c r="E293" t="inlineStr">
        <is>
          <t xml:space="preserve">物资名称 圆钢;物资简称 圆钢;牌号 40Cr Φ14;直径 Φ;技术标准号 GB/T3191-1998;加工工艺 ;热处理工艺 ;特殊要求 ;规格标准号 </t>
        </is>
      </c>
      <c r="F293" t="inlineStr">
        <is>
          <t>千克</t>
        </is>
      </c>
    </row>
    <row r="294">
      <c r="A294" t="inlineStr">
        <is>
          <t>100201</t>
        </is>
      </c>
      <c r="B294" t="inlineStr">
        <is>
          <t>圆钢</t>
        </is>
      </c>
      <c r="C294" t="inlineStr">
        <is>
          <t>601605700</t>
        </is>
      </c>
      <c r="D294" t="inlineStr">
        <is>
          <t>圆钢|圆钢|40Cr Φ20|GB/T3077-1999</t>
        </is>
      </c>
      <c r="E294" t="inlineStr">
        <is>
          <t xml:space="preserve">物资名称 圆钢;物资简称 圆钢;牌号 40Cr Φ20;直径 Φ;技术标准号 GB/T3077-1999;加工工艺 ;热处理工艺 ;特殊要求 ;规格标准号 </t>
        </is>
      </c>
      <c r="F294" t="inlineStr">
        <is>
          <t>千克</t>
        </is>
      </c>
    </row>
    <row r="295">
      <c r="A295" t="inlineStr">
        <is>
          <t>100201</t>
        </is>
      </c>
      <c r="B295" t="inlineStr">
        <is>
          <t>圆钢</t>
        </is>
      </c>
      <c r="C295" t="inlineStr">
        <is>
          <t>601605600</t>
        </is>
      </c>
      <c r="D295" t="inlineStr">
        <is>
          <t>圆钢|圆钢|40Cr Φ25|GB/T3077-1999</t>
        </is>
      </c>
      <c r="E295" t="inlineStr">
        <is>
          <t xml:space="preserve">物资名称 圆钢;物资简称 圆钢;牌号 40Cr Φ25;直径 Φ;技术标准号 GB/T3077-1999;加工工艺 ;热处理工艺 ;特殊要求 ;规格标准号 </t>
        </is>
      </c>
      <c r="F295" t="inlineStr">
        <is>
          <t>千克</t>
        </is>
      </c>
    </row>
    <row r="296">
      <c r="A296" t="inlineStr">
        <is>
          <t>100201</t>
        </is>
      </c>
      <c r="B296" t="inlineStr">
        <is>
          <t>圆钢</t>
        </is>
      </c>
      <c r="C296" t="inlineStr">
        <is>
          <t>601605500</t>
        </is>
      </c>
      <c r="D296" t="inlineStr">
        <is>
          <t>圆钢|圆钢|40Cr Φ35|GB/T3077-1999</t>
        </is>
      </c>
      <c r="E296" t="inlineStr">
        <is>
          <t xml:space="preserve">物资名称 圆钢;物资简称 圆钢;牌号 40Cr Φ35;直径 Φ;技术标准号 GB/T3077-1999;加工工艺 ;热处理工艺 ;特殊要求 ;规格标准号 </t>
        </is>
      </c>
      <c r="F296" t="inlineStr">
        <is>
          <t>千克</t>
        </is>
      </c>
    </row>
    <row r="297">
      <c r="A297" t="inlineStr">
        <is>
          <t>100201</t>
        </is>
      </c>
      <c r="B297" t="inlineStr">
        <is>
          <t>圆钢</t>
        </is>
      </c>
      <c r="C297" t="inlineStr">
        <is>
          <t>601568400</t>
        </is>
      </c>
      <c r="D297" t="inlineStr">
        <is>
          <t>不锈钢|不锈钢|2Cr13|130*45*85</t>
        </is>
      </c>
      <c r="E297" t="inlineStr">
        <is>
          <t xml:space="preserve">物资名称 不锈钢;物资简称 不锈钢;牌号 2Cr13;直径 Φ;技术标准号 130*45*85;加工工艺 ;热处理工艺 ;特殊要求 ;规格标准号 </t>
        </is>
      </c>
      <c r="F297" t="inlineStr">
        <is>
          <t>千克</t>
        </is>
      </c>
    </row>
    <row r="298">
      <c r="A298" t="inlineStr">
        <is>
          <t>100201</t>
        </is>
      </c>
      <c r="B298" t="inlineStr">
        <is>
          <t>圆钢</t>
        </is>
      </c>
      <c r="C298" t="inlineStr">
        <is>
          <t>601511500</t>
        </is>
      </c>
      <c r="D298" t="inlineStr">
        <is>
          <t>不锈钢|不锈钢|1Cr18Ni9Ti|Φ130|GJB 2294-1995</t>
        </is>
      </c>
      <c r="E298" t="inlineStr">
        <is>
          <t xml:space="preserve">物资名称 不锈钢;物资简称 不锈钢;牌号 1Cr18Ni9Ti;直径 Φ130;技术标准号 GJB 2294-1995;加工工艺 ;热处理工艺 ;特殊要求 ;规格标准号 </t>
        </is>
      </c>
      <c r="F298" t="inlineStr">
        <is>
          <t>千克</t>
        </is>
      </c>
    </row>
    <row r="299">
      <c r="A299" t="inlineStr">
        <is>
          <t>100201</t>
        </is>
      </c>
      <c r="B299" t="inlineStr">
        <is>
          <t>圆钢</t>
        </is>
      </c>
      <c r="C299" t="inlineStr">
        <is>
          <t>601504300</t>
        </is>
      </c>
      <c r="D299" t="inlineStr">
        <is>
          <t>冷拉高碳铬轴承圆钢|圆钢|GCr15|Φ5.3|GB/T 18254-2002|冷拉</t>
        </is>
      </c>
      <c r="E299" t="inlineStr">
        <is>
          <t xml:space="preserve">物资名称 冷拉高碳铬轴承圆钢;物资简称 圆钢;牌号 GCr15;直径 Φ5.3;技术标准号 GB/T 18254-2002;加工工艺 冷拉;热处理工艺 ;特殊要求 ;规格标准号 </t>
        </is>
      </c>
      <c r="F299" t="inlineStr">
        <is>
          <t>千克</t>
        </is>
      </c>
    </row>
    <row r="300">
      <c r="A300" t="inlineStr">
        <is>
          <t>100201</t>
        </is>
      </c>
      <c r="B300" t="inlineStr">
        <is>
          <t>圆钢</t>
        </is>
      </c>
      <c r="C300" t="inlineStr">
        <is>
          <t>601504200</t>
        </is>
      </c>
      <c r="D300" t="inlineStr">
        <is>
          <t>冷拉高碳铬轴承圆钢|圆钢|GCr15|Φ6.3|GB/T 18254-2002|冷拉</t>
        </is>
      </c>
      <c r="E300" t="inlineStr">
        <is>
          <t xml:space="preserve">物资名称 冷拉高碳铬轴承圆钢;物资简称 圆钢;牌号 GCr15;直径 Φ6.3;技术标准号 GB/T 18254-2002;加工工艺 冷拉;热处理工艺 ;特殊要求 ;规格标准号 </t>
        </is>
      </c>
      <c r="F300" t="inlineStr">
        <is>
          <t>千克</t>
        </is>
      </c>
    </row>
    <row r="301">
      <c r="A301" t="inlineStr">
        <is>
          <t>100201</t>
        </is>
      </c>
      <c r="B301" t="inlineStr">
        <is>
          <t>圆钢</t>
        </is>
      </c>
      <c r="C301" t="inlineStr">
        <is>
          <t>601473000</t>
        </is>
      </c>
      <c r="D301" t="inlineStr">
        <is>
          <t>航空用不锈圆钢|圆钢|1Cr18Ni9Ti|Φ32|GJB 2294-1995</t>
        </is>
      </c>
      <c r="E301" t="inlineStr">
        <is>
          <t xml:space="preserve">物资名称 航空用不锈圆钢;物资简称 圆钢;牌号 1Cr18Ni9Ti;直径 Φ32;技术标准号 GJB 2294-1995;加工工艺 ;热处理工艺 ;特殊要求 ;规格标准号 </t>
        </is>
      </c>
      <c r="F301" t="inlineStr">
        <is>
          <t>千克</t>
        </is>
      </c>
    </row>
    <row r="302">
      <c r="A302" t="inlineStr">
        <is>
          <t>100201</t>
        </is>
      </c>
      <c r="B302" t="inlineStr">
        <is>
          <t>圆钢</t>
        </is>
      </c>
      <c r="C302" t="inlineStr">
        <is>
          <t>601472900</t>
        </is>
      </c>
      <c r="D302" t="inlineStr">
        <is>
          <t>航空用不锈圆钢|圆钢|1Cr18Ni9Ti|Φ95|GJB 2294-1995</t>
        </is>
      </c>
      <c r="E302" t="inlineStr">
        <is>
          <t xml:space="preserve">物资名称 航空用不锈圆钢;物资简称 圆钢;牌号 1Cr18Ni9Ti;直径 Φ95;技术标准号 GJB 2294-1995;加工工艺 ;热处理工艺 ;特殊要求 ;规格标准号 </t>
        </is>
      </c>
      <c r="F302" t="inlineStr">
        <is>
          <t>千克</t>
        </is>
      </c>
    </row>
    <row r="303">
      <c r="A303" t="inlineStr">
        <is>
          <t>100201</t>
        </is>
      </c>
      <c r="B303" t="inlineStr">
        <is>
          <t>圆钢</t>
        </is>
      </c>
      <c r="C303" t="inlineStr">
        <is>
          <t>601472800</t>
        </is>
      </c>
      <c r="D303" t="inlineStr">
        <is>
          <t>航空用不锈圆钢|圆钢|1Cr18Ni9Ti|Φ120|GJB 2294-1995</t>
        </is>
      </c>
      <c r="E303" t="inlineStr">
        <is>
          <t xml:space="preserve">物资名称 航空用不锈圆钢;物资简称 圆钢;牌号 1Cr18Ni9Ti;直径 Φ120;技术标准号 GJB 2294-1995;加工工艺 ;热处理工艺 ;特殊要求 ;规格标准号 </t>
        </is>
      </c>
      <c r="F303" t="inlineStr">
        <is>
          <t>千克</t>
        </is>
      </c>
    </row>
    <row r="304">
      <c r="A304" t="inlineStr">
        <is>
          <t>100201</t>
        </is>
      </c>
      <c r="B304" t="inlineStr">
        <is>
          <t>圆钢</t>
        </is>
      </c>
      <c r="C304" t="inlineStr">
        <is>
          <t>601472700</t>
        </is>
      </c>
      <c r="D304" t="inlineStr">
        <is>
          <t>不锈钢棒|钢棒|1Cr18Ni9|GB/T 1220-1992</t>
        </is>
      </c>
      <c r="E304" t="inlineStr">
        <is>
          <t xml:space="preserve">物资名称 不锈钢棒;物资简称 钢棒;牌号 1Cr18Ni9;直径 Φ;技术标准号 GB/T 1220-1992;加工工艺 ;热处理工艺 ;特殊要求 ;规格标准号 </t>
        </is>
      </c>
      <c r="F304" t="inlineStr">
        <is>
          <t>千克</t>
        </is>
      </c>
    </row>
    <row r="305">
      <c r="A305" t="inlineStr">
        <is>
          <t>100201</t>
        </is>
      </c>
      <c r="B305" t="inlineStr">
        <is>
          <t>圆钢</t>
        </is>
      </c>
      <c r="C305" t="inlineStr">
        <is>
          <t>601472600</t>
        </is>
      </c>
      <c r="D305" t="inlineStr">
        <is>
          <t>锻制优质碳素结构圆钢|圆钢|45|Φ265|GB/T 699-1999|锻制|GB/T 908-2019</t>
        </is>
      </c>
      <c r="E305" t="inlineStr">
        <is>
          <t>物资名称 锻制优质碳素结构圆钢;物资简称 圆钢;牌号 45;直径 Φ265;技术标准号 GB/T 699-1999;加工工艺 锻制;热处理工艺 ;特殊要求 ;规格标准号 GB/T 908-2019</t>
        </is>
      </c>
      <c r="F305" t="inlineStr">
        <is>
          <t>千克</t>
        </is>
      </c>
    </row>
    <row r="306">
      <c r="A306" t="inlineStr">
        <is>
          <t>100201</t>
        </is>
      </c>
      <c r="B306" t="inlineStr">
        <is>
          <t>圆钢</t>
        </is>
      </c>
      <c r="C306" t="inlineStr">
        <is>
          <t>601464700</t>
        </is>
      </c>
      <c r="D306" t="inlineStr">
        <is>
          <t>热轧不锈圆钢|圆钢|1Cr18Ni9|Φ5|GB/T 1220-1992|热轧|GB/T 702-2008</t>
        </is>
      </c>
      <c r="E306" t="inlineStr">
        <is>
          <t>物资名称 热轧不锈圆钢;物资简称 圆钢;牌号 1Cr18Ni9;直径 Φ5;技术标准号 GB/T 1220-1992;加工工艺 热轧;热处理工艺 ;特殊要求 ;规格标准号 GB/T 702-2008</t>
        </is>
      </c>
      <c r="F306" t="inlineStr">
        <is>
          <t>千克</t>
        </is>
      </c>
    </row>
    <row r="307">
      <c r="A307" t="inlineStr">
        <is>
          <t>100201</t>
        </is>
      </c>
      <c r="B307" t="inlineStr">
        <is>
          <t>圆钢</t>
        </is>
      </c>
      <c r="C307" t="inlineStr">
        <is>
          <t>601438400</t>
        </is>
      </c>
      <c r="D307" t="inlineStr">
        <is>
          <t>不锈圆钢|圆钢|304|φ180|空</t>
        </is>
      </c>
      <c r="E307" t="inlineStr">
        <is>
          <t xml:space="preserve">物资名称 不锈圆钢;物资简称 圆钢;牌号 304;直径 φ180;技术标准号 空;加工工艺 ;热处理工艺 ;特殊要求 ;规格标准号 </t>
        </is>
      </c>
      <c r="F307" t="inlineStr">
        <is>
          <t>千克</t>
        </is>
      </c>
    </row>
    <row r="308">
      <c r="A308" t="inlineStr">
        <is>
          <t>100201</t>
        </is>
      </c>
      <c r="B308" t="inlineStr">
        <is>
          <t>圆钢</t>
        </is>
      </c>
      <c r="C308" t="inlineStr">
        <is>
          <t>601438300</t>
        </is>
      </c>
      <c r="D308" t="inlineStr">
        <is>
          <t>不锈圆钢|圆钢|304|φ260|空</t>
        </is>
      </c>
      <c r="E308" t="inlineStr">
        <is>
          <t xml:space="preserve">物资名称 不锈圆钢;物资简称 圆钢;牌号 304;直径 φ260;技术标准号 空;加工工艺 ;热处理工艺 ;特殊要求 ;规格标准号 </t>
        </is>
      </c>
      <c r="F308" t="inlineStr">
        <is>
          <t>千克</t>
        </is>
      </c>
    </row>
    <row r="309">
      <c r="A309" t="inlineStr">
        <is>
          <t>100201</t>
        </is>
      </c>
      <c r="B309" t="inlineStr">
        <is>
          <t>圆钢</t>
        </is>
      </c>
      <c r="C309" t="inlineStr">
        <is>
          <t>601438200</t>
        </is>
      </c>
      <c r="D309" t="inlineStr">
        <is>
          <t>不锈圆钢|圆钢|304|φ270|空</t>
        </is>
      </c>
      <c r="E309" t="inlineStr">
        <is>
          <t xml:space="preserve">物资名称 不锈圆钢;物资简称 圆钢;牌号 304;直径 φ270;技术标准号 空;加工工艺 ;热处理工艺 ;特殊要求 ;规格标准号 </t>
        </is>
      </c>
      <c r="F309" t="inlineStr">
        <is>
          <t>千克</t>
        </is>
      </c>
    </row>
    <row r="310">
      <c r="A310" t="inlineStr">
        <is>
          <t>100201</t>
        </is>
      </c>
      <c r="B310" t="inlineStr">
        <is>
          <t>圆钢</t>
        </is>
      </c>
      <c r="C310" t="inlineStr">
        <is>
          <t>601438100</t>
        </is>
      </c>
      <c r="D310" t="inlineStr">
        <is>
          <t>不锈圆钢|圆钢|304|φ300|空</t>
        </is>
      </c>
      <c r="E310" t="inlineStr">
        <is>
          <t xml:space="preserve">物资名称 不锈圆钢;物资简称 圆钢;牌号 304;直径 φ300;技术标准号 空;加工工艺 ;热处理工艺 ;特殊要求 ;规格标准号 </t>
        </is>
      </c>
      <c r="F310" t="inlineStr">
        <is>
          <t>千克</t>
        </is>
      </c>
    </row>
    <row r="311">
      <c r="A311" t="inlineStr">
        <is>
          <t>100201</t>
        </is>
      </c>
      <c r="B311" t="inlineStr">
        <is>
          <t>圆钢</t>
        </is>
      </c>
      <c r="C311" t="inlineStr">
        <is>
          <t>601438000</t>
        </is>
      </c>
      <c r="D311" t="inlineStr">
        <is>
          <t>航空用优质结构钢棒|圆钢|38CrMoAlA|φ35|GJB 1951-1994</t>
        </is>
      </c>
      <c r="E311" t="inlineStr">
        <is>
          <t xml:space="preserve">物资名称 航空用优质结构钢棒;物资简称 圆钢;牌号 38CrMoAlA;直径 φ35;技术标准号 GJB 1951-1994;加工工艺 ;热处理工艺 ;特殊要求 ;规格标准号 </t>
        </is>
      </c>
      <c r="F311" t="inlineStr">
        <is>
          <t>千克</t>
        </is>
      </c>
    </row>
    <row r="312">
      <c r="A312" t="inlineStr">
        <is>
          <t>100201</t>
        </is>
      </c>
      <c r="B312" t="inlineStr">
        <is>
          <t>圆钢</t>
        </is>
      </c>
      <c r="C312" t="inlineStr">
        <is>
          <t>601437900</t>
        </is>
      </c>
      <c r="D312" t="inlineStr">
        <is>
          <t>航空用不锈圆钢|圆钢|1Cr18Ni9Ti|φ12|GJB 2294-1995</t>
        </is>
      </c>
      <c r="E312" t="inlineStr">
        <is>
          <t xml:space="preserve">物资名称 航空用不锈圆钢;物资简称 圆钢;牌号 1Cr18Ni9Ti;直径 φ12;技术标准号 GJB 2294-1995;加工工艺 ;热处理工艺 ;特殊要求 ;规格标准号 </t>
        </is>
      </c>
      <c r="F312" t="inlineStr">
        <is>
          <t>千克</t>
        </is>
      </c>
    </row>
    <row r="313">
      <c r="A313" t="inlineStr">
        <is>
          <t>100201</t>
        </is>
      </c>
      <c r="B313" t="inlineStr">
        <is>
          <t>圆钢</t>
        </is>
      </c>
      <c r="C313" t="inlineStr">
        <is>
          <t>601437800</t>
        </is>
      </c>
      <c r="D313" t="inlineStr">
        <is>
          <t>合金结构圆钢|圆钢|30CrMnSiA|φ320|空</t>
        </is>
      </c>
      <c r="E313" t="inlineStr">
        <is>
          <t xml:space="preserve">物资名称 合金结构圆钢;物资简称 圆钢;牌号 30CrMnSiA;直径 φ320;技术标准号 空;加工工艺 ;热处理工艺 ;特殊要求 ;规格标准号 </t>
        </is>
      </c>
      <c r="F313" t="inlineStr">
        <is>
          <t>千克</t>
        </is>
      </c>
    </row>
    <row r="314">
      <c r="A314" t="inlineStr">
        <is>
          <t>100201</t>
        </is>
      </c>
      <c r="B314" t="inlineStr">
        <is>
          <t>圆钢</t>
        </is>
      </c>
      <c r="C314" t="inlineStr">
        <is>
          <t>601432200</t>
        </is>
      </c>
      <c r="D314" t="inlineStr">
        <is>
          <t>航空航天用超高强度钢钢棒|圆钢|45CrNiMo1VA|GJB 5063-2001</t>
        </is>
      </c>
      <c r="E314" t="inlineStr">
        <is>
          <t xml:space="preserve">物资名称 航空航天用超高强度钢钢棒;物资简称 圆钢;牌号 45CrNiMo1VA;直径 Φ;技术标准号 GJB 5063-2001;加工工艺 ;热处理工艺 ;特殊要求 ;规格标准号 </t>
        </is>
      </c>
      <c r="F314" t="inlineStr">
        <is>
          <t>千克</t>
        </is>
      </c>
    </row>
    <row r="315">
      <c r="A315" t="inlineStr">
        <is>
          <t>100201</t>
        </is>
      </c>
      <c r="B315" t="inlineStr">
        <is>
          <t>圆钢</t>
        </is>
      </c>
      <c r="C315" t="inlineStr">
        <is>
          <t>601346800</t>
        </is>
      </c>
      <c r="D315" t="inlineStr">
        <is>
          <t>航空用不锈圆钢|圆钢|1Cr18Ni9Ti|Φ60|GJB 2294-1995</t>
        </is>
      </c>
      <c r="E315" t="inlineStr">
        <is>
          <t xml:space="preserve">物资名称 航空用不锈圆钢;物资简称 圆钢;牌号 1Cr18Ni9Ti;直径 Φ60;技术标准号 GJB 2294-1995;加工工艺 ;热处理工艺 ;特殊要求 ;规格标准号 </t>
        </is>
      </c>
      <c r="F315" t="inlineStr">
        <is>
          <t>千克</t>
        </is>
      </c>
    </row>
    <row r="316">
      <c r="A316" t="inlineStr">
        <is>
          <t>100201</t>
        </is>
      </c>
      <c r="B316" t="inlineStr">
        <is>
          <t>圆钢</t>
        </is>
      </c>
      <c r="C316" t="inlineStr">
        <is>
          <t>601346700</t>
        </is>
      </c>
      <c r="D316" t="inlineStr">
        <is>
          <t>合金结构圆钢|圆钢|30CrMnSiA|Φ100|空</t>
        </is>
      </c>
      <c r="E316" t="inlineStr">
        <is>
          <t xml:space="preserve">物资名称 合金结构圆钢;物资简称 圆钢;牌号 30CrMnSiA;直径 Φ100;技术标准号 空;加工工艺 ;热处理工艺 ;特殊要求 ;规格标准号 </t>
        </is>
      </c>
      <c r="F316" t="inlineStr">
        <is>
          <t>千克</t>
        </is>
      </c>
    </row>
    <row r="317">
      <c r="A317" t="inlineStr">
        <is>
          <t>100201</t>
        </is>
      </c>
      <c r="B317" t="inlineStr">
        <is>
          <t>圆钢</t>
        </is>
      </c>
      <c r="C317" t="inlineStr">
        <is>
          <t>601328900</t>
        </is>
      </c>
      <c r="D317" t="inlineStr">
        <is>
          <t>合金结构圆钢|圆钢|40Cr|Φ35|空</t>
        </is>
      </c>
      <c r="E317" t="inlineStr">
        <is>
          <t xml:space="preserve">物资名称 合金结构圆钢;物资简称 圆钢;牌号 40Cr;直径 Φ35;技术标准号 空;加工工艺 ;热处理工艺 ;特殊要求 ;规格标准号 </t>
        </is>
      </c>
      <c r="F317" t="inlineStr">
        <is>
          <t>千克</t>
        </is>
      </c>
    </row>
    <row r="318">
      <c r="A318" t="inlineStr">
        <is>
          <t>100201</t>
        </is>
      </c>
      <c r="B318" t="inlineStr">
        <is>
          <t>圆钢</t>
        </is>
      </c>
      <c r="C318" t="inlineStr">
        <is>
          <t>601328800</t>
        </is>
      </c>
      <c r="D318" t="inlineStr">
        <is>
          <t>不锈圆钢|圆钢|9Cr18|Φ35|空</t>
        </is>
      </c>
      <c r="E318" t="inlineStr">
        <is>
          <t xml:space="preserve">物资名称 不锈圆钢;物资简称 圆钢;牌号 9Cr18;直径 Φ35;技术标准号 空;加工工艺 ;热处理工艺 ;特殊要求 ;规格标准号 </t>
        </is>
      </c>
      <c r="F318" t="inlineStr">
        <is>
          <t>千克</t>
        </is>
      </c>
    </row>
    <row r="319">
      <c r="A319" t="inlineStr">
        <is>
          <t>100201</t>
        </is>
      </c>
      <c r="B319" t="inlineStr">
        <is>
          <t>圆钢</t>
        </is>
      </c>
      <c r="C319" t="inlineStr">
        <is>
          <t>601328700</t>
        </is>
      </c>
      <c r="D319" t="inlineStr">
        <is>
          <t>不锈圆钢|圆钢|2Cr13Ni2|Φ10|空</t>
        </is>
      </c>
      <c r="E319" t="inlineStr">
        <is>
          <t xml:space="preserve">物资名称 不锈圆钢;物资简称 圆钢;牌号 2Cr13Ni2;直径 Φ10;技术标准号 空;加工工艺 ;热处理工艺 ;特殊要求 ;规格标准号 </t>
        </is>
      </c>
      <c r="F319" t="inlineStr">
        <is>
          <t>千克</t>
        </is>
      </c>
    </row>
    <row r="320">
      <c r="A320" t="inlineStr">
        <is>
          <t>100201</t>
        </is>
      </c>
      <c r="B320" t="inlineStr">
        <is>
          <t>圆钢</t>
        </is>
      </c>
      <c r="C320" t="inlineStr">
        <is>
          <t>601328600</t>
        </is>
      </c>
      <c r="D320" t="inlineStr">
        <is>
          <t>不锈圆钢|圆钢|Y2Cr13Ni2|Φ14|空</t>
        </is>
      </c>
      <c r="E320" t="inlineStr">
        <is>
          <t xml:space="preserve">物资名称 不锈圆钢;物资简称 圆钢;牌号 Y2Cr13Ni2;直径 Φ14;技术标准号 空;加工工艺 ;热处理工艺 ;特殊要求 ;规格标准号 </t>
        </is>
      </c>
      <c r="F320" t="inlineStr">
        <is>
          <t>千克</t>
        </is>
      </c>
    </row>
    <row r="321">
      <c r="A321" t="inlineStr">
        <is>
          <t>100201</t>
        </is>
      </c>
      <c r="B321" t="inlineStr">
        <is>
          <t>圆钢</t>
        </is>
      </c>
      <c r="C321" t="inlineStr">
        <is>
          <t>601328500</t>
        </is>
      </c>
      <c r="D321" t="inlineStr">
        <is>
          <t>不锈圆钢|圆钢|Y2Cr13Ni2|Φ22|空</t>
        </is>
      </c>
      <c r="E321" t="inlineStr">
        <is>
          <t xml:space="preserve">物资名称 不锈圆钢;物资简称 圆钢;牌号 Y2Cr13Ni2;直径 Φ22;技术标准号 空;加工工艺 ;热处理工艺 ;特殊要求 ;规格标准号 </t>
        </is>
      </c>
      <c r="F321" t="inlineStr">
        <is>
          <t>千克</t>
        </is>
      </c>
    </row>
    <row r="322">
      <c r="A322" t="inlineStr">
        <is>
          <t>100201</t>
        </is>
      </c>
      <c r="B322" t="inlineStr">
        <is>
          <t>圆钢</t>
        </is>
      </c>
      <c r="C322" t="inlineStr">
        <is>
          <t>601328400</t>
        </is>
      </c>
      <c r="D322" t="inlineStr">
        <is>
          <t>冷拉合金结构圆钢|圆钢|30CrMnSiA|Φ12|空|冷拉</t>
        </is>
      </c>
      <c r="E322" t="inlineStr">
        <is>
          <t xml:space="preserve">物资名称 冷拉合金结构圆钢;物资简称 圆钢;牌号 30CrMnSiA;直径 Φ12;技术标准号 空;加工工艺 冷拉;热处理工艺 ;特殊要求 ;规格标准号 </t>
        </is>
      </c>
      <c r="F322" t="inlineStr">
        <is>
          <t>千克</t>
        </is>
      </c>
    </row>
    <row r="323">
      <c r="A323" t="inlineStr">
        <is>
          <t>100201</t>
        </is>
      </c>
      <c r="B323" t="inlineStr">
        <is>
          <t>圆钢</t>
        </is>
      </c>
      <c r="C323" t="inlineStr">
        <is>
          <t>601328300</t>
        </is>
      </c>
      <c r="D323" t="inlineStr">
        <is>
          <t>不锈圆钢|圆钢|0Cr18Ni9|Φ10|空</t>
        </is>
      </c>
      <c r="E323" t="inlineStr">
        <is>
          <t xml:space="preserve">物资名称 不锈圆钢;物资简称 圆钢;牌号 0Cr18Ni9;直径 Φ10;技术标准号 空;加工工艺 ;热处理工艺 ;特殊要求 ;规格标准号 </t>
        </is>
      </c>
      <c r="F323" t="inlineStr">
        <is>
          <t>千克</t>
        </is>
      </c>
    </row>
    <row r="324">
      <c r="A324" t="inlineStr">
        <is>
          <t>100201</t>
        </is>
      </c>
      <c r="B324" t="inlineStr">
        <is>
          <t>圆钢</t>
        </is>
      </c>
      <c r="C324" t="inlineStr">
        <is>
          <t>601328200</t>
        </is>
      </c>
      <c r="D324" t="inlineStr">
        <is>
          <t>不锈圆钢|圆钢|0Cr18Ni9|Φ140|空</t>
        </is>
      </c>
      <c r="E324" t="inlineStr">
        <is>
          <t xml:space="preserve">物资名称 不锈圆钢;物资简称 圆钢;牌号 0Cr18Ni9;直径 Φ140;技术标准号 空;加工工艺 ;热处理工艺 ;特殊要求 ;规格标准号 </t>
        </is>
      </c>
      <c r="F324" t="inlineStr">
        <is>
          <t>千克</t>
        </is>
      </c>
    </row>
    <row r="325">
      <c r="A325" t="inlineStr">
        <is>
          <t>100201</t>
        </is>
      </c>
      <c r="B325" t="inlineStr">
        <is>
          <t>圆钢</t>
        </is>
      </c>
      <c r="C325" t="inlineStr">
        <is>
          <t>601328100</t>
        </is>
      </c>
      <c r="D325" t="inlineStr">
        <is>
          <t>不锈圆钢|圆钢|0Cr18Ni9|Φ20|空</t>
        </is>
      </c>
      <c r="E325" t="inlineStr">
        <is>
          <t xml:space="preserve">物资名称 不锈圆钢;物资简称 圆钢;牌号 0Cr18Ni9;直径 Φ20;技术标准号 空;加工工艺 ;热处理工艺 ;特殊要求 ;规格标准号 </t>
        </is>
      </c>
      <c r="F325" t="inlineStr">
        <is>
          <t>千克</t>
        </is>
      </c>
    </row>
    <row r="326">
      <c r="A326" t="inlineStr">
        <is>
          <t>100201</t>
        </is>
      </c>
      <c r="B326" t="inlineStr">
        <is>
          <t>圆钢</t>
        </is>
      </c>
      <c r="C326" t="inlineStr">
        <is>
          <t>601328000</t>
        </is>
      </c>
      <c r="D326" t="inlineStr">
        <is>
          <t>不锈圆钢|圆钢|0Cr18Ni9|Φ25|空</t>
        </is>
      </c>
      <c r="E326" t="inlineStr">
        <is>
          <t xml:space="preserve">物资名称 不锈圆钢;物资简称 圆钢;牌号 0Cr18Ni9;直径 Φ25;技术标准号 空;加工工艺 ;热处理工艺 ;特殊要求 ;规格标准号 </t>
        </is>
      </c>
      <c r="F326" t="inlineStr">
        <is>
          <t>千克</t>
        </is>
      </c>
    </row>
    <row r="327">
      <c r="A327" t="inlineStr">
        <is>
          <t>100201</t>
        </is>
      </c>
      <c r="B327" t="inlineStr">
        <is>
          <t>圆钢</t>
        </is>
      </c>
      <c r="C327" t="inlineStr">
        <is>
          <t>601327900</t>
        </is>
      </c>
      <c r="D327" t="inlineStr">
        <is>
          <t>不锈圆钢|圆钢|0Cr18Ni9|Φ30|空</t>
        </is>
      </c>
      <c r="E327" t="inlineStr">
        <is>
          <t xml:space="preserve">物资名称 不锈圆钢;物资简称 圆钢;牌号 0Cr18Ni9;直径 Φ30;技术标准号 空;加工工艺 ;热处理工艺 ;特殊要求 ;规格标准号 </t>
        </is>
      </c>
      <c r="F327" t="inlineStr">
        <is>
          <t>千克</t>
        </is>
      </c>
    </row>
    <row r="328">
      <c r="A328" t="inlineStr">
        <is>
          <t>100201</t>
        </is>
      </c>
      <c r="B328" t="inlineStr">
        <is>
          <t>圆钢</t>
        </is>
      </c>
      <c r="C328" t="inlineStr">
        <is>
          <t>601327800</t>
        </is>
      </c>
      <c r="D328" t="inlineStr">
        <is>
          <t>不锈圆钢|圆钢|0Cr18Ni9|Φ35|空</t>
        </is>
      </c>
      <c r="E328" t="inlineStr">
        <is>
          <t xml:space="preserve">物资名称 不锈圆钢;物资简称 圆钢;牌号 0Cr18Ni9;直径 Φ35;技术标准号 空;加工工艺 ;热处理工艺 ;特殊要求 ;规格标准号 </t>
        </is>
      </c>
      <c r="F328" t="inlineStr">
        <is>
          <t>千克</t>
        </is>
      </c>
    </row>
    <row r="329">
      <c r="A329" t="inlineStr">
        <is>
          <t>100201</t>
        </is>
      </c>
      <c r="B329" t="inlineStr">
        <is>
          <t>圆钢</t>
        </is>
      </c>
      <c r="C329" t="inlineStr">
        <is>
          <t>601327700</t>
        </is>
      </c>
      <c r="D329" t="inlineStr">
        <is>
          <t>不锈圆钢|圆钢|0Cr18Ni9|Φ45|空</t>
        </is>
      </c>
      <c r="E329" t="inlineStr">
        <is>
          <t xml:space="preserve">物资名称 不锈圆钢;物资简称 圆钢;牌号 0Cr18Ni9;直径 Φ45;技术标准号 空;加工工艺 ;热处理工艺 ;特殊要求 ;规格标准号 </t>
        </is>
      </c>
      <c r="F329" t="inlineStr">
        <is>
          <t>千克</t>
        </is>
      </c>
    </row>
    <row r="330">
      <c r="A330" t="inlineStr">
        <is>
          <t>100201</t>
        </is>
      </c>
      <c r="B330" t="inlineStr">
        <is>
          <t>圆钢</t>
        </is>
      </c>
      <c r="C330" t="inlineStr">
        <is>
          <t>601327600</t>
        </is>
      </c>
      <c r="D330" t="inlineStr">
        <is>
          <t>不锈圆钢|圆钢|0Cr18Ni9|Φ80|空</t>
        </is>
      </c>
      <c r="E330" t="inlineStr">
        <is>
          <t xml:space="preserve">物资名称 不锈圆钢;物资简称 圆钢;牌号 0Cr18Ni9;直径 Φ80;技术标准号 空;加工工艺 ;热处理工艺 ;特殊要求 ;规格标准号 </t>
        </is>
      </c>
      <c r="F330" t="inlineStr">
        <is>
          <t>千克</t>
        </is>
      </c>
    </row>
    <row r="331">
      <c r="A331" t="inlineStr">
        <is>
          <t>100201</t>
        </is>
      </c>
      <c r="B331" t="inlineStr">
        <is>
          <t>圆钢</t>
        </is>
      </c>
      <c r="C331" t="inlineStr">
        <is>
          <t>601327500</t>
        </is>
      </c>
      <c r="D331" t="inlineStr">
        <is>
          <t>不锈圆钢|圆钢|0Cr18Ni9|Φ85|空</t>
        </is>
      </c>
      <c r="E331" t="inlineStr">
        <is>
          <t xml:space="preserve">物资名称 不锈圆钢;物资简称 圆钢;牌号 0Cr18Ni9;直径 Φ85;技术标准号 空;加工工艺 ;热处理工艺 ;特殊要求 ;规格标准号 </t>
        </is>
      </c>
      <c r="F331" t="inlineStr">
        <is>
          <t>千克</t>
        </is>
      </c>
    </row>
    <row r="332">
      <c r="A332" t="inlineStr">
        <is>
          <t>100201</t>
        </is>
      </c>
      <c r="B332" t="inlineStr">
        <is>
          <t>圆钢</t>
        </is>
      </c>
      <c r="C332" t="inlineStr">
        <is>
          <t>601327400</t>
        </is>
      </c>
      <c r="D332" t="inlineStr">
        <is>
          <t>不锈圆钢|圆钢|14Cr17Ni2|Φ10|空</t>
        </is>
      </c>
      <c r="E332" t="inlineStr">
        <is>
          <t xml:space="preserve">物资名称 不锈圆钢;物资简称 圆钢;牌号 14Cr17Ni2;直径 Φ10;技术标准号 空;加工工艺 ;热处理工艺 ;特殊要求 ;规格标准号 </t>
        </is>
      </c>
      <c r="F332" t="inlineStr">
        <is>
          <t>千克</t>
        </is>
      </c>
    </row>
    <row r="333">
      <c r="A333" t="inlineStr">
        <is>
          <t>100201</t>
        </is>
      </c>
      <c r="B333" t="inlineStr">
        <is>
          <t>圆钢</t>
        </is>
      </c>
      <c r="C333" t="inlineStr">
        <is>
          <t>601327300</t>
        </is>
      </c>
      <c r="D333" t="inlineStr">
        <is>
          <t>不锈圆钢|圆钢|1Cr13|Φ22|空</t>
        </is>
      </c>
      <c r="E333" t="inlineStr">
        <is>
          <t xml:space="preserve">物资名称 不锈圆钢;物资简称 圆钢;牌号 1Cr13;直径 Φ22;技术标准号 空;加工工艺 ;热处理工艺 ;特殊要求 ;规格标准号 </t>
        </is>
      </c>
      <c r="F333" t="inlineStr">
        <is>
          <t>千克</t>
        </is>
      </c>
    </row>
    <row r="334">
      <c r="A334" t="inlineStr">
        <is>
          <t>100201</t>
        </is>
      </c>
      <c r="B334" t="inlineStr">
        <is>
          <t>圆钢</t>
        </is>
      </c>
      <c r="C334" t="inlineStr">
        <is>
          <t>601327200</t>
        </is>
      </c>
      <c r="D334" t="inlineStr">
        <is>
          <t>不锈圆钢|圆钢|1Cr13|Φ35|空</t>
        </is>
      </c>
      <c r="E334" t="inlineStr">
        <is>
          <t xml:space="preserve">物资名称 不锈圆钢;物资简称 圆钢;牌号 1Cr13;直径 Φ35;技术标准号 空;加工工艺 ;热处理工艺 ;特殊要求 ;规格标准号 </t>
        </is>
      </c>
      <c r="F334" t="inlineStr">
        <is>
          <t>千克</t>
        </is>
      </c>
    </row>
    <row r="335">
      <c r="A335" t="inlineStr">
        <is>
          <t>100201</t>
        </is>
      </c>
      <c r="B335" t="inlineStr">
        <is>
          <t>圆钢</t>
        </is>
      </c>
      <c r="C335" t="inlineStr">
        <is>
          <t>601327100</t>
        </is>
      </c>
      <c r="D335" t="inlineStr">
        <is>
          <t>不锈圆钢|圆钢|1Cr13|Φ45|空</t>
        </is>
      </c>
      <c r="E335" t="inlineStr">
        <is>
          <t xml:space="preserve">物资名称 不锈圆钢;物资简称 圆钢;牌号 1Cr13;直径 Φ45;技术标准号 空;加工工艺 ;热处理工艺 ;特殊要求 ;规格标准号 </t>
        </is>
      </c>
      <c r="F335" t="inlineStr">
        <is>
          <t>千克</t>
        </is>
      </c>
    </row>
    <row r="336">
      <c r="A336" t="inlineStr">
        <is>
          <t>100201</t>
        </is>
      </c>
      <c r="B336" t="inlineStr">
        <is>
          <t>圆钢</t>
        </is>
      </c>
      <c r="C336" t="inlineStr">
        <is>
          <t>601327000</t>
        </is>
      </c>
      <c r="D336" t="inlineStr">
        <is>
          <t>不锈圆钢|圆钢|1Cr13|Φ60|空</t>
        </is>
      </c>
      <c r="E336" t="inlineStr">
        <is>
          <t xml:space="preserve">物资名称 不锈圆钢;物资简称 圆钢;牌号 1Cr13;直径 Φ60;技术标准号 空;加工工艺 ;热处理工艺 ;特殊要求 ;规格标准号 </t>
        </is>
      </c>
      <c r="F336" t="inlineStr">
        <is>
          <t>千克</t>
        </is>
      </c>
    </row>
    <row r="337">
      <c r="A337" t="inlineStr">
        <is>
          <t>100201</t>
        </is>
      </c>
      <c r="B337" t="inlineStr">
        <is>
          <t>圆钢</t>
        </is>
      </c>
      <c r="C337" t="inlineStr">
        <is>
          <t>601326900</t>
        </is>
      </c>
      <c r="D337" t="inlineStr">
        <is>
          <t>不锈圆钢|圆钢|1Cr13|Φ85|空</t>
        </is>
      </c>
      <c r="E337" t="inlineStr">
        <is>
          <t xml:space="preserve">物资名称 不锈圆钢;物资简称 圆钢;牌号 1Cr13;直径 Φ85;技术标准号 空;加工工艺 ;热处理工艺 ;特殊要求 ;规格标准号 </t>
        </is>
      </c>
      <c r="F337" t="inlineStr">
        <is>
          <t>千克</t>
        </is>
      </c>
    </row>
    <row r="338">
      <c r="A338" t="inlineStr">
        <is>
          <t>100201</t>
        </is>
      </c>
      <c r="B338" t="inlineStr">
        <is>
          <t>圆钢</t>
        </is>
      </c>
      <c r="C338" t="inlineStr">
        <is>
          <t>601326800</t>
        </is>
      </c>
      <c r="D338" t="inlineStr">
        <is>
          <t>不锈圆钢|圆钢|1Cr17Ni2|Φ25|空</t>
        </is>
      </c>
      <c r="E338" t="inlineStr">
        <is>
          <t xml:space="preserve">物资名称 不锈圆钢;物资简称 圆钢;牌号 1Cr17Ni2;直径 Φ25;技术标准号 空;加工工艺 ;热处理工艺 ;特殊要求 ;规格标准号 </t>
        </is>
      </c>
      <c r="F338" t="inlineStr">
        <is>
          <t>千克</t>
        </is>
      </c>
    </row>
    <row r="339">
      <c r="A339" t="inlineStr">
        <is>
          <t>100201</t>
        </is>
      </c>
      <c r="B339" t="inlineStr">
        <is>
          <t>圆钢</t>
        </is>
      </c>
      <c r="C339" t="inlineStr">
        <is>
          <t>601326700</t>
        </is>
      </c>
      <c r="D339" t="inlineStr">
        <is>
          <t>不锈圆钢|圆钢|1Cr17Ni2|Φ8|空</t>
        </is>
      </c>
      <c r="E339" t="inlineStr">
        <is>
          <t xml:space="preserve">物资名称 不锈圆钢;物资简称 圆钢;牌号 1Cr17Ni2;直径 Φ8;技术标准号 空;加工工艺 ;热处理工艺 ;特殊要求 ;规格标准号 </t>
        </is>
      </c>
      <c r="F339" t="inlineStr">
        <is>
          <t>千克</t>
        </is>
      </c>
    </row>
    <row r="340">
      <c r="A340" t="inlineStr">
        <is>
          <t>100201</t>
        </is>
      </c>
      <c r="B340" t="inlineStr">
        <is>
          <t>圆钢</t>
        </is>
      </c>
      <c r="C340" t="inlineStr">
        <is>
          <t>601326600</t>
        </is>
      </c>
      <c r="D340" t="inlineStr">
        <is>
          <t>不锈圆钢|圆钢|1Cr17Ni2|Φ90|空</t>
        </is>
      </c>
      <c r="E340" t="inlineStr">
        <is>
          <t xml:space="preserve">物资名称 不锈圆钢;物资简称 圆钢;牌号 1Cr17Ni2;直径 Φ90;技术标准号 空;加工工艺 ;热处理工艺 ;特殊要求 ;规格标准号 </t>
        </is>
      </c>
      <c r="F340" t="inlineStr">
        <is>
          <t>千克</t>
        </is>
      </c>
    </row>
    <row r="341">
      <c r="A341" t="inlineStr">
        <is>
          <t>100201</t>
        </is>
      </c>
      <c r="B341" t="inlineStr">
        <is>
          <t>圆钢</t>
        </is>
      </c>
      <c r="C341" t="inlineStr">
        <is>
          <t>601326500</t>
        </is>
      </c>
      <c r="D341" t="inlineStr">
        <is>
          <t>航空用不锈圆钢|圆钢|1Cr18Ni9Ti|Φ10|GJB 2294-1995</t>
        </is>
      </c>
      <c r="E341" t="inlineStr">
        <is>
          <t xml:space="preserve">物资名称 航空用不锈圆钢;物资简称 圆钢;牌号 1Cr18Ni9Ti;直径 Φ10;技术标准号 GJB 2294-1995;加工工艺 ;热处理工艺 ;特殊要求 ;规格标准号 </t>
        </is>
      </c>
      <c r="F341" t="inlineStr">
        <is>
          <t>千克</t>
        </is>
      </c>
    </row>
    <row r="342">
      <c r="A342" t="inlineStr">
        <is>
          <t>100201</t>
        </is>
      </c>
      <c r="B342" t="inlineStr">
        <is>
          <t>圆钢</t>
        </is>
      </c>
      <c r="C342" t="inlineStr">
        <is>
          <t>601326400</t>
        </is>
      </c>
      <c r="D342" t="inlineStr">
        <is>
          <t>航空用不锈圆钢|圆钢|1Cr18Ni9Ti|Φ110|GJB 2294-1995</t>
        </is>
      </c>
      <c r="E342" t="inlineStr">
        <is>
          <t xml:space="preserve">物资名称 航空用不锈圆钢;物资简称 圆钢;牌号 1Cr18Ni9Ti;直径 Φ110;技术标准号 GJB 2294-1995;加工工艺 ;热处理工艺 ;特殊要求 ;规格标准号 </t>
        </is>
      </c>
      <c r="F342" t="inlineStr">
        <is>
          <t>千克</t>
        </is>
      </c>
    </row>
    <row r="343">
      <c r="A343" t="inlineStr">
        <is>
          <t>100201</t>
        </is>
      </c>
      <c r="B343" t="inlineStr">
        <is>
          <t>圆钢</t>
        </is>
      </c>
      <c r="C343" t="inlineStr">
        <is>
          <t>601326300</t>
        </is>
      </c>
      <c r="D343" t="inlineStr">
        <is>
          <t>航空用不锈圆钢|圆钢|1Cr18Ni9Ti|Φ15|GJB 2294-1995</t>
        </is>
      </c>
      <c r="E343" t="inlineStr">
        <is>
          <t xml:space="preserve">物资名称 航空用不锈圆钢;物资简称 圆钢;牌号 1Cr18Ni9Ti;直径 Φ15;技术标准号 GJB 2294-1995;加工工艺 ;热处理工艺 ;特殊要求 ;规格标准号 </t>
        </is>
      </c>
      <c r="F343" t="inlineStr">
        <is>
          <t>千克</t>
        </is>
      </c>
    </row>
    <row r="344">
      <c r="A344" t="inlineStr">
        <is>
          <t>100201</t>
        </is>
      </c>
      <c r="B344" t="inlineStr">
        <is>
          <t>圆钢</t>
        </is>
      </c>
      <c r="C344" t="inlineStr">
        <is>
          <t>601326200</t>
        </is>
      </c>
      <c r="D344" t="inlineStr">
        <is>
          <t>航空用不锈圆钢|圆钢|1Cr18Ni9Ti|Φ20|GJB 2294-1995</t>
        </is>
      </c>
      <c r="E344" t="inlineStr">
        <is>
          <t xml:space="preserve">物资名称 航空用不锈圆钢;物资简称 圆钢;牌号 1Cr18Ni9Ti;直径 Φ20;技术标准号 GJB 2294-1995;加工工艺 ;热处理工艺 ;特殊要求 ;规格标准号 </t>
        </is>
      </c>
      <c r="F344" t="inlineStr">
        <is>
          <t>千克</t>
        </is>
      </c>
    </row>
    <row r="345">
      <c r="A345" t="inlineStr">
        <is>
          <t>100201</t>
        </is>
      </c>
      <c r="B345" t="inlineStr">
        <is>
          <t>圆钢</t>
        </is>
      </c>
      <c r="C345" t="inlineStr">
        <is>
          <t>601326100</t>
        </is>
      </c>
      <c r="D345" t="inlineStr">
        <is>
          <t>航空用不锈圆钢|圆钢|1Cr18Ni9Ti|Φ35|GJB 2294-1995</t>
        </is>
      </c>
      <c r="E345" t="inlineStr">
        <is>
          <t xml:space="preserve">物资名称 航空用不锈圆钢;物资简称 圆钢;牌号 1Cr18Ni9Ti;直径 Φ35;技术标准号 GJB 2294-1995;加工工艺 ;热处理工艺 ;特殊要求 ;规格标准号 </t>
        </is>
      </c>
      <c r="F345" t="inlineStr">
        <is>
          <t>千克</t>
        </is>
      </c>
    </row>
    <row r="346">
      <c r="A346" t="inlineStr">
        <is>
          <t>100201</t>
        </is>
      </c>
      <c r="B346" t="inlineStr">
        <is>
          <t>圆钢</t>
        </is>
      </c>
      <c r="C346" t="inlineStr">
        <is>
          <t>601326000</t>
        </is>
      </c>
      <c r="D346" t="inlineStr">
        <is>
          <t>不锈圆钢|圆钢|1Cr18Ni9Ti|Φ55|空</t>
        </is>
      </c>
      <c r="E346" t="inlineStr">
        <is>
          <t xml:space="preserve">物资名称 不锈圆钢;物资简称 圆钢;牌号 1Cr18Ni9Ti;直径 Φ55;技术标准号 空;加工工艺 ;热处理工艺 ;特殊要求 ;规格标准号 </t>
        </is>
      </c>
      <c r="F346" t="inlineStr">
        <is>
          <t>千克</t>
        </is>
      </c>
    </row>
    <row r="347">
      <c r="A347" t="inlineStr">
        <is>
          <t>100201</t>
        </is>
      </c>
      <c r="B347" t="inlineStr">
        <is>
          <t>圆钢</t>
        </is>
      </c>
      <c r="C347" t="inlineStr">
        <is>
          <t>601325900</t>
        </is>
      </c>
      <c r="D347" t="inlineStr">
        <is>
          <t>航空用不锈圆钢|圆钢|1Cr18Ni9Ti|Φ55|GJB 2294-1995</t>
        </is>
      </c>
      <c r="E347" t="inlineStr">
        <is>
          <t xml:space="preserve">物资名称 航空用不锈圆钢;物资简称 圆钢;牌号 1Cr18Ni9Ti;直径 Φ55;技术标准号 GJB 2294-1995;加工工艺 ;热处理工艺 ;特殊要求 ;规格标准号 </t>
        </is>
      </c>
      <c r="F347" t="inlineStr">
        <is>
          <t>千克</t>
        </is>
      </c>
    </row>
    <row r="348">
      <c r="A348" t="inlineStr">
        <is>
          <t>100201</t>
        </is>
      </c>
      <c r="B348" t="inlineStr">
        <is>
          <t>圆钢</t>
        </is>
      </c>
      <c r="C348" t="inlineStr">
        <is>
          <t>601325800</t>
        </is>
      </c>
      <c r="D348" t="inlineStr">
        <is>
          <t>航空用不锈圆钢|圆钢|1Cr18Ni9Ti|Φ85|GJB 2294-1995</t>
        </is>
      </c>
      <c r="E348" t="inlineStr">
        <is>
          <t xml:space="preserve">物资名称 航空用不锈圆钢;物资简称 圆钢;牌号 1Cr18Ni9Ti;直径 Φ85;技术标准号 GJB 2294-1995;加工工艺 ;热处理工艺 ;特殊要求 ;规格标准号 </t>
        </is>
      </c>
      <c r="F348" t="inlineStr">
        <is>
          <t>千克</t>
        </is>
      </c>
    </row>
    <row r="349">
      <c r="A349" t="inlineStr">
        <is>
          <t>100201</t>
        </is>
      </c>
      <c r="B349" t="inlineStr">
        <is>
          <t>圆钢</t>
        </is>
      </c>
      <c r="C349" t="inlineStr">
        <is>
          <t>601325700</t>
        </is>
      </c>
      <c r="D349" t="inlineStr">
        <is>
          <t>航空用不锈圆钢|圆钢|1Cr18Ni9Ti|Φ90|GJB 2294-1995</t>
        </is>
      </c>
      <c r="E349" t="inlineStr">
        <is>
          <t xml:space="preserve">物资名称 航空用不锈圆钢;物资简称 圆钢;牌号 1Cr18Ni9Ti;直径 Φ90;技术标准号 GJB 2294-1995;加工工艺 ;热处理工艺 ;特殊要求 ;规格标准号 </t>
        </is>
      </c>
      <c r="F349" t="inlineStr">
        <is>
          <t>千克</t>
        </is>
      </c>
    </row>
    <row r="350">
      <c r="A350" t="inlineStr">
        <is>
          <t>100201</t>
        </is>
      </c>
      <c r="B350" t="inlineStr">
        <is>
          <t>圆钢</t>
        </is>
      </c>
      <c r="C350" t="inlineStr">
        <is>
          <t>601325600</t>
        </is>
      </c>
      <c r="D350" t="inlineStr">
        <is>
          <t>不锈圆钢|圆钢|2Cr13|Φ32|空</t>
        </is>
      </c>
      <c r="E350" t="inlineStr">
        <is>
          <t xml:space="preserve">物资名称 不锈圆钢;物资简称 圆钢;牌号 2Cr13;直径 Φ32;技术标准号 空;加工工艺 ;热处理工艺 ;特殊要求 ;规格标准号 </t>
        </is>
      </c>
      <c r="F350" t="inlineStr">
        <is>
          <t>千克</t>
        </is>
      </c>
    </row>
    <row r="351">
      <c r="A351" t="inlineStr">
        <is>
          <t>100201</t>
        </is>
      </c>
      <c r="B351" t="inlineStr">
        <is>
          <t>圆钢</t>
        </is>
      </c>
      <c r="C351" t="inlineStr">
        <is>
          <t>601325500</t>
        </is>
      </c>
      <c r="D351" t="inlineStr">
        <is>
          <t>不锈圆钢|圆钢|2Cr13Ni2|Φ36|空</t>
        </is>
      </c>
      <c r="E351" t="inlineStr">
        <is>
          <t xml:space="preserve">物资名称 不锈圆钢;物资简称 圆钢;牌号 2Cr13Ni2;直径 Φ36;技术标准号 空;加工工艺 ;热处理工艺 ;特殊要求 ;规格标准号 </t>
        </is>
      </c>
      <c r="F351" t="inlineStr">
        <is>
          <t>千克</t>
        </is>
      </c>
    </row>
    <row r="352">
      <c r="A352" t="inlineStr">
        <is>
          <t>100201</t>
        </is>
      </c>
      <c r="B352" t="inlineStr">
        <is>
          <t>圆钢</t>
        </is>
      </c>
      <c r="C352" t="inlineStr">
        <is>
          <t>601325400</t>
        </is>
      </c>
      <c r="D352" t="inlineStr">
        <is>
          <t>不锈圆钢|圆钢|2Cr13Ni2|Φ65|空</t>
        </is>
      </c>
      <c r="E352" t="inlineStr">
        <is>
          <t xml:space="preserve">物资名称 不锈圆钢;物资简称 圆钢;牌号 2Cr13Ni2;直径 Φ65;技术标准号 空;加工工艺 ;热处理工艺 ;特殊要求 ;规格标准号 </t>
        </is>
      </c>
      <c r="F352" t="inlineStr">
        <is>
          <t>千克</t>
        </is>
      </c>
    </row>
    <row r="353">
      <c r="A353" t="inlineStr">
        <is>
          <t>100201</t>
        </is>
      </c>
      <c r="B353" t="inlineStr">
        <is>
          <t>圆钢</t>
        </is>
      </c>
      <c r="C353" t="inlineStr">
        <is>
          <t>601325300</t>
        </is>
      </c>
      <c r="D353" t="inlineStr">
        <is>
          <t>不锈圆钢|圆钢|2Cr13Ni2|Φ70|空</t>
        </is>
      </c>
      <c r="E353" t="inlineStr">
        <is>
          <t xml:space="preserve">物资名称 不锈圆钢;物资简称 圆钢;牌号 2Cr13Ni2;直径 Φ70;技术标准号 空;加工工艺 ;热处理工艺 ;特殊要求 ;规格标准号 </t>
        </is>
      </c>
      <c r="F353" t="inlineStr">
        <is>
          <t>千克</t>
        </is>
      </c>
    </row>
    <row r="354">
      <c r="A354" t="inlineStr">
        <is>
          <t>100201</t>
        </is>
      </c>
      <c r="B354" t="inlineStr">
        <is>
          <t>圆钢</t>
        </is>
      </c>
      <c r="C354" t="inlineStr">
        <is>
          <t>601325200</t>
        </is>
      </c>
      <c r="D354" t="inlineStr">
        <is>
          <t>不锈圆钢|圆钢|2Cr13Ni2|Φ75|空</t>
        </is>
      </c>
      <c r="E354" t="inlineStr">
        <is>
          <t xml:space="preserve">物资名称 不锈圆钢;物资简称 圆钢;牌号 2Cr13Ni2;直径 Φ75;技术标准号 空;加工工艺 ;热处理工艺 ;特殊要求 ;规格标准号 </t>
        </is>
      </c>
      <c r="F354" t="inlineStr">
        <is>
          <t>千克</t>
        </is>
      </c>
    </row>
    <row r="355">
      <c r="A355" t="inlineStr">
        <is>
          <t>100201</t>
        </is>
      </c>
      <c r="B355" t="inlineStr">
        <is>
          <t>圆钢</t>
        </is>
      </c>
      <c r="C355" t="inlineStr">
        <is>
          <t>601325100</t>
        </is>
      </c>
      <c r="D355" t="inlineStr">
        <is>
          <t>不锈圆钢|圆钢|40Cr13|Φ25|空</t>
        </is>
      </c>
      <c r="E355" t="inlineStr">
        <is>
          <t xml:space="preserve">物资名称 不锈圆钢;物资简称 圆钢;牌号 40Cr13;直径 Φ25;技术标准号 空;加工工艺 ;热处理工艺 ;特殊要求 ;规格标准号 </t>
        </is>
      </c>
      <c r="F355" t="inlineStr">
        <is>
          <t>千克</t>
        </is>
      </c>
    </row>
    <row r="356">
      <c r="A356" t="inlineStr">
        <is>
          <t>100201</t>
        </is>
      </c>
      <c r="B356" t="inlineStr">
        <is>
          <t>圆钢</t>
        </is>
      </c>
      <c r="C356" t="inlineStr">
        <is>
          <t>601325000</t>
        </is>
      </c>
      <c r="D356" t="inlineStr">
        <is>
          <t>不锈圆钢|圆钢|4Cr13|Φ100|空</t>
        </is>
      </c>
      <c r="E356" t="inlineStr">
        <is>
          <t xml:space="preserve">物资名称 不锈圆钢;物资简称 圆钢;牌号 4Cr13;直径 Φ100;技术标准号 空;加工工艺 ;热处理工艺 ;特殊要求 ;规格标准号 </t>
        </is>
      </c>
      <c r="F356" t="inlineStr">
        <is>
          <t>千克</t>
        </is>
      </c>
    </row>
    <row r="357">
      <c r="A357" t="inlineStr">
        <is>
          <t>100201</t>
        </is>
      </c>
      <c r="B357" t="inlineStr">
        <is>
          <t>圆钢</t>
        </is>
      </c>
      <c r="C357" t="inlineStr">
        <is>
          <t>601324900</t>
        </is>
      </c>
      <c r="D357" t="inlineStr">
        <is>
          <t>不锈圆钢|圆钢|4Cr13|Φ18|空</t>
        </is>
      </c>
      <c r="E357" t="inlineStr">
        <is>
          <t xml:space="preserve">物资名称 不锈圆钢;物资简称 圆钢;牌号 4Cr13;直径 Φ18;技术标准号 空;加工工艺 ;热处理工艺 ;特殊要求 ;规格标准号 </t>
        </is>
      </c>
      <c r="F357" t="inlineStr">
        <is>
          <t>千克</t>
        </is>
      </c>
    </row>
    <row r="358">
      <c r="A358" t="inlineStr">
        <is>
          <t>100201</t>
        </is>
      </c>
      <c r="B358" t="inlineStr">
        <is>
          <t>圆钢</t>
        </is>
      </c>
      <c r="C358" t="inlineStr">
        <is>
          <t>601324800</t>
        </is>
      </c>
      <c r="D358" t="inlineStr">
        <is>
          <t>不锈圆钢|圆钢|Y1Cr18Ni9|Φ40|空</t>
        </is>
      </c>
      <c r="E358" t="inlineStr">
        <is>
          <t xml:space="preserve">物资名称 不锈圆钢;物资简称 圆钢;牌号 Y1Cr18Ni9;直径 Φ40;技术标准号 空;加工工艺 ;热处理工艺 ;特殊要求 ;规格标准号 </t>
        </is>
      </c>
      <c r="F358" t="inlineStr">
        <is>
          <t>千克</t>
        </is>
      </c>
    </row>
    <row r="359">
      <c r="A359" t="inlineStr">
        <is>
          <t>100201</t>
        </is>
      </c>
      <c r="B359" t="inlineStr">
        <is>
          <t>圆钢</t>
        </is>
      </c>
      <c r="C359" t="inlineStr">
        <is>
          <t>601324700</t>
        </is>
      </c>
      <c r="D359" t="inlineStr">
        <is>
          <t>不锈圆钢|圆钢|Y2Cr13Ni2|Φ60|空</t>
        </is>
      </c>
      <c r="E359" t="inlineStr">
        <is>
          <t xml:space="preserve">物资名称 不锈圆钢;物资简称 圆钢;牌号 Y2Cr13Ni2;直径 Φ60;技术标准号 空;加工工艺 ;热处理工艺 ;特殊要求 ;规格标准号 </t>
        </is>
      </c>
      <c r="F359" t="inlineStr">
        <is>
          <t>千克</t>
        </is>
      </c>
    </row>
    <row r="360">
      <c r="A360" t="inlineStr">
        <is>
          <t>100201</t>
        </is>
      </c>
      <c r="B360" t="inlineStr">
        <is>
          <t>圆钢</t>
        </is>
      </c>
      <c r="C360" t="inlineStr">
        <is>
          <t>601324600</t>
        </is>
      </c>
      <c r="D360" t="inlineStr">
        <is>
          <t>不锈圆钢|圆钢|0Cr25Ni20|Φ200|空|耐热</t>
        </is>
      </c>
      <c r="E360" t="inlineStr">
        <is>
          <t xml:space="preserve">物资名称 不锈圆钢;物资简称 圆钢;牌号 0Cr25Ni20;直径 Φ200;技术标准号 空;加工工艺 ;热处理工艺 ;特殊要求 耐热;规格标准号 </t>
        </is>
      </c>
      <c r="F360" t="inlineStr">
        <is>
          <t>千克</t>
        </is>
      </c>
    </row>
    <row r="361">
      <c r="A361" t="inlineStr">
        <is>
          <t>100201</t>
        </is>
      </c>
      <c r="B361" t="inlineStr">
        <is>
          <t>圆钢</t>
        </is>
      </c>
      <c r="C361" t="inlineStr">
        <is>
          <t>601324500</t>
        </is>
      </c>
      <c r="D361" t="inlineStr">
        <is>
          <t>不锈圆钢|圆钢|2Cr15Mn15Ni2N|Φ20|空|抗磁</t>
        </is>
      </c>
      <c r="E361" t="inlineStr">
        <is>
          <t xml:space="preserve">物资名称 不锈圆钢;物资简称 圆钢;牌号 2Cr15Mn15Ni2N;直径 Φ20;技术标准号 空;加工工艺 ;热处理工艺 ;特殊要求 抗磁;规格标准号 </t>
        </is>
      </c>
      <c r="F361" t="inlineStr">
        <is>
          <t>千克</t>
        </is>
      </c>
    </row>
    <row r="362">
      <c r="A362" t="inlineStr">
        <is>
          <t>100201</t>
        </is>
      </c>
      <c r="B362" t="inlineStr">
        <is>
          <t>圆钢</t>
        </is>
      </c>
      <c r="C362" t="inlineStr">
        <is>
          <t>601324400</t>
        </is>
      </c>
      <c r="D362" t="inlineStr">
        <is>
          <t>不锈圆钢|圆钢|2Cr15Mn15Ni2N|Φ30|空|抗磁</t>
        </is>
      </c>
      <c r="E362" t="inlineStr">
        <is>
          <t xml:space="preserve">物资名称 不锈圆钢;物资简称 圆钢;牌号 2Cr15Mn15Ni2N;直径 Φ30;技术标准号 空;加工工艺 ;热处理工艺 ;特殊要求 抗磁;规格标准号 </t>
        </is>
      </c>
      <c r="F362" t="inlineStr">
        <is>
          <t>千克</t>
        </is>
      </c>
    </row>
    <row r="363">
      <c r="A363" t="inlineStr">
        <is>
          <t>100201</t>
        </is>
      </c>
      <c r="B363" t="inlineStr">
        <is>
          <t>圆钢</t>
        </is>
      </c>
      <c r="C363" t="inlineStr">
        <is>
          <t>601324300</t>
        </is>
      </c>
      <c r="D363" t="inlineStr">
        <is>
          <t>不锈圆钢|圆钢|2Cr15Mn15Ni2N|Φ40|空|抗磁</t>
        </is>
      </c>
      <c r="E363" t="inlineStr">
        <is>
          <t xml:space="preserve">物资名称 不锈圆钢;物资简称 圆钢;牌号 2Cr15Mn15Ni2N;直径 Φ40;技术标准号 空;加工工艺 ;热处理工艺 ;特殊要求 抗磁;规格标准号 </t>
        </is>
      </c>
      <c r="F363" t="inlineStr">
        <is>
          <t>千克</t>
        </is>
      </c>
    </row>
    <row r="364">
      <c r="A364" t="inlineStr">
        <is>
          <t>100201</t>
        </is>
      </c>
      <c r="B364" t="inlineStr">
        <is>
          <t>圆钢</t>
        </is>
      </c>
      <c r="C364" t="inlineStr">
        <is>
          <t>601324200</t>
        </is>
      </c>
      <c r="D364" t="inlineStr">
        <is>
          <t>不锈圆钢|圆钢|2Cr15Mn15Ni2N|Φ5|空|抗磁</t>
        </is>
      </c>
      <c r="E364" t="inlineStr">
        <is>
          <t xml:space="preserve">物资名称 不锈圆钢;物资简称 圆钢;牌号 2Cr15Mn15Ni2N;直径 Φ5;技术标准号 空;加工工艺 ;热处理工艺 ;特殊要求 抗磁;规格标准号 </t>
        </is>
      </c>
      <c r="F364" t="inlineStr">
        <is>
          <t>千克</t>
        </is>
      </c>
    </row>
    <row r="365">
      <c r="A365" t="inlineStr">
        <is>
          <t>100201</t>
        </is>
      </c>
      <c r="B365" t="inlineStr">
        <is>
          <t>圆钢</t>
        </is>
      </c>
      <c r="C365" t="inlineStr">
        <is>
          <t>601324100</t>
        </is>
      </c>
      <c r="D365" t="inlineStr">
        <is>
          <t>不锈圆钢|圆钢|2Cr15Mn15Ni2N|Φ90|空|抗磁</t>
        </is>
      </c>
      <c r="E365" t="inlineStr">
        <is>
          <t xml:space="preserve">物资名称 不锈圆钢;物资简称 圆钢;牌号 2Cr15Mn15Ni2N;直径 Φ90;技术标准号 空;加工工艺 ;热处理工艺 ;特殊要求 抗磁;规格标准号 </t>
        </is>
      </c>
      <c r="F365" t="inlineStr">
        <is>
          <t>千克</t>
        </is>
      </c>
    </row>
    <row r="366">
      <c r="A366" t="inlineStr">
        <is>
          <t>100201</t>
        </is>
      </c>
      <c r="B366" t="inlineStr">
        <is>
          <t>圆钢</t>
        </is>
      </c>
      <c r="C366" t="inlineStr">
        <is>
          <t>601324000</t>
        </is>
      </c>
      <c r="D366" t="inlineStr">
        <is>
          <t>合金弹簧圆钢|圆钢|60Si2Mn|Φ16|空</t>
        </is>
      </c>
      <c r="E366" t="inlineStr">
        <is>
          <t xml:space="preserve">物资名称 合金弹簧圆钢;物资简称 圆钢;牌号 60Si2Mn;直径 Φ16;技术标准号 空;加工工艺 ;热处理工艺 ;特殊要求 ;规格标准号 </t>
        </is>
      </c>
      <c r="F366" t="inlineStr">
        <is>
          <t>千克</t>
        </is>
      </c>
    </row>
    <row r="367">
      <c r="A367" t="inlineStr">
        <is>
          <t>100201</t>
        </is>
      </c>
      <c r="B367" t="inlineStr">
        <is>
          <t>圆钢</t>
        </is>
      </c>
      <c r="C367" t="inlineStr">
        <is>
          <t>601323900</t>
        </is>
      </c>
      <c r="D367" t="inlineStr">
        <is>
          <t>低膨胀合金圆钢|圆钢|4J32|Φ100|空</t>
        </is>
      </c>
      <c r="E367" t="inlineStr">
        <is>
          <t xml:space="preserve">物资名称 低膨胀合金圆钢;物资简称 圆钢;牌号 4J32;直径 Φ100;技术标准号 空;加工工艺 ;热处理工艺 ;特殊要求 ;规格标准号 </t>
        </is>
      </c>
      <c r="F367" t="inlineStr">
        <is>
          <t>千克</t>
        </is>
      </c>
    </row>
    <row r="368">
      <c r="A368" t="inlineStr">
        <is>
          <t>100201</t>
        </is>
      </c>
      <c r="B368" t="inlineStr">
        <is>
          <t>圆钢</t>
        </is>
      </c>
      <c r="C368" t="inlineStr">
        <is>
          <t>601323800</t>
        </is>
      </c>
      <c r="D368" t="inlineStr">
        <is>
          <t>低膨胀合金圆钢|圆钢|4J32|Φ50|空</t>
        </is>
      </c>
      <c r="E368" t="inlineStr">
        <is>
          <t xml:space="preserve">物资名称 低膨胀合金圆钢;物资简称 圆钢;牌号 4J32;直径 Φ50;技术标准号 空;加工工艺 ;热处理工艺 ;特殊要求 ;规格标准号 </t>
        </is>
      </c>
      <c r="F368" t="inlineStr">
        <is>
          <t>千克</t>
        </is>
      </c>
    </row>
    <row r="369">
      <c r="A369" t="inlineStr">
        <is>
          <t>100201</t>
        </is>
      </c>
      <c r="B369" t="inlineStr">
        <is>
          <t>圆钢</t>
        </is>
      </c>
      <c r="C369" t="inlineStr">
        <is>
          <t>601323400</t>
        </is>
      </c>
      <c r="D369" t="inlineStr">
        <is>
          <t>高速工具圆钢|圆钢|6542|Φ25|空</t>
        </is>
      </c>
      <c r="E369" t="inlineStr">
        <is>
          <t xml:space="preserve">物资名称 高速工具圆钢;物资简称 圆钢;牌号 6542;直径 Φ25;技术标准号 空;加工工艺 ;热处理工艺 ;特殊要求 ;规格标准号 </t>
        </is>
      </c>
      <c r="F369" t="inlineStr">
        <is>
          <t>千克</t>
        </is>
      </c>
    </row>
    <row r="370">
      <c r="A370" t="inlineStr">
        <is>
          <t>100201</t>
        </is>
      </c>
      <c r="B370" t="inlineStr">
        <is>
          <t>圆钢</t>
        </is>
      </c>
      <c r="C370" t="inlineStr">
        <is>
          <t>601323300</t>
        </is>
      </c>
      <c r="D370" t="inlineStr">
        <is>
          <t>高速工具圆钢|圆钢|6542|Φ40|空</t>
        </is>
      </c>
      <c r="E370" t="inlineStr">
        <is>
          <t xml:space="preserve">物资名称 高速工具圆钢;物资简称 圆钢;牌号 6542;直径 Φ40;技术标准号 空;加工工艺 ;热处理工艺 ;特殊要求 ;规格标准号 </t>
        </is>
      </c>
      <c r="F370" t="inlineStr">
        <is>
          <t>千克</t>
        </is>
      </c>
    </row>
    <row r="371">
      <c r="A371" t="inlineStr">
        <is>
          <t>100201</t>
        </is>
      </c>
      <c r="B371" t="inlineStr">
        <is>
          <t>圆钢</t>
        </is>
      </c>
      <c r="C371" t="inlineStr">
        <is>
          <t>601323200</t>
        </is>
      </c>
      <c r="D371" t="inlineStr">
        <is>
          <t>高速工具圆钢|圆钢|W18Cr4V|Φ100|空</t>
        </is>
      </c>
      <c r="E371" t="inlineStr">
        <is>
          <t xml:space="preserve">物资名称 高速工具圆钢;物资简称 圆钢;牌号 W18Cr4V;直径 Φ100;技术标准号 空;加工工艺 ;热处理工艺 ;特殊要求 ;规格标准号 </t>
        </is>
      </c>
      <c r="F371" t="inlineStr">
        <is>
          <t>千克</t>
        </is>
      </c>
    </row>
    <row r="372">
      <c r="A372" t="inlineStr">
        <is>
          <t>100201</t>
        </is>
      </c>
      <c r="B372" t="inlineStr">
        <is>
          <t>圆钢</t>
        </is>
      </c>
      <c r="C372" t="inlineStr">
        <is>
          <t>601323100</t>
        </is>
      </c>
      <c r="D372" t="inlineStr">
        <is>
          <t>合金工具圆钢|圆钢|3Cr2W8V|Φ60|空</t>
        </is>
      </c>
      <c r="E372" t="inlineStr">
        <is>
          <t xml:space="preserve">物资名称 合金工具圆钢;物资简称 圆钢;牌号 3Cr2W8V;直径 Φ60;技术标准号 空;加工工艺 ;热处理工艺 ;特殊要求 ;规格标准号 </t>
        </is>
      </c>
      <c r="F372" t="inlineStr">
        <is>
          <t>千克</t>
        </is>
      </c>
    </row>
    <row r="373">
      <c r="A373" t="inlineStr">
        <is>
          <t>100201</t>
        </is>
      </c>
      <c r="B373" t="inlineStr">
        <is>
          <t>圆钢</t>
        </is>
      </c>
      <c r="C373" t="inlineStr">
        <is>
          <t>601323000</t>
        </is>
      </c>
      <c r="D373" t="inlineStr">
        <is>
          <t>合金工具圆钢|圆钢|3Cr2W8V|Φ70|空</t>
        </is>
      </c>
      <c r="E373" t="inlineStr">
        <is>
          <t xml:space="preserve">物资名称 合金工具圆钢;物资简称 圆钢;牌号 3Cr2W8V;直径 Φ70;技术标准号 空;加工工艺 ;热处理工艺 ;特殊要求 ;规格标准号 </t>
        </is>
      </c>
      <c r="F373" t="inlineStr">
        <is>
          <t>千克</t>
        </is>
      </c>
    </row>
    <row r="374">
      <c r="A374" t="inlineStr">
        <is>
          <t>100201</t>
        </is>
      </c>
      <c r="B374" t="inlineStr">
        <is>
          <t>圆钢</t>
        </is>
      </c>
      <c r="C374" t="inlineStr">
        <is>
          <t>601322900</t>
        </is>
      </c>
      <c r="D374" t="inlineStr">
        <is>
          <t>合金工具圆钢|圆钢|3Cr2W8V|Φ80|空</t>
        </is>
      </c>
      <c r="E374" t="inlineStr">
        <is>
          <t xml:space="preserve">物资名称 合金工具圆钢;物资简称 圆钢;牌号 3Cr2W8V;直径 Φ80;技术标准号 空;加工工艺 ;热处理工艺 ;特殊要求 ;规格标准号 </t>
        </is>
      </c>
      <c r="F374" t="inlineStr">
        <is>
          <t>千克</t>
        </is>
      </c>
    </row>
    <row r="375">
      <c r="A375" t="inlineStr">
        <is>
          <t>100201</t>
        </is>
      </c>
      <c r="B375" t="inlineStr">
        <is>
          <t>圆钢</t>
        </is>
      </c>
      <c r="C375" t="inlineStr">
        <is>
          <t>601322800</t>
        </is>
      </c>
      <c r="D375" t="inlineStr">
        <is>
          <t>合金工具圆钢|圆钢|Cr12MoV|Φ30|空</t>
        </is>
      </c>
      <c r="E375" t="inlineStr">
        <is>
          <t xml:space="preserve">物资名称 合金工具圆钢;物资简称 圆钢;牌号 Cr12MoV;直径 Φ30;技术标准号 空;加工工艺 ;热处理工艺 ;特殊要求 ;规格标准号 </t>
        </is>
      </c>
      <c r="F375" t="inlineStr">
        <is>
          <t>千克</t>
        </is>
      </c>
    </row>
    <row r="376">
      <c r="A376" t="inlineStr">
        <is>
          <t>100201</t>
        </is>
      </c>
      <c r="B376" t="inlineStr">
        <is>
          <t>圆钢</t>
        </is>
      </c>
      <c r="C376" t="inlineStr">
        <is>
          <t>601322700</t>
        </is>
      </c>
      <c r="D376" t="inlineStr">
        <is>
          <t>合金工具圆钢|圆钢|Cr12MoV|Φ80|空</t>
        </is>
      </c>
      <c r="E376" t="inlineStr">
        <is>
          <t xml:space="preserve">物资名称 合金工具圆钢;物资简称 圆钢;牌号 Cr12MoV;直径 Φ80;技术标准号 空;加工工艺 ;热处理工艺 ;特殊要求 ;规格标准号 </t>
        </is>
      </c>
      <c r="F376" t="inlineStr">
        <is>
          <t>千克</t>
        </is>
      </c>
    </row>
    <row r="377">
      <c r="A377" t="inlineStr">
        <is>
          <t>100201</t>
        </is>
      </c>
      <c r="B377" t="inlineStr">
        <is>
          <t>圆钢</t>
        </is>
      </c>
      <c r="C377" t="inlineStr">
        <is>
          <t>601322600</t>
        </is>
      </c>
      <c r="D377" t="inlineStr">
        <is>
          <t>合金工具圆钢|圆钢|CrMn|Φ20|空</t>
        </is>
      </c>
      <c r="E377" t="inlineStr">
        <is>
          <t xml:space="preserve">物资名称 合金工具圆钢;物资简称 圆钢;牌号 CrMn;直径 Φ20;技术标准号 空;加工工艺 ;热处理工艺 ;特殊要求 ;规格标准号 </t>
        </is>
      </c>
      <c r="F377" t="inlineStr">
        <is>
          <t>千克</t>
        </is>
      </c>
    </row>
    <row r="378">
      <c r="A378" t="inlineStr">
        <is>
          <t>100201</t>
        </is>
      </c>
      <c r="B378" t="inlineStr">
        <is>
          <t>圆钢</t>
        </is>
      </c>
      <c r="C378" t="inlineStr">
        <is>
          <t>601322500</t>
        </is>
      </c>
      <c r="D378" t="inlineStr">
        <is>
          <t>合金工具圆钢|圆钢|CrWMn|Φ120|空</t>
        </is>
      </c>
      <c r="E378" t="inlineStr">
        <is>
          <t xml:space="preserve">物资名称 合金工具圆钢;物资简称 圆钢;牌号 CrWMn;直径 Φ120;技术标准号 空;加工工艺 ;热处理工艺 ;特殊要求 ;规格标准号 </t>
        </is>
      </c>
      <c r="F378" t="inlineStr">
        <is>
          <t>千克</t>
        </is>
      </c>
    </row>
    <row r="379">
      <c r="A379" t="inlineStr">
        <is>
          <t>100201</t>
        </is>
      </c>
      <c r="B379" t="inlineStr">
        <is>
          <t>圆钢</t>
        </is>
      </c>
      <c r="C379" t="inlineStr">
        <is>
          <t>601322400</t>
        </is>
      </c>
      <c r="D379" t="inlineStr">
        <is>
          <t>合金结构圆钢|圆钢|12CrNi3A|Φ25|GB/T 3077</t>
        </is>
      </c>
      <c r="E379" t="inlineStr">
        <is>
          <t xml:space="preserve">物资名称 合金结构圆钢;物资简称 圆钢;牌号 12CrNi3A;直径 Φ25;技术标准号 GB/T 3077;加工工艺 ;热处理工艺 ;特殊要求 ;规格标准号 </t>
        </is>
      </c>
      <c r="F379" t="inlineStr">
        <is>
          <t>千克</t>
        </is>
      </c>
    </row>
    <row r="380">
      <c r="A380" t="inlineStr">
        <is>
          <t>100201</t>
        </is>
      </c>
      <c r="B380" t="inlineStr">
        <is>
          <t>圆钢</t>
        </is>
      </c>
      <c r="C380" t="inlineStr">
        <is>
          <t>601322300</t>
        </is>
      </c>
      <c r="D380" t="inlineStr">
        <is>
          <t>合金结构圆钢|圆钢|12CrNi3A|Φ28|GB/T 3077</t>
        </is>
      </c>
      <c r="E380" t="inlineStr">
        <is>
          <t xml:space="preserve">物资名称 合金结构圆钢;物资简称 圆钢;牌号 12CrNi3A;直径 Φ28;技术标准号 GB/T 3077;加工工艺 ;热处理工艺 ;特殊要求 ;规格标准号 </t>
        </is>
      </c>
      <c r="F380" t="inlineStr">
        <is>
          <t>千克</t>
        </is>
      </c>
    </row>
    <row r="381">
      <c r="A381" t="inlineStr">
        <is>
          <t>100201</t>
        </is>
      </c>
      <c r="B381" t="inlineStr">
        <is>
          <t>圆钢</t>
        </is>
      </c>
      <c r="C381" t="inlineStr">
        <is>
          <t>601322200</t>
        </is>
      </c>
      <c r="D381" t="inlineStr">
        <is>
          <t>合金结构圆钢|圆钢|12CrNi3A|Φ45|GB/T 3077|东北特殊</t>
        </is>
      </c>
      <c r="E381" t="inlineStr">
        <is>
          <t xml:space="preserve">物资名称 合金结构圆钢;物资简称 圆钢;牌号 12CrNi3A;直径 Φ45;技术标准号 GB/T 3077;加工工艺 ;热处理工艺 ;特殊要求 东北特殊;规格标准号 </t>
        </is>
      </c>
      <c r="F381" t="inlineStr">
        <is>
          <t>千克</t>
        </is>
      </c>
    </row>
    <row r="382">
      <c r="A382" t="inlineStr">
        <is>
          <t>100201</t>
        </is>
      </c>
      <c r="B382" t="inlineStr">
        <is>
          <t>圆钢</t>
        </is>
      </c>
      <c r="C382" t="inlineStr">
        <is>
          <t>601322100</t>
        </is>
      </c>
      <c r="D382" t="inlineStr">
        <is>
          <t>合金结构圆钢|圆钢|12CrNi3A|Φ55|GB/T 3077|东北特殊</t>
        </is>
      </c>
      <c r="E382" t="inlineStr">
        <is>
          <t xml:space="preserve">物资名称 合金结构圆钢;物资简称 圆钢;牌号 12CrNi3A;直径 Φ55;技术标准号 GB/T 3077;加工工艺 ;热处理工艺 ;特殊要求 东北特殊;规格标准号 </t>
        </is>
      </c>
      <c r="F382" t="inlineStr">
        <is>
          <t>千克</t>
        </is>
      </c>
    </row>
    <row r="383">
      <c r="A383" t="inlineStr">
        <is>
          <t>100201</t>
        </is>
      </c>
      <c r="B383" t="inlineStr">
        <is>
          <t>圆钢</t>
        </is>
      </c>
      <c r="C383" t="inlineStr">
        <is>
          <t>601322000</t>
        </is>
      </c>
      <c r="D383" t="inlineStr">
        <is>
          <t>合金结构圆钢|圆钢|12CrNi3A|Φ85|GB/T 3077|东北特殊</t>
        </is>
      </c>
      <c r="E383" t="inlineStr">
        <is>
          <t xml:space="preserve">物资名称 合金结构圆钢;物资简称 圆钢;牌号 12CrNi3A;直径 Φ85;技术标准号 GB/T 3077;加工工艺 ;热处理工艺 ;特殊要求 东北特殊;规格标准号 </t>
        </is>
      </c>
      <c r="F383" t="inlineStr">
        <is>
          <t>千克</t>
        </is>
      </c>
    </row>
    <row r="384">
      <c r="A384" t="inlineStr">
        <is>
          <t>100201</t>
        </is>
      </c>
      <c r="B384" t="inlineStr">
        <is>
          <t>圆钢</t>
        </is>
      </c>
      <c r="C384" t="inlineStr">
        <is>
          <t>601321900</t>
        </is>
      </c>
      <c r="D384" t="inlineStr">
        <is>
          <t>合金结构圆钢|圆钢|30CrMnSi|Φ8|GB/T 3077</t>
        </is>
      </c>
      <c r="E384" t="inlineStr">
        <is>
          <t xml:space="preserve">物资名称 合金结构圆钢;物资简称 圆钢;牌号 30CrMnSi;直径 Φ8;技术标准号 GB/T 3077;加工工艺 ;热处理工艺 ;特殊要求 ;规格标准号 </t>
        </is>
      </c>
      <c r="F384" t="inlineStr">
        <is>
          <t>千克</t>
        </is>
      </c>
    </row>
    <row r="385">
      <c r="A385" t="inlineStr">
        <is>
          <t>100201</t>
        </is>
      </c>
      <c r="B385" t="inlineStr">
        <is>
          <t>圆钢</t>
        </is>
      </c>
      <c r="C385" t="inlineStr">
        <is>
          <t>601321800</t>
        </is>
      </c>
      <c r="D385" t="inlineStr">
        <is>
          <t>合金结构圆钢|圆钢|30CrMnSiA|Φ10|GB/T 3077</t>
        </is>
      </c>
      <c r="E385" t="inlineStr">
        <is>
          <t xml:space="preserve">物资名称 合金结构圆钢;物资简称 圆钢;牌号 30CrMnSiA;直径 Φ10;技术标准号 GB/T 3077;加工工艺 ;热处理工艺 ;特殊要求 ;规格标准号 </t>
        </is>
      </c>
      <c r="F385" t="inlineStr">
        <is>
          <t>千克</t>
        </is>
      </c>
    </row>
    <row r="386">
      <c r="A386" t="inlineStr">
        <is>
          <t>100201</t>
        </is>
      </c>
      <c r="B386" t="inlineStr">
        <is>
          <t>圆钢</t>
        </is>
      </c>
      <c r="C386" t="inlineStr">
        <is>
          <t>601321700</t>
        </is>
      </c>
      <c r="D386" t="inlineStr">
        <is>
          <t>合金结构圆钢|圆钢|30CrMnSiA|Φ12|GB/T 3077</t>
        </is>
      </c>
      <c r="E386" t="inlineStr">
        <is>
          <t xml:space="preserve">物资名称 合金结构圆钢;物资简称 圆钢;牌号 30CrMnSiA;直径 Φ12;技术标准号 GB/T 3077;加工工艺 ;热处理工艺 ;特殊要求 ;规格标准号 </t>
        </is>
      </c>
      <c r="F386" t="inlineStr">
        <is>
          <t>千克</t>
        </is>
      </c>
    </row>
    <row r="387">
      <c r="A387" t="inlineStr">
        <is>
          <t>100201</t>
        </is>
      </c>
      <c r="B387" t="inlineStr">
        <is>
          <t>圆钢</t>
        </is>
      </c>
      <c r="C387" t="inlineStr">
        <is>
          <t>601321600</t>
        </is>
      </c>
      <c r="D387" t="inlineStr">
        <is>
          <t>合金结构圆钢|圆钢|30CrMnSiA|Φ16|GB/T 3077</t>
        </is>
      </c>
      <c r="E387" t="inlineStr">
        <is>
          <t xml:space="preserve">物资名称 合金结构圆钢;物资简称 圆钢;牌号 30CrMnSiA;直径 Φ16;技术标准号 GB/T 3077;加工工艺 ;热处理工艺 ;特殊要求 ;规格标准号 </t>
        </is>
      </c>
      <c r="F387" t="inlineStr">
        <is>
          <t>千克</t>
        </is>
      </c>
    </row>
    <row r="388">
      <c r="A388" t="inlineStr">
        <is>
          <t>100201</t>
        </is>
      </c>
      <c r="B388" t="inlineStr">
        <is>
          <t>圆钢</t>
        </is>
      </c>
      <c r="C388" t="inlineStr">
        <is>
          <t>601321500</t>
        </is>
      </c>
      <c r="D388" t="inlineStr">
        <is>
          <t>合金结构圆钢|圆钢|30CrMnSiA|Φ210|GB/T 3077</t>
        </is>
      </c>
      <c r="E388" t="inlineStr">
        <is>
          <t xml:space="preserve">物资名称 合金结构圆钢;物资简称 圆钢;牌号 30CrMnSiA;直径 Φ210;技术标准号 GB/T 3077;加工工艺 ;热处理工艺 ;特殊要求 ;规格标准号 </t>
        </is>
      </c>
      <c r="F388" t="inlineStr">
        <is>
          <t>千克</t>
        </is>
      </c>
    </row>
    <row r="389">
      <c r="A389" t="inlineStr">
        <is>
          <t>100201</t>
        </is>
      </c>
      <c r="B389" t="inlineStr">
        <is>
          <t>圆钢</t>
        </is>
      </c>
      <c r="C389" t="inlineStr">
        <is>
          <t>601321400</t>
        </is>
      </c>
      <c r="D389" t="inlineStr">
        <is>
          <t>合金结构圆钢|圆钢|35CrMoA|Φ45|GB/T 3077</t>
        </is>
      </c>
      <c r="E389" t="inlineStr">
        <is>
          <t xml:space="preserve">物资名称 合金结构圆钢;物资简称 圆钢;牌号 35CrMoA;直径 Φ45;技术标准号 GB/T 3077;加工工艺 ;热处理工艺 ;特殊要求 ;规格标准号 </t>
        </is>
      </c>
      <c r="F389" t="inlineStr">
        <is>
          <t>千克</t>
        </is>
      </c>
    </row>
    <row r="390">
      <c r="A390" t="inlineStr">
        <is>
          <t>100201</t>
        </is>
      </c>
      <c r="B390" t="inlineStr">
        <is>
          <t>圆钢</t>
        </is>
      </c>
      <c r="C390" t="inlineStr">
        <is>
          <t>601321300</t>
        </is>
      </c>
      <c r="D390" t="inlineStr">
        <is>
          <t>航空用优质结构钢棒|圆钢|38CrMoAlA|Φ120|GJB 1951-1994</t>
        </is>
      </c>
      <c r="E390" t="inlineStr">
        <is>
          <t xml:space="preserve">物资名称 航空用优质结构钢棒;物资简称 圆钢;牌号 38CrMoAlA;直径 Φ120;技术标准号 GJB 1951-1994;加工工艺 ;热处理工艺 ;特殊要求 ;规格标准号 </t>
        </is>
      </c>
      <c r="F390" t="inlineStr">
        <is>
          <t>千克</t>
        </is>
      </c>
    </row>
    <row r="391">
      <c r="A391" t="inlineStr">
        <is>
          <t>100201</t>
        </is>
      </c>
      <c r="B391" t="inlineStr">
        <is>
          <t>圆钢</t>
        </is>
      </c>
      <c r="C391" t="inlineStr">
        <is>
          <t>601321200</t>
        </is>
      </c>
      <c r="D391" t="inlineStr">
        <is>
          <t>航空用优质结构钢棒|圆钢|38CrMoALA|Φ30|空</t>
        </is>
      </c>
      <c r="E391" t="inlineStr">
        <is>
          <t xml:space="preserve">物资名称 航空用优质结构钢棒;物资简称 圆钢;牌号 38CrMoALA;直径 Φ30;技术标准号 空;加工工艺 ;热处理工艺 ;特殊要求 ;规格标准号 </t>
        </is>
      </c>
      <c r="F391" t="inlineStr">
        <is>
          <t>千克</t>
        </is>
      </c>
    </row>
    <row r="392">
      <c r="A392" t="inlineStr">
        <is>
          <t>100201</t>
        </is>
      </c>
      <c r="B392" t="inlineStr">
        <is>
          <t>圆钢</t>
        </is>
      </c>
      <c r="C392" t="inlineStr">
        <is>
          <t>601321100</t>
        </is>
      </c>
      <c r="D392" t="inlineStr">
        <is>
          <t>合金结构圆钢|圆钢|40Cr|Φ16|GB/T 3077</t>
        </is>
      </c>
      <c r="E392" t="inlineStr">
        <is>
          <t xml:space="preserve">物资名称 合金结构圆钢;物资简称 圆钢;牌号 40Cr;直径 Φ16;技术标准号 GB/T 3077;加工工艺 ;热处理工艺 ;特殊要求 ;规格标准号 </t>
        </is>
      </c>
      <c r="F392" t="inlineStr">
        <is>
          <t>千克</t>
        </is>
      </c>
    </row>
    <row r="393">
      <c r="A393" t="inlineStr">
        <is>
          <t>100201</t>
        </is>
      </c>
      <c r="B393" t="inlineStr">
        <is>
          <t>圆钢</t>
        </is>
      </c>
      <c r="C393" t="inlineStr">
        <is>
          <t>601321000</t>
        </is>
      </c>
      <c r="D393" t="inlineStr">
        <is>
          <t>合金结构圆钢|圆钢|40Cr|Φ55|GB/T 3077</t>
        </is>
      </c>
      <c r="E393" t="inlineStr">
        <is>
          <t xml:space="preserve">物资名称 合金结构圆钢;物资简称 圆钢;牌号 40Cr;直径 Φ55;技术标准号 GB/T 3077;加工工艺 ;热处理工艺 ;特殊要求 ;规格标准号 </t>
        </is>
      </c>
      <c r="F393" t="inlineStr">
        <is>
          <t>千克</t>
        </is>
      </c>
    </row>
    <row r="394">
      <c r="A394" t="inlineStr">
        <is>
          <t>100201</t>
        </is>
      </c>
      <c r="B394" t="inlineStr">
        <is>
          <t>圆钢</t>
        </is>
      </c>
      <c r="C394" t="inlineStr">
        <is>
          <t>601320900</t>
        </is>
      </c>
      <c r="D394" t="inlineStr">
        <is>
          <t>合金结构圆钢|圆钢|40Cr|Φ6|GB/T 3077|大连钢丝</t>
        </is>
      </c>
      <c r="E394" t="inlineStr">
        <is>
          <t xml:space="preserve">物资名称 合金结构圆钢;物资简称 圆钢;牌号 40Cr;直径 Φ6;技术标准号 GB/T 3077;加工工艺 ;热处理工艺 ;特殊要求 大连钢丝;规格标准号 </t>
        </is>
      </c>
      <c r="F394" t="inlineStr">
        <is>
          <t>千克</t>
        </is>
      </c>
    </row>
    <row r="395">
      <c r="A395" t="inlineStr">
        <is>
          <t>100201</t>
        </is>
      </c>
      <c r="B395" t="inlineStr">
        <is>
          <t>圆钢</t>
        </is>
      </c>
      <c r="C395" t="inlineStr">
        <is>
          <t>601320800</t>
        </is>
      </c>
      <c r="D395" t="inlineStr">
        <is>
          <t>合金结构圆钢|圆钢|40Cr|Φ70|GB/T 3077</t>
        </is>
      </c>
      <c r="E395" t="inlineStr">
        <is>
          <t xml:space="preserve">物资名称 合金结构圆钢;物资简称 圆钢;牌号 40Cr;直径 Φ70;技术标准号 GB/T 3077;加工工艺 ;热处理工艺 ;特殊要求 ;规格标准号 </t>
        </is>
      </c>
      <c r="F395" t="inlineStr">
        <is>
          <t>千克</t>
        </is>
      </c>
    </row>
    <row r="396">
      <c r="A396" t="inlineStr">
        <is>
          <t>100201</t>
        </is>
      </c>
      <c r="B396" t="inlineStr">
        <is>
          <t>圆钢</t>
        </is>
      </c>
      <c r="C396" t="inlineStr">
        <is>
          <t>601320700</t>
        </is>
      </c>
      <c r="D396" t="inlineStr">
        <is>
          <t>合金结构圆钢|圆钢|40Cr|Φ8|GB/T 3077|大连钢丝</t>
        </is>
      </c>
      <c r="E396" t="inlineStr">
        <is>
          <t xml:space="preserve">物资名称 合金结构圆钢;物资简称 圆钢;牌号 40Cr;直径 Φ8;技术标准号 GB/T 3077;加工工艺 ;热处理工艺 ;特殊要求 大连钢丝;规格标准号 </t>
        </is>
      </c>
      <c r="F396" t="inlineStr">
        <is>
          <t>千克</t>
        </is>
      </c>
    </row>
    <row r="397">
      <c r="A397" t="inlineStr">
        <is>
          <t>100201</t>
        </is>
      </c>
      <c r="B397" t="inlineStr">
        <is>
          <t>圆钢</t>
        </is>
      </c>
      <c r="C397" t="inlineStr">
        <is>
          <t>601320600</t>
        </is>
      </c>
      <c r="D397" t="inlineStr">
        <is>
          <t>合金结构圆钢|圆钢|40CrNiMoA|Φ45|GB/T 3077</t>
        </is>
      </c>
      <c r="E397" t="inlineStr">
        <is>
          <t xml:space="preserve">物资名称 合金结构圆钢;物资简称 圆钢;牌号 40CrNiMoA;直径 Φ45;技术标准号 GB/T 3077;加工工艺 ;热处理工艺 ;特殊要求 ;规格标准号 </t>
        </is>
      </c>
      <c r="F397" t="inlineStr">
        <is>
          <t>千克</t>
        </is>
      </c>
    </row>
    <row r="398">
      <c r="A398" t="inlineStr">
        <is>
          <t>100201</t>
        </is>
      </c>
      <c r="B398" t="inlineStr">
        <is>
          <t>圆钢</t>
        </is>
      </c>
      <c r="C398" t="inlineStr">
        <is>
          <t>601320500</t>
        </is>
      </c>
      <c r="D398" t="inlineStr">
        <is>
          <t>合金结构圆钢|圆钢|45CrNiMoVA|Φ190|GB/T 3077</t>
        </is>
      </c>
      <c r="E398" t="inlineStr">
        <is>
          <t xml:space="preserve">物资名称 合金结构圆钢;物资简称 圆钢;牌号 45CrNiMoVA;直径 Φ190;技术标准号 GB/T 3077;加工工艺 ;热处理工艺 ;特殊要求 ;规格标准号 </t>
        </is>
      </c>
      <c r="F398" t="inlineStr">
        <is>
          <t>千克</t>
        </is>
      </c>
    </row>
    <row r="399">
      <c r="A399" t="inlineStr">
        <is>
          <t>100201</t>
        </is>
      </c>
      <c r="B399" t="inlineStr">
        <is>
          <t>圆钢</t>
        </is>
      </c>
      <c r="C399" t="inlineStr">
        <is>
          <t>601320400</t>
        </is>
      </c>
      <c r="D399" t="inlineStr">
        <is>
          <t>合金结构圆钢|圆钢|45CrNiMoVA|Φ200|GB/T 3077</t>
        </is>
      </c>
      <c r="E399" t="inlineStr">
        <is>
          <t xml:space="preserve">物资名称 合金结构圆钢;物资简称 圆钢;牌号 45CrNiMoVA;直径 Φ200;技术标准号 GB/T 3077;加工工艺 ;热处理工艺 ;特殊要求 ;规格标准号 </t>
        </is>
      </c>
      <c r="F399" t="inlineStr">
        <is>
          <t>千克</t>
        </is>
      </c>
    </row>
    <row r="400">
      <c r="A400" t="inlineStr">
        <is>
          <t>100201</t>
        </is>
      </c>
      <c r="B400" t="inlineStr">
        <is>
          <t>圆钢</t>
        </is>
      </c>
      <c r="C400" t="inlineStr">
        <is>
          <t>601320300</t>
        </is>
      </c>
      <c r="D400" t="inlineStr">
        <is>
          <t>合金结构圆钢|圆钢|45CrNiMoVA|Φ220|GB/T 3077</t>
        </is>
      </c>
      <c r="E400" t="inlineStr">
        <is>
          <t xml:space="preserve">物资名称 合金结构圆钢;物资简称 圆钢;牌号 45CrNiMoVA;直径 Φ220;技术标准号 GB/T 3077;加工工艺 ;热处理工艺 ;特殊要求 ;规格标准号 </t>
        </is>
      </c>
      <c r="F400" t="inlineStr">
        <is>
          <t>千克</t>
        </is>
      </c>
    </row>
    <row r="401">
      <c r="A401" t="inlineStr">
        <is>
          <t>100201</t>
        </is>
      </c>
      <c r="B401" t="inlineStr">
        <is>
          <t>圆钢</t>
        </is>
      </c>
      <c r="C401" t="inlineStr">
        <is>
          <t>601320200</t>
        </is>
      </c>
      <c r="D401" t="inlineStr">
        <is>
          <t>合金结构圆钢|圆钢|45CrNiMoVA|Φ70|GB/T 3077</t>
        </is>
      </c>
      <c r="E401" t="inlineStr">
        <is>
          <t xml:space="preserve">物资名称 合金结构圆钢;物资简称 圆钢;牌号 45CrNiMoVA;直径 Φ70;技术标准号 GB/T 3077;加工工艺 ;热处理工艺 ;特殊要求 ;规格标准号 </t>
        </is>
      </c>
      <c r="F401" t="inlineStr">
        <is>
          <t>千克</t>
        </is>
      </c>
    </row>
    <row r="402">
      <c r="A402" t="inlineStr">
        <is>
          <t>100201</t>
        </is>
      </c>
      <c r="B402" t="inlineStr">
        <is>
          <t>圆钢</t>
        </is>
      </c>
      <c r="C402" t="inlineStr">
        <is>
          <t>601320100</t>
        </is>
      </c>
      <c r="D402" t="inlineStr">
        <is>
          <t>合金结构圆钢|圆钢|45CrNiMoVA|Φ80|GB/T 3077</t>
        </is>
      </c>
      <c r="E402" t="inlineStr">
        <is>
          <t xml:space="preserve">物资名称 合金结构圆钢;物资简称 圆钢;牌号 45CrNiMoVA;直径 Φ80;技术标准号 GB/T 3077;加工工艺 ;热处理工艺 ;特殊要求 ;规格标准号 </t>
        </is>
      </c>
      <c r="F402" t="inlineStr">
        <is>
          <t>千克</t>
        </is>
      </c>
    </row>
    <row r="403">
      <c r="A403" t="inlineStr">
        <is>
          <t>100201</t>
        </is>
      </c>
      <c r="B403" t="inlineStr">
        <is>
          <t>圆钢</t>
        </is>
      </c>
      <c r="C403" t="inlineStr">
        <is>
          <t>601320000</t>
        </is>
      </c>
      <c r="D403" t="inlineStr">
        <is>
          <t>合金结构圆钢|圆钢|锻制45CrNiMoVA|ΦT=28、30、40、50、86|空</t>
        </is>
      </c>
      <c r="E403" t="inlineStr">
        <is>
          <t xml:space="preserve">物资名称 合金结构圆钢;物资简称 圆钢;牌号 锻制45CrNiMoVA;直径 ΦT=28、30、40、50、86;技术标准号 空;加工工艺 ;热处理工艺 ;特殊要求 ;规格标准号 </t>
        </is>
      </c>
      <c r="F403" t="inlineStr">
        <is>
          <t>千克</t>
        </is>
      </c>
    </row>
    <row r="404">
      <c r="A404" t="inlineStr">
        <is>
          <t>100201</t>
        </is>
      </c>
      <c r="B404" t="inlineStr">
        <is>
          <t>圆钢</t>
        </is>
      </c>
      <c r="C404" t="inlineStr">
        <is>
          <t>601319900</t>
        </is>
      </c>
      <c r="D404" t="inlineStr">
        <is>
          <t>冷拉优质碳素结构圆钢|圆钢|20|Φ8|空|冷拉</t>
        </is>
      </c>
      <c r="E404" t="inlineStr">
        <is>
          <t xml:space="preserve">物资名称 冷拉优质碳素结构圆钢;物资简称 圆钢;牌号 20;直径 Φ8;技术标准号 空;加工工艺 冷拉;热处理工艺 ;特殊要求 ;规格标准号 </t>
        </is>
      </c>
      <c r="F404" t="inlineStr">
        <is>
          <t>千克</t>
        </is>
      </c>
    </row>
    <row r="405">
      <c r="A405" t="inlineStr">
        <is>
          <t>100201</t>
        </is>
      </c>
      <c r="B405" t="inlineStr">
        <is>
          <t>圆钢</t>
        </is>
      </c>
      <c r="C405" t="inlineStr">
        <is>
          <t>601319800</t>
        </is>
      </c>
      <c r="D405" t="inlineStr">
        <is>
          <t>碳素工具圆钢|圆钢|T10|Φ28|空</t>
        </is>
      </c>
      <c r="E405" t="inlineStr">
        <is>
          <t xml:space="preserve">物资名称 碳素工具圆钢;物资简称 圆钢;牌号 T10;直径 Φ28;技术标准号 空;加工工艺 ;热处理工艺 ;特殊要求 ;规格标准号 </t>
        </is>
      </c>
      <c r="F405" t="inlineStr">
        <is>
          <t>千克</t>
        </is>
      </c>
    </row>
    <row r="406">
      <c r="A406" t="inlineStr">
        <is>
          <t>100201</t>
        </is>
      </c>
      <c r="B406" t="inlineStr">
        <is>
          <t>圆钢</t>
        </is>
      </c>
      <c r="C406" t="inlineStr">
        <is>
          <t>601319700</t>
        </is>
      </c>
      <c r="D406" t="inlineStr">
        <is>
          <t>碳素工具圆钢|圆钢|T10|Φ45|空</t>
        </is>
      </c>
      <c r="E406" t="inlineStr">
        <is>
          <t xml:space="preserve">物资名称 碳素工具圆钢;物资简称 圆钢;牌号 T10;直径 Φ45;技术标准号 空;加工工艺 ;热处理工艺 ;特殊要求 ;规格标准号 </t>
        </is>
      </c>
      <c r="F406" t="inlineStr">
        <is>
          <t>千克</t>
        </is>
      </c>
    </row>
    <row r="407">
      <c r="A407" t="inlineStr">
        <is>
          <t>100201</t>
        </is>
      </c>
      <c r="B407" t="inlineStr">
        <is>
          <t>圆钢</t>
        </is>
      </c>
      <c r="C407" t="inlineStr">
        <is>
          <t>601319600</t>
        </is>
      </c>
      <c r="D407" t="inlineStr">
        <is>
          <t>碳素工具圆钢|圆钢|T10|Φ50|空</t>
        </is>
      </c>
      <c r="E407" t="inlineStr">
        <is>
          <t xml:space="preserve">物资名称 碳素工具圆钢;物资简称 圆钢;牌号 T10;直径 Φ50;技术标准号 空;加工工艺 ;热处理工艺 ;特殊要求 ;规格标准号 </t>
        </is>
      </c>
      <c r="F407" t="inlineStr">
        <is>
          <t>千克</t>
        </is>
      </c>
    </row>
    <row r="408">
      <c r="A408" t="inlineStr">
        <is>
          <t>100201</t>
        </is>
      </c>
      <c r="B408" t="inlineStr">
        <is>
          <t>圆钢</t>
        </is>
      </c>
      <c r="C408" t="inlineStr">
        <is>
          <t>601319500</t>
        </is>
      </c>
      <c r="D408" t="inlineStr">
        <is>
          <t>碳素工具圆钢|圆钢|T10A|Φ12|空|抚顺森亚</t>
        </is>
      </c>
      <c r="E408" t="inlineStr">
        <is>
          <t xml:space="preserve">物资名称 碳素工具圆钢;物资简称 圆钢;牌号 T10A;直径 Φ12;技术标准号 空;加工工艺 ;热处理工艺 ;特殊要求 抚顺森亚;规格标准号 </t>
        </is>
      </c>
      <c r="F408" t="inlineStr">
        <is>
          <t>千克</t>
        </is>
      </c>
    </row>
    <row r="409">
      <c r="A409" t="inlineStr">
        <is>
          <t>100201</t>
        </is>
      </c>
      <c r="B409" t="inlineStr">
        <is>
          <t>圆钢</t>
        </is>
      </c>
      <c r="C409" t="inlineStr">
        <is>
          <t>601319400</t>
        </is>
      </c>
      <c r="D409" t="inlineStr">
        <is>
          <t>碳素工具圆钢|圆钢|T10A|Φ130|空</t>
        </is>
      </c>
      <c r="E409" t="inlineStr">
        <is>
          <t xml:space="preserve">物资名称 碳素工具圆钢;物资简称 圆钢;牌号 T10A;直径 Φ130;技术标准号 空;加工工艺 ;热处理工艺 ;特殊要求 ;规格标准号 </t>
        </is>
      </c>
      <c r="F409" t="inlineStr">
        <is>
          <t>千克</t>
        </is>
      </c>
    </row>
    <row r="410">
      <c r="A410" t="inlineStr">
        <is>
          <t>100201</t>
        </is>
      </c>
      <c r="B410" t="inlineStr">
        <is>
          <t>圆钢</t>
        </is>
      </c>
      <c r="C410" t="inlineStr">
        <is>
          <t>601319300</t>
        </is>
      </c>
      <c r="D410" t="inlineStr">
        <is>
          <t>碳素工具圆钢|圆钢|T10A|Φ14|空|抚顺森亚</t>
        </is>
      </c>
      <c r="E410" t="inlineStr">
        <is>
          <t xml:space="preserve">物资名称 碳素工具圆钢;物资简称 圆钢;牌号 T10A;直径 Φ14;技术标准号 空;加工工艺 ;热处理工艺 ;特殊要求 抚顺森亚;规格标准号 </t>
        </is>
      </c>
      <c r="F410" t="inlineStr">
        <is>
          <t>千克</t>
        </is>
      </c>
    </row>
    <row r="411">
      <c r="A411" t="inlineStr">
        <is>
          <t>100201</t>
        </is>
      </c>
      <c r="B411" t="inlineStr">
        <is>
          <t>圆钢</t>
        </is>
      </c>
      <c r="C411" t="inlineStr">
        <is>
          <t>601319200</t>
        </is>
      </c>
      <c r="D411" t="inlineStr">
        <is>
          <t>碳素工具圆钢|圆钢|T10A|Φ18|空|抚顺森亚</t>
        </is>
      </c>
      <c r="E411" t="inlineStr">
        <is>
          <t xml:space="preserve">物资名称 碳素工具圆钢;物资简称 圆钢;牌号 T10A;直径 Φ18;技术标准号 空;加工工艺 ;热处理工艺 ;特殊要求 抚顺森亚;规格标准号 </t>
        </is>
      </c>
      <c r="F411" t="inlineStr">
        <is>
          <t>千克</t>
        </is>
      </c>
    </row>
    <row r="412">
      <c r="A412" t="inlineStr">
        <is>
          <t>100201</t>
        </is>
      </c>
      <c r="B412" t="inlineStr">
        <is>
          <t>圆钢</t>
        </is>
      </c>
      <c r="C412" t="inlineStr">
        <is>
          <t>601319100</t>
        </is>
      </c>
      <c r="D412" t="inlineStr">
        <is>
          <t>碳素工具圆钢|圆钢|T10A|Φ20|空|抚顺森亚</t>
        </is>
      </c>
      <c r="E412" t="inlineStr">
        <is>
          <t xml:space="preserve">物资名称 碳素工具圆钢;物资简称 圆钢;牌号 T10A;直径 Φ20;技术标准号 空;加工工艺 ;热处理工艺 ;特殊要求 抚顺森亚;规格标准号 </t>
        </is>
      </c>
      <c r="F412" t="inlineStr">
        <is>
          <t>千克</t>
        </is>
      </c>
    </row>
    <row r="413">
      <c r="A413" t="inlineStr">
        <is>
          <t>100201</t>
        </is>
      </c>
      <c r="B413" t="inlineStr">
        <is>
          <t>圆钢</t>
        </is>
      </c>
      <c r="C413" t="inlineStr">
        <is>
          <t>601319000</t>
        </is>
      </c>
      <c r="D413" t="inlineStr">
        <is>
          <t>碳素工具圆钢|圆钢|T10A|Φ25|空|抚顺森亚</t>
        </is>
      </c>
      <c r="E413" t="inlineStr">
        <is>
          <t xml:space="preserve">物资名称 碳素工具圆钢;物资简称 圆钢;牌号 T10A;直径 Φ25;技术标准号 空;加工工艺 ;热处理工艺 ;特殊要求 抚顺森亚;规格标准号 </t>
        </is>
      </c>
      <c r="F413" t="inlineStr">
        <is>
          <t>千克</t>
        </is>
      </c>
    </row>
    <row r="414">
      <c r="A414" t="inlineStr">
        <is>
          <t>100201</t>
        </is>
      </c>
      <c r="B414" t="inlineStr">
        <is>
          <t>圆钢</t>
        </is>
      </c>
      <c r="C414" t="inlineStr">
        <is>
          <t>601318900</t>
        </is>
      </c>
      <c r="D414" t="inlineStr">
        <is>
          <t>碳素工具圆钢|圆钢|T10A|Φ32|空|抚顺森亚</t>
        </is>
      </c>
      <c r="E414" t="inlineStr">
        <is>
          <t xml:space="preserve">物资名称 碳素工具圆钢;物资简称 圆钢;牌号 T10A;直径 Φ32;技术标准号 空;加工工艺 ;热处理工艺 ;特殊要求 抚顺森亚;规格标准号 </t>
        </is>
      </c>
      <c r="F414" t="inlineStr">
        <is>
          <t>千克</t>
        </is>
      </c>
    </row>
    <row r="415">
      <c r="A415" t="inlineStr">
        <is>
          <t>100201</t>
        </is>
      </c>
      <c r="B415" t="inlineStr">
        <is>
          <t>圆钢</t>
        </is>
      </c>
      <c r="C415" t="inlineStr">
        <is>
          <t>601318800</t>
        </is>
      </c>
      <c r="D415" t="inlineStr">
        <is>
          <t>碳素工具圆钢|圆钢|T10A|Φ35|空</t>
        </is>
      </c>
      <c r="E415" t="inlineStr">
        <is>
          <t xml:space="preserve">物资名称 碳素工具圆钢;物资简称 圆钢;牌号 T10A;直径 Φ35;技术标准号 空;加工工艺 ;热处理工艺 ;特殊要求 ;规格标准号 </t>
        </is>
      </c>
      <c r="F415" t="inlineStr">
        <is>
          <t>千克</t>
        </is>
      </c>
    </row>
    <row r="416">
      <c r="A416" t="inlineStr">
        <is>
          <t>100201</t>
        </is>
      </c>
      <c r="B416" t="inlineStr">
        <is>
          <t>圆钢</t>
        </is>
      </c>
      <c r="C416" t="inlineStr">
        <is>
          <t>601318700</t>
        </is>
      </c>
      <c r="D416" t="inlineStr">
        <is>
          <t>碳素工具圆钢|圆钢|T10A|Φ45|空</t>
        </is>
      </c>
      <c r="E416" t="inlineStr">
        <is>
          <t xml:space="preserve">物资名称 碳素工具圆钢;物资简称 圆钢;牌号 T10A;直径 Φ45;技术标准号 空;加工工艺 ;热处理工艺 ;特殊要求 ;规格标准号 </t>
        </is>
      </c>
      <c r="F416" t="inlineStr">
        <is>
          <t>千克</t>
        </is>
      </c>
    </row>
    <row r="417">
      <c r="A417" t="inlineStr">
        <is>
          <t>100201</t>
        </is>
      </c>
      <c r="B417" t="inlineStr">
        <is>
          <t>圆钢</t>
        </is>
      </c>
      <c r="C417" t="inlineStr">
        <is>
          <t>601318600</t>
        </is>
      </c>
      <c r="D417" t="inlineStr">
        <is>
          <t>碳素工具圆钢|圆钢|T10A|Φ60|空</t>
        </is>
      </c>
      <c r="E417" t="inlineStr">
        <is>
          <t xml:space="preserve">物资名称 碳素工具圆钢;物资简称 圆钢;牌号 T10A;直径 Φ60;技术标准号 空;加工工艺 ;热处理工艺 ;特殊要求 ;规格标准号 </t>
        </is>
      </c>
      <c r="F417" t="inlineStr">
        <is>
          <t>千克</t>
        </is>
      </c>
    </row>
    <row r="418">
      <c r="A418" t="inlineStr">
        <is>
          <t>100201</t>
        </is>
      </c>
      <c r="B418" t="inlineStr">
        <is>
          <t>圆钢</t>
        </is>
      </c>
      <c r="C418" t="inlineStr">
        <is>
          <t>601318500</t>
        </is>
      </c>
      <c r="D418" t="inlineStr">
        <is>
          <t>碳素工具圆钢|圆钢|T10A|Φ70|空|抚顺森亚</t>
        </is>
      </c>
      <c r="E418" t="inlineStr">
        <is>
          <t xml:space="preserve">物资名称 碳素工具圆钢;物资简称 圆钢;牌号 T10A;直径 Φ70;技术标准号 空;加工工艺 ;热处理工艺 ;特殊要求 抚顺森亚;规格标准号 </t>
        </is>
      </c>
      <c r="F418" t="inlineStr">
        <is>
          <t>千克</t>
        </is>
      </c>
    </row>
    <row r="419">
      <c r="A419" t="inlineStr">
        <is>
          <t>100201</t>
        </is>
      </c>
      <c r="B419" t="inlineStr">
        <is>
          <t>圆钢</t>
        </is>
      </c>
      <c r="C419" t="inlineStr">
        <is>
          <t>601318400</t>
        </is>
      </c>
      <c r="D419" t="inlineStr">
        <is>
          <t>碳素工具圆钢|圆钢|T10A|Φ90|空</t>
        </is>
      </c>
      <c r="E419" t="inlineStr">
        <is>
          <t xml:space="preserve">物资名称 碳素工具圆钢;物资简称 圆钢;牌号 T10A;直径 Φ90;技术标准号 空;加工工艺 ;热处理工艺 ;特殊要求 ;规格标准号 </t>
        </is>
      </c>
      <c r="F419" t="inlineStr">
        <is>
          <t>千克</t>
        </is>
      </c>
    </row>
    <row r="420">
      <c r="A420" t="inlineStr">
        <is>
          <t>100201</t>
        </is>
      </c>
      <c r="B420" t="inlineStr">
        <is>
          <t>圆钢</t>
        </is>
      </c>
      <c r="C420" t="inlineStr">
        <is>
          <t>601318300</t>
        </is>
      </c>
      <c r="D420" t="inlineStr">
        <is>
          <t>优质碳素结构圆钢|圆钢|20|Φ14|空</t>
        </is>
      </c>
      <c r="E420" t="inlineStr">
        <is>
          <t xml:space="preserve">物资名称 优质碳素结构圆钢;物资简称 圆钢;牌号 20;直径 Φ14;技术标准号 空;加工工艺 ;热处理工艺 ;特殊要求 ;规格标准号 </t>
        </is>
      </c>
      <c r="F420" t="inlineStr">
        <is>
          <t>千克</t>
        </is>
      </c>
    </row>
    <row r="421">
      <c r="A421" t="inlineStr">
        <is>
          <t>100201</t>
        </is>
      </c>
      <c r="B421" t="inlineStr">
        <is>
          <t>圆钢</t>
        </is>
      </c>
      <c r="C421" t="inlineStr">
        <is>
          <t>601318200</t>
        </is>
      </c>
      <c r="D421" t="inlineStr">
        <is>
          <t>优质碳素结构圆钢|圆钢|20|Φ40|空</t>
        </is>
      </c>
      <c r="E421" t="inlineStr">
        <is>
          <t xml:space="preserve">物资名称 优质碳素结构圆钢;物资简称 圆钢;牌号 20;直径 Φ40;技术标准号 空;加工工艺 ;热处理工艺 ;特殊要求 ;规格标准号 </t>
        </is>
      </c>
      <c r="F421" t="inlineStr">
        <is>
          <t>千克</t>
        </is>
      </c>
    </row>
    <row r="422">
      <c r="A422" t="inlineStr">
        <is>
          <t>100201</t>
        </is>
      </c>
      <c r="B422" t="inlineStr">
        <is>
          <t>圆钢</t>
        </is>
      </c>
      <c r="C422" t="inlineStr">
        <is>
          <t>601318100</t>
        </is>
      </c>
      <c r="D422" t="inlineStr">
        <is>
          <t>优质碳素结构圆钢|圆钢|45|Φ130|空</t>
        </is>
      </c>
      <c r="E422" t="inlineStr">
        <is>
          <t xml:space="preserve">物资名称 优质碳素结构圆钢;物资简称 圆钢;牌号 45;直径 Φ130;技术标准号 空;加工工艺 ;热处理工艺 ;特殊要求 ;规格标准号 </t>
        </is>
      </c>
      <c r="F422" t="inlineStr">
        <is>
          <t>千克</t>
        </is>
      </c>
    </row>
    <row r="423">
      <c r="A423" t="inlineStr">
        <is>
          <t>100201</t>
        </is>
      </c>
      <c r="B423" t="inlineStr">
        <is>
          <t>圆钢</t>
        </is>
      </c>
      <c r="C423" t="inlineStr">
        <is>
          <t>601318000</t>
        </is>
      </c>
      <c r="D423" t="inlineStr">
        <is>
          <t>优质碳素结构圆钢|圆钢|45|Φ14|空|东北特殊</t>
        </is>
      </c>
      <c r="E423" t="inlineStr">
        <is>
          <t xml:space="preserve">物资名称 优质碳素结构圆钢;物资简称 圆钢;牌号 45;直径 Φ14;技术标准号 空;加工工艺 ;热处理工艺 ;特殊要求 东北特殊;规格标准号 </t>
        </is>
      </c>
      <c r="F423" t="inlineStr">
        <is>
          <t>千克</t>
        </is>
      </c>
    </row>
    <row r="424">
      <c r="A424" t="inlineStr">
        <is>
          <t>100201</t>
        </is>
      </c>
      <c r="B424" t="inlineStr">
        <is>
          <t>圆钢</t>
        </is>
      </c>
      <c r="C424" t="inlineStr">
        <is>
          <t>601317900</t>
        </is>
      </c>
      <c r="D424" t="inlineStr">
        <is>
          <t>优质碳素结构圆钢|圆钢|45|Φ140|空</t>
        </is>
      </c>
      <c r="E424" t="inlineStr">
        <is>
          <t xml:space="preserve">物资名称 优质碳素结构圆钢;物资简称 圆钢;牌号 45;直径 Φ140;技术标准号 空;加工工艺 ;热处理工艺 ;特殊要求 ;规格标准号 </t>
        </is>
      </c>
      <c r="F424" t="inlineStr">
        <is>
          <t>千克</t>
        </is>
      </c>
    </row>
    <row r="425">
      <c r="A425" t="inlineStr">
        <is>
          <t>100201</t>
        </is>
      </c>
      <c r="B425" t="inlineStr">
        <is>
          <t>圆钢</t>
        </is>
      </c>
      <c r="C425" t="inlineStr">
        <is>
          <t>601317800</t>
        </is>
      </c>
      <c r="D425" t="inlineStr">
        <is>
          <t>优质碳素结构圆钢|圆钢|45|Φ180|空</t>
        </is>
      </c>
      <c r="E425" t="inlineStr">
        <is>
          <t xml:space="preserve">物资名称 优质碳素结构圆钢;物资简称 圆钢;牌号 45;直径 Φ180;技术标准号 空;加工工艺 ;热处理工艺 ;特殊要求 ;规格标准号 </t>
        </is>
      </c>
      <c r="F425" t="inlineStr">
        <is>
          <t>千克</t>
        </is>
      </c>
    </row>
    <row r="426">
      <c r="A426" t="inlineStr">
        <is>
          <t>100201</t>
        </is>
      </c>
      <c r="B426" t="inlineStr">
        <is>
          <t>圆钢</t>
        </is>
      </c>
      <c r="C426" t="inlineStr">
        <is>
          <t>601317700</t>
        </is>
      </c>
      <c r="D426" t="inlineStr">
        <is>
          <t>优质碳素结构圆钢|圆钢|45|Φ230|空</t>
        </is>
      </c>
      <c r="E426" t="inlineStr">
        <is>
          <t xml:space="preserve">物资名称 优质碳素结构圆钢;物资简称 圆钢;牌号 45;直径 Φ230;技术标准号 空;加工工艺 ;热处理工艺 ;特殊要求 ;规格标准号 </t>
        </is>
      </c>
      <c r="F426" t="inlineStr">
        <is>
          <t>千克</t>
        </is>
      </c>
    </row>
    <row r="427">
      <c r="A427" t="inlineStr">
        <is>
          <t>100201</t>
        </is>
      </c>
      <c r="B427" t="inlineStr">
        <is>
          <t>圆钢</t>
        </is>
      </c>
      <c r="C427" t="inlineStr">
        <is>
          <t>601317600</t>
        </is>
      </c>
      <c r="D427" t="inlineStr">
        <is>
          <t>优质碳素结构圆钢|圆钢|45|Φ270|空</t>
        </is>
      </c>
      <c r="E427" t="inlineStr">
        <is>
          <t xml:space="preserve">物资名称 优质碳素结构圆钢;物资简称 圆钢;牌号 45;直径 Φ270;技术标准号 空;加工工艺 ;热处理工艺 ;特殊要求 ;规格标准号 </t>
        </is>
      </c>
      <c r="F427" t="inlineStr">
        <is>
          <t>千克</t>
        </is>
      </c>
    </row>
    <row r="428">
      <c r="A428" t="inlineStr">
        <is>
          <t>100201</t>
        </is>
      </c>
      <c r="B428" t="inlineStr">
        <is>
          <t>圆钢</t>
        </is>
      </c>
      <c r="C428" t="inlineStr">
        <is>
          <t>601317500</t>
        </is>
      </c>
      <c r="D428" t="inlineStr">
        <is>
          <t>优质碳素结构圆钢|圆钢|45|Φ300|空</t>
        </is>
      </c>
      <c r="E428" t="inlineStr">
        <is>
          <t xml:space="preserve">物资名称 优质碳素结构圆钢;物资简称 圆钢;牌号 45;直径 Φ300;技术标准号 空;加工工艺 ;热处理工艺 ;特殊要求 ;规格标准号 </t>
        </is>
      </c>
      <c r="F428" t="inlineStr">
        <is>
          <t>千克</t>
        </is>
      </c>
    </row>
    <row r="429">
      <c r="A429" t="inlineStr">
        <is>
          <t>100201</t>
        </is>
      </c>
      <c r="B429" t="inlineStr">
        <is>
          <t>圆钢</t>
        </is>
      </c>
      <c r="C429" t="inlineStr">
        <is>
          <t>601317400</t>
        </is>
      </c>
      <c r="D429" t="inlineStr">
        <is>
          <t>优质碳素结构圆钢|圆钢|45|Φ36|空</t>
        </is>
      </c>
      <c r="E429" t="inlineStr">
        <is>
          <t xml:space="preserve">物资名称 优质碳素结构圆钢;物资简称 圆钢;牌号 45;直径 Φ36;技术标准号 空;加工工艺 ;热处理工艺 ;特殊要求 ;规格标准号 </t>
        </is>
      </c>
      <c r="F429" t="inlineStr">
        <is>
          <t>千克</t>
        </is>
      </c>
    </row>
    <row r="430">
      <c r="A430" t="inlineStr">
        <is>
          <t>100201</t>
        </is>
      </c>
      <c r="B430" t="inlineStr">
        <is>
          <t>圆钢</t>
        </is>
      </c>
      <c r="C430" t="inlineStr">
        <is>
          <t>601317300</t>
        </is>
      </c>
      <c r="D430" t="inlineStr">
        <is>
          <t>优质碳素结构圆钢|圆钢|45|Φ60|空</t>
        </is>
      </c>
      <c r="E430" t="inlineStr">
        <is>
          <t xml:space="preserve">物资名称 优质碳素结构圆钢;物资简称 圆钢;牌号 45;直径 Φ60;技术标准号 空;加工工艺 ;热处理工艺 ;特殊要求 ;规格标准号 </t>
        </is>
      </c>
      <c r="F430" t="inlineStr">
        <is>
          <t>千克</t>
        </is>
      </c>
    </row>
    <row r="431">
      <c r="A431" t="inlineStr">
        <is>
          <t>100201</t>
        </is>
      </c>
      <c r="B431" t="inlineStr">
        <is>
          <t>圆钢</t>
        </is>
      </c>
      <c r="C431" t="inlineStr">
        <is>
          <t>601317200</t>
        </is>
      </c>
      <c r="D431" t="inlineStr">
        <is>
          <t>优质碳素结构圆钢|圆钢|45|Φ85|空</t>
        </is>
      </c>
      <c r="E431" t="inlineStr">
        <is>
          <t xml:space="preserve">物资名称 优质碳素结构圆钢;物资简称 圆钢;牌号 45;直径 Φ85;技术标准号 空;加工工艺 ;热处理工艺 ;特殊要求 ;规格标准号 </t>
        </is>
      </c>
      <c r="F431" t="inlineStr">
        <is>
          <t>千克</t>
        </is>
      </c>
    </row>
    <row r="432">
      <c r="A432" t="inlineStr">
        <is>
          <t>100201</t>
        </is>
      </c>
      <c r="B432" t="inlineStr">
        <is>
          <t>圆钢</t>
        </is>
      </c>
      <c r="C432" t="inlineStr">
        <is>
          <t>601317100</t>
        </is>
      </c>
      <c r="D432" t="inlineStr">
        <is>
          <t>优质碳素结构圆钢|圆钢|CK22|Φ70|空</t>
        </is>
      </c>
      <c r="E432" t="inlineStr">
        <is>
          <t xml:space="preserve">物资名称 优质碳素结构圆钢;物资简称 圆钢;牌号 CK22;直径 Φ70;技术标准号 空;加工工艺 ;热处理工艺 ;特殊要求 ;规格标准号 </t>
        </is>
      </c>
      <c r="F432" t="inlineStr">
        <is>
          <t>千克</t>
        </is>
      </c>
    </row>
    <row r="433">
      <c r="A433" t="inlineStr">
        <is>
          <t>100201</t>
        </is>
      </c>
      <c r="B433" t="inlineStr">
        <is>
          <t>圆钢</t>
        </is>
      </c>
      <c r="C433" t="inlineStr">
        <is>
          <t>601317000</t>
        </is>
      </c>
      <c r="D433" t="inlineStr">
        <is>
          <t>优质碳素结构圆钢|圆钢|20|Φ20|空</t>
        </is>
      </c>
      <c r="E433" t="inlineStr">
        <is>
          <t xml:space="preserve">物资名称 优质碳素结构圆钢;物资简称 圆钢;牌号 20;直径 Φ20;技术标准号 空;加工工艺 ;热处理工艺 ;特殊要求 ;规格标准号 </t>
        </is>
      </c>
      <c r="F433" t="inlineStr">
        <is>
          <t>千克</t>
        </is>
      </c>
    </row>
    <row r="434">
      <c r="A434" t="inlineStr">
        <is>
          <t>100201</t>
        </is>
      </c>
      <c r="B434" t="inlineStr">
        <is>
          <t>圆钢</t>
        </is>
      </c>
      <c r="C434" t="inlineStr">
        <is>
          <t>601316900</t>
        </is>
      </c>
      <c r="D434" t="inlineStr">
        <is>
          <t>优质碳素结构圆钢|圆钢|20|Φ26|空</t>
        </is>
      </c>
      <c r="E434" t="inlineStr">
        <is>
          <t xml:space="preserve">物资名称 优质碳素结构圆钢;物资简称 圆钢;牌号 20;直径 Φ26;技术标准号 空;加工工艺 ;热处理工艺 ;特殊要求 ;规格标准号 </t>
        </is>
      </c>
      <c r="F434" t="inlineStr">
        <is>
          <t>千克</t>
        </is>
      </c>
    </row>
    <row r="435">
      <c r="A435" t="inlineStr">
        <is>
          <t>100201</t>
        </is>
      </c>
      <c r="B435" t="inlineStr">
        <is>
          <t>圆钢</t>
        </is>
      </c>
      <c r="C435" t="inlineStr">
        <is>
          <t>601316800</t>
        </is>
      </c>
      <c r="D435" t="inlineStr">
        <is>
          <t>优质碳素结构圆钢|圆钢|20|Φ8|空|天鸟</t>
        </is>
      </c>
      <c r="E435" t="inlineStr">
        <is>
          <t xml:space="preserve">物资名称 优质碳素结构圆钢;物资简称 圆钢;牌号 20;直径 Φ8;技术标准号 空;加工工艺 ;热处理工艺 ;特殊要求 天鸟;规格标准号 </t>
        </is>
      </c>
      <c r="F435" t="inlineStr">
        <is>
          <t>千克</t>
        </is>
      </c>
    </row>
    <row r="436">
      <c r="A436" t="inlineStr">
        <is>
          <t>100201</t>
        </is>
      </c>
      <c r="B436" t="inlineStr">
        <is>
          <t>圆钢</t>
        </is>
      </c>
      <c r="C436" t="inlineStr">
        <is>
          <t>601316700</t>
        </is>
      </c>
      <c r="D436" t="inlineStr">
        <is>
          <t>优质碳素结构圆钢|圆钢|45|Φ27|空</t>
        </is>
      </c>
      <c r="E436" t="inlineStr">
        <is>
          <t xml:space="preserve">物资名称 优质碳素结构圆钢;物资简称 圆钢;牌号 45;直径 Φ27;技术标准号 空;加工工艺 ;热处理工艺 ;特殊要求 ;规格标准号 </t>
        </is>
      </c>
      <c r="F436" t="inlineStr">
        <is>
          <t>千克</t>
        </is>
      </c>
    </row>
    <row r="437">
      <c r="A437" t="inlineStr">
        <is>
          <t>100201</t>
        </is>
      </c>
      <c r="B437" t="inlineStr">
        <is>
          <t>圆钢</t>
        </is>
      </c>
      <c r="C437" t="inlineStr">
        <is>
          <t>601316600</t>
        </is>
      </c>
      <c r="D437" t="inlineStr">
        <is>
          <t>优质碳素结构圆钢|圆钢|45|Φ8|空</t>
        </is>
      </c>
      <c r="E437" t="inlineStr">
        <is>
          <t xml:space="preserve">物资名称 优质碳素结构圆钢;物资简称 圆钢;牌号 45;直径 Φ8;技术标准号 空;加工工艺 ;热处理工艺 ;特殊要求 ;规格标准号 </t>
        </is>
      </c>
      <c r="F437" t="inlineStr">
        <is>
          <t>千克</t>
        </is>
      </c>
    </row>
    <row r="438">
      <c r="A438" t="inlineStr">
        <is>
          <t>100201</t>
        </is>
      </c>
      <c r="B438" t="inlineStr">
        <is>
          <t>圆钢</t>
        </is>
      </c>
      <c r="C438" t="inlineStr">
        <is>
          <t>601316500</t>
        </is>
      </c>
      <c r="D438" t="inlineStr">
        <is>
          <t>易切削结构圆钢|圆钢|Y12|Φ25|空</t>
        </is>
      </c>
      <c r="E438" t="inlineStr">
        <is>
          <t xml:space="preserve">物资名称 易切削结构圆钢;物资简称 圆钢;牌号 Y12;直径 Φ25;技术标准号 空;加工工艺 ;热处理工艺 ;特殊要求 ;规格标准号 </t>
        </is>
      </c>
      <c r="F438" t="inlineStr">
        <is>
          <t>千克</t>
        </is>
      </c>
    </row>
    <row r="439">
      <c r="A439" t="inlineStr">
        <is>
          <t>100201</t>
        </is>
      </c>
      <c r="B439" t="inlineStr">
        <is>
          <t>圆钢</t>
        </is>
      </c>
      <c r="C439" t="inlineStr">
        <is>
          <t>601316400</t>
        </is>
      </c>
      <c r="D439" t="inlineStr">
        <is>
          <t>易切削结构圆钢|圆钢|Y12|Φ8|空</t>
        </is>
      </c>
      <c r="E439" t="inlineStr">
        <is>
          <t xml:space="preserve">物资名称 易切削结构圆钢;物资简称 圆钢;牌号 Y12;直径 Φ8;技术标准号 空;加工工艺 ;热处理工艺 ;特殊要求 ;规格标准号 </t>
        </is>
      </c>
      <c r="F439" t="inlineStr">
        <is>
          <t>千克</t>
        </is>
      </c>
    </row>
    <row r="440">
      <c r="A440" t="inlineStr">
        <is>
          <t>100201</t>
        </is>
      </c>
      <c r="B440" t="inlineStr">
        <is>
          <t>圆钢</t>
        </is>
      </c>
      <c r="C440" t="inlineStr">
        <is>
          <t>601316300</t>
        </is>
      </c>
      <c r="D440" t="inlineStr">
        <is>
          <t>高碳铬轴承圆钢|圆钢|GCr15|Φ12|空</t>
        </is>
      </c>
      <c r="E440" t="inlineStr">
        <is>
          <t xml:space="preserve">物资名称 高碳铬轴承圆钢;物资简称 圆钢;牌号 GCr15;直径 Φ12;技术标准号 空;加工工艺 ;热处理工艺 ;特殊要求 ;规格标准号 </t>
        </is>
      </c>
      <c r="F440" t="inlineStr">
        <is>
          <t>千克</t>
        </is>
      </c>
    </row>
    <row r="441">
      <c r="A441" t="inlineStr">
        <is>
          <t>100201</t>
        </is>
      </c>
      <c r="B441" t="inlineStr">
        <is>
          <t>圆钢</t>
        </is>
      </c>
      <c r="C441" t="inlineStr">
        <is>
          <t>601316200</t>
        </is>
      </c>
      <c r="D441" t="inlineStr">
        <is>
          <t>高碳铬轴承圆钢|圆钢|GCr15|Φ90|空</t>
        </is>
      </c>
      <c r="E441" t="inlineStr">
        <is>
          <t xml:space="preserve">物资名称 高碳铬轴承圆钢;物资简称 圆钢;牌号 GCr15;直径 Φ90;技术标准号 空;加工工艺 ;热处理工艺 ;特殊要求 ;规格标准号 </t>
        </is>
      </c>
      <c r="F441" t="inlineStr">
        <is>
          <t>千克</t>
        </is>
      </c>
    </row>
    <row r="442">
      <c r="A442" t="inlineStr">
        <is>
          <t>100201</t>
        </is>
      </c>
      <c r="B442" t="inlineStr">
        <is>
          <t>圆钢</t>
        </is>
      </c>
      <c r="C442" t="inlineStr">
        <is>
          <t>601316100</t>
        </is>
      </c>
      <c r="D442" t="inlineStr">
        <is>
          <t>优质碳素结构圆钢|圆钢|45|Φ300|GB/T 699</t>
        </is>
      </c>
      <c r="E442" t="inlineStr">
        <is>
          <t xml:space="preserve">物资名称 优质碳素结构圆钢;物资简称 圆钢;牌号 45;直径 Φ300;技术标准号 GB/T 699;加工工艺 ;热处理工艺 ;特殊要求 ;规格标准号 </t>
        </is>
      </c>
      <c r="F442" t="inlineStr">
        <is>
          <t>千克</t>
        </is>
      </c>
    </row>
    <row r="443">
      <c r="A443" t="inlineStr">
        <is>
          <t>100201</t>
        </is>
      </c>
      <c r="B443" t="inlineStr">
        <is>
          <t>圆钢</t>
        </is>
      </c>
      <c r="C443" t="inlineStr">
        <is>
          <t>601316000</t>
        </is>
      </c>
      <c r="D443" t="inlineStr">
        <is>
          <t>优质碳素结构圆钢|圆钢|45|Φ8|GB/T 699</t>
        </is>
      </c>
      <c r="E443" t="inlineStr">
        <is>
          <t xml:space="preserve">物资名称 优质碳素结构圆钢;物资简称 圆钢;牌号 45;直径 Φ8;技术标准号 GB/T 699;加工工艺 ;热处理工艺 ;特殊要求 ;规格标准号 </t>
        </is>
      </c>
      <c r="F443" t="inlineStr">
        <is>
          <t>千克</t>
        </is>
      </c>
    </row>
    <row r="444">
      <c r="A444" t="inlineStr">
        <is>
          <t>100201</t>
        </is>
      </c>
      <c r="B444" t="inlineStr">
        <is>
          <t>圆钢</t>
        </is>
      </c>
      <c r="C444" t="inlineStr">
        <is>
          <t>601315900</t>
        </is>
      </c>
      <c r="D444" t="inlineStr">
        <is>
          <t>锻制航空航天用超高强度圆钢|圆钢|45CrNiMo1VA|Φ195|GJB 5063-2001|锻制|GB/T 908-2008</t>
        </is>
      </c>
      <c r="E444" t="inlineStr">
        <is>
          <t>物资名称 锻制航空航天用超高强度圆钢;物资简称 圆钢;牌号 45CrNiMo1VA;直径 Φ195;技术标准号 GJB 5063-2001;加工工艺 锻制;热处理工艺 ;特殊要求 ;规格标准号 GB/T 908-2008</t>
        </is>
      </c>
      <c r="F444" t="inlineStr">
        <is>
          <t>千克</t>
        </is>
      </c>
    </row>
    <row r="445">
      <c r="A445" t="inlineStr">
        <is>
          <t>100201</t>
        </is>
      </c>
      <c r="B445" t="inlineStr">
        <is>
          <t>圆钢</t>
        </is>
      </c>
      <c r="C445" t="inlineStr">
        <is>
          <t>601018500</t>
        </is>
      </c>
      <c r="D445" t="inlineStr">
        <is>
          <t>热轧优质碳素结构圆钢|圆钢|45|Φ300|GB/T 699-1999|热轧|GB/T 702-2008</t>
        </is>
      </c>
      <c r="E445" t="inlineStr">
        <is>
          <t>物资名称 热轧优质碳素结构圆钢;物资简称 圆钢;牌号 45;直径 Φ300;技术标准号 GB/T 699-1999;加工工艺 热轧;热处理工艺 ;特殊要求 ;规格标准号 GB/T 702-2008</t>
        </is>
      </c>
      <c r="F445" t="inlineStr">
        <is>
          <t>千克</t>
        </is>
      </c>
    </row>
    <row r="446">
      <c r="A446" t="inlineStr">
        <is>
          <t>100201</t>
        </is>
      </c>
      <c r="B446" t="inlineStr">
        <is>
          <t>圆钢</t>
        </is>
      </c>
      <c r="C446" t="inlineStr">
        <is>
          <t>601009600</t>
        </is>
      </c>
      <c r="D446" t="inlineStr">
        <is>
          <t>热轧合金结构圆钢|圆钢|40Cr|Φ85|GB/T 3077-1999|热轧|GB/T 702-2008</t>
        </is>
      </c>
      <c r="E446" t="inlineStr">
        <is>
          <t>物资名称 热轧合金结构圆钢;物资简称 圆钢;牌号 40Cr;直径 Φ85;技术标准号 GB/T 3077-1999;加工工艺 热轧;热处理工艺 ;特殊要求 ;规格标准号 GB/T 702-2008</t>
        </is>
      </c>
      <c r="F446" t="inlineStr">
        <is>
          <t>千克</t>
        </is>
      </c>
    </row>
    <row r="447">
      <c r="A447" t="inlineStr">
        <is>
          <t>100201</t>
        </is>
      </c>
      <c r="B447" t="inlineStr">
        <is>
          <t>圆钢</t>
        </is>
      </c>
      <c r="C447" t="inlineStr">
        <is>
          <t>601003600</t>
        </is>
      </c>
      <c r="D447" t="inlineStr">
        <is>
          <t>热轧航空用优质结构圆钢|圆钢|38CrMoAlA|Φ25|GJB 1951-1994|热轧|GB/T 702-2008</t>
        </is>
      </c>
      <c r="E447" t="inlineStr">
        <is>
          <t>物资名称 热轧航空用优质结构圆钢;物资简称 圆钢;牌号 38CrMoAlA;直径 Φ25;技术标准号 GJB 1951-1994;加工工艺 热轧;热处理工艺 ;特殊要求 ;规格标准号 GB/T 702-2008</t>
        </is>
      </c>
      <c r="F447" t="inlineStr">
        <is>
          <t>千克</t>
        </is>
      </c>
    </row>
    <row r="448">
      <c r="A448" t="inlineStr">
        <is>
          <t>100201</t>
        </is>
      </c>
      <c r="B448" t="inlineStr">
        <is>
          <t>圆钢</t>
        </is>
      </c>
      <c r="C448" t="inlineStr">
        <is>
          <t>600999500</t>
        </is>
      </c>
      <c r="D448" t="inlineStr">
        <is>
          <t>热轧不锈圆钢|圆钢|2Cr13|Φ85|GB 1220-1992|热轧|GB/T 702-2008</t>
        </is>
      </c>
      <c r="E448" t="inlineStr">
        <is>
          <t>物资名称 热轧不锈圆钢;物资简称 圆钢;牌号 2Cr13;直径 Φ85;技术标准号 GB 1220-1992;加工工艺 热轧;热处理工艺 ;特殊要求 ;规格标准号 GB/T 702-2008</t>
        </is>
      </c>
      <c r="F448" t="inlineStr">
        <is>
          <t>千克</t>
        </is>
      </c>
    </row>
    <row r="449">
      <c r="A449" t="inlineStr">
        <is>
          <t>100201</t>
        </is>
      </c>
      <c r="B449" t="inlineStr">
        <is>
          <t>圆钢</t>
        </is>
      </c>
      <c r="C449" t="inlineStr">
        <is>
          <t>600999400</t>
        </is>
      </c>
      <c r="D449" t="inlineStr">
        <is>
          <t>热轧航空用不锈圆钢|圆钢|1Cr18Ni9Ti|Φ82|GJB 2294-1995|热轧|GB/T 702-2008</t>
        </is>
      </c>
      <c r="E449" t="inlineStr">
        <is>
          <t>物资名称 热轧航空用不锈圆钢;物资简称 圆钢;牌号 1Cr18Ni9Ti;直径 Φ82;技术标准号 GJB 2294-1995;加工工艺 热轧;热处理工艺 ;特殊要求 ;规格标准号 GB/T 702-2008</t>
        </is>
      </c>
      <c r="F449" t="inlineStr">
        <is>
          <t>千克</t>
        </is>
      </c>
    </row>
    <row r="450">
      <c r="A450" t="inlineStr">
        <is>
          <t>100201</t>
        </is>
      </c>
      <c r="B450" t="inlineStr">
        <is>
          <t>圆钢</t>
        </is>
      </c>
      <c r="C450" t="inlineStr">
        <is>
          <t>600996500</t>
        </is>
      </c>
      <c r="D450" t="inlineStr">
        <is>
          <t>热轧航空用优质结构圆钢|圆钢|38CrMoAlA|Φ118|GJB 1951-1994|热轧|GB/T 702-2008</t>
        </is>
      </c>
      <c r="E450" t="inlineStr">
        <is>
          <t>物资名称 热轧航空用优质结构圆钢;物资简称 圆钢;牌号 38CrMoAlA;直径 Φ118;技术标准号 GJB 1951-1994;加工工艺 热轧;热处理工艺 ;特殊要求 ;规格标准号 GB/T 702-2008</t>
        </is>
      </c>
      <c r="F450" t="inlineStr">
        <is>
          <t>千克</t>
        </is>
      </c>
    </row>
    <row r="451">
      <c r="A451" t="inlineStr">
        <is>
          <t>100201</t>
        </is>
      </c>
      <c r="B451" t="inlineStr">
        <is>
          <t>圆钢</t>
        </is>
      </c>
      <c r="C451" t="inlineStr">
        <is>
          <t>600996400</t>
        </is>
      </c>
      <c r="D451" t="inlineStr">
        <is>
          <t>热轧合金结构圆钢|圆钢|40Cr|Φ52|GB/T 3077-1999|热轧|GB/T 702-2008</t>
        </is>
      </c>
      <c r="E451" t="inlineStr">
        <is>
          <t>物资名称 热轧合金结构圆钢;物资简称 圆钢;牌号 40Cr;直径 Φ52;技术标准号 GB/T 3077-1999;加工工艺 热轧;热处理工艺 ;特殊要求 ;规格标准号 GB/T 702-2008</t>
        </is>
      </c>
      <c r="F451" t="inlineStr">
        <is>
          <t>千克</t>
        </is>
      </c>
    </row>
    <row r="452">
      <c r="A452" t="inlineStr">
        <is>
          <t>100201</t>
        </is>
      </c>
      <c r="B452" t="inlineStr">
        <is>
          <t>圆钢</t>
        </is>
      </c>
      <c r="C452" t="inlineStr">
        <is>
          <t>600996300</t>
        </is>
      </c>
      <c r="D452" t="inlineStr">
        <is>
          <t>热轧航空用不锈圆钢|圆钢|1Cr18Ni9Ti|Φ50|GJB 2294-1995|热轧|GB/T 702-2008</t>
        </is>
      </c>
      <c r="E452" t="inlineStr">
        <is>
          <t>物资名称 热轧航空用不锈圆钢;物资简称 圆钢;牌号 1Cr18Ni9Ti;直径 Φ50;技术标准号 GJB 2294-1995;加工工艺 热轧;热处理工艺 ;特殊要求 ;规格标准号 GB/T 702-2008</t>
        </is>
      </c>
      <c r="F452" t="inlineStr">
        <is>
          <t>千克</t>
        </is>
      </c>
    </row>
    <row r="453">
      <c r="A453" t="inlineStr">
        <is>
          <t>100201</t>
        </is>
      </c>
      <c r="B453" t="inlineStr">
        <is>
          <t>圆钢</t>
        </is>
      </c>
      <c r="C453" t="inlineStr">
        <is>
          <t>600996200</t>
        </is>
      </c>
      <c r="D453" t="inlineStr">
        <is>
          <t>热轧航空用不锈圆钢|圆钢|1Cr18Ni9Ti|Φ18|GJB 2294-1995|热轧|GB/T 702-2008</t>
        </is>
      </c>
      <c r="E453" t="inlineStr">
        <is>
          <t>物资名称 热轧航空用不锈圆钢;物资简称 圆钢;牌号 1Cr18Ni9Ti;直径 Φ18;技术标准号 GJB 2294-1995;加工工艺 热轧;热处理工艺 ;特殊要求 ;规格标准号 GB/T 702-2008</t>
        </is>
      </c>
      <c r="F453" t="inlineStr">
        <is>
          <t>千克</t>
        </is>
      </c>
    </row>
    <row r="454">
      <c r="A454" t="inlineStr">
        <is>
          <t>100201</t>
        </is>
      </c>
      <c r="B454" t="inlineStr">
        <is>
          <t>圆钢</t>
        </is>
      </c>
      <c r="C454" t="inlineStr">
        <is>
          <t>600996100</t>
        </is>
      </c>
      <c r="D454" t="inlineStr">
        <is>
          <t>热轧航空用不锈圆钢|圆钢|1Cr18Ni9Ti|Φ33|GJB 2294-1995|热轧|GB/T 702-2008</t>
        </is>
      </c>
      <c r="E454" t="inlineStr">
        <is>
          <t>物资名称 热轧航空用不锈圆钢;物资简称 圆钢;牌号 1Cr18Ni9Ti;直径 Φ33;技术标准号 GJB 2294-1995;加工工艺 热轧;热处理工艺 ;特殊要求 ;规格标准号 GB/T 702-2008</t>
        </is>
      </c>
      <c r="F454" t="inlineStr">
        <is>
          <t>千克</t>
        </is>
      </c>
    </row>
    <row r="455">
      <c r="A455" t="inlineStr">
        <is>
          <t>100201</t>
        </is>
      </c>
      <c r="B455" t="inlineStr">
        <is>
          <t>圆钢</t>
        </is>
      </c>
      <c r="C455" t="inlineStr">
        <is>
          <t>600996000</t>
        </is>
      </c>
      <c r="D455" t="inlineStr">
        <is>
          <t>热轧航空用不锈圆钢|圆钢|1Cr18Ni9Ti|Φ65|GJB 2294-1995|热轧|GB/T 702-2008</t>
        </is>
      </c>
      <c r="E455" t="inlineStr">
        <is>
          <t>物资名称 热轧航空用不锈圆钢;物资简称 圆钢;牌号 1Cr18Ni9Ti;直径 Φ65;技术标准号 GJB 2294-1995;加工工艺 热轧;热处理工艺 ;特殊要求 ;规格标准号 GB/T 702-2008</t>
        </is>
      </c>
      <c r="F455" t="inlineStr">
        <is>
          <t>千克</t>
        </is>
      </c>
    </row>
    <row r="456">
      <c r="A456" t="inlineStr">
        <is>
          <t>100201</t>
        </is>
      </c>
      <c r="B456" t="inlineStr">
        <is>
          <t>圆钢</t>
        </is>
      </c>
      <c r="C456" t="inlineStr">
        <is>
          <t>600995900</t>
        </is>
      </c>
      <c r="D456" t="inlineStr">
        <is>
          <t>热轧航空用不锈圆钢|圆钢|1Cr18Ni9Ti|Φ80|GJB 2294-1995|热轧|GB/T 702-2008</t>
        </is>
      </c>
      <c r="E456" t="inlineStr">
        <is>
          <t>物资名称 热轧航空用不锈圆钢;物资简称 圆钢;牌号 1Cr18Ni9Ti;直径 Φ80;技术标准号 GJB 2294-1995;加工工艺 热轧;热处理工艺 ;特殊要求 ;规格标准号 GB/T 702-2008</t>
        </is>
      </c>
      <c r="F456" t="inlineStr">
        <is>
          <t>千克</t>
        </is>
      </c>
    </row>
    <row r="457">
      <c r="A457" t="inlineStr">
        <is>
          <t>100201</t>
        </is>
      </c>
      <c r="B457" t="inlineStr">
        <is>
          <t>圆钢</t>
        </is>
      </c>
      <c r="C457" t="inlineStr">
        <is>
          <t>600995800</t>
        </is>
      </c>
      <c r="D457" t="inlineStr">
        <is>
          <t>热轧航空用不锈圆钢|圆钢|1Cr18Ni9Ti|Φ31|GJB 2294-1995|热轧|GB/T 702-2008</t>
        </is>
      </c>
      <c r="E457" t="inlineStr">
        <is>
          <t>物资名称 热轧航空用不锈圆钢;物资简称 圆钢;牌号 1Cr18Ni9Ti;直径 Φ31;技术标准号 GJB 2294-1995;加工工艺 热轧;热处理工艺 ;特殊要求 ;规格标准号 GB/T 702-2008</t>
        </is>
      </c>
      <c r="F457" t="inlineStr">
        <is>
          <t>千克</t>
        </is>
      </c>
    </row>
    <row r="458">
      <c r="A458" t="inlineStr">
        <is>
          <t>100201</t>
        </is>
      </c>
      <c r="B458" t="inlineStr">
        <is>
          <t>圆钢</t>
        </is>
      </c>
      <c r="C458" t="inlineStr">
        <is>
          <t>600995700</t>
        </is>
      </c>
      <c r="D458" t="inlineStr">
        <is>
          <t>热轧航空用不锈圆钢|圆钢|1Cr18Ni9Ti|Φ30|GJB 2294-1995|热轧|GB/T 702-2008</t>
        </is>
      </c>
      <c r="E458" t="inlineStr">
        <is>
          <t>物资名称 热轧航空用不锈圆钢;物资简称 圆钢;牌号 1Cr18Ni9Ti;直径 Φ30;技术标准号 GJB 2294-1995;加工工艺 热轧;热处理工艺 ;特殊要求 ;规格标准号 GB/T 702-2008</t>
        </is>
      </c>
      <c r="F458" t="inlineStr">
        <is>
          <t>千克</t>
        </is>
      </c>
    </row>
    <row r="459">
      <c r="A459" t="inlineStr">
        <is>
          <t>100201</t>
        </is>
      </c>
      <c r="B459" t="inlineStr">
        <is>
          <t>圆钢</t>
        </is>
      </c>
      <c r="C459" t="inlineStr">
        <is>
          <t>600995600</t>
        </is>
      </c>
      <c r="D459" t="inlineStr">
        <is>
          <t>热轧航空用不锈圆钢|圆钢|1Cr18Ni9Ti|Φ40|GJB 2294-1995|热轧|GB/T 702-2008</t>
        </is>
      </c>
      <c r="E459" t="inlineStr">
        <is>
          <t>物资名称 热轧航空用不锈圆钢;物资简称 圆钢;牌号 1Cr18Ni9Ti;直径 Φ40;技术标准号 GJB 2294-1995;加工工艺 热轧;热处理工艺 ;特殊要求 ;规格标准号 GB/T 702-2008</t>
        </is>
      </c>
      <c r="F459" t="inlineStr">
        <is>
          <t>千克</t>
        </is>
      </c>
    </row>
    <row r="460">
      <c r="A460" t="inlineStr">
        <is>
          <t>100201</t>
        </is>
      </c>
      <c r="B460" t="inlineStr">
        <is>
          <t>圆钢</t>
        </is>
      </c>
      <c r="C460" t="inlineStr">
        <is>
          <t>600995500</t>
        </is>
      </c>
      <c r="D460" t="inlineStr">
        <is>
          <t>热轧航空用不锈圆钢|圆钢|1Cr18Ni9Ti|Φ175|GJB 2294-1995|热轧|GB/T 702-2008</t>
        </is>
      </c>
      <c r="E460" t="inlineStr">
        <is>
          <t>物资名称 热轧航空用不锈圆钢;物资简称 圆钢;牌号 1Cr18Ni9Ti;直径 Φ175;技术标准号 GJB 2294-1995;加工工艺 热轧;热处理工艺 ;特殊要求 ;规格标准号 GB/T 702-2008</t>
        </is>
      </c>
      <c r="F460" t="inlineStr">
        <is>
          <t>千克</t>
        </is>
      </c>
    </row>
    <row r="461">
      <c r="A461" t="inlineStr">
        <is>
          <t>100201</t>
        </is>
      </c>
      <c r="B461" t="inlineStr">
        <is>
          <t>圆钢</t>
        </is>
      </c>
      <c r="C461" t="inlineStr">
        <is>
          <t>600995400</t>
        </is>
      </c>
      <c r="D461" t="inlineStr">
        <is>
          <t>热轧航空用不锈圆钢|圆钢|1Cr18Ni9Ti|Φ130|GJB 2294-1995|热轧|GB/T 702-2008</t>
        </is>
      </c>
      <c r="E461" t="inlineStr">
        <is>
          <t>物资名称 热轧航空用不锈圆钢;物资简称 圆钢;牌号 1Cr18Ni9Ti;直径 Φ130;技术标准号 GJB 2294-1995;加工工艺 热轧;热处理工艺 ;特殊要求 ;规格标准号 GB/T 702-2008</t>
        </is>
      </c>
      <c r="F461" t="inlineStr">
        <is>
          <t>千克</t>
        </is>
      </c>
    </row>
    <row r="462">
      <c r="A462" t="inlineStr">
        <is>
          <t>100201</t>
        </is>
      </c>
      <c r="B462" t="inlineStr">
        <is>
          <t>圆钢</t>
        </is>
      </c>
      <c r="C462" t="inlineStr">
        <is>
          <t>600995300</t>
        </is>
      </c>
      <c r="D462" t="inlineStr">
        <is>
          <t>热轧航空用不锈圆钢|圆钢|1Cr18Ni9Ti|Φ8|GJB 2294-1995|热轧|GB/T 702-2008</t>
        </is>
      </c>
      <c r="E462" t="inlineStr">
        <is>
          <t>物资名称 热轧航空用不锈圆钢;物资简称 圆钢;牌号 1Cr18Ni9Ti;直径 Φ8;技术标准号 GJB 2294-1995;加工工艺 热轧;热处理工艺 ;特殊要求 ;规格标准号 GB/T 702-2008</t>
        </is>
      </c>
      <c r="F462" t="inlineStr">
        <is>
          <t>千克</t>
        </is>
      </c>
    </row>
    <row r="463">
      <c r="A463" t="inlineStr">
        <is>
          <t>100201</t>
        </is>
      </c>
      <c r="B463" t="inlineStr">
        <is>
          <t>圆钢</t>
        </is>
      </c>
      <c r="C463" t="inlineStr">
        <is>
          <t>600995200</t>
        </is>
      </c>
      <c r="D463" t="inlineStr">
        <is>
          <t>热轧航空用不锈圆钢|圆钢|1Cr18Ni9Ti|Φ11|GJB 2294-1995|热轧|GB/T 702-2008</t>
        </is>
      </c>
      <c r="E463" t="inlineStr">
        <is>
          <t>物资名称 热轧航空用不锈圆钢;物资简称 圆钢;牌号 1Cr18Ni9Ti;直径 Φ11;技术标准号 GJB 2294-1995;加工工艺 热轧;热处理工艺 ;特殊要求 ;规格标准号 GB/T 702-2008</t>
        </is>
      </c>
      <c r="F463" t="inlineStr">
        <is>
          <t>千克</t>
        </is>
      </c>
    </row>
    <row r="464">
      <c r="A464" t="inlineStr">
        <is>
          <t>100201</t>
        </is>
      </c>
      <c r="B464" t="inlineStr">
        <is>
          <t>圆钢</t>
        </is>
      </c>
      <c r="C464" t="inlineStr">
        <is>
          <t>600995000</t>
        </is>
      </c>
      <c r="D464" t="inlineStr">
        <is>
          <t>热轧航空用不锈圆钢|圆钢|1Cr18Ni9Ti|Φ100|GJB 2294-1995|热轧|GB/T 702-2008</t>
        </is>
      </c>
      <c r="E464" t="inlineStr">
        <is>
          <t>物资名称 热轧航空用不锈圆钢;物资简称 圆钢;牌号 1Cr18Ni9Ti;直径 Φ100;技术标准号 GJB 2294-1995;加工工艺 热轧;热处理工艺 ;特殊要求 ;规格标准号 GB/T 702-2008</t>
        </is>
      </c>
      <c r="F464" t="inlineStr">
        <is>
          <t>千克</t>
        </is>
      </c>
    </row>
    <row r="465">
      <c r="A465" t="inlineStr">
        <is>
          <t>100201</t>
        </is>
      </c>
      <c r="B465" t="inlineStr">
        <is>
          <t>圆钢</t>
        </is>
      </c>
      <c r="C465" t="inlineStr">
        <is>
          <t>600994900</t>
        </is>
      </c>
      <c r="D465" t="inlineStr">
        <is>
          <t>热轧航空用不锈圆钢|圆钢|1Cr18Ni9Ti|Φ45|GJB 2294-1995|热轧|GB/T 702-2008</t>
        </is>
      </c>
      <c r="E465" t="inlineStr">
        <is>
          <t>物资名称 热轧航空用不锈圆钢;物资简称 圆钢;牌号 1Cr18Ni9Ti;直径 Φ45;技术标准号 GJB 2294-1995;加工工艺 热轧;热处理工艺 ;特殊要求 ;规格标准号 GB/T 702-2008</t>
        </is>
      </c>
      <c r="F465" t="inlineStr">
        <is>
          <t>千克</t>
        </is>
      </c>
    </row>
    <row r="466">
      <c r="A466" t="inlineStr">
        <is>
          <t>100201</t>
        </is>
      </c>
      <c r="B466" t="inlineStr">
        <is>
          <t>圆钢</t>
        </is>
      </c>
      <c r="C466" t="inlineStr">
        <is>
          <t>600994800</t>
        </is>
      </c>
      <c r="D466" t="inlineStr">
        <is>
          <t>热轧航空用不锈圆钢|圆钢|1Cr18Ni9Ti|Φ48|GJB 2294-1995|热轧|GB/T 702-2008</t>
        </is>
      </c>
      <c r="E466" t="inlineStr">
        <is>
          <t>物资名称 热轧航空用不锈圆钢;物资简称 圆钢;牌号 1Cr18Ni9Ti;直径 Φ48;技术标准号 GJB 2294-1995;加工工艺 热轧;热处理工艺 ;特殊要求 ;规格标准号 GB/T 702-2008</t>
        </is>
      </c>
      <c r="F466" t="inlineStr">
        <is>
          <t>千克</t>
        </is>
      </c>
    </row>
    <row r="467">
      <c r="A467" t="inlineStr">
        <is>
          <t>100201</t>
        </is>
      </c>
      <c r="B467" t="inlineStr">
        <is>
          <t>圆钢</t>
        </is>
      </c>
      <c r="C467" t="inlineStr">
        <is>
          <t>600994700</t>
        </is>
      </c>
      <c r="D467" t="inlineStr">
        <is>
          <t>热轧航空用不锈圆钢|圆钢|1Cr18Ni9Ti|Φ34|GJB 2294-1995|热轧|GB/T 702-2008</t>
        </is>
      </c>
      <c r="E467" t="inlineStr">
        <is>
          <t>物资名称 热轧航空用不锈圆钢;物资简称 圆钢;牌号 1Cr18Ni9Ti;直径 Φ34;技术标准号 GJB 2294-1995;加工工艺 热轧;热处理工艺 ;特殊要求 ;规格标准号 GB/T 702-2008</t>
        </is>
      </c>
      <c r="F467" t="inlineStr">
        <is>
          <t>千克</t>
        </is>
      </c>
    </row>
    <row r="468">
      <c r="A468" t="inlineStr">
        <is>
          <t>100201</t>
        </is>
      </c>
      <c r="B468" t="inlineStr">
        <is>
          <t>圆钢</t>
        </is>
      </c>
      <c r="C468" t="inlineStr">
        <is>
          <t>600994600</t>
        </is>
      </c>
      <c r="D468" t="inlineStr">
        <is>
          <t>热轧航空用不锈圆钢|圆钢|1Cr18Ni9Ti|Φ28|GJB 2294-1995|热轧|GB/T 702-2008</t>
        </is>
      </c>
      <c r="E468" t="inlineStr">
        <is>
          <t>物资名称 热轧航空用不锈圆钢;物资简称 圆钢;牌号 1Cr18Ni9Ti;直径 Φ28;技术标准号 GJB 2294-1995;加工工艺 热轧;热处理工艺 ;特殊要求 ;规格标准号 GB/T 702-2008</t>
        </is>
      </c>
      <c r="F468" t="inlineStr">
        <is>
          <t>千克</t>
        </is>
      </c>
    </row>
    <row r="469">
      <c r="A469" t="inlineStr">
        <is>
          <t>100201</t>
        </is>
      </c>
      <c r="B469" t="inlineStr">
        <is>
          <t>圆钢</t>
        </is>
      </c>
      <c r="C469" t="inlineStr">
        <is>
          <t>600993500</t>
        </is>
      </c>
      <c r="D469" t="inlineStr">
        <is>
          <t>热轧不锈圆钢|圆钢|Y1Cr18Ni9|Φ30|GB 1220-1992|热轧|GB/T 702-2008</t>
        </is>
      </c>
      <c r="E469" t="inlineStr">
        <is>
          <t>物资名称 热轧不锈圆钢;物资简称 圆钢;牌号 Y1Cr18Ni9;直径 Φ30;技术标准号 GB 1220-1992;加工工艺 热轧;热处理工艺 ;特殊要求 ;规格标准号 GB/T 702-2008</t>
        </is>
      </c>
      <c r="F469" t="inlineStr">
        <is>
          <t>千克</t>
        </is>
      </c>
    </row>
    <row r="470">
      <c r="A470" t="inlineStr">
        <is>
          <t>100201</t>
        </is>
      </c>
      <c r="B470" t="inlineStr">
        <is>
          <t>圆钢</t>
        </is>
      </c>
      <c r="C470" t="inlineStr">
        <is>
          <t>600992800</t>
        </is>
      </c>
      <c r="D470" t="inlineStr">
        <is>
          <t>热轧航空用不锈圆钢|圆钢|Y2Cr13Ni2|Φ28|GJB 2294-95|热轧|GB/T 702-2008</t>
        </is>
      </c>
      <c r="E470" t="inlineStr">
        <is>
          <t>物资名称 热轧航空用不锈圆钢;物资简称 圆钢;牌号 Y2Cr13Ni2;直径 Φ28;技术标准号 GJB 2294-95;加工工艺 热轧;热处理工艺 ;特殊要求 ;规格标准号 GB/T 702-2008</t>
        </is>
      </c>
      <c r="F470" t="inlineStr">
        <is>
          <t>千克</t>
        </is>
      </c>
    </row>
    <row r="471">
      <c r="A471" t="inlineStr">
        <is>
          <t>100201</t>
        </is>
      </c>
      <c r="B471" t="inlineStr">
        <is>
          <t>圆钢</t>
        </is>
      </c>
      <c r="C471" t="inlineStr">
        <is>
          <t>600992700</t>
        </is>
      </c>
      <c r="D471" t="inlineStr">
        <is>
          <t>热轧航空用不锈圆钢|圆钢|Y2Cr13Ni2|Φ7|GJB 2294-1995|热轧|GB/T 702-2008</t>
        </is>
      </c>
      <c r="E471" t="inlineStr">
        <is>
          <t>物资名称 热轧航空用不锈圆钢;物资简称 圆钢;牌号 Y2Cr13Ni2;直径 Φ7;技术标准号 GJB 2294-1995;加工工艺 热轧;热处理工艺 ;特殊要求 ;规格标准号 GB/T 702-2008</t>
        </is>
      </c>
      <c r="F471" t="inlineStr">
        <is>
          <t>千克</t>
        </is>
      </c>
    </row>
    <row r="472">
      <c r="A472" t="inlineStr">
        <is>
          <t>100201</t>
        </is>
      </c>
      <c r="B472" t="inlineStr">
        <is>
          <t>圆钢</t>
        </is>
      </c>
      <c r="C472" t="inlineStr">
        <is>
          <t>600992600</t>
        </is>
      </c>
      <c r="D472" t="inlineStr">
        <is>
          <t>热轧航空用不锈圆钢|圆钢|Y2Cr13Ni2|Φ12|GJB 2294-1995|热轧|GB/T 702-2008</t>
        </is>
      </c>
      <c r="E472" t="inlineStr">
        <is>
          <t>物资名称 热轧航空用不锈圆钢;物资简称 圆钢;牌号 Y2Cr13Ni2;直径 Φ12;技术标准号 GJB 2294-1995;加工工艺 热轧;热处理工艺 ;特殊要求 ;规格标准号 GB/T 702-2008</t>
        </is>
      </c>
      <c r="F472" t="inlineStr">
        <is>
          <t>千克</t>
        </is>
      </c>
    </row>
    <row r="473">
      <c r="A473" t="inlineStr">
        <is>
          <t>100201</t>
        </is>
      </c>
      <c r="B473" t="inlineStr">
        <is>
          <t>圆钢</t>
        </is>
      </c>
      <c r="C473" t="inlineStr">
        <is>
          <t>600992500</t>
        </is>
      </c>
      <c r="D473" t="inlineStr">
        <is>
          <t>热轧航空用不锈圆钢|圆钢|Y2Cr13Ni2|Φ6|GJB 2294-1995|热轧|GB/T 702-2008</t>
        </is>
      </c>
      <c r="E473" t="inlineStr">
        <is>
          <t>物资名称 热轧航空用不锈圆钢;物资简称 圆钢;牌号 Y2Cr13Ni2;直径 Φ6;技术标准号 GJB 2294-1995;加工工艺 热轧;热处理工艺 ;特殊要求 ;规格标准号 GB/T 702-2008</t>
        </is>
      </c>
      <c r="F473" t="inlineStr">
        <is>
          <t>千克</t>
        </is>
      </c>
    </row>
    <row r="474">
      <c r="A474" t="inlineStr">
        <is>
          <t>100201</t>
        </is>
      </c>
      <c r="B474" t="inlineStr">
        <is>
          <t>圆钢</t>
        </is>
      </c>
      <c r="C474" t="inlineStr">
        <is>
          <t>600992400</t>
        </is>
      </c>
      <c r="D474" t="inlineStr">
        <is>
          <t>热轧航空用不锈圆钢|圆钢|Y2Cr13Ni2|Φ18|GJB 2294-1995|GB/T 702-2008</t>
        </is>
      </c>
      <c r="E474" t="inlineStr">
        <is>
          <t>物资名称 热轧航空用不锈圆钢;物资简称 圆钢;牌号 Y2Cr13Ni2;直径 Φ18;技术标准号 GJB 2294-1995;加工工艺 ;热处理工艺 ;特殊要求 ;规格标准号 GB/T 702-2008</t>
        </is>
      </c>
      <c r="F474" t="inlineStr">
        <is>
          <t>千克</t>
        </is>
      </c>
    </row>
    <row r="475">
      <c r="A475" t="inlineStr">
        <is>
          <t>100201</t>
        </is>
      </c>
      <c r="B475" t="inlineStr">
        <is>
          <t>圆钢</t>
        </is>
      </c>
      <c r="C475" t="inlineStr">
        <is>
          <t>600992300</t>
        </is>
      </c>
      <c r="D475" t="inlineStr">
        <is>
          <t>热轧航空用不锈圆钢|圆钢|Y2Cr13Ni2|Φ16|GJB 2294-1995|GB/T 702-2008</t>
        </is>
      </c>
      <c r="E475" t="inlineStr">
        <is>
          <t>物资名称 热轧航空用不锈圆钢;物资简称 圆钢;牌号 Y2Cr13Ni2;直径 Φ16;技术标准号 GJB 2294-1995;加工工艺 ;热处理工艺 ;特殊要求 ;规格标准号 GB/T 702-2008</t>
        </is>
      </c>
      <c r="F475" t="inlineStr">
        <is>
          <t>千克</t>
        </is>
      </c>
    </row>
    <row r="476">
      <c r="A476" t="inlineStr">
        <is>
          <t>100201</t>
        </is>
      </c>
      <c r="B476" t="inlineStr">
        <is>
          <t>圆钢</t>
        </is>
      </c>
      <c r="C476" t="inlineStr">
        <is>
          <t>600992200</t>
        </is>
      </c>
      <c r="D476" t="inlineStr">
        <is>
          <t>热轧航空用不锈圆钢|圆钢|Y2Cr13Ni2|Φ11|GJB 2294-1995|GB/T 702-2008</t>
        </is>
      </c>
      <c r="E476" t="inlineStr">
        <is>
          <t>物资名称 热轧航空用不锈圆钢;物资简称 圆钢;牌号 Y2Cr13Ni2;直径 Φ11;技术标准号 GJB 2294-1995;加工工艺 ;热处理工艺 ;特殊要求 ;规格标准号 GB/T 702-2008</t>
        </is>
      </c>
      <c r="F476" t="inlineStr">
        <is>
          <t>千克</t>
        </is>
      </c>
    </row>
    <row r="477">
      <c r="A477" t="inlineStr">
        <is>
          <t>100201</t>
        </is>
      </c>
      <c r="B477" t="inlineStr">
        <is>
          <t>圆钢</t>
        </is>
      </c>
      <c r="C477" t="inlineStr">
        <is>
          <t>600992100</t>
        </is>
      </c>
      <c r="D477" t="inlineStr">
        <is>
          <t>热轧航空用不锈圆钢|圆钢|Y2Cr13Ni2|Φ35|GJB 2294-1995|GB/T 702-2008</t>
        </is>
      </c>
      <c r="E477" t="inlineStr">
        <is>
          <t>物资名称 热轧航空用不锈圆钢;物资简称 圆钢;牌号 Y2Cr13Ni2;直径 Φ35;技术标准号 GJB 2294-1995;加工工艺 ;热处理工艺 ;特殊要求 ;规格标准号 GB/T 702-2008</t>
        </is>
      </c>
      <c r="F477" t="inlineStr">
        <is>
          <t>千克</t>
        </is>
      </c>
    </row>
    <row r="478">
      <c r="A478" t="inlineStr">
        <is>
          <t>100201</t>
        </is>
      </c>
      <c r="B478" t="inlineStr">
        <is>
          <t>圆钢</t>
        </is>
      </c>
      <c r="C478" t="inlineStr">
        <is>
          <t>600992000</t>
        </is>
      </c>
      <c r="D478" t="inlineStr">
        <is>
          <t>热轧航空用不锈圆钢|圆钢|Y2Cr13Ni2|Φ9|GJB 2294-1995|热轧|GB/T 702-2008</t>
        </is>
      </c>
      <c r="E478" t="inlineStr">
        <is>
          <t>物资名称 热轧航空用不锈圆钢;物资简称 圆钢;牌号 Y2Cr13Ni2;直径 Φ9;技术标准号 GJB 2294-1995;加工工艺 热轧;热处理工艺 ;特殊要求 ;规格标准号 GB/T 702-2008</t>
        </is>
      </c>
      <c r="F478" t="inlineStr">
        <is>
          <t>千克</t>
        </is>
      </c>
    </row>
    <row r="479">
      <c r="A479" t="inlineStr">
        <is>
          <t>100201</t>
        </is>
      </c>
      <c r="B479" t="inlineStr">
        <is>
          <t>圆钢</t>
        </is>
      </c>
      <c r="C479" t="inlineStr">
        <is>
          <t>600991900</t>
        </is>
      </c>
      <c r="D479" t="inlineStr">
        <is>
          <t>热轧航空用不锈圆钢|圆钢|Y2Cr13Ni2|Φ5|GJB 2294-1995|热轧|GB/T 702-2008</t>
        </is>
      </c>
      <c r="E479" t="inlineStr">
        <is>
          <t>物资名称 热轧航空用不锈圆钢;物资简称 圆钢;牌号 Y2Cr13Ni2;直径 Φ5;技术标准号 GJB 2294-1995;加工工艺 热轧;热处理工艺 ;特殊要求 ;规格标准号 GB/T 702-2008</t>
        </is>
      </c>
      <c r="F479" t="inlineStr">
        <is>
          <t>千克</t>
        </is>
      </c>
    </row>
    <row r="480">
      <c r="A480" t="inlineStr">
        <is>
          <t>100201</t>
        </is>
      </c>
      <c r="B480" t="inlineStr">
        <is>
          <t>圆钢</t>
        </is>
      </c>
      <c r="C480" t="inlineStr">
        <is>
          <t>600991800</t>
        </is>
      </c>
      <c r="D480" t="inlineStr">
        <is>
          <t>热轧高碳铬轴承圆钢|圆钢|GCr15|Φ8|GB/T 18254-2002|热轧|GB/T 702-2008</t>
        </is>
      </c>
      <c r="E480" t="inlineStr">
        <is>
          <t>物资名称 热轧高碳铬轴承圆钢;物资简称 圆钢;牌号 GCr15;直径 Φ8;技术标准号 GB/T 18254-2002;加工工艺 热轧;热处理工艺 ;特殊要求 ;规格标准号 GB/T 702-2008</t>
        </is>
      </c>
      <c r="F480" t="inlineStr">
        <is>
          <t>千克</t>
        </is>
      </c>
    </row>
    <row r="481">
      <c r="A481" t="inlineStr">
        <is>
          <t>100201</t>
        </is>
      </c>
      <c r="B481" t="inlineStr">
        <is>
          <t>圆钢</t>
        </is>
      </c>
      <c r="C481" t="inlineStr">
        <is>
          <t>600988700</t>
        </is>
      </c>
      <c r="D481" t="inlineStr">
        <is>
          <t>热轧不锈圆钢|圆钢|1Cr18Ni9Ti|Φ52|GB 1220-1992|热轧|GB/T 702-2008</t>
        </is>
      </c>
      <c r="E481" t="inlineStr">
        <is>
          <t>物资名称 热轧不锈圆钢;物资简称 圆钢;牌号 1Cr18Ni9Ti;直径 Φ52;技术标准号 GB 1220-1992;加工工艺 热轧;热处理工艺 ;特殊要求 ;规格标准号 GB/T 702-2008</t>
        </is>
      </c>
      <c r="F481" t="inlineStr">
        <is>
          <t>千克</t>
        </is>
      </c>
    </row>
    <row r="482">
      <c r="A482" t="inlineStr">
        <is>
          <t>100201</t>
        </is>
      </c>
      <c r="B482" t="inlineStr">
        <is>
          <t>圆钢</t>
        </is>
      </c>
      <c r="C482" t="inlineStr">
        <is>
          <t>600988600</t>
        </is>
      </c>
      <c r="D482" t="inlineStr">
        <is>
          <t>热轧不锈圆钢|圆钢|1Cr18Ni9Ti|Φ78|GB 1220-1992|热轧|GB/T 702-2008</t>
        </is>
      </c>
      <c r="E482" t="inlineStr">
        <is>
          <t>物资名称 热轧不锈圆钢;物资简称 圆钢;牌号 1Cr18Ni9Ti;直径 Φ78;技术标准号 GB 1220-1992;加工工艺 热轧;热处理工艺 ;特殊要求 ;规格标准号 GB/T 702-2008</t>
        </is>
      </c>
      <c r="F482" t="inlineStr">
        <is>
          <t>千克</t>
        </is>
      </c>
    </row>
    <row r="483">
      <c r="A483" t="inlineStr">
        <is>
          <t>100201</t>
        </is>
      </c>
      <c r="B483" t="inlineStr">
        <is>
          <t>圆钢</t>
        </is>
      </c>
      <c r="C483" t="inlineStr">
        <is>
          <t>600988500</t>
        </is>
      </c>
      <c r="D483" t="inlineStr">
        <is>
          <t>热轧不锈圆钢|圆钢|1Cr18Ni9Ti|Φ33|GB 1220-1992|热轧|GB/T 702-2008</t>
        </is>
      </c>
      <c r="E483" t="inlineStr">
        <is>
          <t>物资名称 热轧不锈圆钢;物资简称 圆钢;牌号 1Cr18Ni9Ti;直径 Φ33;技术标准号 GB 1220-1992;加工工艺 热轧;热处理工艺 ;特殊要求 ;规格标准号 GB/T 702-2008</t>
        </is>
      </c>
      <c r="F483" t="inlineStr">
        <is>
          <t>千克</t>
        </is>
      </c>
    </row>
    <row r="484">
      <c r="A484" t="inlineStr">
        <is>
          <t>100201</t>
        </is>
      </c>
      <c r="B484" t="inlineStr">
        <is>
          <t>圆钢</t>
        </is>
      </c>
      <c r="C484" t="inlineStr">
        <is>
          <t>600988400</t>
        </is>
      </c>
      <c r="D484" t="inlineStr">
        <is>
          <t>热轧不锈圆钢|圆钢|1Cr18Ni9Ti|Φ48|GB 1220-1992|热轧|GB/T 702-2008</t>
        </is>
      </c>
      <c r="E484" t="inlineStr">
        <is>
          <t>物资名称 热轧不锈圆钢;物资简称 圆钢;牌号 1Cr18Ni9Ti;直径 Φ48;技术标准号 GB 1220-1992;加工工艺 热轧;热处理工艺 ;特殊要求 ;规格标准号 GB/T 702-2008</t>
        </is>
      </c>
      <c r="F484" t="inlineStr">
        <is>
          <t>千克</t>
        </is>
      </c>
    </row>
    <row r="485">
      <c r="A485" t="inlineStr">
        <is>
          <t>100201</t>
        </is>
      </c>
      <c r="B485" t="inlineStr">
        <is>
          <t>圆钢</t>
        </is>
      </c>
      <c r="C485" t="inlineStr">
        <is>
          <t>600988300</t>
        </is>
      </c>
      <c r="D485" t="inlineStr">
        <is>
          <t>热轧不锈圆钢|圆钢|1Cr18Ni9Ti|Φ45|GB 1220-1992|热轧|GB/T 702-2008</t>
        </is>
      </c>
      <c r="E485" t="inlineStr">
        <is>
          <t>物资名称 热轧不锈圆钢;物资简称 圆钢;牌号 1Cr18Ni9Ti;直径 Φ45;技术标准号 GB 1220-1992;加工工艺 热轧;热处理工艺 ;特殊要求 ;规格标准号 GB/T 702-2008</t>
        </is>
      </c>
      <c r="F485" t="inlineStr">
        <is>
          <t>千克</t>
        </is>
      </c>
    </row>
    <row r="486">
      <c r="A486" t="inlineStr">
        <is>
          <t>100201</t>
        </is>
      </c>
      <c r="B486" t="inlineStr">
        <is>
          <t>圆钢</t>
        </is>
      </c>
      <c r="C486" t="inlineStr">
        <is>
          <t>600988200</t>
        </is>
      </c>
      <c r="D486" t="inlineStr">
        <is>
          <t>热轧不锈圆钢|圆钢|1Cr18Ni9Ti|Φ12|GB 1220-1992|热轧|GB/T 702-2008</t>
        </is>
      </c>
      <c r="E486" t="inlineStr">
        <is>
          <t>物资名称 热轧不锈圆钢;物资简称 圆钢;牌号 1Cr18Ni9Ti;直径 Φ12;技术标准号 GB 1220-1992;加工工艺 热轧;热处理工艺 ;特殊要求 ;规格标准号 GB/T 702-2008</t>
        </is>
      </c>
      <c r="F486" t="inlineStr">
        <is>
          <t>千克</t>
        </is>
      </c>
    </row>
    <row r="487">
      <c r="A487" t="inlineStr">
        <is>
          <t>100201</t>
        </is>
      </c>
      <c r="B487" t="inlineStr">
        <is>
          <t>圆钢</t>
        </is>
      </c>
      <c r="C487" t="inlineStr">
        <is>
          <t>600984900</t>
        </is>
      </c>
      <c r="D487" t="inlineStr">
        <is>
          <t>合金结构圆钢|圆钢|30CrMnSi|Φ14|GB/T 3077-1999</t>
        </is>
      </c>
      <c r="E487" t="inlineStr">
        <is>
          <t xml:space="preserve">物资名称 合金结构圆钢;物资简称 圆钢;牌号 30CrMnSi;直径 Φ14;技术标准号 GB/T 3077-1999;加工工艺 ;热处理工艺 ;特殊要求 ;规格标准号 </t>
        </is>
      </c>
      <c r="F487" t="inlineStr">
        <is>
          <t>千克</t>
        </is>
      </c>
    </row>
    <row r="488">
      <c r="A488" t="inlineStr">
        <is>
          <t>100201</t>
        </is>
      </c>
      <c r="B488" t="inlineStr">
        <is>
          <t>圆钢</t>
        </is>
      </c>
      <c r="C488" t="inlineStr">
        <is>
          <t>600984800</t>
        </is>
      </c>
      <c r="D488" t="inlineStr">
        <is>
          <t>合金结构圆钢|圆钢|30CrMnSi|Φ22|GB/T 3077-1999</t>
        </is>
      </c>
      <c r="E488" t="inlineStr">
        <is>
          <t xml:space="preserve">物资名称 合金结构圆钢;物资简称 圆钢;牌号 30CrMnSi;直径 Φ22;技术标准号 GB/T 3077-1999;加工工艺 ;热处理工艺 ;特殊要求 ;规格标准号 </t>
        </is>
      </c>
      <c r="F488" t="inlineStr">
        <is>
          <t>千克</t>
        </is>
      </c>
    </row>
    <row r="489">
      <c r="A489" t="inlineStr">
        <is>
          <t>100201</t>
        </is>
      </c>
      <c r="B489" t="inlineStr">
        <is>
          <t>圆钢</t>
        </is>
      </c>
      <c r="C489" t="inlineStr">
        <is>
          <t>600984700</t>
        </is>
      </c>
      <c r="D489" t="inlineStr">
        <is>
          <t>合金结构圆钢|圆钢|30CrMnSiA|Φ18|GB/T 3078-1994</t>
        </is>
      </c>
      <c r="E489" t="inlineStr">
        <is>
          <t xml:space="preserve">物资名称 合金结构圆钢;物资简称 圆钢;牌号 30CrMnSiA;直径 Φ18;技术标准号 GB/T 3078-1994;加工工艺 ;热处理工艺 ;特殊要求 ;规格标准号 </t>
        </is>
      </c>
      <c r="F489" t="inlineStr">
        <is>
          <t>千克</t>
        </is>
      </c>
    </row>
    <row r="490">
      <c r="A490" t="inlineStr">
        <is>
          <t>100201</t>
        </is>
      </c>
      <c r="B490" t="inlineStr">
        <is>
          <t>圆钢</t>
        </is>
      </c>
      <c r="C490" t="inlineStr">
        <is>
          <t>600984600</t>
        </is>
      </c>
      <c r="D490" t="inlineStr">
        <is>
          <t>钢棒|圆钢|0Cr18Ni9|Φ65|GB/T 4237-1992</t>
        </is>
      </c>
      <c r="E490" t="inlineStr">
        <is>
          <t xml:space="preserve">物资名称 钢棒;物资简称 圆钢;牌号 0Cr18Ni9;直径 Φ65;技术标准号 GB/T 4237-1992;加工工艺 ;热处理工艺 ;特殊要求 ;规格标准号 </t>
        </is>
      </c>
      <c r="F490" t="inlineStr">
        <is>
          <t>千克</t>
        </is>
      </c>
    </row>
    <row r="491">
      <c r="A491" t="inlineStr">
        <is>
          <t>100201</t>
        </is>
      </c>
      <c r="B491" t="inlineStr">
        <is>
          <t>圆钢</t>
        </is>
      </c>
      <c r="C491" t="inlineStr">
        <is>
          <t>600984500</t>
        </is>
      </c>
      <c r="D491" t="inlineStr">
        <is>
          <t>热轧航空用不锈圆钢|圆钢|Y2Cr13Ni2|Φ3.5|GJB 2294-1995|热轧</t>
        </is>
      </c>
      <c r="E491" t="inlineStr">
        <is>
          <t xml:space="preserve">物资名称 热轧航空用不锈圆钢;物资简称 圆钢;牌号 Y2Cr13Ni2;直径 Φ3.5;技术标准号 GJB 2294-1995;加工工艺 热轧;热处理工艺 ;特殊要求 ;规格标准号 </t>
        </is>
      </c>
      <c r="F491" t="inlineStr">
        <is>
          <t>千克</t>
        </is>
      </c>
    </row>
    <row r="492">
      <c r="A492" t="inlineStr">
        <is>
          <t>100201</t>
        </is>
      </c>
      <c r="B492" t="inlineStr">
        <is>
          <t>圆钢</t>
        </is>
      </c>
      <c r="C492" t="inlineStr">
        <is>
          <t>600984400</t>
        </is>
      </c>
      <c r="D492" t="inlineStr">
        <is>
          <t>圆钢|圆钢|Y20|Φ20|GB/T 8731-1988</t>
        </is>
      </c>
      <c r="E492" t="inlineStr">
        <is>
          <t xml:space="preserve">物资名称 圆钢;物资简称 圆钢;牌号 Y20;直径 Φ20;技术标准号 GB/T 8731-1988;加工工艺 ;热处理工艺 ;特殊要求 ;规格标准号 </t>
        </is>
      </c>
      <c r="F492" t="inlineStr">
        <is>
          <t>千克</t>
        </is>
      </c>
    </row>
    <row r="493">
      <c r="A493" t="inlineStr">
        <is>
          <t>100201</t>
        </is>
      </c>
      <c r="B493" t="inlineStr">
        <is>
          <t>圆钢</t>
        </is>
      </c>
      <c r="C493" t="inlineStr">
        <is>
          <t>600984300</t>
        </is>
      </c>
      <c r="D493" t="inlineStr">
        <is>
          <t>圆钢|钢棒|Y20|Φ14|GB/T 8731-1988</t>
        </is>
      </c>
      <c r="E493" t="inlineStr">
        <is>
          <t xml:space="preserve">物资名称 圆钢;物资简称 钢棒;牌号 Y20;直径 Φ14;技术标准号 GB/T 8731-1988;加工工艺 ;热处理工艺 ;特殊要求 ;规格标准号 </t>
        </is>
      </c>
      <c r="F493" t="inlineStr">
        <is>
          <t>千克</t>
        </is>
      </c>
    </row>
    <row r="494">
      <c r="A494" t="inlineStr">
        <is>
          <t>100201</t>
        </is>
      </c>
      <c r="B494" t="inlineStr">
        <is>
          <t>圆钢</t>
        </is>
      </c>
      <c r="C494" t="inlineStr">
        <is>
          <t>600984200</t>
        </is>
      </c>
      <c r="D494" t="inlineStr">
        <is>
          <t>圆钢|圆钢|Y20|Φ18|GB/T 8731-1988</t>
        </is>
      </c>
      <c r="E494" t="inlineStr">
        <is>
          <t xml:space="preserve">物资名称 圆钢;物资简称 圆钢;牌号 Y20;直径 Φ18;技术标准号 GB/T 8731-1988;加工工艺 ;热处理工艺 ;特殊要求 ;规格标准号 </t>
        </is>
      </c>
      <c r="F494" t="inlineStr">
        <is>
          <t>千克</t>
        </is>
      </c>
    </row>
    <row r="495">
      <c r="A495" t="inlineStr">
        <is>
          <t>100201</t>
        </is>
      </c>
      <c r="B495" t="inlineStr">
        <is>
          <t>圆钢</t>
        </is>
      </c>
      <c r="C495" t="inlineStr">
        <is>
          <t>600984100</t>
        </is>
      </c>
      <c r="D495" t="inlineStr">
        <is>
          <t>圆钢|圆钢|Y20|Φ21|GB/T 8731-1988</t>
        </is>
      </c>
      <c r="E495" t="inlineStr">
        <is>
          <t xml:space="preserve">物资名称 圆钢;物资简称 圆钢;牌号 Y20;直径 Φ21;技术标准号 GB/T 8731-1988;加工工艺 ;热处理工艺 ;特殊要求 ;规格标准号 </t>
        </is>
      </c>
      <c r="F495" t="inlineStr">
        <is>
          <t>千克</t>
        </is>
      </c>
    </row>
    <row r="496">
      <c r="A496" t="inlineStr">
        <is>
          <t>100201</t>
        </is>
      </c>
      <c r="B496" t="inlineStr">
        <is>
          <t>圆钢</t>
        </is>
      </c>
      <c r="C496" t="inlineStr">
        <is>
          <t>600984000</t>
        </is>
      </c>
      <c r="D496" t="inlineStr">
        <is>
          <t>热轧优质碳素结构圆钢|钢棒|45|Φ3|GB/T 699-1999|热轧</t>
        </is>
      </c>
      <c r="E496" t="inlineStr">
        <is>
          <t xml:space="preserve">物资名称 热轧优质碳素结构圆钢;物资简称 钢棒;牌号 45;直径 Φ3;技术标准号 GB/T 699-1999;加工工艺 热轧;热处理工艺 ;特殊要求 ;规格标准号 </t>
        </is>
      </c>
      <c r="F496" t="inlineStr">
        <is>
          <t>千克</t>
        </is>
      </c>
    </row>
    <row r="497">
      <c r="A497" t="inlineStr">
        <is>
          <t>100201</t>
        </is>
      </c>
      <c r="B497" t="inlineStr">
        <is>
          <t>圆钢</t>
        </is>
      </c>
      <c r="C497" t="inlineStr">
        <is>
          <t>600983900</t>
        </is>
      </c>
      <c r="D497" t="inlineStr">
        <is>
          <t>热轧合金结构圆钢|圆钢|40Cr|Φ290|GB/T 3077-1999|热轧</t>
        </is>
      </c>
      <c r="E497" t="inlineStr">
        <is>
          <t xml:space="preserve">物资名称 热轧合金结构圆钢;物资简称 圆钢;牌号 40Cr;直径 Φ290;技术标准号 GB/T 3077-1999;加工工艺 热轧;热处理工艺 ;特殊要求 ;规格标准号 </t>
        </is>
      </c>
      <c r="F497" t="inlineStr">
        <is>
          <t>千克</t>
        </is>
      </c>
    </row>
    <row r="498">
      <c r="A498" t="inlineStr">
        <is>
          <t>100201</t>
        </is>
      </c>
      <c r="B498" t="inlineStr">
        <is>
          <t>圆钢</t>
        </is>
      </c>
      <c r="C498" t="inlineStr">
        <is>
          <t>600969100</t>
        </is>
      </c>
      <c r="D498" t="inlineStr">
        <is>
          <t>圆钢|圆钢|30CrMnSiA|GB/T 3077-1999</t>
        </is>
      </c>
      <c r="E498" t="inlineStr">
        <is>
          <t xml:space="preserve">物资名称 圆钢;物资简称 圆钢;牌号 30CrMnSiA;直径 Φ;技术标准号 GB/T 3077-1999;加工工艺 ;热处理工艺 ;特殊要求 ;规格标准号 </t>
        </is>
      </c>
      <c r="F498" t="inlineStr">
        <is>
          <t>千克</t>
        </is>
      </c>
    </row>
    <row r="499">
      <c r="A499" t="inlineStr">
        <is>
          <t>100201</t>
        </is>
      </c>
      <c r="B499" t="inlineStr">
        <is>
          <t>圆钢</t>
        </is>
      </c>
      <c r="C499" t="inlineStr">
        <is>
          <t>600950600</t>
        </is>
      </c>
      <c r="D499" t="inlineStr">
        <is>
          <t>不锈钢棒|钢棒|2Cr13|GB/T 1220-1992</t>
        </is>
      </c>
      <c r="E499" t="inlineStr">
        <is>
          <t xml:space="preserve">物资名称 不锈钢棒;物资简称 钢棒;牌号 2Cr13;直径 Φ;技术标准号 GB/T 1220-1992;加工工艺 ;热处理工艺 ;特殊要求 ;规格标准号 </t>
        </is>
      </c>
      <c r="F499" t="inlineStr">
        <is>
          <t>千克</t>
        </is>
      </c>
    </row>
    <row r="500">
      <c r="A500" t="inlineStr">
        <is>
          <t>100201</t>
        </is>
      </c>
      <c r="B500" t="inlineStr">
        <is>
          <t>圆钢</t>
        </is>
      </c>
      <c r="C500" t="inlineStr">
        <is>
          <t>600949900</t>
        </is>
      </c>
      <c r="D500" t="inlineStr">
        <is>
          <t>不锈钢棒|钢棒|不锈钢Y1Cr18Ni9|GB/T 1220-1992</t>
        </is>
      </c>
      <c r="E500" t="inlineStr">
        <is>
          <t xml:space="preserve">物资名称 不锈钢棒;物资简称 钢棒;牌号 不锈钢Y1Cr18Ni9;直径 Φ;技术标准号 GB/T 1220-1992;加工工艺 ;热处理工艺 ;特殊要求 ;规格标准号 </t>
        </is>
      </c>
      <c r="F500" t="inlineStr">
        <is>
          <t>千克</t>
        </is>
      </c>
    </row>
    <row r="501">
      <c r="A501" t="inlineStr">
        <is>
          <t>100201</t>
        </is>
      </c>
      <c r="B501" t="inlineStr">
        <is>
          <t>圆钢</t>
        </is>
      </c>
      <c r="C501" t="inlineStr">
        <is>
          <t>600947500</t>
        </is>
      </c>
      <c r="D501" t="inlineStr">
        <is>
          <t>热轧优质碳素结构圆钢|圆钢|45|Φ265|GB/T 699-1999|热轧|GB/T 702-2008</t>
        </is>
      </c>
      <c r="E501" t="inlineStr">
        <is>
          <t>物资名称 热轧优质碳素结构圆钢;物资简称 圆钢;牌号 45;直径 Φ265;技术标准号 GB/T 699-1999;加工工艺 热轧;热处理工艺 ;特殊要求 ;规格标准号 GB/T 702-2008</t>
        </is>
      </c>
      <c r="F501" t="inlineStr">
        <is>
          <t>千克</t>
        </is>
      </c>
    </row>
    <row r="502">
      <c r="A502" t="inlineStr">
        <is>
          <t>100201</t>
        </is>
      </c>
      <c r="B502" t="inlineStr">
        <is>
          <t>圆钢</t>
        </is>
      </c>
      <c r="C502" t="inlineStr">
        <is>
          <t>600947400</t>
        </is>
      </c>
      <c r="D502" t="inlineStr">
        <is>
          <t>热轧不锈圆钢|圆钢|40Cr13|Φ15|GB/T 1220-2007|热轧|GB/T 702-2008</t>
        </is>
      </c>
      <c r="E502" t="inlineStr">
        <is>
          <t>物资名称 热轧不锈圆钢;物资简称 圆钢;牌号 40Cr13;直径 Φ15;技术标准号 GB/T 1220-2007;加工工艺 热轧;热处理工艺 ;特殊要求 ;规格标准号 GB/T 702-2008</t>
        </is>
      </c>
      <c r="F502" t="inlineStr">
        <is>
          <t>千克</t>
        </is>
      </c>
    </row>
    <row r="503">
      <c r="A503" t="inlineStr">
        <is>
          <t>100201</t>
        </is>
      </c>
      <c r="B503" t="inlineStr">
        <is>
          <t>圆钢</t>
        </is>
      </c>
      <c r="C503" t="inlineStr">
        <is>
          <t>600947300</t>
        </is>
      </c>
      <c r="D503" t="inlineStr">
        <is>
          <t>热轧合金结构圆钢|圆钢|30CrMnSiA|Φ70|GB/T 3077-1999|热轧|GB/T 702-2008</t>
        </is>
      </c>
      <c r="E503" t="inlineStr">
        <is>
          <t>物资名称 热轧合金结构圆钢;物资简称 圆钢;牌号 30CrMnSiA;直径 Φ70;技术标准号 GB/T 3077-1999;加工工艺 热轧;热处理工艺 ;特殊要求 ;规格标准号 GB/T 702-2008</t>
        </is>
      </c>
      <c r="F503" t="inlineStr">
        <is>
          <t>千克</t>
        </is>
      </c>
    </row>
    <row r="504">
      <c r="A504" t="inlineStr">
        <is>
          <t>100201</t>
        </is>
      </c>
      <c r="B504" t="inlineStr">
        <is>
          <t>圆钢</t>
        </is>
      </c>
      <c r="C504" t="inlineStr">
        <is>
          <t>600947200</t>
        </is>
      </c>
      <c r="D504" t="inlineStr">
        <is>
          <t>热轧合金结构圆钢|圆钢|30CrMnSiA|Φ30|GB/T 3077-1999|热轧|GB/T 702-2008</t>
        </is>
      </c>
      <c r="E504" t="inlineStr">
        <is>
          <t>物资名称 热轧合金结构圆钢;物资简称 圆钢;牌号 30CrMnSiA;直径 Φ30;技术标准号 GB/T 3077-1999;加工工艺 热轧;热处理工艺 ;特殊要求 ;规格标准号 GB/T 702-2008</t>
        </is>
      </c>
      <c r="F504" t="inlineStr">
        <is>
          <t>千克</t>
        </is>
      </c>
    </row>
    <row r="505">
      <c r="A505" t="inlineStr">
        <is>
          <t>100201</t>
        </is>
      </c>
      <c r="B505" t="inlineStr">
        <is>
          <t>圆钢</t>
        </is>
      </c>
      <c r="C505" t="inlineStr">
        <is>
          <t>600947100</t>
        </is>
      </c>
      <c r="D505" t="inlineStr">
        <is>
          <t>热轧不锈圆钢|钢棒|1Cr17Ni2|Φ8|GB/T 1220-1992|GB/T 702-2008</t>
        </is>
      </c>
      <c r="E505" t="inlineStr">
        <is>
          <t>物资名称 热轧不锈圆钢;物资简称 钢棒;牌号 1Cr17Ni2;直径 Φ8;技术标准号 GB/T 1220-1992;加工工艺 ;热处理工艺 ;特殊要求 ;规格标准号 GB/T 702-2008</t>
        </is>
      </c>
      <c r="F505" t="inlineStr">
        <is>
          <t>千克</t>
        </is>
      </c>
    </row>
    <row r="506">
      <c r="A506" t="inlineStr">
        <is>
          <t>100201</t>
        </is>
      </c>
      <c r="B506" t="inlineStr">
        <is>
          <t>圆钢</t>
        </is>
      </c>
      <c r="C506" t="inlineStr">
        <is>
          <t>600940600</t>
        </is>
      </c>
      <c r="D506" t="inlineStr">
        <is>
          <t>圆钢|圆钢|45|Φ13|GB/T 699-1999|GB/T 702-1986</t>
        </is>
      </c>
      <c r="E506" t="inlineStr">
        <is>
          <t>物资名称 圆钢;物资简称 圆钢;牌号 45;直径 Φ13;技术标准号 GB/T 699-1999;加工工艺 ;热处理工艺 ;特殊要求 ;规格标准号 GB/T 702-1986</t>
        </is>
      </c>
      <c r="F506" t="inlineStr">
        <is>
          <t>千克</t>
        </is>
      </c>
    </row>
    <row r="507">
      <c r="A507" t="inlineStr">
        <is>
          <t>100201</t>
        </is>
      </c>
      <c r="B507" t="inlineStr">
        <is>
          <t>圆钢</t>
        </is>
      </c>
      <c r="C507" t="inlineStr">
        <is>
          <t>600940500</t>
        </is>
      </c>
      <c r="D507" t="inlineStr">
        <is>
          <t>圆钢|圆钢|45|Φ7|GB/T 699-1999|GB/T 702-1986</t>
        </is>
      </c>
      <c r="E507" t="inlineStr">
        <is>
          <t>物资名称 圆钢;物资简称 圆钢;牌号 45;直径 Φ7;技术标准号 GB/T 699-1999;加工工艺 ;热处理工艺 ;特殊要求 ;规格标准号 GB/T 702-1986</t>
        </is>
      </c>
      <c r="F507" t="inlineStr">
        <is>
          <t>千克</t>
        </is>
      </c>
    </row>
    <row r="508">
      <c r="A508" t="inlineStr">
        <is>
          <t>100201</t>
        </is>
      </c>
      <c r="B508" t="inlineStr">
        <is>
          <t>圆钢</t>
        </is>
      </c>
      <c r="C508" t="inlineStr">
        <is>
          <t>600924800</t>
        </is>
      </c>
      <c r="D508" t="inlineStr">
        <is>
          <t>六角钢|六角钢|30CrMnSi|GB/T 3077-1999</t>
        </is>
      </c>
      <c r="E508" t="inlineStr">
        <is>
          <t xml:space="preserve">物资名称 六角钢;物资简称 六角钢;牌号 30CrMnSi;直径 Φ;技术标准号 GB/T 3077-1999;加工工艺 ;热处理工艺 ;特殊要求 ;规格标准号 </t>
        </is>
      </c>
      <c r="F508" t="inlineStr">
        <is>
          <t>千克</t>
        </is>
      </c>
    </row>
    <row r="509">
      <c r="A509" t="inlineStr">
        <is>
          <t>100201</t>
        </is>
      </c>
      <c r="B509" t="inlineStr">
        <is>
          <t>圆钢</t>
        </is>
      </c>
      <c r="C509" t="inlineStr">
        <is>
          <t>600917700</t>
        </is>
      </c>
      <c r="D509" t="inlineStr">
        <is>
          <t>圆钢|圆钢|20|GB/T 699-1999</t>
        </is>
      </c>
      <c r="E509" t="inlineStr">
        <is>
          <t xml:space="preserve">物资名称 圆钢;物资简称 圆钢;牌号 20;直径 Φ;技术标准号 GB/T 699-1999;加工工艺 ;热处理工艺 ;特殊要求 ;规格标准号 </t>
        </is>
      </c>
      <c r="F509" t="inlineStr">
        <is>
          <t>千克</t>
        </is>
      </c>
    </row>
    <row r="510">
      <c r="A510" t="inlineStr">
        <is>
          <t>100201</t>
        </is>
      </c>
      <c r="B510" t="inlineStr">
        <is>
          <t>圆钢</t>
        </is>
      </c>
      <c r="C510" t="inlineStr">
        <is>
          <t>600917600</t>
        </is>
      </c>
      <c r="D510" t="inlineStr">
        <is>
          <t>圆钢|圆钢|30CrMnSiA|GB/T 3078-1994</t>
        </is>
      </c>
      <c r="E510" t="inlineStr">
        <is>
          <t xml:space="preserve">物资名称 圆钢;物资简称 圆钢;牌号 30CrMnSiA;直径 Φ;技术标准号 GB/T 3078-1994;加工工艺 ;热处理工艺 ;特殊要求 ;规格标准号 </t>
        </is>
      </c>
      <c r="F510" t="inlineStr">
        <is>
          <t>千克</t>
        </is>
      </c>
    </row>
    <row r="511">
      <c r="A511" t="inlineStr">
        <is>
          <t>100201</t>
        </is>
      </c>
      <c r="B511" t="inlineStr">
        <is>
          <t>圆钢</t>
        </is>
      </c>
      <c r="C511" t="inlineStr">
        <is>
          <t>600913400</t>
        </is>
      </c>
      <c r="D511" t="inlineStr">
        <is>
          <t>棒|棒|Y2Cr13Ni2|Φ25|GB/T 2294-95</t>
        </is>
      </c>
      <c r="E511" t="inlineStr">
        <is>
          <t xml:space="preserve">物资名称 棒;物资简称 棒;牌号 Y2Cr13Ni2;直径 Φ25;技术标准号 GB/T 2294-95;加工工艺 ;热处理工艺 ;特殊要求 ;规格标准号 </t>
        </is>
      </c>
      <c r="F511" t="inlineStr">
        <is>
          <t>千克</t>
        </is>
      </c>
    </row>
    <row r="512">
      <c r="A512" t="inlineStr">
        <is>
          <t>100201</t>
        </is>
      </c>
      <c r="B512" t="inlineStr">
        <is>
          <t>圆钢</t>
        </is>
      </c>
      <c r="C512" t="inlineStr">
        <is>
          <t>600910000</t>
        </is>
      </c>
      <c r="D512" t="inlineStr">
        <is>
          <t>圆钢|圆钢|45|GB/T 699-1999</t>
        </is>
      </c>
      <c r="E512" t="inlineStr">
        <is>
          <t xml:space="preserve">物资名称 圆钢;物资简称 圆钢;牌号 45;直径 Φ;技术标准号 GB/T 699-1999;加工工艺 ;热处理工艺 ;特殊要求 ;规格标准号 </t>
        </is>
      </c>
      <c r="F512" t="inlineStr">
        <is>
          <t>千克</t>
        </is>
      </c>
    </row>
    <row r="513">
      <c r="A513" t="inlineStr">
        <is>
          <t>100201</t>
        </is>
      </c>
      <c r="B513" t="inlineStr">
        <is>
          <t>圆钢</t>
        </is>
      </c>
      <c r="C513" t="inlineStr">
        <is>
          <t>600909400</t>
        </is>
      </c>
      <c r="D513" t="inlineStr">
        <is>
          <t>圆钢|圆钢|Y20|GB/T 8731-1988</t>
        </is>
      </c>
      <c r="E513" t="inlineStr">
        <is>
          <t xml:space="preserve">物资名称 圆钢;物资简称 圆钢;牌号 Y20;直径 Φ;技术标准号 GB/T 8731-1988;加工工艺 ;热处理工艺 ;特殊要求 ;规格标准号 </t>
        </is>
      </c>
      <c r="F513" t="inlineStr">
        <is>
          <t>千克</t>
        </is>
      </c>
    </row>
    <row r="514">
      <c r="A514" t="inlineStr">
        <is>
          <t>100201</t>
        </is>
      </c>
      <c r="B514" t="inlineStr">
        <is>
          <t>圆钢</t>
        </is>
      </c>
      <c r="C514" t="inlineStr">
        <is>
          <t>600909200</t>
        </is>
      </c>
      <c r="D514" t="inlineStr">
        <is>
          <t>圆钢|圆钢|Y2Cr13Ni2|GJB 2294-95</t>
        </is>
      </c>
      <c r="E514" t="inlineStr">
        <is>
          <t xml:space="preserve">物资名称 圆钢;物资简称 圆钢;牌号 Y2Cr13Ni2;直径 Φ;技术标准号 GJB 2294-95;加工工艺 ;热处理工艺 ;特殊要求 ;规格标准号 </t>
        </is>
      </c>
      <c r="F514" t="inlineStr">
        <is>
          <t>千克</t>
        </is>
      </c>
    </row>
    <row r="515">
      <c r="A515" t="inlineStr">
        <is>
          <t>100201</t>
        </is>
      </c>
      <c r="B515" t="inlineStr">
        <is>
          <t>圆钢</t>
        </is>
      </c>
      <c r="C515" t="inlineStr">
        <is>
          <t>600908800</t>
        </is>
      </c>
      <c r="D515" t="inlineStr">
        <is>
          <t>圆钢|圆钢|Y2Cr13Ni2|GJB 2294-1995</t>
        </is>
      </c>
      <c r="E515" t="inlineStr">
        <is>
          <t xml:space="preserve">物资名称 圆钢;物资简称 圆钢;牌号 Y2Cr13Ni2;直径 Φ;技术标准号 GJB 2294-1995;加工工艺 ;热处理工艺 ;特殊要求 ;规格标准号 </t>
        </is>
      </c>
      <c r="F515" t="inlineStr">
        <is>
          <t>千克</t>
        </is>
      </c>
    </row>
    <row r="516">
      <c r="A516" t="inlineStr">
        <is>
          <t>100201</t>
        </is>
      </c>
      <c r="B516" t="inlineStr">
        <is>
          <t>圆钢</t>
        </is>
      </c>
      <c r="C516" t="inlineStr">
        <is>
          <t>600901000</t>
        </is>
      </c>
      <c r="D516" t="inlineStr">
        <is>
          <t>热轧合金结构圆钢|圆钢|30CrMnSiA|GB/T 3077-1999|热轧|GB/T 702-2008</t>
        </is>
      </c>
      <c r="E516" t="inlineStr">
        <is>
          <t>物资名称 热轧合金结构圆钢;物资简称 圆钢;牌号 30CrMnSiA;直径 Φ;技术标准号 GB/T 3077-1999;加工工艺 热轧;热处理工艺 ;特殊要求 ;规格标准号 GB/T 702-2008</t>
        </is>
      </c>
      <c r="F516" t="inlineStr">
        <is>
          <t>千克</t>
        </is>
      </c>
    </row>
    <row r="517">
      <c r="A517" t="inlineStr">
        <is>
          <t>100201</t>
        </is>
      </c>
      <c r="B517" t="inlineStr">
        <is>
          <t>圆钢</t>
        </is>
      </c>
      <c r="C517" t="inlineStr">
        <is>
          <t>600894600</t>
        </is>
      </c>
      <c r="D517" t="inlineStr">
        <is>
          <t>合金结构圆钢|圆钢|30CrMnSi|Φ48|GB/T 3077-1999</t>
        </is>
      </c>
      <c r="E517" t="inlineStr">
        <is>
          <t xml:space="preserve">物资名称 合金结构圆钢;物资简称 圆钢;牌号 30CrMnSi;直径 Φ48;技术标准号 GB/T 3077-1999;加工工艺 ;热处理工艺 ;特殊要求 ;规格标准号 </t>
        </is>
      </c>
      <c r="F517" t="inlineStr">
        <is>
          <t>千克</t>
        </is>
      </c>
    </row>
    <row r="518">
      <c r="A518" t="inlineStr">
        <is>
          <t>100201</t>
        </is>
      </c>
      <c r="B518" t="inlineStr">
        <is>
          <t>圆钢</t>
        </is>
      </c>
      <c r="C518" t="inlineStr">
        <is>
          <t>600891400</t>
        </is>
      </c>
      <c r="D518" t="inlineStr">
        <is>
          <t>热轧合金结构圆钢|圆钢|35CrMnSiA|Φ70|GB/T 3077-1999|热轧|退火|GB/T 702-2008</t>
        </is>
      </c>
      <c r="E518" t="inlineStr">
        <is>
          <t>物资名称 热轧合金结构圆钢;物资简称 圆钢;牌号 35CrMnSiA;直径 Φ70;技术标准号 GB/T 3077-1999;加工工艺 热轧;热处理工艺 退火;特殊要求 ;规格标准号 GB/T 702-2008</t>
        </is>
      </c>
      <c r="F518" t="inlineStr">
        <is>
          <t>千克</t>
        </is>
      </c>
    </row>
    <row r="519">
      <c r="A519" t="inlineStr">
        <is>
          <t>100201</t>
        </is>
      </c>
      <c r="B519" t="inlineStr">
        <is>
          <t>圆钢</t>
        </is>
      </c>
      <c r="C519" t="inlineStr">
        <is>
          <t>600844200</t>
        </is>
      </c>
      <c r="D519" t="inlineStr">
        <is>
          <t>热轧不锈圆钢|圆钢|1Cr17Ni2|GB 1220-1992|GB/T702-2008</t>
        </is>
      </c>
      <c r="E519" t="inlineStr">
        <is>
          <t>物资名称 热轧不锈圆钢;物资简称 圆钢;牌号 1Cr17Ni2;直径 Φ;技术标准号 GB 1220-1992;加工工艺 ;热处理工艺 ;特殊要求 ;规格标准号 GB/T702-2008</t>
        </is>
      </c>
      <c r="F519" t="inlineStr">
        <is>
          <t>千克</t>
        </is>
      </c>
    </row>
    <row r="520">
      <c r="A520" t="inlineStr">
        <is>
          <t>100201</t>
        </is>
      </c>
      <c r="B520" t="inlineStr">
        <is>
          <t>圆钢</t>
        </is>
      </c>
      <c r="C520" t="inlineStr">
        <is>
          <t>600844100</t>
        </is>
      </c>
      <c r="D520" t="inlineStr">
        <is>
          <t>热轧不锈圆钢|圆钢|1Cr17Ni2|Φ6|GB 1220-1992|GB/T 702-2008</t>
        </is>
      </c>
      <c r="E520" t="inlineStr">
        <is>
          <t>物资名称 热轧不锈圆钢;物资简称 圆钢;牌号 1Cr17Ni2;直径 Φ6;技术标准号 GB 1220-1992;加工工艺 ;热处理工艺 ;特殊要求 ;规格标准号 GB/T 702-2008</t>
        </is>
      </c>
      <c r="F520" t="inlineStr">
        <is>
          <t>千克</t>
        </is>
      </c>
    </row>
    <row r="521">
      <c r="A521" t="inlineStr">
        <is>
          <t>100201</t>
        </is>
      </c>
      <c r="B521" t="inlineStr">
        <is>
          <t>圆钢</t>
        </is>
      </c>
      <c r="C521" t="inlineStr">
        <is>
          <t>600843300</t>
        </is>
      </c>
      <c r="D521" t="inlineStr">
        <is>
          <t>冷拉优质碳素结构圆钢|圆钢|20|Φ18|GB/T 3078-2008|冷拉|允许偏差级别12|GB/T 905-1994</t>
        </is>
      </c>
      <c r="E521" t="inlineStr">
        <is>
          <t>物资名称 冷拉优质碳素结构圆钢;物资简称 圆钢;牌号 20;直径 Φ18;技术标准号 GB/T 3078-2008;加工工艺 冷拉;热处理工艺 ;特殊要求 允许偏差级别12;规格标准号 GB/T 905-1994</t>
        </is>
      </c>
      <c r="F521" t="inlineStr">
        <is>
          <t>千克</t>
        </is>
      </c>
    </row>
    <row r="522">
      <c r="A522" t="inlineStr">
        <is>
          <t>100201</t>
        </is>
      </c>
      <c r="B522" t="inlineStr">
        <is>
          <t>圆钢</t>
        </is>
      </c>
      <c r="C522" t="inlineStr">
        <is>
          <t>600843200</t>
        </is>
      </c>
      <c r="D522" t="inlineStr">
        <is>
          <t>冷拉优质碳素结构圆钢|圆钢|20|Φ4.5|GB/T 3078-2008|冷拉|允许偏差级别12|GB/T 905-1994</t>
        </is>
      </c>
      <c r="E522" t="inlineStr">
        <is>
          <t>物资名称 冷拉优质碳素结构圆钢;物资简称 圆钢;牌号 20;直径 Φ4.5;技术标准号 GB/T 3078-2008;加工工艺 冷拉;热处理工艺 ;特殊要求 允许偏差级别12;规格标准号 GB/T 905-1994</t>
        </is>
      </c>
      <c r="F522" t="inlineStr">
        <is>
          <t>千克</t>
        </is>
      </c>
    </row>
    <row r="523">
      <c r="A523" t="inlineStr">
        <is>
          <t>100201</t>
        </is>
      </c>
      <c r="B523" t="inlineStr">
        <is>
          <t>圆钢</t>
        </is>
      </c>
      <c r="C523" t="inlineStr">
        <is>
          <t>600843000</t>
        </is>
      </c>
      <c r="D523" t="inlineStr">
        <is>
          <t>航空用不锈钢棒|不锈钢棒|1Cr17Ni2|GJB 2294-1995</t>
        </is>
      </c>
      <c r="E523" t="inlineStr">
        <is>
          <t xml:space="preserve">物资名称 航空用不锈钢棒;物资简称 不锈钢棒;牌号 1Cr17Ni2;直径 Φ;技术标准号 GJB 2294-1995;加工工艺 ;热处理工艺 ;特殊要求 ;规格标准号 </t>
        </is>
      </c>
      <c r="F523" t="inlineStr">
        <is>
          <t>千克</t>
        </is>
      </c>
    </row>
    <row r="524">
      <c r="A524" t="inlineStr">
        <is>
          <t>100201</t>
        </is>
      </c>
      <c r="B524" t="inlineStr">
        <is>
          <t>圆钢</t>
        </is>
      </c>
      <c r="C524" t="inlineStr">
        <is>
          <t>600842900</t>
        </is>
      </c>
      <c r="D524" t="inlineStr">
        <is>
          <t>航空用优质结构圆钢|圆钢|38CrMoAlA|GJB 1951-1994</t>
        </is>
      </c>
      <c r="E524" t="inlineStr">
        <is>
          <t xml:space="preserve">物资名称 航空用优质结构圆钢;物资简称 圆钢;牌号 38CrMoAlA;直径 Φ;技术标准号 GJB 1951-1994;加工工艺 ;热处理工艺 ;特殊要求 ;规格标准号 </t>
        </is>
      </c>
      <c r="F524" t="inlineStr">
        <is>
          <t>千克</t>
        </is>
      </c>
    </row>
    <row r="525">
      <c r="A525" t="inlineStr">
        <is>
          <t>100201</t>
        </is>
      </c>
      <c r="B525" t="inlineStr">
        <is>
          <t>圆钢</t>
        </is>
      </c>
      <c r="C525" t="inlineStr">
        <is>
          <t>600842700</t>
        </is>
      </c>
      <c r="D525" t="inlineStr">
        <is>
          <t>航空用优质结构圆钢|圆钢|38CrMoAlA|Φ50|GJB 1951-1994|GB/T 702-2008</t>
        </is>
      </c>
      <c r="E525" t="inlineStr">
        <is>
          <t>物资名称 航空用优质结构圆钢;物资简称 圆钢;牌号 38CrMoAlA;直径 Φ50;技术标准号 GJB 1951-1994;加工工艺 ;热处理工艺 ;特殊要求 ;规格标准号 GB/T 702-2008</t>
        </is>
      </c>
      <c r="F525" t="inlineStr">
        <is>
          <t>千克</t>
        </is>
      </c>
    </row>
    <row r="526">
      <c r="A526" t="inlineStr">
        <is>
          <t>100201</t>
        </is>
      </c>
      <c r="B526" t="inlineStr">
        <is>
          <t>圆钢</t>
        </is>
      </c>
      <c r="C526" t="inlineStr">
        <is>
          <t>600842600</t>
        </is>
      </c>
      <c r="D526" t="inlineStr">
        <is>
          <t>航空用优质结构圆钢|圆钢|38CrMoAlA|Φ110|GJB 1951-1994|GB/T 702-2008</t>
        </is>
      </c>
      <c r="E526" t="inlineStr">
        <is>
          <t>物资名称 航空用优质结构圆钢;物资简称 圆钢;牌号 38CrMoAlA;直径 Φ110;技术标准号 GJB 1951-1994;加工工艺 ;热处理工艺 ;特殊要求 ;规格标准号 GB/T 702-2008</t>
        </is>
      </c>
      <c r="F526" t="inlineStr">
        <is>
          <t>千克</t>
        </is>
      </c>
    </row>
    <row r="527">
      <c r="A527" t="inlineStr">
        <is>
          <t>100201</t>
        </is>
      </c>
      <c r="B527" t="inlineStr">
        <is>
          <t>圆钢</t>
        </is>
      </c>
      <c r="C527" t="inlineStr">
        <is>
          <t>600837600</t>
        </is>
      </c>
      <c r="D527" t="inlineStr">
        <is>
          <t>热轧不锈圆钢|圆钢|1Cr17Ni2|Φ6|GB/T1220-1992|GB/T702-2008</t>
        </is>
      </c>
      <c r="E527" t="inlineStr">
        <is>
          <t>物资名称 热轧不锈圆钢;物资简称 圆钢;牌号 1Cr17Ni2;直径 Φ6;技术标准号 GB/T1220-1992;加工工艺 ;热处理工艺 ;特殊要求 ;规格标准号 GB/T702-2008</t>
        </is>
      </c>
      <c r="F527" t="inlineStr">
        <is>
          <t>千克</t>
        </is>
      </c>
    </row>
    <row r="528">
      <c r="A528" t="inlineStr">
        <is>
          <t>100201</t>
        </is>
      </c>
      <c r="B528" t="inlineStr">
        <is>
          <t>圆钢</t>
        </is>
      </c>
      <c r="C528" t="inlineStr">
        <is>
          <t>600837500</t>
        </is>
      </c>
      <c r="D528" t="inlineStr">
        <is>
          <t>热轧弹簧圆钢|圆钢|60Si2MnA|Φ6|GB/T1222-2007|GB/T702-2008</t>
        </is>
      </c>
      <c r="E528" t="inlineStr">
        <is>
          <t>物资名称 热轧弹簧圆钢;物资简称 圆钢;牌号 60Si2MnA;直径 Φ6;技术标准号 GB/T1222-2007;加工工艺 ;热处理工艺 ;特殊要求 ;规格标准号 GB/T702-2008</t>
        </is>
      </c>
      <c r="F528" t="inlineStr">
        <is>
          <t>千克</t>
        </is>
      </c>
    </row>
    <row r="529">
      <c r="A529" t="inlineStr">
        <is>
          <t>100201</t>
        </is>
      </c>
      <c r="B529" t="inlineStr">
        <is>
          <t>圆钢</t>
        </is>
      </c>
      <c r="C529" t="inlineStr">
        <is>
          <t>600823700</t>
        </is>
      </c>
      <c r="D529" t="inlineStr">
        <is>
          <t>热轧合金结构圆钢|圆钢|30CrMnSiA|Φ10|GB/T 3077-1999|GB/T 702-2008</t>
        </is>
      </c>
      <c r="E529" t="inlineStr">
        <is>
          <t>物资名称 热轧合金结构圆钢;物资简称 圆钢;牌号 30CrMnSiA;直径 Φ10;技术标准号 GB/T 3077-1999;加工工艺 ;热处理工艺 ;特殊要求 ;规格标准号 GB/T 702-2008</t>
        </is>
      </c>
      <c r="F529" t="inlineStr">
        <is>
          <t>千克</t>
        </is>
      </c>
    </row>
    <row r="530">
      <c r="A530" t="inlineStr">
        <is>
          <t>100201</t>
        </is>
      </c>
      <c r="B530" t="inlineStr">
        <is>
          <t>圆钢</t>
        </is>
      </c>
      <c r="C530" t="inlineStr">
        <is>
          <t>600823600</t>
        </is>
      </c>
      <c r="D530" t="inlineStr">
        <is>
          <t>热轧优质碳素结构圆钢|圆钢|45|Φ17|GB/T 699-1999|热轧|GB/T 702-2008</t>
        </is>
      </c>
      <c r="E530" t="inlineStr">
        <is>
          <t>物资名称 热轧优质碳素结构圆钢;物资简称 圆钢;牌号 45;直径 Φ17;技术标准号 GB/T 699-1999;加工工艺 热轧;热处理工艺 ;特殊要求 ;规格标准号 GB/T 702-2008</t>
        </is>
      </c>
      <c r="F530" t="inlineStr">
        <is>
          <t>千克</t>
        </is>
      </c>
    </row>
    <row r="531">
      <c r="A531" t="inlineStr">
        <is>
          <t>100201</t>
        </is>
      </c>
      <c r="B531" t="inlineStr">
        <is>
          <t>圆钢</t>
        </is>
      </c>
      <c r="C531" t="inlineStr">
        <is>
          <t>600823500</t>
        </is>
      </c>
      <c r="D531" t="inlineStr">
        <is>
          <t>热轧优质碳素结构圆钢|圆钢|45|Φ9|GB/T 699-1999|热轧|GB/T 702-2008</t>
        </is>
      </c>
      <c r="E531" t="inlineStr">
        <is>
          <t>物资名称 热轧优质碳素结构圆钢;物资简称 圆钢;牌号 45;直径 Φ9;技术标准号 GB/T 699-1999;加工工艺 热轧;热处理工艺 ;特殊要求 ;规格标准号 GB/T 702-2008</t>
        </is>
      </c>
      <c r="F531" t="inlineStr">
        <is>
          <t>千克</t>
        </is>
      </c>
    </row>
    <row r="532">
      <c r="A532" t="inlineStr">
        <is>
          <t>100201</t>
        </is>
      </c>
      <c r="B532" t="inlineStr">
        <is>
          <t>圆钢</t>
        </is>
      </c>
      <c r="C532" t="inlineStr">
        <is>
          <t>600823400</t>
        </is>
      </c>
      <c r="D532" t="inlineStr">
        <is>
          <t>热轧合金结构圆钢|圆钢|30CrMnSiA|Φ48|GB/T 3077-1999|热轧|GB/T 702-2008</t>
        </is>
      </c>
      <c r="E532" t="inlineStr">
        <is>
          <t>物资名称 热轧合金结构圆钢;物资简称 圆钢;牌号 30CrMnSiA;直径 Φ48;技术标准号 GB/T 3077-1999;加工工艺 热轧;热处理工艺 ;特殊要求 ;规格标准号 GB/T 702-2008</t>
        </is>
      </c>
      <c r="F532" t="inlineStr">
        <is>
          <t>千克</t>
        </is>
      </c>
    </row>
    <row r="533">
      <c r="A533" t="inlineStr">
        <is>
          <t>100201</t>
        </is>
      </c>
      <c r="B533" t="inlineStr">
        <is>
          <t>圆钢</t>
        </is>
      </c>
      <c r="C533" t="inlineStr">
        <is>
          <t>600624900</t>
        </is>
      </c>
      <c r="D533" t="inlineStr">
        <is>
          <t>航空用不锈钢棒|钢棒|1Cr18Ni9Ti|GJB 2294-1995</t>
        </is>
      </c>
      <c r="E533" t="inlineStr">
        <is>
          <t xml:space="preserve">物资名称 航空用不锈钢棒;物资简称 钢棒;牌号 1Cr18Ni9Ti;直径 Φ;技术标准号 GJB 2294-1995;加工工艺 ;热处理工艺 ;特殊要求 ;规格标准号 </t>
        </is>
      </c>
      <c r="F533" t="inlineStr">
        <is>
          <t>千克</t>
        </is>
      </c>
    </row>
    <row r="534">
      <c r="A534" t="inlineStr">
        <is>
          <t>100201</t>
        </is>
      </c>
      <c r="B534" t="inlineStr">
        <is>
          <t>圆钢</t>
        </is>
      </c>
      <c r="C534" t="inlineStr">
        <is>
          <t>600624800</t>
        </is>
      </c>
      <c r="D534" t="inlineStr">
        <is>
          <t>热轧航空用不锈圆钢|圆钢|1Cr18Ni9Ti|GJB 2294-1995|GB/T 702-2008</t>
        </is>
      </c>
      <c r="E534" t="inlineStr">
        <is>
          <t>物资名称 热轧航空用不锈圆钢;物资简称 圆钢;牌号 1Cr18Ni9Ti;直径 Φ;技术标准号 GJB 2294-1995;加工工艺 ;热处理工艺 ;特殊要求 ;规格标准号 GB/T 702-2008</t>
        </is>
      </c>
      <c r="F534" t="inlineStr">
        <is>
          <t>千克</t>
        </is>
      </c>
    </row>
    <row r="535">
      <c r="A535" t="inlineStr">
        <is>
          <t>100201</t>
        </is>
      </c>
      <c r="B535" t="inlineStr">
        <is>
          <t>圆钢</t>
        </is>
      </c>
      <c r="C535" t="inlineStr">
        <is>
          <t>600624700</t>
        </is>
      </c>
      <c r="D535" t="inlineStr">
        <is>
          <t>热轧航空用不锈圆钢|圆钢|1Cr18Ni9Ti|Φ170|GJB 2294-1995|热轧|GB/T 702-2008</t>
        </is>
      </c>
      <c r="E535" t="inlineStr">
        <is>
          <t>物资名称 热轧航空用不锈圆钢;物资简称 圆钢;牌号 1Cr18Ni9Ti;直径 Φ170;技术标准号 GJB 2294-1995;加工工艺 热轧;热处理工艺 ;特殊要求 ;规格标准号 GB/T 702-2008</t>
        </is>
      </c>
      <c r="F535" t="inlineStr">
        <is>
          <t>千克</t>
        </is>
      </c>
    </row>
    <row r="536">
      <c r="A536" t="inlineStr">
        <is>
          <t>100201</t>
        </is>
      </c>
      <c r="B536" t="inlineStr">
        <is>
          <t>圆钢</t>
        </is>
      </c>
      <c r="C536" t="inlineStr">
        <is>
          <t>600624600</t>
        </is>
      </c>
      <c r="D536" t="inlineStr">
        <is>
          <t>热轧不锈圆钢|圆钢|1Cr18Ni9Ti|GB 1220-1992|GB/T 702-2008</t>
        </is>
      </c>
      <c r="E536" t="inlineStr">
        <is>
          <t>物资名称 热轧不锈圆钢;物资简称 圆钢;牌号 1Cr18Ni9Ti;直径 Φ;技术标准号 GB 1220-1992;加工工艺 ;热处理工艺 ;特殊要求 ;规格标准号 GB/T 702-2008</t>
        </is>
      </c>
      <c r="F536" t="inlineStr">
        <is>
          <t>千克</t>
        </is>
      </c>
    </row>
    <row r="537">
      <c r="A537" t="inlineStr">
        <is>
          <t>100201</t>
        </is>
      </c>
      <c r="B537" t="inlineStr">
        <is>
          <t>圆钢</t>
        </is>
      </c>
      <c r="C537" t="inlineStr">
        <is>
          <t>600624500</t>
        </is>
      </c>
      <c r="D537" t="inlineStr">
        <is>
          <t>热轧不锈圆钢|圆钢|1Cr18Ni9Ti|Φ10|GB 1220-1992|热轧|GB/T 702-2008</t>
        </is>
      </c>
      <c r="E537" t="inlineStr">
        <is>
          <t>物资名称 热轧不锈圆钢;物资简称 圆钢;牌号 1Cr18Ni9Ti;直径 Φ10;技术标准号 GB 1220-1992;加工工艺 热轧;热处理工艺 ;特殊要求 ;规格标准号 GB/T 702-2008</t>
        </is>
      </c>
      <c r="F537" t="inlineStr">
        <is>
          <t>千克</t>
        </is>
      </c>
    </row>
    <row r="538">
      <c r="A538" t="inlineStr">
        <is>
          <t>100201</t>
        </is>
      </c>
      <c r="B538" t="inlineStr">
        <is>
          <t>圆钢</t>
        </is>
      </c>
      <c r="C538" t="inlineStr">
        <is>
          <t>600624400</t>
        </is>
      </c>
      <c r="D538" t="inlineStr">
        <is>
          <t>热轧不锈圆钢|圆钢|1Cr18Ni9Ti|Φ13|GB 1220-1992|热轧|GB/T 702-2008</t>
        </is>
      </c>
      <c r="E538" t="inlineStr">
        <is>
          <t>物资名称 热轧不锈圆钢;物资简称 圆钢;牌号 1Cr18Ni9Ti;直径 Φ13;技术标准号 GB 1220-1992;加工工艺 热轧;热处理工艺 ;特殊要求 ;规格标准号 GB/T 702-2008</t>
        </is>
      </c>
      <c r="F538" t="inlineStr">
        <is>
          <t>千克</t>
        </is>
      </c>
    </row>
    <row r="539">
      <c r="A539" t="inlineStr">
        <is>
          <t>100201</t>
        </is>
      </c>
      <c r="B539" t="inlineStr">
        <is>
          <t>圆钢</t>
        </is>
      </c>
      <c r="C539" t="inlineStr">
        <is>
          <t>600624300</t>
        </is>
      </c>
      <c r="D539" t="inlineStr">
        <is>
          <t>热轧不锈圆钢|圆钢|1Cr18Ni9Ti|Φ14|GB 1220-1992|热轧|GB/T 702-2008</t>
        </is>
      </c>
      <c r="E539" t="inlineStr">
        <is>
          <t>物资名称 热轧不锈圆钢;物资简称 圆钢;牌号 1Cr18Ni9Ti;直径 Φ14;技术标准号 GB 1220-1992;加工工艺 热轧;热处理工艺 ;特殊要求 ;规格标准号 GB/T 702-2008</t>
        </is>
      </c>
      <c r="F539" t="inlineStr">
        <is>
          <t>千克</t>
        </is>
      </c>
    </row>
    <row r="540">
      <c r="A540" t="inlineStr">
        <is>
          <t>100201</t>
        </is>
      </c>
      <c r="B540" t="inlineStr">
        <is>
          <t>圆钢</t>
        </is>
      </c>
      <c r="C540" t="inlineStr">
        <is>
          <t>600624200</t>
        </is>
      </c>
      <c r="D540" t="inlineStr">
        <is>
          <t>热轧不锈圆钢|圆钢|1Cr18Ni9Ti|Φ16|GB 1220-1992|热轧|GB/T 702-2008</t>
        </is>
      </c>
      <c r="E540" t="inlineStr">
        <is>
          <t>物资名称 热轧不锈圆钢;物资简称 圆钢;牌号 1Cr18Ni9Ti;直径 Φ16;技术标准号 GB 1220-1992;加工工艺 热轧;热处理工艺 ;特殊要求 ;规格标准号 GB/T 702-2008</t>
        </is>
      </c>
      <c r="F540" t="inlineStr">
        <is>
          <t>千克</t>
        </is>
      </c>
    </row>
    <row r="541">
      <c r="A541" t="inlineStr">
        <is>
          <t>100201</t>
        </is>
      </c>
      <c r="B541" t="inlineStr">
        <is>
          <t>圆钢</t>
        </is>
      </c>
      <c r="C541" t="inlineStr">
        <is>
          <t>600624100</t>
        </is>
      </c>
      <c r="D541" t="inlineStr">
        <is>
          <t>热轧不锈圆钢|圆钢|1Cr18Ni9Ti|Φ18|GB 1220-1992|热轧|GB/T 702-2008</t>
        </is>
      </c>
      <c r="E541" t="inlineStr">
        <is>
          <t>物资名称 热轧不锈圆钢;物资简称 圆钢;牌号 1Cr18Ni9Ti;直径 Φ18;技术标准号 GB 1220-1992;加工工艺 热轧;热处理工艺 ;特殊要求 ;规格标准号 GB/T 702-2008</t>
        </is>
      </c>
      <c r="F541" t="inlineStr">
        <is>
          <t>千克</t>
        </is>
      </c>
    </row>
    <row r="542">
      <c r="A542" t="inlineStr">
        <is>
          <t>100201</t>
        </is>
      </c>
      <c r="B542" t="inlineStr">
        <is>
          <t>圆钢</t>
        </is>
      </c>
      <c r="C542" t="inlineStr">
        <is>
          <t>600624000</t>
        </is>
      </c>
      <c r="D542" t="inlineStr">
        <is>
          <t>热轧不锈圆钢|圆钢|1Cr18Ni9Ti|Φ20|GB 1220-1992|热轧|GB/T 702-2008</t>
        </is>
      </c>
      <c r="E542" t="inlineStr">
        <is>
          <t>物资名称 热轧不锈圆钢;物资简称 圆钢;牌号 1Cr18Ni9Ti;直径 Φ20;技术标准号 GB 1220-1992;加工工艺 热轧;热处理工艺 ;特殊要求 ;规格标准号 GB/T 702-2008</t>
        </is>
      </c>
      <c r="F542" t="inlineStr">
        <is>
          <t>千克</t>
        </is>
      </c>
    </row>
    <row r="543">
      <c r="A543" t="inlineStr">
        <is>
          <t>100201</t>
        </is>
      </c>
      <c r="B543" t="inlineStr">
        <is>
          <t>圆钢</t>
        </is>
      </c>
      <c r="C543" t="inlineStr">
        <is>
          <t>600623900</t>
        </is>
      </c>
      <c r="D543" t="inlineStr">
        <is>
          <t>热轧不锈圆钢|圆钢|1Cr18Ni9Ti|Φ25|GB 1220-1992|热轧|GB/T 702-2008</t>
        </is>
      </c>
      <c r="E543" t="inlineStr">
        <is>
          <t>物资名称 热轧不锈圆钢;物资简称 圆钢;牌号 1Cr18Ni9Ti;直径 Φ25;技术标准号 GB 1220-1992;加工工艺 热轧;热处理工艺 ;特殊要求 ;规格标准号 GB/T 702-2008</t>
        </is>
      </c>
      <c r="F543" t="inlineStr">
        <is>
          <t>千克</t>
        </is>
      </c>
    </row>
    <row r="544">
      <c r="A544" t="inlineStr">
        <is>
          <t>100201</t>
        </is>
      </c>
      <c r="B544" t="inlineStr">
        <is>
          <t>圆钢</t>
        </is>
      </c>
      <c r="C544" t="inlineStr">
        <is>
          <t>600623800</t>
        </is>
      </c>
      <c r="D544" t="inlineStr">
        <is>
          <t>热轧不锈圆钢|圆钢|1Cr18Ni9Ti|Φ28|GB 1220-1992|热轧|GB/T 702-2008</t>
        </is>
      </c>
      <c r="E544" t="inlineStr">
        <is>
          <t>物资名称 热轧不锈圆钢;物资简称 圆钢;牌号 1Cr18Ni9Ti;直径 Φ28;技术标准号 GB 1220-1992;加工工艺 热轧;热处理工艺 ;特殊要求 ;规格标准号 GB/T 702-2008</t>
        </is>
      </c>
      <c r="F544" t="inlineStr">
        <is>
          <t>千克</t>
        </is>
      </c>
    </row>
    <row r="545">
      <c r="A545" t="inlineStr">
        <is>
          <t>100201</t>
        </is>
      </c>
      <c r="B545" t="inlineStr">
        <is>
          <t>圆钢</t>
        </is>
      </c>
      <c r="C545" t="inlineStr">
        <is>
          <t>600623700</t>
        </is>
      </c>
      <c r="D545" t="inlineStr">
        <is>
          <t>热轧不锈圆钢|圆钢|1Cr18Ni9Ti|Φ30|GB 1220-1992|热轧|GB/T 702-2008</t>
        </is>
      </c>
      <c r="E545" t="inlineStr">
        <is>
          <t>物资名称 热轧不锈圆钢;物资简称 圆钢;牌号 1Cr18Ni9Ti;直径 Φ30;技术标准号 GB 1220-1992;加工工艺 热轧;热处理工艺 ;特殊要求 ;规格标准号 GB/T 702-2008</t>
        </is>
      </c>
      <c r="F545" t="inlineStr">
        <is>
          <t>千克</t>
        </is>
      </c>
    </row>
    <row r="546">
      <c r="A546" t="inlineStr">
        <is>
          <t>100201</t>
        </is>
      </c>
      <c r="B546" t="inlineStr">
        <is>
          <t>圆钢</t>
        </is>
      </c>
      <c r="C546" t="inlineStr">
        <is>
          <t>600623600</t>
        </is>
      </c>
      <c r="D546" t="inlineStr">
        <is>
          <t>热轧不锈圆钢|圆钢|1Cr18Ni9Ti|Φ35|GB 1220-1992|热轧|GB/T 702-2008</t>
        </is>
      </c>
      <c r="E546" t="inlineStr">
        <is>
          <t>物资名称 热轧不锈圆钢;物资简称 圆钢;牌号 1Cr18Ni9Ti;直径 Φ35;技术标准号 GB 1220-1992;加工工艺 热轧;热处理工艺 ;特殊要求 ;规格标准号 GB/T 702-2008</t>
        </is>
      </c>
      <c r="F546" t="inlineStr">
        <is>
          <t>千克</t>
        </is>
      </c>
    </row>
    <row r="547">
      <c r="A547" t="inlineStr">
        <is>
          <t>100201</t>
        </is>
      </c>
      <c r="B547" t="inlineStr">
        <is>
          <t>圆钢</t>
        </is>
      </c>
      <c r="C547" t="inlineStr">
        <is>
          <t>600623500</t>
        </is>
      </c>
      <c r="D547" t="inlineStr">
        <is>
          <t>热轧不锈圆钢|圆钢|1Cr18Ni9Ti|Φ38|GB 1220-1992|热轧|GB/T 702-2008</t>
        </is>
      </c>
      <c r="E547" t="inlineStr">
        <is>
          <t>物资名称 热轧不锈圆钢;物资简称 圆钢;牌号 1Cr18Ni9Ti;直径 Φ38;技术标准号 GB 1220-1992;加工工艺 热轧;热处理工艺 ;特殊要求 ;规格标准号 GB/T 702-2008</t>
        </is>
      </c>
      <c r="F547" t="inlineStr">
        <is>
          <t>千克</t>
        </is>
      </c>
    </row>
    <row r="548">
      <c r="A548" t="inlineStr">
        <is>
          <t>100201</t>
        </is>
      </c>
      <c r="B548" t="inlineStr">
        <is>
          <t>圆钢</t>
        </is>
      </c>
      <c r="C548" t="inlineStr">
        <is>
          <t>600623400</t>
        </is>
      </c>
      <c r="D548" t="inlineStr">
        <is>
          <t>热轧不锈圆钢|圆钢|1Cr18Ni9Ti|Φ40|GB 1220-1992|热轧|GB/T 702-2008</t>
        </is>
      </c>
      <c r="E548" t="inlineStr">
        <is>
          <t>物资名称 热轧不锈圆钢;物资简称 圆钢;牌号 1Cr18Ni9Ti;直径 Φ40;技术标准号 GB 1220-1992;加工工艺 热轧;热处理工艺 ;特殊要求 ;规格标准号 GB/T 702-2008</t>
        </is>
      </c>
      <c r="F548" t="inlineStr">
        <is>
          <t>千克</t>
        </is>
      </c>
    </row>
    <row r="549">
      <c r="A549" t="inlineStr">
        <is>
          <t>100201</t>
        </is>
      </c>
      <c r="B549" t="inlineStr">
        <is>
          <t>圆钢</t>
        </is>
      </c>
      <c r="C549" t="inlineStr">
        <is>
          <t>600623300</t>
        </is>
      </c>
      <c r="D549" t="inlineStr">
        <is>
          <t>热轧不锈圆钢|圆钢|1Cr18Ni9Ti|Φ50|GB 1220-1992|热轧|GB/T 702-2008</t>
        </is>
      </c>
      <c r="E549" t="inlineStr">
        <is>
          <t>物资名称 热轧不锈圆钢;物资简称 圆钢;牌号 1Cr18Ni9Ti;直径 Φ50;技术标准号 GB 1220-1992;加工工艺 热轧;热处理工艺 ;特殊要求 ;规格标准号 GB/T 702-2008</t>
        </is>
      </c>
      <c r="F549" t="inlineStr">
        <is>
          <t>千克</t>
        </is>
      </c>
    </row>
    <row r="550">
      <c r="A550" t="inlineStr">
        <is>
          <t>100201</t>
        </is>
      </c>
      <c r="B550" t="inlineStr">
        <is>
          <t>圆钢</t>
        </is>
      </c>
      <c r="C550" t="inlineStr">
        <is>
          <t>600623200</t>
        </is>
      </c>
      <c r="D550" t="inlineStr">
        <is>
          <t>热轧不锈圆钢|圆钢|1Cr18Ni9Ti|Φ55|GB 1220-1992|热轧|GB/T 702-2008</t>
        </is>
      </c>
      <c r="E550" t="inlineStr">
        <is>
          <t>物资名称 热轧不锈圆钢;物资简称 圆钢;牌号 1Cr18Ni9Ti;直径 Φ55;技术标准号 GB 1220-1992;加工工艺 热轧;热处理工艺 ;特殊要求 ;规格标准号 GB/T 702-2008</t>
        </is>
      </c>
      <c r="F550" t="inlineStr">
        <is>
          <t>千克</t>
        </is>
      </c>
    </row>
    <row r="551">
      <c r="A551" t="inlineStr">
        <is>
          <t>100201</t>
        </is>
      </c>
      <c r="B551" t="inlineStr">
        <is>
          <t>圆钢</t>
        </is>
      </c>
      <c r="C551" t="inlineStr">
        <is>
          <t>600623100</t>
        </is>
      </c>
      <c r="D551" t="inlineStr">
        <is>
          <t>热轧不锈圆钢|圆钢|1Cr18Ni9Ti|Φ60|GB 1220-1992|热轧|GB/T 702-2008</t>
        </is>
      </c>
      <c r="E551" t="inlineStr">
        <is>
          <t>物资名称 热轧不锈圆钢;物资简称 圆钢;牌号 1Cr18Ni9Ti;直径 Φ60;技术标准号 GB 1220-1992;加工工艺 热轧;热处理工艺 ;特殊要求 ;规格标准号 GB/T 702-2008</t>
        </is>
      </c>
      <c r="F551" t="inlineStr">
        <is>
          <t>千克</t>
        </is>
      </c>
    </row>
    <row r="552">
      <c r="A552" t="inlineStr">
        <is>
          <t>100201</t>
        </is>
      </c>
      <c r="B552" t="inlineStr">
        <is>
          <t>圆钢</t>
        </is>
      </c>
      <c r="C552" t="inlineStr">
        <is>
          <t>600623000</t>
        </is>
      </c>
      <c r="D552" t="inlineStr">
        <is>
          <t>热轧不锈圆钢|圆钢|1Cr18Ni9Ti|Φ70|GB 1220-1992|热轧|GB/T 702-2008</t>
        </is>
      </c>
      <c r="E552" t="inlineStr">
        <is>
          <t>物资名称 热轧不锈圆钢;物资简称 圆钢;牌号 1Cr18Ni9Ti;直径 Φ70;技术标准号 GB 1220-1992;加工工艺 热轧;热处理工艺 ;特殊要求 ;规格标准号 GB/T 702-2008</t>
        </is>
      </c>
      <c r="F552" t="inlineStr">
        <is>
          <t>千克</t>
        </is>
      </c>
    </row>
    <row r="553">
      <c r="A553" t="inlineStr">
        <is>
          <t>100201</t>
        </is>
      </c>
      <c r="B553" t="inlineStr">
        <is>
          <t>圆钢</t>
        </is>
      </c>
      <c r="C553" t="inlineStr">
        <is>
          <t>600622900</t>
        </is>
      </c>
      <c r="D553" t="inlineStr">
        <is>
          <t>热轧不锈圆钢|圆钢|1Cr18Ni9Ti|Φ75|GB 1220-1992|热轧|GB/T 702-2008</t>
        </is>
      </c>
      <c r="E553" t="inlineStr">
        <is>
          <t>物资名称 热轧不锈圆钢;物资简称 圆钢;牌号 1Cr18Ni9Ti;直径 Φ75;技术标准号 GB 1220-1992;加工工艺 热轧;热处理工艺 ;特殊要求 ;规格标准号 GB/T 702-2008</t>
        </is>
      </c>
      <c r="F553" t="inlineStr">
        <is>
          <t>千克</t>
        </is>
      </c>
    </row>
    <row r="554">
      <c r="A554" t="inlineStr">
        <is>
          <t>100201</t>
        </is>
      </c>
      <c r="B554" t="inlineStr">
        <is>
          <t>圆钢</t>
        </is>
      </c>
      <c r="C554" t="inlineStr">
        <is>
          <t>600622800</t>
        </is>
      </c>
      <c r="D554" t="inlineStr">
        <is>
          <t>热轧不锈圆钢|圆钢|1Cr18Ni9Ti|Φ80|GB 1220-1992|热轧|GB/T 702-2008</t>
        </is>
      </c>
      <c r="E554" t="inlineStr">
        <is>
          <t>物资名称 热轧不锈圆钢;物资简称 圆钢;牌号 1Cr18Ni9Ti;直径 Φ80;技术标准号 GB 1220-1992;加工工艺 热轧;热处理工艺 ;特殊要求 ;规格标准号 GB/T 702-2008</t>
        </is>
      </c>
      <c r="F554" t="inlineStr">
        <is>
          <t>千克</t>
        </is>
      </c>
    </row>
    <row r="555">
      <c r="A555" t="inlineStr">
        <is>
          <t>100201</t>
        </is>
      </c>
      <c r="B555" t="inlineStr">
        <is>
          <t>圆钢</t>
        </is>
      </c>
      <c r="C555" t="inlineStr">
        <is>
          <t>600622700</t>
        </is>
      </c>
      <c r="D555" t="inlineStr">
        <is>
          <t>热轧不锈圆钢|圆钢|1Cr18Ni9Ti|Φ85|GB 1220-1992|热轧|GB/T 702-2008</t>
        </is>
      </c>
      <c r="E555" t="inlineStr">
        <is>
          <t>物资名称 热轧不锈圆钢;物资简称 圆钢;牌号 1Cr18Ni9Ti;直径 Φ85;技术标准号 GB 1220-1992;加工工艺 热轧;热处理工艺 ;特殊要求 ;规格标准号 GB/T 702-2008</t>
        </is>
      </c>
      <c r="F555" t="inlineStr">
        <is>
          <t>千克</t>
        </is>
      </c>
    </row>
    <row r="556">
      <c r="A556" t="inlineStr">
        <is>
          <t>100201</t>
        </is>
      </c>
      <c r="B556" t="inlineStr">
        <is>
          <t>圆钢</t>
        </is>
      </c>
      <c r="C556" t="inlineStr">
        <is>
          <t>600622600</t>
        </is>
      </c>
      <c r="D556" t="inlineStr">
        <is>
          <t>热轧不锈圆钢|圆钢|1Cr18Ni9Ti|Φ90|GB 1220-1992|热轧|GB/T 702-2008</t>
        </is>
      </c>
      <c r="E556" t="inlineStr">
        <is>
          <t>物资名称 热轧不锈圆钢;物资简称 圆钢;牌号 1Cr18Ni9Ti;直径 Φ90;技术标准号 GB 1220-1992;加工工艺 热轧;热处理工艺 ;特殊要求 ;规格标准号 GB/T 702-2008</t>
        </is>
      </c>
      <c r="F556" t="inlineStr">
        <is>
          <t>千克</t>
        </is>
      </c>
    </row>
    <row r="557">
      <c r="A557" t="inlineStr">
        <is>
          <t>100201</t>
        </is>
      </c>
      <c r="B557" t="inlineStr">
        <is>
          <t>圆钢</t>
        </is>
      </c>
      <c r="C557" t="inlineStr">
        <is>
          <t>600622500</t>
        </is>
      </c>
      <c r="D557" t="inlineStr">
        <is>
          <t>热轧不锈圆钢|圆钢|1Cr18Ni9Ti|Φ100|GB 1220-1992|热轧|GB/T 702-2008</t>
        </is>
      </c>
      <c r="E557" t="inlineStr">
        <is>
          <t>物资名称 热轧不锈圆钢;物资简称 圆钢;牌号 1Cr18Ni9Ti;直径 Φ100;技术标准号 GB 1220-1992;加工工艺 热轧;热处理工艺 ;特殊要求 ;规格标准号 GB/T 702-2008</t>
        </is>
      </c>
      <c r="F557" t="inlineStr">
        <is>
          <t>千克</t>
        </is>
      </c>
    </row>
    <row r="558">
      <c r="A558" t="inlineStr">
        <is>
          <t>100201</t>
        </is>
      </c>
      <c r="B558" t="inlineStr">
        <is>
          <t>圆钢</t>
        </is>
      </c>
      <c r="C558" t="inlineStr">
        <is>
          <t>600622400</t>
        </is>
      </c>
      <c r="D558" t="inlineStr">
        <is>
          <t>热轧不锈圆钢|圆钢|1Cr18Ni9Ti|Φ130|GB 1220-1992|热轧|GB/T 702-2008</t>
        </is>
      </c>
      <c r="E558" t="inlineStr">
        <is>
          <t>物资名称 热轧不锈圆钢;物资简称 圆钢;牌号 1Cr18Ni9Ti;直径 Φ130;技术标准号 GB 1220-1992;加工工艺 热轧;热处理工艺 ;特殊要求 ;规格标准号 GB/T 702-2008</t>
        </is>
      </c>
      <c r="F558" t="inlineStr">
        <is>
          <t>千克</t>
        </is>
      </c>
    </row>
    <row r="559">
      <c r="A559" t="inlineStr">
        <is>
          <t>100201</t>
        </is>
      </c>
      <c r="B559" t="inlineStr">
        <is>
          <t>圆钢</t>
        </is>
      </c>
      <c r="C559" t="inlineStr">
        <is>
          <t>600622300</t>
        </is>
      </c>
      <c r="D559" t="inlineStr">
        <is>
          <t>热轧不锈圆钢|圆钢|1Cr18Ni9Ti|Φ170|GB 1220-1992|热轧|GB/T 702-2008</t>
        </is>
      </c>
      <c r="E559" t="inlineStr">
        <is>
          <t>物资名称 热轧不锈圆钢;物资简称 圆钢;牌号 1Cr18Ni9Ti;直径 Φ170;技术标准号 GB 1220-1992;加工工艺 热轧;热处理工艺 ;特殊要求 ;规格标准号 GB/T 702-2008</t>
        </is>
      </c>
      <c r="F559" t="inlineStr">
        <is>
          <t>千克</t>
        </is>
      </c>
    </row>
    <row r="560">
      <c r="A560" t="inlineStr">
        <is>
          <t>100201</t>
        </is>
      </c>
      <c r="B560" t="inlineStr">
        <is>
          <t>圆钢</t>
        </is>
      </c>
      <c r="C560" t="inlineStr">
        <is>
          <t>600622200</t>
        </is>
      </c>
      <c r="D560" t="inlineStr">
        <is>
          <t>锻制不锈圆钢|圆钢|1Cr18Ni9Ti|Φ220|GB 1220-1992|锻造|GB/T 908-2008</t>
        </is>
      </c>
      <c r="E560" t="inlineStr">
        <is>
          <t>物资名称 锻制不锈圆钢;物资简称 圆钢;牌号 1Cr18Ni9Ti;直径 Φ220;技术标准号 GB 1220-1992;加工工艺 锻造;热处理工艺 ;特殊要求 ;规格标准号 GB/T 908-2008</t>
        </is>
      </c>
      <c r="F560" t="inlineStr">
        <is>
          <t>千克</t>
        </is>
      </c>
    </row>
    <row r="561">
      <c r="A561" t="inlineStr">
        <is>
          <t>100201</t>
        </is>
      </c>
      <c r="B561" t="inlineStr">
        <is>
          <t>圆钢</t>
        </is>
      </c>
      <c r="C561" t="inlineStr">
        <is>
          <t>600622100</t>
        </is>
      </c>
      <c r="D561" t="inlineStr">
        <is>
          <t>不锈钢棒|钢棒|14Cr17Ni2|GB/T 1220-2007</t>
        </is>
      </c>
      <c r="E561" t="inlineStr">
        <is>
          <t xml:space="preserve">物资名称 不锈钢棒;物资简称 钢棒;牌号 14Cr17Ni2;直径 Φ;技术标准号 GB/T 1220-2007;加工工艺 ;热处理工艺 ;特殊要求 ;规格标准号 </t>
        </is>
      </c>
      <c r="F561" t="inlineStr">
        <is>
          <t>千克</t>
        </is>
      </c>
    </row>
    <row r="562">
      <c r="A562" t="inlineStr">
        <is>
          <t>100201</t>
        </is>
      </c>
      <c r="B562" t="inlineStr">
        <is>
          <t>圆钢</t>
        </is>
      </c>
      <c r="C562" t="inlineStr">
        <is>
          <t>600622000</t>
        </is>
      </c>
      <c r="D562" t="inlineStr">
        <is>
          <t>热轧不锈圆钢|圆钢|14Cr17Ni2|GB/T 1220-2007|热轧|GB/T 702-2008</t>
        </is>
      </c>
      <c r="E562" t="inlineStr">
        <is>
          <t>物资名称 热轧不锈圆钢;物资简称 圆钢;牌号 14Cr17Ni2;直径 Φ;技术标准号 GB/T 1220-2007;加工工艺 热轧;热处理工艺 ;特殊要求 ;规格标准号 GB/T 702-2008</t>
        </is>
      </c>
      <c r="F562" t="inlineStr">
        <is>
          <t>千克</t>
        </is>
      </c>
    </row>
    <row r="563">
      <c r="A563" t="inlineStr">
        <is>
          <t>100201</t>
        </is>
      </c>
      <c r="B563" t="inlineStr">
        <is>
          <t>圆钢</t>
        </is>
      </c>
      <c r="C563" t="inlineStr">
        <is>
          <t>600621900</t>
        </is>
      </c>
      <c r="D563" t="inlineStr">
        <is>
          <t>热轧不锈圆钢|圆钢|14Cr17Ni2|Φ8|GB/T 1220-2007|热轧|GB/T 702-2008</t>
        </is>
      </c>
      <c r="E563" t="inlineStr">
        <is>
          <t>物资名称 热轧不锈圆钢;物资简称 圆钢;牌号 14Cr17Ni2;直径 Φ8;技术标准号 GB/T 1220-2007;加工工艺 热轧;热处理工艺 ;特殊要求 ;规格标准号 GB/T 702-2008</t>
        </is>
      </c>
      <c r="F563" t="inlineStr">
        <is>
          <t>千克</t>
        </is>
      </c>
    </row>
    <row r="564">
      <c r="A564" t="inlineStr">
        <is>
          <t>100201</t>
        </is>
      </c>
      <c r="B564" t="inlineStr">
        <is>
          <t>圆钢</t>
        </is>
      </c>
      <c r="C564" t="inlineStr">
        <is>
          <t>600621800</t>
        </is>
      </c>
      <c r="D564" t="inlineStr">
        <is>
          <t>热轧不锈圆钢|圆钢|14Cr17Ni2|Φ14|GB/T 1220-2007|热轧|GB/T 702-2008</t>
        </is>
      </c>
      <c r="E564" t="inlineStr">
        <is>
          <t>物资名称 热轧不锈圆钢;物资简称 圆钢;牌号 14Cr17Ni2;直径 Φ14;技术标准号 GB/T 1220-2007;加工工艺 热轧;热处理工艺 ;特殊要求 ;规格标准号 GB/T 702-2008</t>
        </is>
      </c>
      <c r="F564" t="inlineStr">
        <is>
          <t>千克</t>
        </is>
      </c>
    </row>
    <row r="565">
      <c r="A565" t="inlineStr">
        <is>
          <t>100201</t>
        </is>
      </c>
      <c r="B565" t="inlineStr">
        <is>
          <t>圆钢</t>
        </is>
      </c>
      <c r="C565" t="inlineStr">
        <is>
          <t>600621700</t>
        </is>
      </c>
      <c r="D565" t="inlineStr">
        <is>
          <t>热轧不锈圆钢|圆钢|14Cr17Ni2|Φ16|GB/T 1220-2007|热轧|GB/T 702-2008</t>
        </is>
      </c>
      <c r="E565" t="inlineStr">
        <is>
          <t>物资名称 热轧不锈圆钢;物资简称 圆钢;牌号 14Cr17Ni2;直径 Φ16;技术标准号 GB/T 1220-2007;加工工艺 热轧;热处理工艺 ;特殊要求 ;规格标准号 GB/T 702-2008</t>
        </is>
      </c>
      <c r="F565" t="inlineStr">
        <is>
          <t>千克</t>
        </is>
      </c>
    </row>
    <row r="566">
      <c r="A566" t="inlineStr">
        <is>
          <t>100201</t>
        </is>
      </c>
      <c r="B566" t="inlineStr">
        <is>
          <t>圆钢</t>
        </is>
      </c>
      <c r="C566" t="inlineStr">
        <is>
          <t>600621600</t>
        </is>
      </c>
      <c r="D566" t="inlineStr">
        <is>
          <t>热轧不锈圆钢|圆钢|14Cr17Ni2|Φ18|GB/T 1220-2007|热轧|GB/T 702-2008</t>
        </is>
      </c>
      <c r="E566" t="inlineStr">
        <is>
          <t>物资名称 热轧不锈圆钢;物资简称 圆钢;牌号 14Cr17Ni2;直径 Φ18;技术标准号 GB/T 1220-2007;加工工艺 热轧;热处理工艺 ;特殊要求 ;规格标准号 GB/T 702-2008</t>
        </is>
      </c>
      <c r="F566" t="inlineStr">
        <is>
          <t>千克</t>
        </is>
      </c>
    </row>
    <row r="567">
      <c r="A567" t="inlineStr">
        <is>
          <t>100201</t>
        </is>
      </c>
      <c r="B567" t="inlineStr">
        <is>
          <t>圆钢</t>
        </is>
      </c>
      <c r="C567" t="inlineStr">
        <is>
          <t>600621500</t>
        </is>
      </c>
      <c r="D567" t="inlineStr">
        <is>
          <t>热轧不锈圆钢|圆钢|14Cr17Ni2|Φ20|GB/T 1220-2007|热轧|GB/T 702-2008</t>
        </is>
      </c>
      <c r="E567" t="inlineStr">
        <is>
          <t>物资名称 热轧不锈圆钢;物资简称 圆钢;牌号 14Cr17Ni2;直径 Φ20;技术标准号 GB/T 1220-2007;加工工艺 热轧;热处理工艺 ;特殊要求 ;规格标准号 GB/T 702-2008</t>
        </is>
      </c>
      <c r="F567" t="inlineStr">
        <is>
          <t>千克</t>
        </is>
      </c>
    </row>
    <row r="568">
      <c r="A568" t="inlineStr">
        <is>
          <t>100201</t>
        </is>
      </c>
      <c r="B568" t="inlineStr">
        <is>
          <t>圆钢</t>
        </is>
      </c>
      <c r="C568" t="inlineStr">
        <is>
          <t>600621400</t>
        </is>
      </c>
      <c r="D568" t="inlineStr">
        <is>
          <t>热轧不锈圆钢|圆钢|14Cr17Ni2|Φ22|GB/T 1220-2007|热轧|GB/T 702-2008</t>
        </is>
      </c>
      <c r="E568" t="inlineStr">
        <is>
          <t>物资名称 热轧不锈圆钢;物资简称 圆钢;牌号 14Cr17Ni2;直径 Φ22;技术标准号 GB/T 1220-2007;加工工艺 热轧;热处理工艺 ;特殊要求 ;规格标准号 GB/T 702-2008</t>
        </is>
      </c>
      <c r="F568" t="inlineStr">
        <is>
          <t>千克</t>
        </is>
      </c>
    </row>
    <row r="569">
      <c r="A569" t="inlineStr">
        <is>
          <t>100201</t>
        </is>
      </c>
      <c r="B569" t="inlineStr">
        <is>
          <t>圆钢</t>
        </is>
      </c>
      <c r="C569" t="inlineStr">
        <is>
          <t>600621300</t>
        </is>
      </c>
      <c r="D569" t="inlineStr">
        <is>
          <t>热轧不锈圆钢|圆钢|14Cr17Ni2|Φ30|GB/T 1220-2007|热轧|GB/T 702-2008</t>
        </is>
      </c>
      <c r="E569" t="inlineStr">
        <is>
          <t>物资名称 热轧不锈圆钢;物资简称 圆钢;牌号 14Cr17Ni2;直径 Φ30;技术标准号 GB/T 1220-2007;加工工艺 热轧;热处理工艺 ;特殊要求 ;规格标准号 GB/T 702-2008</t>
        </is>
      </c>
      <c r="F569" t="inlineStr">
        <is>
          <t>千克</t>
        </is>
      </c>
    </row>
    <row r="570">
      <c r="A570" t="inlineStr">
        <is>
          <t>100201</t>
        </is>
      </c>
      <c r="B570" t="inlineStr">
        <is>
          <t>圆钢</t>
        </is>
      </c>
      <c r="C570" t="inlineStr">
        <is>
          <t>600621200</t>
        </is>
      </c>
      <c r="D570" t="inlineStr">
        <is>
          <t>热轧不锈圆钢|圆钢|14Cr17Ni2|Φ35|GB/T 1220-2007|热轧|GB/T 702-2008</t>
        </is>
      </c>
      <c r="E570" t="inlineStr">
        <is>
          <t>物资名称 热轧不锈圆钢;物资简称 圆钢;牌号 14Cr17Ni2;直径 Φ35;技术标准号 GB/T 1220-2007;加工工艺 热轧;热处理工艺 ;特殊要求 ;规格标准号 GB/T 702-2008</t>
        </is>
      </c>
      <c r="F570" t="inlineStr">
        <is>
          <t>千克</t>
        </is>
      </c>
    </row>
    <row r="571">
      <c r="A571" t="inlineStr">
        <is>
          <t>100201</t>
        </is>
      </c>
      <c r="B571" t="inlineStr">
        <is>
          <t>圆钢</t>
        </is>
      </c>
      <c r="C571" t="inlineStr">
        <is>
          <t>600621100</t>
        </is>
      </c>
      <c r="D571" t="inlineStr">
        <is>
          <t>热轧不锈圆钢|圆钢|14Cr17Ni2|Φ40|GB/T 1220-2007|热轧|GB/T 702-2008</t>
        </is>
      </c>
      <c r="E571" t="inlineStr">
        <is>
          <t>物资名称 热轧不锈圆钢;物资简称 圆钢;牌号 14Cr17Ni2;直径 Φ40;技术标准号 GB/T 1220-2007;加工工艺 热轧;热处理工艺 ;特殊要求 ;规格标准号 GB/T 702-2008</t>
        </is>
      </c>
      <c r="F571" t="inlineStr">
        <is>
          <t>千克</t>
        </is>
      </c>
    </row>
    <row r="572">
      <c r="A572" t="inlineStr">
        <is>
          <t>100201</t>
        </is>
      </c>
      <c r="B572" t="inlineStr">
        <is>
          <t>圆钢</t>
        </is>
      </c>
      <c r="C572" t="inlineStr">
        <is>
          <t>600621000</t>
        </is>
      </c>
      <c r="D572" t="inlineStr">
        <is>
          <t>热轧不锈圆钢|圆钢|14Cr17Ni2|Φ45|GB/T 1220-2007|热轧|GB/T 702-2008</t>
        </is>
      </c>
      <c r="E572" t="inlineStr">
        <is>
          <t>物资名称 热轧不锈圆钢;物资简称 圆钢;牌号 14Cr17Ni2;直径 Φ45;技术标准号 GB/T 1220-2007;加工工艺 热轧;热处理工艺 ;特殊要求 ;规格标准号 GB/T 702-2008</t>
        </is>
      </c>
      <c r="F572" t="inlineStr">
        <is>
          <t>千克</t>
        </is>
      </c>
    </row>
    <row r="573">
      <c r="A573" t="inlineStr">
        <is>
          <t>100201</t>
        </is>
      </c>
      <c r="B573" t="inlineStr">
        <is>
          <t>圆钢</t>
        </is>
      </c>
      <c r="C573" t="inlineStr">
        <is>
          <t>600620900</t>
        </is>
      </c>
      <c r="D573" t="inlineStr">
        <is>
          <t>不锈钢棒|钢棒|20Cr13|GB/T 1220-2007</t>
        </is>
      </c>
      <c r="E573" t="inlineStr">
        <is>
          <t xml:space="preserve">物资名称 不锈钢棒;物资简称 钢棒;牌号 20Cr13;直径 Φ;技术标准号 GB/T 1220-2007;加工工艺 ;热处理工艺 ;特殊要求 ;规格标准号 </t>
        </is>
      </c>
      <c r="F573" t="inlineStr">
        <is>
          <t>千克</t>
        </is>
      </c>
    </row>
    <row r="574">
      <c r="A574" t="inlineStr">
        <is>
          <t>100201</t>
        </is>
      </c>
      <c r="B574" t="inlineStr">
        <is>
          <t>圆钢</t>
        </is>
      </c>
      <c r="C574" t="inlineStr">
        <is>
          <t>600620800</t>
        </is>
      </c>
      <c r="D574" t="inlineStr">
        <is>
          <t>热轧不锈圆钢|圆钢|20Cr13|GB/T 1220-2007|GB/T 702-2008</t>
        </is>
      </c>
      <c r="E574" t="inlineStr">
        <is>
          <t>物资名称 热轧不锈圆钢;物资简称 圆钢;牌号 20Cr13;直径 Φ;技术标准号 GB/T 1220-2007;加工工艺 ;热处理工艺 ;特殊要求 ;规格标准号 GB/T 702-2008</t>
        </is>
      </c>
      <c r="F574" t="inlineStr">
        <is>
          <t>千克</t>
        </is>
      </c>
    </row>
    <row r="575">
      <c r="A575" t="inlineStr">
        <is>
          <t>100201</t>
        </is>
      </c>
      <c r="B575" t="inlineStr">
        <is>
          <t>圆钢</t>
        </is>
      </c>
      <c r="C575" t="inlineStr">
        <is>
          <t>600620700</t>
        </is>
      </c>
      <c r="D575" t="inlineStr">
        <is>
          <t>热轧不锈圆钢|圆钢|20Cr13|Φ9|GB/T 1220-2007|热轧|GB/T 702-2008</t>
        </is>
      </c>
      <c r="E575" t="inlineStr">
        <is>
          <t>物资名称 热轧不锈圆钢;物资简称 圆钢;牌号 20Cr13;直径 Φ9;技术标准号 GB/T 1220-2007;加工工艺 热轧;热处理工艺 ;特殊要求 ;规格标准号 GB/T 702-2008</t>
        </is>
      </c>
      <c r="F575" t="inlineStr">
        <is>
          <t>千克</t>
        </is>
      </c>
    </row>
    <row r="576">
      <c r="A576" t="inlineStr">
        <is>
          <t>100201</t>
        </is>
      </c>
      <c r="B576" t="inlineStr">
        <is>
          <t>圆钢</t>
        </is>
      </c>
      <c r="C576" t="inlineStr">
        <is>
          <t>600620600</t>
        </is>
      </c>
      <c r="D576" t="inlineStr">
        <is>
          <t>热轧不锈圆钢|圆钢|20Cr13|Φ10|GB/T 1220-2007|热轧|GB/T 702-2008</t>
        </is>
      </c>
      <c r="E576" t="inlineStr">
        <is>
          <t>物资名称 热轧不锈圆钢;物资简称 圆钢;牌号 20Cr13;直径 Φ10;技术标准号 GB/T 1220-2007;加工工艺 热轧;热处理工艺 ;特殊要求 ;规格标准号 GB/T 702-2008</t>
        </is>
      </c>
      <c r="F576" t="inlineStr">
        <is>
          <t>千克</t>
        </is>
      </c>
    </row>
    <row r="577">
      <c r="A577" t="inlineStr">
        <is>
          <t>100201</t>
        </is>
      </c>
      <c r="B577" t="inlineStr">
        <is>
          <t>圆钢</t>
        </is>
      </c>
      <c r="C577" t="inlineStr">
        <is>
          <t>600620500</t>
        </is>
      </c>
      <c r="D577" t="inlineStr">
        <is>
          <t>热轧不锈圆钢|圆钢|20Cr13|Φ12|GB/T 1220-2007|热轧|GB/T 702-2008</t>
        </is>
      </c>
      <c r="E577" t="inlineStr">
        <is>
          <t>物资名称 热轧不锈圆钢;物资简称 圆钢;牌号 20Cr13;直径 Φ12;技术标准号 GB/T 1220-2007;加工工艺 热轧;热处理工艺 ;特殊要求 ;规格标准号 GB/T 702-2008</t>
        </is>
      </c>
      <c r="F577" t="inlineStr">
        <is>
          <t>千克</t>
        </is>
      </c>
    </row>
    <row r="578">
      <c r="A578" t="inlineStr">
        <is>
          <t>100201</t>
        </is>
      </c>
      <c r="B578" t="inlineStr">
        <is>
          <t>圆钢</t>
        </is>
      </c>
      <c r="C578" t="inlineStr">
        <is>
          <t>600620400</t>
        </is>
      </c>
      <c r="D578" t="inlineStr">
        <is>
          <t>热轧不锈圆钢|圆钢|20Cr13|Φ14|GB/T 1220-2007|热轧|GB/T 702-2008</t>
        </is>
      </c>
      <c r="E578" t="inlineStr">
        <is>
          <t>物资名称 热轧不锈圆钢;物资简称 圆钢;牌号 20Cr13;直径 Φ14;技术标准号 GB/T 1220-2007;加工工艺 热轧;热处理工艺 ;特殊要求 ;规格标准号 GB/T 702-2008</t>
        </is>
      </c>
      <c r="F578" t="inlineStr">
        <is>
          <t>千克</t>
        </is>
      </c>
    </row>
    <row r="579">
      <c r="A579" t="inlineStr">
        <is>
          <t>100201</t>
        </is>
      </c>
      <c r="B579" t="inlineStr">
        <is>
          <t>圆钢</t>
        </is>
      </c>
      <c r="C579" t="inlineStr">
        <is>
          <t>600620300</t>
        </is>
      </c>
      <c r="D579" t="inlineStr">
        <is>
          <t>热轧不锈圆钢|圆钢|20Cr13|Φ16|GB/T 1220-2007|热轧|GB/T 702-2008</t>
        </is>
      </c>
      <c r="E579" t="inlineStr">
        <is>
          <t>物资名称 热轧不锈圆钢;物资简称 圆钢;牌号 20Cr13;直径 Φ16;技术标准号 GB/T 1220-2007;加工工艺 热轧;热处理工艺 ;特殊要求 ;规格标准号 GB/T 702-2008</t>
        </is>
      </c>
      <c r="F579" t="inlineStr">
        <is>
          <t>千克</t>
        </is>
      </c>
    </row>
    <row r="580">
      <c r="A580" t="inlineStr">
        <is>
          <t>100201</t>
        </is>
      </c>
      <c r="B580" t="inlineStr">
        <is>
          <t>圆钢</t>
        </is>
      </c>
      <c r="C580" t="inlineStr">
        <is>
          <t>600620200</t>
        </is>
      </c>
      <c r="D580" t="inlineStr">
        <is>
          <t>热轧不锈圆钢|圆钢|20Cr13|Φ18|GB/T 1220-2007|热轧|GB/T 702-2008</t>
        </is>
      </c>
      <c r="E580" t="inlineStr">
        <is>
          <t>物资名称 热轧不锈圆钢;物资简称 圆钢;牌号 20Cr13;直径 Φ18;技术标准号 GB/T 1220-2007;加工工艺 热轧;热处理工艺 ;特殊要求 ;规格标准号 GB/T 702-2008</t>
        </is>
      </c>
      <c r="F580" t="inlineStr">
        <is>
          <t>千克</t>
        </is>
      </c>
    </row>
    <row r="581">
      <c r="A581" t="inlineStr">
        <is>
          <t>100201</t>
        </is>
      </c>
      <c r="B581" t="inlineStr">
        <is>
          <t>圆钢</t>
        </is>
      </c>
      <c r="C581" t="inlineStr">
        <is>
          <t>600620100</t>
        </is>
      </c>
      <c r="D581" t="inlineStr">
        <is>
          <t>热轧不锈圆钢|圆钢|20Cr13|Φ20|GB/T 1220-2007|热轧|GB/T 702-2008</t>
        </is>
      </c>
      <c r="E581" t="inlineStr">
        <is>
          <t>物资名称 热轧不锈圆钢;物资简称 圆钢;牌号 20Cr13;直径 Φ20;技术标准号 GB/T 1220-2007;加工工艺 热轧;热处理工艺 ;特殊要求 ;规格标准号 GB/T 702-2008</t>
        </is>
      </c>
      <c r="F581" t="inlineStr">
        <is>
          <t>千克</t>
        </is>
      </c>
    </row>
    <row r="582">
      <c r="A582" t="inlineStr">
        <is>
          <t>100201</t>
        </is>
      </c>
      <c r="B582" t="inlineStr">
        <is>
          <t>圆钢</t>
        </is>
      </c>
      <c r="C582" t="inlineStr">
        <is>
          <t>600620000</t>
        </is>
      </c>
      <c r="D582" t="inlineStr">
        <is>
          <t>热轧不锈圆钢|圆钢|20Cr13|Φ22|GB/T 1220-2007|热轧|GB/T 702-2008</t>
        </is>
      </c>
      <c r="E582" t="inlineStr">
        <is>
          <t>物资名称 热轧不锈圆钢;物资简称 圆钢;牌号 20Cr13;直径 Φ22;技术标准号 GB/T 1220-2007;加工工艺 热轧;热处理工艺 ;特殊要求 ;规格标准号 GB/T 702-2008</t>
        </is>
      </c>
      <c r="F582" t="inlineStr">
        <is>
          <t>千克</t>
        </is>
      </c>
    </row>
    <row r="583">
      <c r="A583" t="inlineStr">
        <is>
          <t>100201</t>
        </is>
      </c>
      <c r="B583" t="inlineStr">
        <is>
          <t>圆钢</t>
        </is>
      </c>
      <c r="C583" t="inlineStr">
        <is>
          <t>600619900</t>
        </is>
      </c>
      <c r="D583" t="inlineStr">
        <is>
          <t>热轧不锈圆钢|圆钢|20Cr13|Φ25|GB/T 1220-2007|热轧|GB/T 702-2008</t>
        </is>
      </c>
      <c r="E583" t="inlineStr">
        <is>
          <t>物资名称 热轧不锈圆钢;物资简称 圆钢;牌号 20Cr13;直径 Φ25;技术标准号 GB/T 1220-2007;加工工艺 热轧;热处理工艺 ;特殊要求 ;规格标准号 GB/T 702-2008</t>
        </is>
      </c>
      <c r="F583" t="inlineStr">
        <is>
          <t>千克</t>
        </is>
      </c>
    </row>
    <row r="584">
      <c r="A584" t="inlineStr">
        <is>
          <t>100201</t>
        </is>
      </c>
      <c r="B584" t="inlineStr">
        <is>
          <t>圆钢</t>
        </is>
      </c>
      <c r="C584" t="inlineStr">
        <is>
          <t>600619800</t>
        </is>
      </c>
      <c r="D584" t="inlineStr">
        <is>
          <t>热轧不锈圆钢|圆钢|20Cr13|Φ28|GB/T 1220-2007|热轧|GB/T 702-2008</t>
        </is>
      </c>
      <c r="E584" t="inlineStr">
        <is>
          <t>物资名称 热轧不锈圆钢;物资简称 圆钢;牌号 20Cr13;直径 Φ28;技术标准号 GB/T 1220-2007;加工工艺 热轧;热处理工艺 ;特殊要求 ;规格标准号 GB/T 702-2008</t>
        </is>
      </c>
      <c r="F584" t="inlineStr">
        <is>
          <t>千克</t>
        </is>
      </c>
    </row>
    <row r="585">
      <c r="A585" t="inlineStr">
        <is>
          <t>100201</t>
        </is>
      </c>
      <c r="B585" t="inlineStr">
        <is>
          <t>圆钢</t>
        </is>
      </c>
      <c r="C585" t="inlineStr">
        <is>
          <t>600619700</t>
        </is>
      </c>
      <c r="D585" t="inlineStr">
        <is>
          <t>热轧不锈圆钢|圆钢|20Cr13|Φ32|GB/T 1220-2007|热轧|GB/T 702-2008</t>
        </is>
      </c>
      <c r="E585" t="inlineStr">
        <is>
          <t>物资名称 热轧不锈圆钢;物资简称 圆钢;牌号 20Cr13;直径 Φ32;技术标准号 GB/T 1220-2007;加工工艺 热轧;热处理工艺 ;特殊要求 ;规格标准号 GB/T 702-2008</t>
        </is>
      </c>
      <c r="F585" t="inlineStr">
        <is>
          <t>千克</t>
        </is>
      </c>
    </row>
    <row r="586">
      <c r="A586" t="inlineStr">
        <is>
          <t>100201</t>
        </is>
      </c>
      <c r="B586" t="inlineStr">
        <is>
          <t>圆钢</t>
        </is>
      </c>
      <c r="C586" t="inlineStr">
        <is>
          <t>600619600</t>
        </is>
      </c>
      <c r="D586" t="inlineStr">
        <is>
          <t>热轧不锈圆钢|圆钢|20Cr13|Φ35|GB/T 1220-2007|热轧|GB/T 702-2008</t>
        </is>
      </c>
      <c r="E586" t="inlineStr">
        <is>
          <t>物资名称 热轧不锈圆钢;物资简称 圆钢;牌号 20Cr13;直径 Φ35;技术标准号 GB/T 1220-2007;加工工艺 热轧;热处理工艺 ;特殊要求 ;规格标准号 GB/T 702-2008</t>
        </is>
      </c>
      <c r="F586" t="inlineStr">
        <is>
          <t>千克</t>
        </is>
      </c>
    </row>
    <row r="587">
      <c r="A587" t="inlineStr">
        <is>
          <t>100201</t>
        </is>
      </c>
      <c r="B587" t="inlineStr">
        <is>
          <t>圆钢</t>
        </is>
      </c>
      <c r="C587" t="inlineStr">
        <is>
          <t>600619500</t>
        </is>
      </c>
      <c r="D587" t="inlineStr">
        <is>
          <t>热轧不锈圆钢|圆钢|20Cr13|Φ36|GB/T 1220-2007|热轧|GB/T 702-2008</t>
        </is>
      </c>
      <c r="E587" t="inlineStr">
        <is>
          <t>物资名称 热轧不锈圆钢;物资简称 圆钢;牌号 20Cr13;直径 Φ36;技术标准号 GB/T 1220-2007;加工工艺 热轧;热处理工艺 ;特殊要求 ;规格标准号 GB/T 702-2008</t>
        </is>
      </c>
      <c r="F587" t="inlineStr">
        <is>
          <t>千克</t>
        </is>
      </c>
    </row>
    <row r="588">
      <c r="A588" t="inlineStr">
        <is>
          <t>100201</t>
        </is>
      </c>
      <c r="B588" t="inlineStr">
        <is>
          <t>圆钢</t>
        </is>
      </c>
      <c r="C588" t="inlineStr">
        <is>
          <t>600619400</t>
        </is>
      </c>
      <c r="D588" t="inlineStr">
        <is>
          <t>热轧不锈圆钢|圆钢|20Cr13|Φ42|GB/T 1220-2007|热轧|GB/T 702-2008</t>
        </is>
      </c>
      <c r="E588" t="inlineStr">
        <is>
          <t>物资名称 热轧不锈圆钢;物资简称 圆钢;牌号 20Cr13;直径 Φ42;技术标准号 GB/T 1220-2007;加工工艺 热轧;热处理工艺 ;特殊要求 ;规格标准号 GB/T 702-2008</t>
        </is>
      </c>
      <c r="F588" t="inlineStr">
        <is>
          <t>千克</t>
        </is>
      </c>
    </row>
    <row r="589">
      <c r="A589" t="inlineStr">
        <is>
          <t>100201</t>
        </is>
      </c>
      <c r="B589" t="inlineStr">
        <is>
          <t>圆钢</t>
        </is>
      </c>
      <c r="C589" t="inlineStr">
        <is>
          <t>600619300</t>
        </is>
      </c>
      <c r="D589" t="inlineStr">
        <is>
          <t>热轧不锈圆钢|圆钢|20Cr13|Φ45|GB/T 1220-2007|热轧|GB/T 702-2008</t>
        </is>
      </c>
      <c r="E589" t="inlineStr">
        <is>
          <t>物资名称 热轧不锈圆钢;物资简称 圆钢;牌号 20Cr13;直径 Φ45;技术标准号 GB/T 1220-2007;加工工艺 热轧;热处理工艺 ;特殊要求 ;规格标准号 GB/T 702-2008</t>
        </is>
      </c>
      <c r="F589" t="inlineStr">
        <is>
          <t>千克</t>
        </is>
      </c>
    </row>
    <row r="590">
      <c r="A590" t="inlineStr">
        <is>
          <t>100201</t>
        </is>
      </c>
      <c r="B590" t="inlineStr">
        <is>
          <t>圆钢</t>
        </is>
      </c>
      <c r="C590" t="inlineStr">
        <is>
          <t>600619200</t>
        </is>
      </c>
      <c r="D590" t="inlineStr">
        <is>
          <t>热轧不锈圆钢|圆钢|20Cr13|Φ50|GB/T 1220-2007|热轧|GB/T 702-2008</t>
        </is>
      </c>
      <c r="E590" t="inlineStr">
        <is>
          <t>物资名称 热轧不锈圆钢;物资简称 圆钢;牌号 20Cr13;直径 Φ50;技术标准号 GB/T 1220-2007;加工工艺 热轧;热处理工艺 ;特殊要求 ;规格标准号 GB/T 702-2008</t>
        </is>
      </c>
      <c r="F590" t="inlineStr">
        <is>
          <t>千克</t>
        </is>
      </c>
    </row>
    <row r="591">
      <c r="A591" t="inlineStr">
        <is>
          <t>100201</t>
        </is>
      </c>
      <c r="B591" t="inlineStr">
        <is>
          <t>圆钢</t>
        </is>
      </c>
      <c r="C591" t="inlineStr">
        <is>
          <t>600619100</t>
        </is>
      </c>
      <c r="D591" t="inlineStr">
        <is>
          <t>热轧不锈圆钢|圆钢|20Cr13|Φ55|GB/T 1220-2007|热轧|GB/T 702-2008</t>
        </is>
      </c>
      <c r="E591" t="inlineStr">
        <is>
          <t>物资名称 热轧不锈圆钢;物资简称 圆钢;牌号 20Cr13;直径 Φ55;技术标准号 GB/T 1220-2007;加工工艺 热轧;热处理工艺 ;特殊要求 ;规格标准号 GB/T 702-2008</t>
        </is>
      </c>
      <c r="F591" t="inlineStr">
        <is>
          <t>千克</t>
        </is>
      </c>
    </row>
    <row r="592">
      <c r="A592" t="inlineStr">
        <is>
          <t>100201</t>
        </is>
      </c>
      <c r="B592" t="inlineStr">
        <is>
          <t>圆钢</t>
        </is>
      </c>
      <c r="C592" t="inlineStr">
        <is>
          <t>600619000</t>
        </is>
      </c>
      <c r="D592" t="inlineStr">
        <is>
          <t>热轧不锈圆钢|圆钢|20Cr13|Φ60|GB/T 1220-2007|热轧|GB/T 702-2008</t>
        </is>
      </c>
      <c r="E592" t="inlineStr">
        <is>
          <t>物资名称 热轧不锈圆钢;物资简称 圆钢;牌号 20Cr13;直径 Φ60;技术标准号 GB/T 1220-2007;加工工艺 热轧;热处理工艺 ;特殊要求 ;规格标准号 GB/T 702-2008</t>
        </is>
      </c>
      <c r="F592" t="inlineStr">
        <is>
          <t>千克</t>
        </is>
      </c>
    </row>
    <row r="593">
      <c r="A593" t="inlineStr">
        <is>
          <t>100201</t>
        </is>
      </c>
      <c r="B593" t="inlineStr">
        <is>
          <t>圆钢</t>
        </is>
      </c>
      <c r="C593" t="inlineStr">
        <is>
          <t>600618900</t>
        </is>
      </c>
      <c r="D593" t="inlineStr">
        <is>
          <t>热轧不锈圆钢|圆钢|20Cr13|Φ65|GB/T 1220-2007|热轧|GB/T 702-2008</t>
        </is>
      </c>
      <c r="E593" t="inlineStr">
        <is>
          <t>物资名称 热轧不锈圆钢;物资简称 圆钢;牌号 20Cr13;直径 Φ65;技术标准号 GB/T 1220-2007;加工工艺 热轧;热处理工艺 ;特殊要求 ;规格标准号 GB/T 702-2008</t>
        </is>
      </c>
      <c r="F593" t="inlineStr">
        <is>
          <t>千克</t>
        </is>
      </c>
    </row>
    <row r="594">
      <c r="A594" t="inlineStr">
        <is>
          <t>100201</t>
        </is>
      </c>
      <c r="B594" t="inlineStr">
        <is>
          <t>圆钢</t>
        </is>
      </c>
      <c r="C594" t="inlineStr">
        <is>
          <t>600618800</t>
        </is>
      </c>
      <c r="D594" t="inlineStr">
        <is>
          <t>热轧不锈圆钢|圆钢|20Cr13|Φ70|GB/T 1220-2007|热轧|GB/T 702-2008</t>
        </is>
      </c>
      <c r="E594" t="inlineStr">
        <is>
          <t>物资名称 热轧不锈圆钢;物资简称 圆钢;牌号 20Cr13;直径 Φ70;技术标准号 GB/T 1220-2007;加工工艺 热轧;热处理工艺 ;特殊要求 ;规格标准号 GB/T 702-2008</t>
        </is>
      </c>
      <c r="F594" t="inlineStr">
        <is>
          <t>千克</t>
        </is>
      </c>
    </row>
    <row r="595">
      <c r="A595" t="inlineStr">
        <is>
          <t>100201</t>
        </is>
      </c>
      <c r="B595" t="inlineStr">
        <is>
          <t>圆钢</t>
        </is>
      </c>
      <c r="C595" t="inlineStr">
        <is>
          <t>600618700</t>
        </is>
      </c>
      <c r="D595" t="inlineStr">
        <is>
          <t>热轧不锈圆钢|圆钢|20Cr13|Φ75|GB/T 1220-2007|热轧|GB/T 702-2008</t>
        </is>
      </c>
      <c r="E595" t="inlineStr">
        <is>
          <t>物资名称 热轧不锈圆钢;物资简称 圆钢;牌号 20Cr13;直径 Φ75;技术标准号 GB/T 1220-2007;加工工艺 热轧;热处理工艺 ;特殊要求 ;规格标准号 GB/T 702-2008</t>
        </is>
      </c>
      <c r="F595" t="inlineStr">
        <is>
          <t>千克</t>
        </is>
      </c>
    </row>
    <row r="596">
      <c r="A596" t="inlineStr">
        <is>
          <t>100201</t>
        </is>
      </c>
      <c r="B596" t="inlineStr">
        <is>
          <t>圆钢</t>
        </is>
      </c>
      <c r="C596" t="inlineStr">
        <is>
          <t>600618600</t>
        </is>
      </c>
      <c r="D596" t="inlineStr">
        <is>
          <t>热轧不锈圆钢|圆钢|20Cr13|Φ110|GB/T 1220-2007|热轧|GB/T 702-2008</t>
        </is>
      </c>
      <c r="E596" t="inlineStr">
        <is>
          <t>物资名称 热轧不锈圆钢;物资简称 圆钢;牌号 20Cr13;直径 Φ110;技术标准号 GB/T 1220-2007;加工工艺 热轧;热处理工艺 ;特殊要求 ;规格标准号 GB/T 702-2008</t>
        </is>
      </c>
      <c r="F596" t="inlineStr">
        <is>
          <t>千克</t>
        </is>
      </c>
    </row>
    <row r="597">
      <c r="A597" t="inlineStr">
        <is>
          <t>100201</t>
        </is>
      </c>
      <c r="B597" t="inlineStr">
        <is>
          <t>圆钢</t>
        </is>
      </c>
      <c r="C597" t="inlineStr">
        <is>
          <t>600618500</t>
        </is>
      </c>
      <c r="D597" t="inlineStr">
        <is>
          <t>热轧不锈圆钢|圆钢|20Cr13|Φ150|GB/T 1220-2007|热轧|GB/T 702-2008</t>
        </is>
      </c>
      <c r="E597" t="inlineStr">
        <is>
          <t>物资名称 热轧不锈圆钢;物资简称 圆钢;牌号 20Cr13;直径 Φ150;技术标准号 GB/T 1220-2007;加工工艺 热轧;热处理工艺 ;特殊要求 ;规格标准号 GB/T 702-2008</t>
        </is>
      </c>
      <c r="F597" t="inlineStr">
        <is>
          <t>千克</t>
        </is>
      </c>
    </row>
    <row r="598">
      <c r="A598" t="inlineStr">
        <is>
          <t>100201</t>
        </is>
      </c>
      <c r="B598" t="inlineStr">
        <is>
          <t>圆钢</t>
        </is>
      </c>
      <c r="C598" t="inlineStr">
        <is>
          <t>600618400</t>
        </is>
      </c>
      <c r="D598" t="inlineStr">
        <is>
          <t>热轧不锈圆钢|圆钢|20Cr13|Φ180|GB/T 1220-2007|热轧|GB/T 702-2008</t>
        </is>
      </c>
      <c r="E598" t="inlineStr">
        <is>
          <t>物资名称 热轧不锈圆钢;物资简称 圆钢;牌号 20Cr13;直径 Φ180;技术标准号 GB/T 1220-2007;加工工艺 热轧;热处理工艺 ;特殊要求 ;规格标准号 GB/T 702-2008</t>
        </is>
      </c>
      <c r="F598" t="inlineStr">
        <is>
          <t>千克</t>
        </is>
      </c>
    </row>
    <row r="599">
      <c r="A599" t="inlineStr">
        <is>
          <t>100201</t>
        </is>
      </c>
      <c r="B599" t="inlineStr">
        <is>
          <t>圆钢</t>
        </is>
      </c>
      <c r="C599" t="inlineStr">
        <is>
          <t>600618300</t>
        </is>
      </c>
      <c r="D599" t="inlineStr">
        <is>
          <t>不锈钢棒|钢棒|40Cr13|GB/T 1220-2007</t>
        </is>
      </c>
      <c r="E599" t="inlineStr">
        <is>
          <t xml:space="preserve">物资名称 不锈钢棒;物资简称 钢棒;牌号 40Cr13;直径 Φ;技术标准号 GB/T 1220-2007;加工工艺 ;热处理工艺 ;特殊要求 ;规格标准号 </t>
        </is>
      </c>
      <c r="F599" t="inlineStr">
        <is>
          <t>千克</t>
        </is>
      </c>
    </row>
    <row r="600">
      <c r="A600" t="inlineStr">
        <is>
          <t>100201</t>
        </is>
      </c>
      <c r="B600" t="inlineStr">
        <is>
          <t>圆钢</t>
        </is>
      </c>
      <c r="C600" t="inlineStr">
        <is>
          <t>600618200</t>
        </is>
      </c>
      <c r="D600" t="inlineStr">
        <is>
          <t>热轧不锈圆钢|圆钢|40Cr13|GB/T 1220-2007|GB/T 702-2008</t>
        </is>
      </c>
      <c r="E600" t="inlineStr">
        <is>
          <t>物资名称 热轧不锈圆钢;物资简称 圆钢;牌号 40Cr13;直径 Φ;技术标准号 GB/T 1220-2007;加工工艺 ;热处理工艺 ;特殊要求 ;规格标准号 GB/T 702-2008</t>
        </is>
      </c>
      <c r="F600" t="inlineStr">
        <is>
          <t>千克</t>
        </is>
      </c>
    </row>
    <row r="601">
      <c r="A601" t="inlineStr">
        <is>
          <t>100201</t>
        </is>
      </c>
      <c r="B601" t="inlineStr">
        <is>
          <t>圆钢</t>
        </is>
      </c>
      <c r="C601" t="inlineStr">
        <is>
          <t>600618100</t>
        </is>
      </c>
      <c r="D601" t="inlineStr">
        <is>
          <t>热轧不锈圆钢|圆钢|40Cr13|Φ35|GB/T 1220-2007|热轧|GB/T 702-2008</t>
        </is>
      </c>
      <c r="E601" t="inlineStr">
        <is>
          <t>物资名称 热轧不锈圆钢;物资简称 圆钢;牌号 40Cr13;直径 Φ35;技术标准号 GB/T 1220-2007;加工工艺 热轧;热处理工艺 ;特殊要求 ;规格标准号 GB/T 702-2008</t>
        </is>
      </c>
      <c r="F601" t="inlineStr">
        <is>
          <t>千克</t>
        </is>
      </c>
    </row>
    <row r="602">
      <c r="A602" t="inlineStr">
        <is>
          <t>100201</t>
        </is>
      </c>
      <c r="B602" t="inlineStr">
        <is>
          <t>圆钢</t>
        </is>
      </c>
      <c r="C602" t="inlineStr">
        <is>
          <t>600618000</t>
        </is>
      </c>
      <c r="D602" t="inlineStr">
        <is>
          <t>热轧不锈圆钢|圆钢|40Cr13|Φ100|GB/T 1220-2007|热轧|GB/T 702-2008</t>
        </is>
      </c>
      <c r="E602" t="inlineStr">
        <is>
          <t>物资名称 热轧不锈圆钢;物资简称 圆钢;牌号 40Cr13;直径 Φ100;技术标准号 GB/T 1220-2007;加工工艺 热轧;热处理工艺 ;特殊要求 ;规格标准号 GB/T 702-2008</t>
        </is>
      </c>
      <c r="F602" t="inlineStr">
        <is>
          <t>千克</t>
        </is>
      </c>
    </row>
    <row r="603">
      <c r="A603" t="inlineStr">
        <is>
          <t>100201</t>
        </is>
      </c>
      <c r="B603" t="inlineStr">
        <is>
          <t>圆钢</t>
        </is>
      </c>
      <c r="C603" t="inlineStr">
        <is>
          <t>600617900</t>
        </is>
      </c>
      <c r="D603" t="inlineStr">
        <is>
          <t>热轧弹簧圆钢|圆钢|65Mn|GB/T 1222-2007|GB/T 702-2008</t>
        </is>
      </c>
      <c r="E603" t="inlineStr">
        <is>
          <t>物资名称 热轧弹簧圆钢;物资简称 圆钢;牌号 65Mn;直径 Φ;技术标准号 GB/T 1222-2007;加工工艺 ;热处理工艺 ;特殊要求 ;规格标准号 GB/T 702-2008</t>
        </is>
      </c>
      <c r="F603" t="inlineStr">
        <is>
          <t>千克</t>
        </is>
      </c>
    </row>
    <row r="604">
      <c r="A604" t="inlineStr">
        <is>
          <t>100201</t>
        </is>
      </c>
      <c r="B604" t="inlineStr">
        <is>
          <t>圆钢</t>
        </is>
      </c>
      <c r="C604" t="inlineStr">
        <is>
          <t>600617800</t>
        </is>
      </c>
      <c r="D604" t="inlineStr">
        <is>
          <t>热轧弹簧圆钢|圆钢|65Mn|Φ25|GB/T 1222-2007|热轧|GB/T 702-2008</t>
        </is>
      </c>
      <c r="E604" t="inlineStr">
        <is>
          <t>物资名称 热轧弹簧圆钢;物资简称 圆钢;牌号 65Mn;直径 Φ25;技术标准号 GB/T 1222-2007;加工工艺 热轧;热处理工艺 ;特殊要求 ;规格标准号 GB/T 702-2008</t>
        </is>
      </c>
      <c r="F604" t="inlineStr">
        <is>
          <t>千克</t>
        </is>
      </c>
    </row>
    <row r="605">
      <c r="A605" t="inlineStr">
        <is>
          <t>100201</t>
        </is>
      </c>
      <c r="B605" t="inlineStr">
        <is>
          <t>圆钢</t>
        </is>
      </c>
      <c r="C605" t="inlineStr">
        <is>
          <t>600617700</t>
        </is>
      </c>
      <c r="D605" t="inlineStr">
        <is>
          <t>热轧弹簧圆钢|圆钢|65Mn|Φ60|GB/T 1222-2007|热轧|GB/T 702-2008</t>
        </is>
      </c>
      <c r="E605" t="inlineStr">
        <is>
          <t>物资名称 热轧弹簧圆钢;物资简称 圆钢;牌号 65Mn;直径 Φ60;技术标准号 GB/T 1222-2007;加工工艺 热轧;热处理工艺 ;特殊要求 ;规格标准号 GB/T 702-2008</t>
        </is>
      </c>
      <c r="F605" t="inlineStr">
        <is>
          <t>千克</t>
        </is>
      </c>
    </row>
    <row r="606">
      <c r="A606" t="inlineStr">
        <is>
          <t>100201</t>
        </is>
      </c>
      <c r="B606" t="inlineStr">
        <is>
          <t>圆钢</t>
        </is>
      </c>
      <c r="C606" t="inlineStr">
        <is>
          <t>600617600</t>
        </is>
      </c>
      <c r="D606" t="inlineStr">
        <is>
          <t>热轧弹簧圆钢|圆钢|65Mn|Φ80|GB/T 1222-2007|热轧|GB/T 702-2008</t>
        </is>
      </c>
      <c r="E606" t="inlineStr">
        <is>
          <t>物资名称 热轧弹簧圆钢;物资简称 圆钢;牌号 65Mn;直径 Φ80;技术标准号 GB/T 1222-2007;加工工艺 热轧;热处理工艺 ;特殊要求 ;规格标准号 GB/T 702-2008</t>
        </is>
      </c>
      <c r="F606" t="inlineStr">
        <is>
          <t>千克</t>
        </is>
      </c>
    </row>
    <row r="607">
      <c r="A607" t="inlineStr">
        <is>
          <t>100201</t>
        </is>
      </c>
      <c r="B607" t="inlineStr">
        <is>
          <t>圆钢</t>
        </is>
      </c>
      <c r="C607" t="inlineStr">
        <is>
          <t>600617500</t>
        </is>
      </c>
      <c r="D607" t="inlineStr">
        <is>
          <t>高碳铬轴承钢棒|钢棒|GCr15|GB/T 18254-2002</t>
        </is>
      </c>
      <c r="E607" t="inlineStr">
        <is>
          <t xml:space="preserve">物资名称 高碳铬轴承钢棒;物资简称 钢棒;牌号 GCr15;直径 Φ;技术标准号 GB/T 18254-2002;加工工艺 ;热处理工艺 ;特殊要求 ;规格标准号 </t>
        </is>
      </c>
      <c r="F607" t="inlineStr">
        <is>
          <t>千克</t>
        </is>
      </c>
    </row>
    <row r="608">
      <c r="A608" t="inlineStr">
        <is>
          <t>100201</t>
        </is>
      </c>
      <c r="B608" t="inlineStr">
        <is>
          <t>圆钢</t>
        </is>
      </c>
      <c r="C608" t="inlineStr">
        <is>
          <t>600617400</t>
        </is>
      </c>
      <c r="D608" t="inlineStr">
        <is>
          <t>热轧高碳铬轴承圆钢|圆钢|GCr15|GB/T 18254-2002|热轧|GB/T 702-2008</t>
        </is>
      </c>
      <c r="E608" t="inlineStr">
        <is>
          <t>物资名称 热轧高碳铬轴承圆钢;物资简称 圆钢;牌号 GCr15;直径 Φ;技术标准号 GB/T 18254-2002;加工工艺 热轧;热处理工艺 ;特殊要求 ;规格标准号 GB/T 702-2008</t>
        </is>
      </c>
      <c r="F608" t="inlineStr">
        <is>
          <t>千克</t>
        </is>
      </c>
    </row>
    <row r="609">
      <c r="A609" t="inlineStr">
        <is>
          <t>100201</t>
        </is>
      </c>
      <c r="B609" t="inlineStr">
        <is>
          <t>圆钢</t>
        </is>
      </c>
      <c r="C609" t="inlineStr">
        <is>
          <t>600617300</t>
        </is>
      </c>
      <c r="D609" t="inlineStr">
        <is>
          <t>热轧高碳铬轴承圆钢|圆钢|GCr15|Φ14|GB/T 18254-2002|热轧|GB/T 702-2008</t>
        </is>
      </c>
      <c r="E609" t="inlineStr">
        <is>
          <t>物资名称 热轧高碳铬轴承圆钢;物资简称 圆钢;牌号 GCr15;直径 Φ14;技术标准号 GB/T 18254-2002;加工工艺 热轧;热处理工艺 ;特殊要求 ;规格标准号 GB/T 702-2008</t>
        </is>
      </c>
      <c r="F609" t="inlineStr">
        <is>
          <t>千克</t>
        </is>
      </c>
    </row>
    <row r="610">
      <c r="A610" t="inlineStr">
        <is>
          <t>100201</t>
        </is>
      </c>
      <c r="B610" t="inlineStr">
        <is>
          <t>圆钢</t>
        </is>
      </c>
      <c r="C610" t="inlineStr">
        <is>
          <t>600617200</t>
        </is>
      </c>
      <c r="D610" t="inlineStr">
        <is>
          <t>热轧高碳铬轴承圆钢|圆钢|GCr15|Φ15|GB/T 18254-2002|热轧|GB/T 702-2008</t>
        </is>
      </c>
      <c r="E610" t="inlineStr">
        <is>
          <t>物资名称 热轧高碳铬轴承圆钢;物资简称 圆钢;牌号 GCr15;直径 Φ15;技术标准号 GB/T 18254-2002;加工工艺 热轧;热处理工艺 ;特殊要求 ;规格标准号 GB/T 702-2008</t>
        </is>
      </c>
      <c r="F610" t="inlineStr">
        <is>
          <t>千克</t>
        </is>
      </c>
    </row>
    <row r="611">
      <c r="A611" t="inlineStr">
        <is>
          <t>100201</t>
        </is>
      </c>
      <c r="B611" t="inlineStr">
        <is>
          <t>圆钢</t>
        </is>
      </c>
      <c r="C611" t="inlineStr">
        <is>
          <t>600617100</t>
        </is>
      </c>
      <c r="D611" t="inlineStr">
        <is>
          <t>热轧高碳铬轴承圆钢|圆钢|GCr15|Φ25|GB/T 18254-2002|热轧|GB/T 702-2008</t>
        </is>
      </c>
      <c r="E611" t="inlineStr">
        <is>
          <t>物资名称 热轧高碳铬轴承圆钢;物资简称 圆钢;牌号 GCr15;直径 Φ25;技术标准号 GB/T 18254-2002;加工工艺 热轧;热处理工艺 ;特殊要求 ;规格标准号 GB/T 702-2008</t>
        </is>
      </c>
      <c r="F611" t="inlineStr">
        <is>
          <t>千克</t>
        </is>
      </c>
    </row>
    <row r="612">
      <c r="A612" t="inlineStr">
        <is>
          <t>100201</t>
        </is>
      </c>
      <c r="B612" t="inlineStr">
        <is>
          <t>圆钢</t>
        </is>
      </c>
      <c r="C612" t="inlineStr">
        <is>
          <t>600617000</t>
        </is>
      </c>
      <c r="D612" t="inlineStr">
        <is>
          <t>热轧高碳铬轴承圆钢|圆钢|GCr15|Φ30|GB/T 18254-2002|热轧|GB/T 702-2008</t>
        </is>
      </c>
      <c r="E612" t="inlineStr">
        <is>
          <t>物资名称 热轧高碳铬轴承圆钢;物资简称 圆钢;牌号 GCr15;直径 Φ30;技术标准号 GB/T 18254-2002;加工工艺 热轧;热处理工艺 ;特殊要求 ;规格标准号 GB/T 702-2008</t>
        </is>
      </c>
      <c r="F612" t="inlineStr">
        <is>
          <t>千克</t>
        </is>
      </c>
    </row>
    <row r="613">
      <c r="A613" t="inlineStr">
        <is>
          <t>100201</t>
        </is>
      </c>
      <c r="B613" t="inlineStr">
        <is>
          <t>圆钢</t>
        </is>
      </c>
      <c r="C613" t="inlineStr">
        <is>
          <t>600616900</t>
        </is>
      </c>
      <c r="D613" t="inlineStr">
        <is>
          <t>热轧高碳铬轴承圆钢|圆钢|GCr15|Φ35|GB/T 18254-2002|热轧|GB/T 702-2008</t>
        </is>
      </c>
      <c r="E613" t="inlineStr">
        <is>
          <t>物资名称 热轧高碳铬轴承圆钢;物资简称 圆钢;牌号 GCr15;直径 Φ35;技术标准号 GB/T 18254-2002;加工工艺 热轧;热处理工艺 ;特殊要求 ;规格标准号 GB/T 702-2008</t>
        </is>
      </c>
      <c r="F613" t="inlineStr">
        <is>
          <t>千克</t>
        </is>
      </c>
    </row>
    <row r="614">
      <c r="A614" t="inlineStr">
        <is>
          <t>100201</t>
        </is>
      </c>
      <c r="B614" t="inlineStr">
        <is>
          <t>圆钢</t>
        </is>
      </c>
      <c r="C614" t="inlineStr">
        <is>
          <t>600616800</t>
        </is>
      </c>
      <c r="D614" t="inlineStr">
        <is>
          <t>热轧高碳铬轴承圆钢|圆钢|GCr15|Φ40|GB/T 18254-2002|热轧|GB/T 702-2008</t>
        </is>
      </c>
      <c r="E614" t="inlineStr">
        <is>
          <t>物资名称 热轧高碳铬轴承圆钢;物资简称 圆钢;牌号 GCr15;直径 Φ40;技术标准号 GB/T 18254-2002;加工工艺 热轧;热处理工艺 ;特殊要求 ;规格标准号 GB/T 702-2008</t>
        </is>
      </c>
      <c r="F614" t="inlineStr">
        <is>
          <t>千克</t>
        </is>
      </c>
    </row>
    <row r="615">
      <c r="A615" t="inlineStr">
        <is>
          <t>100201</t>
        </is>
      </c>
      <c r="B615" t="inlineStr">
        <is>
          <t>圆钢</t>
        </is>
      </c>
      <c r="C615" t="inlineStr">
        <is>
          <t>600616700</t>
        </is>
      </c>
      <c r="D615" t="inlineStr">
        <is>
          <t>热轧高碳铬轴承圆钢|圆钢|GCr15|Φ50|GB/T 18254-2002|热轧|GB/T 702-2008</t>
        </is>
      </c>
      <c r="E615" t="inlineStr">
        <is>
          <t>物资名称 热轧高碳铬轴承圆钢;物资简称 圆钢;牌号 GCr15;直径 Φ50;技术标准号 GB/T 18254-2002;加工工艺 热轧;热处理工艺 ;特殊要求 ;规格标准号 GB/T 702-2008</t>
        </is>
      </c>
      <c r="F615" t="inlineStr">
        <is>
          <t>千克</t>
        </is>
      </c>
    </row>
    <row r="616">
      <c r="A616" t="inlineStr">
        <is>
          <t>100201</t>
        </is>
      </c>
      <c r="B616" t="inlineStr">
        <is>
          <t>圆钢</t>
        </is>
      </c>
      <c r="C616" t="inlineStr">
        <is>
          <t>600616600</t>
        </is>
      </c>
      <c r="D616" t="inlineStr">
        <is>
          <t>热轧高碳铬轴承圆钢|圆钢|GCr15|Φ70|GB/T 18254-2002|热轧|GB/T 702-2008</t>
        </is>
      </c>
      <c r="E616" t="inlineStr">
        <is>
          <t>物资名称 热轧高碳铬轴承圆钢;物资简称 圆钢;牌号 GCr15;直径 Φ70;技术标准号 GB/T 18254-2002;加工工艺 热轧;热处理工艺 ;特殊要求 ;规格标准号 GB/T 702-2008</t>
        </is>
      </c>
      <c r="F616" t="inlineStr">
        <is>
          <t>千克</t>
        </is>
      </c>
    </row>
    <row r="617">
      <c r="A617" t="inlineStr">
        <is>
          <t>100201</t>
        </is>
      </c>
      <c r="B617" t="inlineStr">
        <is>
          <t>圆钢</t>
        </is>
      </c>
      <c r="C617" t="inlineStr">
        <is>
          <t>600616500</t>
        </is>
      </c>
      <c r="D617" t="inlineStr">
        <is>
          <t>热轧高碳铬轴承圆钢|圆钢|GCr15|Φ80|GB/T 18254-2002|热轧|GB/T 702-2008</t>
        </is>
      </c>
      <c r="E617" t="inlineStr">
        <is>
          <t>物资名称 热轧高碳铬轴承圆钢;物资简称 圆钢;牌号 GCr15;直径 Φ80;技术标准号 GB/T 18254-2002;加工工艺 热轧;热处理工艺 ;特殊要求 ;规格标准号 GB/T 702-2008</t>
        </is>
      </c>
      <c r="F617" t="inlineStr">
        <is>
          <t>千克</t>
        </is>
      </c>
    </row>
    <row r="618">
      <c r="A618" t="inlineStr">
        <is>
          <t>100201</t>
        </is>
      </c>
      <c r="B618" t="inlineStr">
        <is>
          <t>圆钢</t>
        </is>
      </c>
      <c r="C618" t="inlineStr">
        <is>
          <t>600616400</t>
        </is>
      </c>
      <c r="D618" t="inlineStr">
        <is>
          <t>热轧高碳铬轴承圆钢|圆钢|GCr15|Φ90|GB/T 18254-2002|热轧|GB/T 702-2008</t>
        </is>
      </c>
      <c r="E618" t="inlineStr">
        <is>
          <t>物资名称 热轧高碳铬轴承圆钢;物资简称 圆钢;牌号 GCr15;直径 Φ90;技术标准号 GB/T 18254-2002;加工工艺 热轧;热处理工艺 ;特殊要求 ;规格标准号 GB/T 702-2008</t>
        </is>
      </c>
      <c r="F618" t="inlineStr">
        <is>
          <t>千克</t>
        </is>
      </c>
    </row>
    <row r="619">
      <c r="A619" t="inlineStr">
        <is>
          <t>100201</t>
        </is>
      </c>
      <c r="B619" t="inlineStr">
        <is>
          <t>圆钢</t>
        </is>
      </c>
      <c r="C619" t="inlineStr">
        <is>
          <t>600616300</t>
        </is>
      </c>
      <c r="D619" t="inlineStr">
        <is>
          <t>热轧高碳铬轴承圆钢|圆钢|GCr15|Φ120|GB/T 18254-2002|热轧|GB/T 702-2008</t>
        </is>
      </c>
      <c r="E619" t="inlineStr">
        <is>
          <t>物资名称 热轧高碳铬轴承圆钢;物资简称 圆钢;牌号 GCr15;直径 Φ120;技术标准号 GB/T 18254-2002;加工工艺 热轧;热处理工艺 ;特殊要求 ;规格标准号 GB/T 702-2008</t>
        </is>
      </c>
      <c r="F619" t="inlineStr">
        <is>
          <t>千克</t>
        </is>
      </c>
    </row>
    <row r="620">
      <c r="A620" t="inlineStr">
        <is>
          <t>100201</t>
        </is>
      </c>
      <c r="B620" t="inlineStr">
        <is>
          <t>圆钢</t>
        </is>
      </c>
      <c r="C620" t="inlineStr">
        <is>
          <t>600616200</t>
        </is>
      </c>
      <c r="D620" t="inlineStr">
        <is>
          <t>热轧合金结构圆钢|圆钢|30CrMnSiA|GB/T 3077-1999|GB/T 702-2008</t>
        </is>
      </c>
      <c r="E620" t="inlineStr">
        <is>
          <t>物资名称 热轧合金结构圆钢;物资简称 圆钢;牌号 30CrMnSiA;直径 Φ;技术标准号 GB/T 3077-1999;加工工艺 ;热处理工艺 ;特殊要求 ;规格标准号 GB/T 702-2008</t>
        </is>
      </c>
      <c r="F620" t="inlineStr">
        <is>
          <t>千克</t>
        </is>
      </c>
    </row>
    <row r="621">
      <c r="A621" t="inlineStr">
        <is>
          <t>100201</t>
        </is>
      </c>
      <c r="B621" t="inlineStr">
        <is>
          <t>圆钢</t>
        </is>
      </c>
      <c r="C621" t="inlineStr">
        <is>
          <t>600616100</t>
        </is>
      </c>
      <c r="D621" t="inlineStr">
        <is>
          <t>锻造合金结构圆钢|圆钢|30CrMnSiA|Φ190|GB/T 3077-1999|锻造|退火|GB/T 908-2008</t>
        </is>
      </c>
      <c r="E621" t="inlineStr">
        <is>
          <t>物资名称 锻造合金结构圆钢;物资简称 圆钢;牌号 30CrMnSiA;直径 Φ190;技术标准号 GB/T 3077-1999;加工工艺 锻造;热处理工艺 退火;特殊要求 ;规格标准号 GB/T 908-2008</t>
        </is>
      </c>
      <c r="F621" t="inlineStr">
        <is>
          <t>千克</t>
        </is>
      </c>
    </row>
    <row r="622">
      <c r="A622" t="inlineStr">
        <is>
          <t>100201</t>
        </is>
      </c>
      <c r="B622" t="inlineStr">
        <is>
          <t>圆钢</t>
        </is>
      </c>
      <c r="C622" t="inlineStr">
        <is>
          <t>600616000</t>
        </is>
      </c>
      <c r="D622" t="inlineStr">
        <is>
          <t>热轧合金结构圆钢|圆钢|30CrMnSiA|Φ12|GB/T 3077-1999|热轧|GB/T 702-2008</t>
        </is>
      </c>
      <c r="E622" t="inlineStr">
        <is>
          <t>物资名称 热轧合金结构圆钢;物资简称 圆钢;牌号 30CrMnSiA;直径 Φ12;技术标准号 GB/T 3077-1999;加工工艺 热轧;热处理工艺 ;特殊要求 ;规格标准号 GB/T 702-2008</t>
        </is>
      </c>
      <c r="F622" t="inlineStr">
        <is>
          <t>千克</t>
        </is>
      </c>
    </row>
    <row r="623">
      <c r="A623" t="inlineStr">
        <is>
          <t>100201</t>
        </is>
      </c>
      <c r="B623" t="inlineStr">
        <is>
          <t>圆钢</t>
        </is>
      </c>
      <c r="C623" t="inlineStr">
        <is>
          <t>600615900</t>
        </is>
      </c>
      <c r="D623" t="inlineStr">
        <is>
          <t>热轧合金结构圆钢|圆钢|30CrMnSiA|Φ14|GB/T 3077-1999|热轧|GB/T 702-2008</t>
        </is>
      </c>
      <c r="E623" t="inlineStr">
        <is>
          <t>物资名称 热轧合金结构圆钢;物资简称 圆钢;牌号 30CrMnSiA;直径 Φ14;技术标准号 GB/T 3077-1999;加工工艺 热轧;热处理工艺 ;特殊要求 ;规格标准号 GB/T 702-2008</t>
        </is>
      </c>
      <c r="F623" t="inlineStr">
        <is>
          <t>千克</t>
        </is>
      </c>
    </row>
    <row r="624">
      <c r="A624" t="inlineStr">
        <is>
          <t>100201</t>
        </is>
      </c>
      <c r="B624" t="inlineStr">
        <is>
          <t>圆钢</t>
        </is>
      </c>
      <c r="C624" t="inlineStr">
        <is>
          <t>600615800</t>
        </is>
      </c>
      <c r="D624" t="inlineStr">
        <is>
          <t>热轧合金结构圆钢|圆钢|30CrMnSiA|Φ18|GB/T 3077-1999|热轧|GB/T 702-2008</t>
        </is>
      </c>
      <c r="E624" t="inlineStr">
        <is>
          <t>物资名称 热轧合金结构圆钢;物资简称 圆钢;牌号 30CrMnSiA;直径 Φ18;技术标准号 GB/T 3077-1999;加工工艺 热轧;热处理工艺 ;特殊要求 ;规格标准号 GB/T 702-2008</t>
        </is>
      </c>
      <c r="F624" t="inlineStr">
        <is>
          <t>千克</t>
        </is>
      </c>
    </row>
    <row r="625">
      <c r="A625" t="inlineStr">
        <is>
          <t>100201</t>
        </is>
      </c>
      <c r="B625" t="inlineStr">
        <is>
          <t>圆钢</t>
        </is>
      </c>
      <c r="C625" t="inlineStr">
        <is>
          <t>600615700</t>
        </is>
      </c>
      <c r="D625" t="inlineStr">
        <is>
          <t>热轧合金结构圆钢|圆钢|30CrMnSiA|Φ20|GB/T 3077-1999|热轧|GB/T 702-2008</t>
        </is>
      </c>
      <c r="E625" t="inlineStr">
        <is>
          <t>物资名称 热轧合金结构圆钢;物资简称 圆钢;牌号 30CrMnSiA;直径 Φ20;技术标准号 GB/T 3077-1999;加工工艺 热轧;热处理工艺 ;特殊要求 ;规格标准号 GB/T 702-2008</t>
        </is>
      </c>
      <c r="F625" t="inlineStr">
        <is>
          <t>千克</t>
        </is>
      </c>
    </row>
    <row r="626">
      <c r="A626" t="inlineStr">
        <is>
          <t>100201</t>
        </is>
      </c>
      <c r="B626" t="inlineStr">
        <is>
          <t>圆钢</t>
        </is>
      </c>
      <c r="C626" t="inlineStr">
        <is>
          <t>600615600</t>
        </is>
      </c>
      <c r="D626" t="inlineStr">
        <is>
          <t>热轧合金结构圆钢|圆钢|30CrMnSiA|Φ22|GB/T 3077-1999|热轧|GB/T 702-2008</t>
        </is>
      </c>
      <c r="E626" t="inlineStr">
        <is>
          <t>物资名称 热轧合金结构圆钢;物资简称 圆钢;牌号 30CrMnSiA;直径 Φ22;技术标准号 GB/T 3077-1999;加工工艺 热轧;热处理工艺 ;特殊要求 ;规格标准号 GB/T 702-2008</t>
        </is>
      </c>
      <c r="F626" t="inlineStr">
        <is>
          <t>千克</t>
        </is>
      </c>
    </row>
    <row r="627">
      <c r="A627" t="inlineStr">
        <is>
          <t>100201</t>
        </is>
      </c>
      <c r="B627" t="inlineStr">
        <is>
          <t>圆钢</t>
        </is>
      </c>
      <c r="C627" t="inlineStr">
        <is>
          <t>600615500</t>
        </is>
      </c>
      <c r="D627" t="inlineStr">
        <is>
          <t>热轧合金结构圆钢|圆钢|30CrMnSiA|Φ32|GB/T 3077-1999|热轧|GB/T 702-2008</t>
        </is>
      </c>
      <c r="E627" t="inlineStr">
        <is>
          <t>物资名称 热轧合金结构圆钢;物资简称 圆钢;牌号 30CrMnSiA;直径 Φ32;技术标准号 GB/T 3077-1999;加工工艺 热轧;热处理工艺 ;特殊要求 ;规格标准号 GB/T 702-2008</t>
        </is>
      </c>
      <c r="F627" t="inlineStr">
        <is>
          <t>千克</t>
        </is>
      </c>
    </row>
    <row r="628">
      <c r="A628" t="inlineStr">
        <is>
          <t>100201</t>
        </is>
      </c>
      <c r="B628" t="inlineStr">
        <is>
          <t>圆钢</t>
        </is>
      </c>
      <c r="C628" t="inlineStr">
        <is>
          <t>600615400</t>
        </is>
      </c>
      <c r="D628" t="inlineStr">
        <is>
          <t>热轧合金结构圆钢|圆钢|30CrMnSiA|Φ34|GB/T 3077-1999|热轧|GB/T 702-2008</t>
        </is>
      </c>
      <c r="E628" t="inlineStr">
        <is>
          <t>物资名称 热轧合金结构圆钢;物资简称 圆钢;牌号 30CrMnSiA;直径 Φ34;技术标准号 GB/T 3077-1999;加工工艺 热轧;热处理工艺 ;特殊要求 ;规格标准号 GB/T 702-2008</t>
        </is>
      </c>
      <c r="F628" t="inlineStr">
        <is>
          <t>千克</t>
        </is>
      </c>
    </row>
    <row r="629">
      <c r="A629" t="inlineStr">
        <is>
          <t>100201</t>
        </is>
      </c>
      <c r="B629" t="inlineStr">
        <is>
          <t>圆钢</t>
        </is>
      </c>
      <c r="C629" t="inlineStr">
        <is>
          <t>600615300</t>
        </is>
      </c>
      <c r="D629" t="inlineStr">
        <is>
          <t>热轧合金结构圆钢|圆钢|30CrMnSiA|Φ40|GB/T 3077-1999|热轧|GB/T 702-2008</t>
        </is>
      </c>
      <c r="E629" t="inlineStr">
        <is>
          <t>物资名称 热轧合金结构圆钢;物资简称 圆钢;牌号 30CrMnSiA;直径 Φ40;技术标准号 GB/T 3077-1999;加工工艺 热轧;热处理工艺 ;特殊要求 ;规格标准号 GB/T 702-2008</t>
        </is>
      </c>
      <c r="F629" t="inlineStr">
        <is>
          <t>千克</t>
        </is>
      </c>
    </row>
    <row r="630">
      <c r="A630" t="inlineStr">
        <is>
          <t>100201</t>
        </is>
      </c>
      <c r="B630" t="inlineStr">
        <is>
          <t>圆钢</t>
        </is>
      </c>
      <c r="C630" t="inlineStr">
        <is>
          <t>600615200</t>
        </is>
      </c>
      <c r="D630" t="inlineStr">
        <is>
          <t>热轧合金结构圆钢|圆钢|30CrMnSiA|Φ45|GB/T 3077-1999|热轧|GB/T 702-2008</t>
        </is>
      </c>
      <c r="E630" t="inlineStr">
        <is>
          <t>物资名称 热轧合金结构圆钢;物资简称 圆钢;牌号 30CrMnSiA;直径 Φ45;技术标准号 GB/T 3077-1999;加工工艺 热轧;热处理工艺 ;特殊要求 ;规格标准号 GB/T 702-2008</t>
        </is>
      </c>
      <c r="F630" t="inlineStr">
        <is>
          <t>千克</t>
        </is>
      </c>
    </row>
    <row r="631">
      <c r="A631" t="inlineStr">
        <is>
          <t>100201</t>
        </is>
      </c>
      <c r="B631" t="inlineStr">
        <is>
          <t>圆钢</t>
        </is>
      </c>
      <c r="C631" t="inlineStr">
        <is>
          <t>600615100</t>
        </is>
      </c>
      <c r="D631" t="inlineStr">
        <is>
          <t>热轧合金结构圆钢|圆钢|30CrMnSiA|Φ50|GB/T 3077-1999|热轧|GB/T 702-2008</t>
        </is>
      </c>
      <c r="E631" t="inlineStr">
        <is>
          <t>物资名称 热轧合金结构圆钢;物资简称 圆钢;牌号 30CrMnSiA;直径 Φ50;技术标准号 GB/T 3077-1999;加工工艺 热轧;热处理工艺 ;特殊要求 ;规格标准号 GB/T 702-2008</t>
        </is>
      </c>
      <c r="F631" t="inlineStr">
        <is>
          <t>千克</t>
        </is>
      </c>
    </row>
    <row r="632">
      <c r="A632" t="inlineStr">
        <is>
          <t>100201</t>
        </is>
      </c>
      <c r="B632" t="inlineStr">
        <is>
          <t>圆钢</t>
        </is>
      </c>
      <c r="C632" t="inlineStr">
        <is>
          <t>600615000</t>
        </is>
      </c>
      <c r="D632" t="inlineStr">
        <is>
          <t>热轧合金结构圆钢|圆钢|30CrMnSiA|Φ60|GB/T 3077-1999|热轧|GB/T 702-2008</t>
        </is>
      </c>
      <c r="E632" t="inlineStr">
        <is>
          <t>物资名称 热轧合金结构圆钢;物资简称 圆钢;牌号 30CrMnSiA;直径 Φ60;技术标准号 GB/T 3077-1999;加工工艺 热轧;热处理工艺 ;特殊要求 ;规格标准号 GB/T 702-2008</t>
        </is>
      </c>
      <c r="F632" t="inlineStr">
        <is>
          <t>千克</t>
        </is>
      </c>
    </row>
    <row r="633">
      <c r="A633" t="inlineStr">
        <is>
          <t>100201</t>
        </is>
      </c>
      <c r="B633" t="inlineStr">
        <is>
          <t>圆钢</t>
        </is>
      </c>
      <c r="C633" t="inlineStr">
        <is>
          <t>600614900</t>
        </is>
      </c>
      <c r="D633" t="inlineStr">
        <is>
          <t>热轧合金结构圆钢|圆钢|30CrMnSiA|Φ80|GB/T 3077-1999|热轧|GB/T 702-2008</t>
        </is>
      </c>
      <c r="E633" t="inlineStr">
        <is>
          <t>物资名称 热轧合金结构圆钢;物资简称 圆钢;牌号 30CrMnSiA;直径 Φ80;技术标准号 GB/T 3077-1999;加工工艺 热轧;热处理工艺 ;特殊要求 ;规格标准号 GB/T 702-2008</t>
        </is>
      </c>
      <c r="F633" t="inlineStr">
        <is>
          <t>千克</t>
        </is>
      </c>
    </row>
    <row r="634">
      <c r="A634" t="inlineStr">
        <is>
          <t>100201</t>
        </is>
      </c>
      <c r="B634" t="inlineStr">
        <is>
          <t>圆钢</t>
        </is>
      </c>
      <c r="C634" t="inlineStr">
        <is>
          <t>600614800</t>
        </is>
      </c>
      <c r="D634" t="inlineStr">
        <is>
          <t>热轧合金结构圆钢|圆钢|30CrMnSiA|Φ95|GB/T 3077-1999|热轧|GB/T 702-2008</t>
        </is>
      </c>
      <c r="E634" t="inlineStr">
        <is>
          <t>物资名称 热轧合金结构圆钢;物资简称 圆钢;牌号 30CrMnSiA;直径 Φ95;技术标准号 GB/T 3077-1999;加工工艺 热轧;热处理工艺 ;特殊要求 ;规格标准号 GB/T 702-2008</t>
        </is>
      </c>
      <c r="F634" t="inlineStr">
        <is>
          <t>千克</t>
        </is>
      </c>
    </row>
    <row r="635">
      <c r="A635" t="inlineStr">
        <is>
          <t>100201</t>
        </is>
      </c>
      <c r="B635" t="inlineStr">
        <is>
          <t>圆钢</t>
        </is>
      </c>
      <c r="C635" t="inlineStr">
        <is>
          <t>600614700</t>
        </is>
      </c>
      <c r="D635" t="inlineStr">
        <is>
          <t>热轧合金结构圆钢|圆钢|30CrMnSiA|Φ130|GB/T 3077-1999|热轧|GB/T 702-2008</t>
        </is>
      </c>
      <c r="E635" t="inlineStr">
        <is>
          <t>物资名称 热轧合金结构圆钢;物资简称 圆钢;牌号 30CrMnSiA;直径 Φ130;技术标准号 GB/T 3077-1999;加工工艺 热轧;热处理工艺 ;特殊要求 ;规格标准号 GB/T 702-2008</t>
        </is>
      </c>
      <c r="F635" t="inlineStr">
        <is>
          <t>千克</t>
        </is>
      </c>
    </row>
    <row r="636">
      <c r="A636" t="inlineStr">
        <is>
          <t>100201</t>
        </is>
      </c>
      <c r="B636" t="inlineStr">
        <is>
          <t>圆钢</t>
        </is>
      </c>
      <c r="C636" t="inlineStr">
        <is>
          <t>600614600</t>
        </is>
      </c>
      <c r="D636" t="inlineStr">
        <is>
          <t>热轧合金结构圆钢|圆钢|30CrMnSiA|Φ190|GB/T 3077-1999|热轧|GB/T 702-2008</t>
        </is>
      </c>
      <c r="E636" t="inlineStr">
        <is>
          <t>物资名称 热轧合金结构圆钢;物资简称 圆钢;牌号 30CrMnSiA;直径 Φ190;技术标准号 GB/T 3077-1999;加工工艺 热轧;热处理工艺 ;特殊要求 ;规格标准号 GB/T 702-2008</t>
        </is>
      </c>
      <c r="F636" t="inlineStr">
        <is>
          <t>千克</t>
        </is>
      </c>
    </row>
    <row r="637">
      <c r="A637" t="inlineStr">
        <is>
          <t>100201</t>
        </is>
      </c>
      <c r="B637" t="inlineStr">
        <is>
          <t>圆钢</t>
        </is>
      </c>
      <c r="C637" t="inlineStr">
        <is>
          <t>600614500</t>
        </is>
      </c>
      <c r="D637" t="inlineStr">
        <is>
          <t>热轧合金结构圆钢|圆钢|38CrMoAl|GB/T 3077-1999|GB/T 702-2008</t>
        </is>
      </c>
      <c r="E637" t="inlineStr">
        <is>
          <t>物资名称 热轧合金结构圆钢;物资简称 圆钢;牌号 38CrMoAl;直径 Φ;技术标准号 GB/T 3077-1999;加工工艺 ;热处理工艺 ;特殊要求 ;规格标准号 GB/T 702-2008</t>
        </is>
      </c>
      <c r="F637" t="inlineStr">
        <is>
          <t>千克</t>
        </is>
      </c>
    </row>
    <row r="638">
      <c r="A638" t="inlineStr">
        <is>
          <t>100201</t>
        </is>
      </c>
      <c r="B638" t="inlineStr">
        <is>
          <t>圆钢</t>
        </is>
      </c>
      <c r="C638" t="inlineStr">
        <is>
          <t>600614400</t>
        </is>
      </c>
      <c r="D638" t="inlineStr">
        <is>
          <t>热轧合金结构圆钢|圆钢|38CrMoAl|Φ40|GB/T 3077-1999|热轧|GB/T 702-2008</t>
        </is>
      </c>
      <c r="E638" t="inlineStr">
        <is>
          <t>物资名称 热轧合金结构圆钢;物资简称 圆钢;牌号 38CrMoAl;直径 Φ40;技术标准号 GB/T 3077-1999;加工工艺 热轧;热处理工艺 ;特殊要求 ;规格标准号 GB/T 702-2008</t>
        </is>
      </c>
      <c r="F638" t="inlineStr">
        <is>
          <t>千克</t>
        </is>
      </c>
    </row>
    <row r="639">
      <c r="A639" t="inlineStr">
        <is>
          <t>100201</t>
        </is>
      </c>
      <c r="B639" t="inlineStr">
        <is>
          <t>圆钢</t>
        </is>
      </c>
      <c r="C639" t="inlineStr">
        <is>
          <t>600614300</t>
        </is>
      </c>
      <c r="D639" t="inlineStr">
        <is>
          <t>热轧合金结构圆钢|圆钢|38CrMoAl|Φ50|GB/T 3077-1999|热轧|退火|GB/T 702-2008</t>
        </is>
      </c>
      <c r="E639" t="inlineStr">
        <is>
          <t>物资名称 热轧合金结构圆钢;物资简称 圆钢;牌号 38CrMoAl;直径 Φ50;技术标准号 GB/T 3077-1999;加工工艺 热轧;热处理工艺 退火;特殊要求 ;规格标准号 GB/T 702-2008</t>
        </is>
      </c>
      <c r="F639" t="inlineStr">
        <is>
          <t>千克</t>
        </is>
      </c>
    </row>
    <row r="640">
      <c r="A640" t="inlineStr">
        <is>
          <t>100201</t>
        </is>
      </c>
      <c r="B640" t="inlineStr">
        <is>
          <t>圆钢</t>
        </is>
      </c>
      <c r="C640" t="inlineStr">
        <is>
          <t>600614200</t>
        </is>
      </c>
      <c r="D640" t="inlineStr">
        <is>
          <t>热轧合金结构圆钢|圆钢|38CrMoAl|Φ75|GB/T 3077-1999|热轧|GB/T 702-2008</t>
        </is>
      </c>
      <c r="E640" t="inlineStr">
        <is>
          <t>物资名称 热轧合金结构圆钢;物资简称 圆钢;牌号 38CrMoAl;直径 Φ75;技术标准号 GB/T 3077-1999;加工工艺 热轧;热处理工艺 ;特殊要求 ;规格标准号 GB/T 702-2008</t>
        </is>
      </c>
      <c r="F640" t="inlineStr">
        <is>
          <t>千克</t>
        </is>
      </c>
    </row>
    <row r="641">
      <c r="A641" t="inlineStr">
        <is>
          <t>100201</t>
        </is>
      </c>
      <c r="B641" t="inlineStr">
        <is>
          <t>圆钢</t>
        </is>
      </c>
      <c r="C641" t="inlineStr">
        <is>
          <t>600614100</t>
        </is>
      </c>
      <c r="D641" t="inlineStr">
        <is>
          <t>合金结构圆钢|圆钢|40Cr|GB/T 3077-1999</t>
        </is>
      </c>
      <c r="E641" t="inlineStr">
        <is>
          <t xml:space="preserve">物资名称 合金结构圆钢;物资简称 圆钢;牌号 40Cr;直径 Φ;技术标准号 GB/T 3077-1999;加工工艺 ;热处理工艺 ;特殊要求 ;规格标准号 </t>
        </is>
      </c>
      <c r="F641" t="inlineStr">
        <is>
          <t>千克</t>
        </is>
      </c>
    </row>
    <row r="642">
      <c r="A642" t="inlineStr">
        <is>
          <t>100201</t>
        </is>
      </c>
      <c r="B642" t="inlineStr">
        <is>
          <t>圆钢</t>
        </is>
      </c>
      <c r="C642" t="inlineStr">
        <is>
          <t>600614000</t>
        </is>
      </c>
      <c r="D642" t="inlineStr">
        <is>
          <t>锻造合金结构圆钢|圆钢|40Cr|Φ260|GB/T 3077-1999|锻造|GB/T 908-2008</t>
        </is>
      </c>
      <c r="E642" t="inlineStr">
        <is>
          <t>物资名称 锻造合金结构圆钢;物资简称 圆钢;牌号 40Cr;直径 Φ260;技术标准号 GB/T 3077-1999;加工工艺 锻造;热处理工艺 ;特殊要求 ;规格标准号 GB/T 908-2008</t>
        </is>
      </c>
      <c r="F642" t="inlineStr">
        <is>
          <t>千克</t>
        </is>
      </c>
    </row>
    <row r="643">
      <c r="A643" t="inlineStr">
        <is>
          <t>100201</t>
        </is>
      </c>
      <c r="B643" t="inlineStr">
        <is>
          <t>圆钢</t>
        </is>
      </c>
      <c r="C643" t="inlineStr">
        <is>
          <t>600613900</t>
        </is>
      </c>
      <c r="D643" t="inlineStr">
        <is>
          <t>热轧合金结构圆钢|圆钢|40Cr|Φ6|GB/T 3077-1999|热轧|GB/T 702-2008</t>
        </is>
      </c>
      <c r="E643" t="inlineStr">
        <is>
          <t>物资名称 热轧合金结构圆钢;物资简称 圆钢;牌号 40Cr;直径 Φ6;技术标准号 GB/T 3077-1999;加工工艺 热轧;热处理工艺 ;特殊要求 ;规格标准号 GB/T 702-2008</t>
        </is>
      </c>
      <c r="F643" t="inlineStr">
        <is>
          <t>千克</t>
        </is>
      </c>
    </row>
    <row r="644">
      <c r="A644" t="inlineStr">
        <is>
          <t>100201</t>
        </is>
      </c>
      <c r="B644" t="inlineStr">
        <is>
          <t>圆钢</t>
        </is>
      </c>
      <c r="C644" t="inlineStr">
        <is>
          <t>600613800</t>
        </is>
      </c>
      <c r="D644" t="inlineStr">
        <is>
          <t>热轧合金结构圆钢|圆钢|40Cr|Φ8|GB/T 3077-1999|热轧|GB/T 702-2008</t>
        </is>
      </c>
      <c r="E644" t="inlineStr">
        <is>
          <t>物资名称 热轧合金结构圆钢;物资简称 圆钢;牌号 40Cr;直径 Φ8;技术标准号 GB/T 3077-1999;加工工艺 热轧;热处理工艺 ;特殊要求 ;规格标准号 GB/T 702-2008</t>
        </is>
      </c>
      <c r="F644" t="inlineStr">
        <is>
          <t>千克</t>
        </is>
      </c>
    </row>
    <row r="645">
      <c r="A645" t="inlineStr">
        <is>
          <t>100201</t>
        </is>
      </c>
      <c r="B645" t="inlineStr">
        <is>
          <t>圆钢</t>
        </is>
      </c>
      <c r="C645" t="inlineStr">
        <is>
          <t>600613700</t>
        </is>
      </c>
      <c r="D645" t="inlineStr">
        <is>
          <t>热轧合金结构圆钢|圆钢|40Cr|Φ10|GB/T 3077-1999|热轧|GB/T 702-2008</t>
        </is>
      </c>
      <c r="E645" t="inlineStr">
        <is>
          <t>物资名称 热轧合金结构圆钢;物资简称 圆钢;牌号 40Cr;直径 Φ10;技术标准号 GB/T 3077-1999;加工工艺 热轧;热处理工艺 ;特殊要求 ;规格标准号 GB/T 702-2008</t>
        </is>
      </c>
      <c r="F645" t="inlineStr">
        <is>
          <t>千克</t>
        </is>
      </c>
    </row>
    <row r="646">
      <c r="A646" t="inlineStr">
        <is>
          <t>100201</t>
        </is>
      </c>
      <c r="B646" t="inlineStr">
        <is>
          <t>圆钢</t>
        </is>
      </c>
      <c r="C646" t="inlineStr">
        <is>
          <t>600613600</t>
        </is>
      </c>
      <c r="D646" t="inlineStr">
        <is>
          <t>热轧合金结构圆钢|圆钢|40Cr|Φ14|GB/T 3077-1999|热轧|GB/T 702-2008</t>
        </is>
      </c>
      <c r="E646" t="inlineStr">
        <is>
          <t>物资名称 热轧合金结构圆钢;物资简称 圆钢;牌号 40Cr;直径 Φ14;技术标准号 GB/T 3077-1999;加工工艺 热轧;热处理工艺 ;特殊要求 ;规格标准号 GB/T 702-2008</t>
        </is>
      </c>
      <c r="F646" t="inlineStr">
        <is>
          <t>千克</t>
        </is>
      </c>
    </row>
    <row r="647">
      <c r="A647" t="inlineStr">
        <is>
          <t>100201</t>
        </is>
      </c>
      <c r="B647" t="inlineStr">
        <is>
          <t>圆钢</t>
        </is>
      </c>
      <c r="C647" t="inlineStr">
        <is>
          <t>600613500</t>
        </is>
      </c>
      <c r="D647" t="inlineStr">
        <is>
          <t>热轧合金结构圆钢|圆钢|40Cr|Φ20|GB/T 3077-1999|热轧|GB/T 702-2008</t>
        </is>
      </c>
      <c r="E647" t="inlineStr">
        <is>
          <t>物资名称 热轧合金结构圆钢;物资简称 圆钢;牌号 40Cr;直径 Φ20;技术标准号 GB/T 3077-1999;加工工艺 热轧;热处理工艺 ;特殊要求 ;规格标准号 GB/T 702-2008</t>
        </is>
      </c>
      <c r="F647" t="inlineStr">
        <is>
          <t>千克</t>
        </is>
      </c>
    </row>
    <row r="648">
      <c r="A648" t="inlineStr">
        <is>
          <t>100201</t>
        </is>
      </c>
      <c r="B648" t="inlineStr">
        <is>
          <t>圆钢</t>
        </is>
      </c>
      <c r="C648" t="inlineStr">
        <is>
          <t>600613400</t>
        </is>
      </c>
      <c r="D648" t="inlineStr">
        <is>
          <t>热轧合金结构圆钢|圆钢|40Cr|Φ25|GB/T 3077-1999|热轧|GB/T 702-2008</t>
        </is>
      </c>
      <c r="E648" t="inlineStr">
        <is>
          <t>物资名称 热轧合金结构圆钢;物资简称 圆钢;牌号 40Cr;直径 Φ25;技术标准号 GB/T 3077-1999;加工工艺 热轧;热处理工艺 ;特殊要求 ;规格标准号 GB/T 702-2008</t>
        </is>
      </c>
      <c r="F648" t="inlineStr">
        <is>
          <t>千克</t>
        </is>
      </c>
    </row>
    <row r="649">
      <c r="A649" t="inlineStr">
        <is>
          <t>100201</t>
        </is>
      </c>
      <c r="B649" t="inlineStr">
        <is>
          <t>圆钢</t>
        </is>
      </c>
      <c r="C649" t="inlineStr">
        <is>
          <t>600613300</t>
        </is>
      </c>
      <c r="D649" t="inlineStr">
        <is>
          <t>热轧合金结构圆钢|圆钢|40Cr|Φ30|GB/T 3077-1999|热轧|GB/T 702-2008</t>
        </is>
      </c>
      <c r="E649" t="inlineStr">
        <is>
          <t>物资名称 热轧合金结构圆钢;物资简称 圆钢;牌号 40Cr;直径 Φ30;技术标准号 GB/T 3077-1999;加工工艺 热轧;热处理工艺 ;特殊要求 ;规格标准号 GB/T 702-2008</t>
        </is>
      </c>
      <c r="F649" t="inlineStr">
        <is>
          <t>千克</t>
        </is>
      </c>
    </row>
    <row r="650">
      <c r="A650" t="inlineStr">
        <is>
          <t>100201</t>
        </is>
      </c>
      <c r="B650" t="inlineStr">
        <is>
          <t>圆钢</t>
        </is>
      </c>
      <c r="C650" t="inlineStr">
        <is>
          <t>600613200</t>
        </is>
      </c>
      <c r="D650" t="inlineStr">
        <is>
          <t>热轧合金结构圆钢|圆钢|40Cr|Φ32|GB/T 3077-1999|热轧|GB/T 702-2008</t>
        </is>
      </c>
      <c r="E650" t="inlineStr">
        <is>
          <t>物资名称 热轧合金结构圆钢;物资简称 圆钢;牌号 40Cr;直径 Φ32;技术标准号 GB/T 3077-1999;加工工艺 热轧;热处理工艺 ;特殊要求 ;规格标准号 GB/T 702-2008</t>
        </is>
      </c>
      <c r="F650" t="inlineStr">
        <is>
          <t>千克</t>
        </is>
      </c>
    </row>
    <row r="651">
      <c r="A651" t="inlineStr">
        <is>
          <t>100201</t>
        </is>
      </c>
      <c r="B651" t="inlineStr">
        <is>
          <t>圆钢</t>
        </is>
      </c>
      <c r="C651" t="inlineStr">
        <is>
          <t>600613100</t>
        </is>
      </c>
      <c r="D651" t="inlineStr">
        <is>
          <t>热轧合金结构圆钢|圆钢|40Cr|Φ35|GB/T 3077-1999|热轧|GB/T 702-2008</t>
        </is>
      </c>
      <c r="E651" t="inlineStr">
        <is>
          <t>物资名称 热轧合金结构圆钢;物资简称 圆钢;牌号 40Cr;直径 Φ35;技术标准号 GB/T 3077-1999;加工工艺 热轧;热处理工艺 ;特殊要求 ;规格标准号 GB/T 702-2008</t>
        </is>
      </c>
      <c r="F651" t="inlineStr">
        <is>
          <t>千克</t>
        </is>
      </c>
    </row>
    <row r="652">
      <c r="A652" t="inlineStr">
        <is>
          <t>100201</t>
        </is>
      </c>
      <c r="B652" t="inlineStr">
        <is>
          <t>圆钢</t>
        </is>
      </c>
      <c r="C652" t="inlineStr">
        <is>
          <t>600613000</t>
        </is>
      </c>
      <c r="D652" t="inlineStr">
        <is>
          <t>热轧合金结构圆钢|圆钢|40Cr|Φ60|GB/T 3077-1999|热轧|GB/T 702-2008</t>
        </is>
      </c>
      <c r="E652" t="inlineStr">
        <is>
          <t>物资名称 热轧合金结构圆钢;物资简称 圆钢;牌号 40Cr;直径 Φ60;技术标准号 GB/T 3077-1999;加工工艺 热轧;热处理工艺 ;特殊要求 ;规格标准号 GB/T 702-2008</t>
        </is>
      </c>
      <c r="F652" t="inlineStr">
        <is>
          <t>千克</t>
        </is>
      </c>
    </row>
    <row r="653">
      <c r="A653" t="inlineStr">
        <is>
          <t>100201</t>
        </is>
      </c>
      <c r="B653" t="inlineStr">
        <is>
          <t>圆钢</t>
        </is>
      </c>
      <c r="C653" t="inlineStr">
        <is>
          <t>600612900</t>
        </is>
      </c>
      <c r="D653" t="inlineStr">
        <is>
          <t>热轧合金结构圆钢|圆钢|40Cr|Φ70|GB/T 3077-1999|热轧|GB/T 702-2008</t>
        </is>
      </c>
      <c r="E653" t="inlineStr">
        <is>
          <t>物资名称 热轧合金结构圆钢;物资简称 圆钢;牌号 40Cr;直径 Φ70;技术标准号 GB/T 3077-1999;加工工艺 热轧;热处理工艺 ;特殊要求 ;规格标准号 GB/T 702-2008</t>
        </is>
      </c>
      <c r="F653" t="inlineStr">
        <is>
          <t>千克</t>
        </is>
      </c>
    </row>
    <row r="654">
      <c r="A654" t="inlineStr">
        <is>
          <t>100201</t>
        </is>
      </c>
      <c r="B654" t="inlineStr">
        <is>
          <t>圆钢</t>
        </is>
      </c>
      <c r="C654" t="inlineStr">
        <is>
          <t>600612800</t>
        </is>
      </c>
      <c r="D654" t="inlineStr">
        <is>
          <t>热轧合金结构圆钢|圆钢|40Cr|Φ75|GB/T 3077-1999|热轧|GB/T 702-2008</t>
        </is>
      </c>
      <c r="E654" t="inlineStr">
        <is>
          <t>物资名称 热轧合金结构圆钢;物资简称 圆钢;牌号 40Cr;直径 Φ75;技术标准号 GB/T 3077-1999;加工工艺 热轧;热处理工艺 ;特殊要求 ;规格标准号 GB/T 702-2008</t>
        </is>
      </c>
      <c r="F654" t="inlineStr">
        <is>
          <t>千克</t>
        </is>
      </c>
    </row>
    <row r="655">
      <c r="A655" t="inlineStr">
        <is>
          <t>100201</t>
        </is>
      </c>
      <c r="B655" t="inlineStr">
        <is>
          <t>圆钢</t>
        </is>
      </c>
      <c r="C655" t="inlineStr">
        <is>
          <t>600612700</t>
        </is>
      </c>
      <c r="D655" t="inlineStr">
        <is>
          <t>热轧合金结构圆钢|圆钢|40Cr|Φ90|GB/T 3077-1999|热轧|GB/T 702-2008</t>
        </is>
      </c>
      <c r="E655" t="inlineStr">
        <is>
          <t>物资名称 热轧合金结构圆钢;物资简称 圆钢;牌号 40Cr;直径 Φ90;技术标准号 GB/T 3077-1999;加工工艺 热轧;热处理工艺 ;特殊要求 ;规格标准号 GB/T 702-2008</t>
        </is>
      </c>
      <c r="F655" t="inlineStr">
        <is>
          <t>千克</t>
        </is>
      </c>
    </row>
    <row r="656">
      <c r="A656" t="inlineStr">
        <is>
          <t>100201</t>
        </is>
      </c>
      <c r="B656" t="inlineStr">
        <is>
          <t>圆钢</t>
        </is>
      </c>
      <c r="C656" t="inlineStr">
        <is>
          <t>600612600</t>
        </is>
      </c>
      <c r="D656" t="inlineStr">
        <is>
          <t>热轧合金结构圆钢|圆钢|40Cr|Φ90|GB/T 3077-1999|热轧|退火|GB/T 702-2008</t>
        </is>
      </c>
      <c r="E656" t="inlineStr">
        <is>
          <t>物资名称 热轧合金结构圆钢;物资简称 圆钢;牌号 40Cr;直径 Φ90;技术标准号 GB/T 3077-1999;加工工艺 热轧;热处理工艺 退火;特殊要求 ;规格标准号 GB/T 702-2008</t>
        </is>
      </c>
      <c r="F656" t="inlineStr">
        <is>
          <t>千克</t>
        </is>
      </c>
    </row>
    <row r="657">
      <c r="A657" t="inlineStr">
        <is>
          <t>100201</t>
        </is>
      </c>
      <c r="B657" t="inlineStr">
        <is>
          <t>圆钢</t>
        </is>
      </c>
      <c r="C657" t="inlineStr">
        <is>
          <t>600612500</t>
        </is>
      </c>
      <c r="D657" t="inlineStr">
        <is>
          <t>热轧合金结构圆钢|圆钢|40Cr|Φ100|GB/T 3077-1999|热轧|GB/T 702-2008</t>
        </is>
      </c>
      <c r="E657" t="inlineStr">
        <is>
          <t>物资名称 热轧合金结构圆钢;物资简称 圆钢;牌号 40Cr;直径 Φ100;技术标准号 GB/T 3077-1999;加工工艺 热轧;热处理工艺 ;特殊要求 ;规格标准号 GB/T 702-2008</t>
        </is>
      </c>
      <c r="F657" t="inlineStr">
        <is>
          <t>千克</t>
        </is>
      </c>
    </row>
    <row r="658">
      <c r="A658" t="inlineStr">
        <is>
          <t>100201</t>
        </is>
      </c>
      <c r="B658" t="inlineStr">
        <is>
          <t>圆钢</t>
        </is>
      </c>
      <c r="C658" t="inlineStr">
        <is>
          <t>600612400</t>
        </is>
      </c>
      <c r="D658" t="inlineStr">
        <is>
          <t>热轧合金结构圆钢|圆钢|40Cr|Φ100|GB/T 3077-1999|热轧|退火|GB/T 702-2008</t>
        </is>
      </c>
      <c r="E658" t="inlineStr">
        <is>
          <t>物资名称 热轧合金结构圆钢;物资简称 圆钢;牌号 40Cr;直径 Φ100;技术标准号 GB/T 3077-1999;加工工艺 热轧;热处理工艺 退火;特殊要求 ;规格标准号 GB/T 702-2008</t>
        </is>
      </c>
      <c r="F658" t="inlineStr">
        <is>
          <t>千克</t>
        </is>
      </c>
    </row>
    <row r="659">
      <c r="A659" t="inlineStr">
        <is>
          <t>100201</t>
        </is>
      </c>
      <c r="B659" t="inlineStr">
        <is>
          <t>圆钢</t>
        </is>
      </c>
      <c r="C659" t="inlineStr">
        <is>
          <t>600612300</t>
        </is>
      </c>
      <c r="D659" t="inlineStr">
        <is>
          <t>热轧合金结构圆钢|圆钢|40Cr|Φ120|GB/T 3077-1999|热轧|GB/T 702-2008</t>
        </is>
      </c>
      <c r="E659" t="inlineStr">
        <is>
          <t>物资名称 热轧合金结构圆钢;物资简称 圆钢;牌号 40Cr;直径 Φ120;技术标准号 GB/T 3077-1999;加工工艺 热轧;热处理工艺 ;特殊要求 ;规格标准号 GB/T 702-2008</t>
        </is>
      </c>
      <c r="F659" t="inlineStr">
        <is>
          <t>千克</t>
        </is>
      </c>
    </row>
    <row r="660">
      <c r="A660" t="inlineStr">
        <is>
          <t>100201</t>
        </is>
      </c>
      <c r="B660" t="inlineStr">
        <is>
          <t>圆钢</t>
        </is>
      </c>
      <c r="C660" t="inlineStr">
        <is>
          <t>600612200</t>
        </is>
      </c>
      <c r="D660" t="inlineStr">
        <is>
          <t>热轧合金结构圆钢|圆钢|40Cr|Φ130|GB/T 3077-1999|热轧|GB/T 702-2008</t>
        </is>
      </c>
      <c r="E660" t="inlineStr">
        <is>
          <t>物资名称 热轧合金结构圆钢;物资简称 圆钢;牌号 40Cr;直径 Φ130;技术标准号 GB/T 3077-1999;加工工艺 热轧;热处理工艺 ;特殊要求 ;规格标准号 GB/T 702-2008</t>
        </is>
      </c>
      <c r="F660" t="inlineStr">
        <is>
          <t>千克</t>
        </is>
      </c>
    </row>
    <row r="661">
      <c r="A661" t="inlineStr">
        <is>
          <t>100201</t>
        </is>
      </c>
      <c r="B661" t="inlineStr">
        <is>
          <t>圆钢</t>
        </is>
      </c>
      <c r="C661" t="inlineStr">
        <is>
          <t>600612100</t>
        </is>
      </c>
      <c r="D661" t="inlineStr">
        <is>
          <t>热轧合金结构圆钢|圆钢|40Cr|Φ140|GB/T 3077-1999|热轧|GB/T 702-2008</t>
        </is>
      </c>
      <c r="E661" t="inlineStr">
        <is>
          <t>物资名称 热轧合金结构圆钢;物资简称 圆钢;牌号 40Cr;直径 Φ140;技术标准号 GB/T 3077-1999;加工工艺 热轧;热处理工艺 ;特殊要求 ;规格标准号 GB/T 702-2008</t>
        </is>
      </c>
      <c r="F661" t="inlineStr">
        <is>
          <t>千克</t>
        </is>
      </c>
    </row>
    <row r="662">
      <c r="A662" t="inlineStr">
        <is>
          <t>100201</t>
        </is>
      </c>
      <c r="B662" t="inlineStr">
        <is>
          <t>圆钢</t>
        </is>
      </c>
      <c r="C662" t="inlineStr">
        <is>
          <t>600612000</t>
        </is>
      </c>
      <c r="D662" t="inlineStr">
        <is>
          <t>热轧合金结构圆钢|圆钢|40Cr|Φ150|GB/T 3077-1999|热轧|GB/T 702-2008</t>
        </is>
      </c>
      <c r="E662" t="inlineStr">
        <is>
          <t>物资名称 热轧合金结构圆钢;物资简称 圆钢;牌号 40Cr;直径 Φ150;技术标准号 GB/T 3077-1999;加工工艺 热轧;热处理工艺 ;特殊要求 ;规格标准号 GB/T 702-2008</t>
        </is>
      </c>
      <c r="F662" t="inlineStr">
        <is>
          <t>千克</t>
        </is>
      </c>
    </row>
    <row r="663">
      <c r="A663" t="inlineStr">
        <is>
          <t>100201</t>
        </is>
      </c>
      <c r="B663" t="inlineStr">
        <is>
          <t>圆钢</t>
        </is>
      </c>
      <c r="C663" t="inlineStr">
        <is>
          <t>600611900</t>
        </is>
      </c>
      <c r="D663" t="inlineStr">
        <is>
          <t>热轧合金结构圆钢|圆钢|40Cr|Φ150|GB/T 3077-1999|热轧|退火|GB/T 702-2008</t>
        </is>
      </c>
      <c r="E663" t="inlineStr">
        <is>
          <t>物资名称 热轧合金结构圆钢;物资简称 圆钢;牌号 40Cr;直径 Φ150;技术标准号 GB/T 3077-1999;加工工艺 热轧;热处理工艺 退火;特殊要求 ;规格标准号 GB/T 702-2008</t>
        </is>
      </c>
      <c r="F663" t="inlineStr">
        <is>
          <t>千克</t>
        </is>
      </c>
    </row>
    <row r="664">
      <c r="A664" t="inlineStr">
        <is>
          <t>100201</t>
        </is>
      </c>
      <c r="B664" t="inlineStr">
        <is>
          <t>圆钢</t>
        </is>
      </c>
      <c r="C664" t="inlineStr">
        <is>
          <t>600611800</t>
        </is>
      </c>
      <c r="D664" t="inlineStr">
        <is>
          <t>热轧合金结构圆钢|圆钢|40Cr|Φ160|GB/T 3077-1999|热轧|GB/T 702-2008</t>
        </is>
      </c>
      <c r="E664" t="inlineStr">
        <is>
          <t>物资名称 热轧合金结构圆钢;物资简称 圆钢;牌号 40Cr;直径 Φ160;技术标准号 GB/T 3077-1999;加工工艺 热轧;热处理工艺 ;特殊要求 ;规格标准号 GB/T 702-2008</t>
        </is>
      </c>
      <c r="F664" t="inlineStr">
        <is>
          <t>千克</t>
        </is>
      </c>
    </row>
    <row r="665">
      <c r="A665" t="inlineStr">
        <is>
          <t>100201</t>
        </is>
      </c>
      <c r="B665" t="inlineStr">
        <is>
          <t>圆钢</t>
        </is>
      </c>
      <c r="C665" t="inlineStr">
        <is>
          <t>600611700</t>
        </is>
      </c>
      <c r="D665" t="inlineStr">
        <is>
          <t>热轧合金结构圆钢|圆钢|40Cr|Φ170|GB/T 3077-1999|热轧|GB/T 702-2008</t>
        </is>
      </c>
      <c r="E665" t="inlineStr">
        <is>
          <t>物资名称 热轧合金结构圆钢;物资简称 圆钢;牌号 40Cr;直径 Φ170;技术标准号 GB/T 3077-1999;加工工艺 热轧;热处理工艺 ;特殊要求 ;规格标准号 GB/T 702-2008</t>
        </is>
      </c>
      <c r="F665" t="inlineStr">
        <is>
          <t>千克</t>
        </is>
      </c>
    </row>
    <row r="666">
      <c r="A666" t="inlineStr">
        <is>
          <t>100201</t>
        </is>
      </c>
      <c r="B666" t="inlineStr">
        <is>
          <t>圆钢</t>
        </is>
      </c>
      <c r="C666" t="inlineStr">
        <is>
          <t>600611600</t>
        </is>
      </c>
      <c r="D666" t="inlineStr">
        <is>
          <t>热轧合金结构圆钢|圆钢|40Cr|Φ180|GB/T 3077-1999|热轧|GB/T 702-2008</t>
        </is>
      </c>
      <c r="E666" t="inlineStr">
        <is>
          <t>物资名称 热轧合金结构圆钢;物资简称 圆钢;牌号 40Cr;直径 Φ180;技术标准号 GB/T 3077-1999;加工工艺 热轧;热处理工艺 ;特殊要求 ;规格标准号 GB/T 702-2008</t>
        </is>
      </c>
      <c r="F666" t="inlineStr">
        <is>
          <t>千克</t>
        </is>
      </c>
    </row>
    <row r="667">
      <c r="A667" t="inlineStr">
        <is>
          <t>100201</t>
        </is>
      </c>
      <c r="B667" t="inlineStr">
        <is>
          <t>圆钢</t>
        </is>
      </c>
      <c r="C667" t="inlineStr">
        <is>
          <t>600611500</t>
        </is>
      </c>
      <c r="D667" t="inlineStr">
        <is>
          <t>热轧合金结构圆钢|圆钢|40Cr|Φ270|GB/T 3077-1999|热轧|GB/T 702-2008</t>
        </is>
      </c>
      <c r="E667" t="inlineStr">
        <is>
          <t>物资名称 热轧合金结构圆钢;物资简称 圆钢;牌号 40Cr;直径 Φ270;技术标准号 GB/T 3077-1999;加工工艺 热轧;热处理工艺 ;特殊要求 ;规格标准号 GB/T 702-2008</t>
        </is>
      </c>
      <c r="F667" t="inlineStr">
        <is>
          <t>千克</t>
        </is>
      </c>
    </row>
    <row r="668">
      <c r="A668" t="inlineStr">
        <is>
          <t>100201</t>
        </is>
      </c>
      <c r="B668" t="inlineStr">
        <is>
          <t>圆钢</t>
        </is>
      </c>
      <c r="C668" t="inlineStr">
        <is>
          <t>600611400</t>
        </is>
      </c>
      <c r="D668" t="inlineStr">
        <is>
          <t>冷拉合金结构圆钢|圆钢|40Cr|GB/T 3078-2008|GB/T 905-1994</t>
        </is>
      </c>
      <c r="E668" t="inlineStr">
        <is>
          <t>物资名称 冷拉合金结构圆钢;物资简称 圆钢;牌号 40Cr;直径 Φ;技术标准号 GB/T 3078-2008;加工工艺 ;热处理工艺 ;特殊要求 ;规格标准号 GB/T 905-1994</t>
        </is>
      </c>
      <c r="F668" t="inlineStr">
        <is>
          <t>千克</t>
        </is>
      </c>
    </row>
    <row r="669">
      <c r="A669" t="inlineStr">
        <is>
          <t>100201</t>
        </is>
      </c>
      <c r="B669" t="inlineStr">
        <is>
          <t>圆钢</t>
        </is>
      </c>
      <c r="C669" t="inlineStr">
        <is>
          <t>600611300</t>
        </is>
      </c>
      <c r="D669" t="inlineStr">
        <is>
          <t>冷拉合金结构圆钢|圆钢|40Cr|Φ14|GB/T 3078-2008|冷拉|GB/T 905-1994</t>
        </is>
      </c>
      <c r="E669" t="inlineStr">
        <is>
          <t>物资名称 冷拉合金结构圆钢;物资简称 圆钢;牌号 40Cr;直径 Φ14;技术标准号 GB/T 3078-2008;加工工艺 冷拉;热处理工艺 ;特殊要求 ;规格标准号 GB/T 905-1994</t>
        </is>
      </c>
      <c r="F669" t="inlineStr">
        <is>
          <t>千克</t>
        </is>
      </c>
    </row>
    <row r="670">
      <c r="A670" t="inlineStr">
        <is>
          <t>100201</t>
        </is>
      </c>
      <c r="B670" t="inlineStr">
        <is>
          <t>圆钢</t>
        </is>
      </c>
      <c r="C670" t="inlineStr">
        <is>
          <t>600611200</t>
        </is>
      </c>
      <c r="D670" t="inlineStr">
        <is>
          <t>优质碳素结构钢棒|钢棒|10|GB/T 699-1999</t>
        </is>
      </c>
      <c r="E670" t="inlineStr">
        <is>
          <t xml:space="preserve">物资名称 优质碳素结构钢棒;物资简称 钢棒;牌号 10;直径 Φ;技术标准号 GB/T 699-1999;加工工艺 ;热处理工艺 ;特殊要求 ;规格标准号 </t>
        </is>
      </c>
      <c r="F670" t="inlineStr">
        <is>
          <t>千克</t>
        </is>
      </c>
    </row>
    <row r="671">
      <c r="A671" t="inlineStr">
        <is>
          <t>100201</t>
        </is>
      </c>
      <c r="B671" t="inlineStr">
        <is>
          <t>圆钢</t>
        </is>
      </c>
      <c r="C671" t="inlineStr">
        <is>
          <t>600611100</t>
        </is>
      </c>
      <c r="D671" t="inlineStr">
        <is>
          <t>热轧优质碳素结构圆钢|圆钢|10|GB/T 699-1999|GB/T 702-2008</t>
        </is>
      </c>
      <c r="E671" t="inlineStr">
        <is>
          <t>物资名称 热轧优质碳素结构圆钢;物资简称 圆钢;牌号 10;直径 Φ;技术标准号 GB/T 699-1999;加工工艺 ;热处理工艺 ;特殊要求 ;规格标准号 GB/T 702-2008</t>
        </is>
      </c>
      <c r="F671" t="inlineStr">
        <is>
          <t>千克</t>
        </is>
      </c>
    </row>
    <row r="672">
      <c r="A672" t="inlineStr">
        <is>
          <t>100201</t>
        </is>
      </c>
      <c r="B672" t="inlineStr">
        <is>
          <t>圆钢</t>
        </is>
      </c>
      <c r="C672" t="inlineStr">
        <is>
          <t>600611000</t>
        </is>
      </c>
      <c r="D672" t="inlineStr">
        <is>
          <t>热轧优质碳素结构圆钢|圆钢|10|Φ20|GB/T 699-1999|热轧|GB/T 702-2008</t>
        </is>
      </c>
      <c r="E672" t="inlineStr">
        <is>
          <t>物资名称 热轧优质碳素结构圆钢;物资简称 圆钢;牌号 10;直径 Φ20;技术标准号 GB/T 699-1999;加工工艺 热轧;热处理工艺 ;特殊要求 ;规格标准号 GB/T 702-2008</t>
        </is>
      </c>
      <c r="F672" t="inlineStr">
        <is>
          <t>千克</t>
        </is>
      </c>
    </row>
    <row r="673">
      <c r="A673" t="inlineStr">
        <is>
          <t>100201</t>
        </is>
      </c>
      <c r="B673" t="inlineStr">
        <is>
          <t>圆钢</t>
        </is>
      </c>
      <c r="C673" t="inlineStr">
        <is>
          <t>600610900</t>
        </is>
      </c>
      <c r="D673" t="inlineStr">
        <is>
          <t>优质碳素结构钢棒|钢棒|20|GB/T 699-1999</t>
        </is>
      </c>
      <c r="E673" t="inlineStr">
        <is>
          <t xml:space="preserve">物资名称 优质碳素结构钢棒;物资简称 钢棒;牌号 20;直径 Φ;技术标准号 GB/T 699-1999;加工工艺 ;热处理工艺 ;特殊要求 ;规格标准号 </t>
        </is>
      </c>
      <c r="F673" t="inlineStr">
        <is>
          <t>千克</t>
        </is>
      </c>
    </row>
    <row r="674">
      <c r="A674" t="inlineStr">
        <is>
          <t>100201</t>
        </is>
      </c>
      <c r="B674" t="inlineStr">
        <is>
          <t>圆钢</t>
        </is>
      </c>
      <c r="C674" t="inlineStr">
        <is>
          <t>600610800</t>
        </is>
      </c>
      <c r="D674" t="inlineStr">
        <is>
          <t>热轧优质碳素结构圆钢|圆钢|20|GB/T 699-1999|GB/T 702-2008</t>
        </is>
      </c>
      <c r="E674" t="inlineStr">
        <is>
          <t>物资名称 热轧优质碳素结构圆钢;物资简称 圆钢;牌号 20;直径 Φ;技术标准号 GB/T 699-1999;加工工艺 ;热处理工艺 ;特殊要求 ;规格标准号 GB/T 702-2008</t>
        </is>
      </c>
      <c r="F674" t="inlineStr">
        <is>
          <t>千克</t>
        </is>
      </c>
    </row>
    <row r="675">
      <c r="A675" t="inlineStr">
        <is>
          <t>100201</t>
        </is>
      </c>
      <c r="B675" t="inlineStr">
        <is>
          <t>圆钢</t>
        </is>
      </c>
      <c r="C675" t="inlineStr">
        <is>
          <t>600610700</t>
        </is>
      </c>
      <c r="D675" t="inlineStr">
        <is>
          <t>热轧优质碳素结构圆钢|圆钢|20|Φ6|GB/T 699-1999|热轧|GB/T 702-2008</t>
        </is>
      </c>
      <c r="E675" t="inlineStr">
        <is>
          <t>物资名称 热轧优质碳素结构圆钢;物资简称 圆钢;牌号 20;直径 Φ6;技术标准号 GB/T 699-1999;加工工艺 热轧;热处理工艺 ;特殊要求 ;规格标准号 GB/T 702-2008</t>
        </is>
      </c>
      <c r="F675" t="inlineStr">
        <is>
          <t>千克</t>
        </is>
      </c>
    </row>
    <row r="676">
      <c r="A676" t="inlineStr">
        <is>
          <t>100201</t>
        </is>
      </c>
      <c r="B676" t="inlineStr">
        <is>
          <t>圆钢</t>
        </is>
      </c>
      <c r="C676" t="inlineStr">
        <is>
          <t>600610600</t>
        </is>
      </c>
      <c r="D676" t="inlineStr">
        <is>
          <t>热轧优质碳素结构圆钢|圆钢|20|Φ18|GB/T 699-1999|热轧|GB/T 702-2008</t>
        </is>
      </c>
      <c r="E676" t="inlineStr">
        <is>
          <t>物资名称 热轧优质碳素结构圆钢;物资简称 圆钢;牌号 20;直径 Φ18;技术标准号 GB/T 699-1999;加工工艺 热轧;热处理工艺 ;特殊要求 ;规格标准号 GB/T 702-2008</t>
        </is>
      </c>
      <c r="F676" t="inlineStr">
        <is>
          <t>千克</t>
        </is>
      </c>
    </row>
    <row r="677">
      <c r="A677" t="inlineStr">
        <is>
          <t>100201</t>
        </is>
      </c>
      <c r="B677" t="inlineStr">
        <is>
          <t>圆钢</t>
        </is>
      </c>
      <c r="C677" t="inlineStr">
        <is>
          <t>600610500</t>
        </is>
      </c>
      <c r="D677" t="inlineStr">
        <is>
          <t>热轧优质碳素结构圆钢|圆钢|20|Φ20|GB/T 699-1999|热轧|GB/T 702-2008</t>
        </is>
      </c>
      <c r="E677" t="inlineStr">
        <is>
          <t>物资名称 热轧优质碳素结构圆钢;物资简称 圆钢;牌号 20;直径 Φ20;技术标准号 GB/T 699-1999;加工工艺 热轧;热处理工艺 ;特殊要求 ;规格标准号 GB/T 702-2008</t>
        </is>
      </c>
      <c r="F677" t="inlineStr">
        <is>
          <t>千克</t>
        </is>
      </c>
    </row>
    <row r="678">
      <c r="A678" t="inlineStr">
        <is>
          <t>100201</t>
        </is>
      </c>
      <c r="B678" t="inlineStr">
        <is>
          <t>圆钢</t>
        </is>
      </c>
      <c r="C678" t="inlineStr">
        <is>
          <t>600610400</t>
        </is>
      </c>
      <c r="D678" t="inlineStr">
        <is>
          <t>热轧优质碳素结构圆钢|圆钢|20|Φ26|GB/T 699-1999|热轧|GB/T 702-2008</t>
        </is>
      </c>
      <c r="E678" t="inlineStr">
        <is>
          <t>物资名称 热轧优质碳素结构圆钢;物资简称 圆钢;牌号 20;直径 Φ26;技术标准号 GB/T 699-1999;加工工艺 热轧;热处理工艺 ;特殊要求 ;规格标准号 GB/T 702-2008</t>
        </is>
      </c>
      <c r="F678" t="inlineStr">
        <is>
          <t>千克</t>
        </is>
      </c>
    </row>
    <row r="679">
      <c r="A679" t="inlineStr">
        <is>
          <t>100201</t>
        </is>
      </c>
      <c r="B679" t="inlineStr">
        <is>
          <t>圆钢</t>
        </is>
      </c>
      <c r="C679" t="inlineStr">
        <is>
          <t>600610300</t>
        </is>
      </c>
      <c r="D679" t="inlineStr">
        <is>
          <t>热轧优质碳素结构圆钢|圆钢|20|Φ35|GB/T 699-1999|热轧|GB/T 702-2008</t>
        </is>
      </c>
      <c r="E679" t="inlineStr">
        <is>
          <t>物资名称 热轧优质碳素结构圆钢;物资简称 圆钢;牌号 20;直径 Φ35;技术标准号 GB/T 699-1999;加工工艺 热轧;热处理工艺 ;特殊要求 ;规格标准号 GB/T 702-2008</t>
        </is>
      </c>
      <c r="F679" t="inlineStr">
        <is>
          <t>千克</t>
        </is>
      </c>
    </row>
    <row r="680">
      <c r="A680" t="inlineStr">
        <is>
          <t>100201</t>
        </is>
      </c>
      <c r="B680" t="inlineStr">
        <is>
          <t>圆钢</t>
        </is>
      </c>
      <c r="C680" t="inlineStr">
        <is>
          <t>600610200</t>
        </is>
      </c>
      <c r="D680" t="inlineStr">
        <is>
          <t>热轧优质碳素结构圆钢|圆钢|20|Φ65|GB/T 699-1999|热轧|GB/T 702-2008</t>
        </is>
      </c>
      <c r="E680" t="inlineStr">
        <is>
          <t>物资名称 热轧优质碳素结构圆钢;物资简称 圆钢;牌号 20;直径 Φ65;技术标准号 GB/T 699-1999;加工工艺 热轧;热处理工艺 ;特殊要求 ;规格标准号 GB/T 702-2008</t>
        </is>
      </c>
      <c r="F680" t="inlineStr">
        <is>
          <t>千克</t>
        </is>
      </c>
    </row>
    <row r="681">
      <c r="A681" t="inlineStr">
        <is>
          <t>100201</t>
        </is>
      </c>
      <c r="B681" t="inlineStr">
        <is>
          <t>圆钢</t>
        </is>
      </c>
      <c r="C681" t="inlineStr">
        <is>
          <t>600610100</t>
        </is>
      </c>
      <c r="D681" t="inlineStr">
        <is>
          <t>热轧优质碳素结构圆钢|圆钢|20|Φ80|GB/T 699-1999|热轧|GB/T 702-2008</t>
        </is>
      </c>
      <c r="E681" t="inlineStr">
        <is>
          <t>物资名称 热轧优质碳素结构圆钢;物资简称 圆钢;牌号 20;直径 Φ80;技术标准号 GB/T 699-1999;加工工艺 热轧;热处理工艺 ;特殊要求 ;规格标准号 GB/T 702-2008</t>
        </is>
      </c>
      <c r="F681" t="inlineStr">
        <is>
          <t>千克</t>
        </is>
      </c>
    </row>
    <row r="682">
      <c r="A682" t="inlineStr">
        <is>
          <t>100201</t>
        </is>
      </c>
      <c r="B682" t="inlineStr">
        <is>
          <t>圆钢</t>
        </is>
      </c>
      <c r="C682" t="inlineStr">
        <is>
          <t>600610000</t>
        </is>
      </c>
      <c r="D682" t="inlineStr">
        <is>
          <t>热轧优质碳素结构圆钢|圆钢|20|Φ85|GB/T 699-1999|热轧|GB/T 702-2008</t>
        </is>
      </c>
      <c r="E682" t="inlineStr">
        <is>
          <t>物资名称 热轧优质碳素结构圆钢;物资简称 圆钢;牌号 20;直径 Φ85;技术标准号 GB/T 699-1999;加工工艺 热轧;热处理工艺 ;特殊要求 ;规格标准号 GB/T 702-2008</t>
        </is>
      </c>
      <c r="F682" t="inlineStr">
        <is>
          <t>千克</t>
        </is>
      </c>
    </row>
    <row r="683">
      <c r="A683" t="inlineStr">
        <is>
          <t>100201</t>
        </is>
      </c>
      <c r="B683" t="inlineStr">
        <is>
          <t>圆钢</t>
        </is>
      </c>
      <c r="C683" t="inlineStr">
        <is>
          <t>600609900</t>
        </is>
      </c>
      <c r="D683" t="inlineStr">
        <is>
          <t>冷拉优质碳素结构圆钢|圆钢|45|GB/T 3078-2008|GB/T 905-1994</t>
        </is>
      </c>
      <c r="E683" t="inlineStr">
        <is>
          <t>物资名称 冷拉优质碳素结构圆钢;物资简称 圆钢;牌号 45;直径 Φ;技术标准号 GB/T 3078-2008;加工工艺 ;热处理工艺 ;特殊要求 ;规格标准号 GB/T 905-1994</t>
        </is>
      </c>
      <c r="F683" t="inlineStr">
        <is>
          <t>千克</t>
        </is>
      </c>
    </row>
    <row r="684">
      <c r="A684" t="inlineStr">
        <is>
          <t>100201</t>
        </is>
      </c>
      <c r="B684" t="inlineStr">
        <is>
          <t>圆钢</t>
        </is>
      </c>
      <c r="C684" t="inlineStr">
        <is>
          <t>600609800</t>
        </is>
      </c>
      <c r="D684" t="inlineStr">
        <is>
          <t>冷拉优质碳素结构圆钢|圆钢|45|Φ12|GB/T 3078-2008|冷拉|GB/T 905-1994</t>
        </is>
      </c>
      <c r="E684" t="inlineStr">
        <is>
          <t>物资名称 冷拉优质碳素结构圆钢;物资简称 圆钢;牌号 45;直径 Φ12;技术标准号 GB/T 3078-2008;加工工艺 冷拉;热处理工艺 ;特殊要求 ;规格标准号 GB/T 905-1994</t>
        </is>
      </c>
      <c r="F684" t="inlineStr">
        <is>
          <t>千克</t>
        </is>
      </c>
    </row>
    <row r="685">
      <c r="A685" t="inlineStr">
        <is>
          <t>100201</t>
        </is>
      </c>
      <c r="B685" t="inlineStr">
        <is>
          <t>圆钢</t>
        </is>
      </c>
      <c r="C685" t="inlineStr">
        <is>
          <t>600609700</t>
        </is>
      </c>
      <c r="D685" t="inlineStr">
        <is>
          <t>冷拉优质碳素结构圆钢|圆钢|45|Φ13|GB/T 3078-2008|冷拉|GB/T 905-1994</t>
        </is>
      </c>
      <c r="E685" t="inlineStr">
        <is>
          <t>物资名称 冷拉优质碳素结构圆钢;物资简称 圆钢;牌号 45;直径 Φ13;技术标准号 GB/T 3078-2008;加工工艺 冷拉;热处理工艺 ;特殊要求 ;规格标准号 GB/T 905-1994</t>
        </is>
      </c>
      <c r="F685" t="inlineStr">
        <is>
          <t>千克</t>
        </is>
      </c>
    </row>
    <row r="686">
      <c r="A686" t="inlineStr">
        <is>
          <t>100201</t>
        </is>
      </c>
      <c r="B686" t="inlineStr">
        <is>
          <t>圆钢</t>
        </is>
      </c>
      <c r="C686" t="inlineStr">
        <is>
          <t>600609600</t>
        </is>
      </c>
      <c r="D686" t="inlineStr">
        <is>
          <t>冷拉优质碳素结构圆钢|圆钢|45|Φ16|GB/T 3078-2008|冷拉|GB/T 905-1994</t>
        </is>
      </c>
      <c r="E686" t="inlineStr">
        <is>
          <t>物资名称 冷拉优质碳素结构圆钢;物资简称 圆钢;牌号 45;直径 Φ16;技术标准号 GB/T 3078-2008;加工工艺 冷拉;热处理工艺 ;特殊要求 ;规格标准号 GB/T 905-1994</t>
        </is>
      </c>
      <c r="F686" t="inlineStr">
        <is>
          <t>千克</t>
        </is>
      </c>
    </row>
    <row r="687">
      <c r="A687" t="inlineStr">
        <is>
          <t>100201</t>
        </is>
      </c>
      <c r="B687" t="inlineStr">
        <is>
          <t>圆钢</t>
        </is>
      </c>
      <c r="C687" t="inlineStr">
        <is>
          <t>600609500</t>
        </is>
      </c>
      <c r="D687" t="inlineStr">
        <is>
          <t>冷拉优质碳素结构圆钢|圆钢|45|Φ20|GB/T 3078-2008|冷拉|GB/T 905-1994</t>
        </is>
      </c>
      <c r="E687" t="inlineStr">
        <is>
          <t>物资名称 冷拉优质碳素结构圆钢;物资简称 圆钢;牌号 45;直径 Φ20;技术标准号 GB/T 3078-2008;加工工艺 冷拉;热处理工艺 ;特殊要求 ;规格标准号 GB/T 905-1994</t>
        </is>
      </c>
      <c r="F687" t="inlineStr">
        <is>
          <t>千克</t>
        </is>
      </c>
    </row>
    <row r="688">
      <c r="A688" t="inlineStr">
        <is>
          <t>100201</t>
        </is>
      </c>
      <c r="B688" t="inlineStr">
        <is>
          <t>圆钢</t>
        </is>
      </c>
      <c r="C688" t="inlineStr">
        <is>
          <t>600609400</t>
        </is>
      </c>
      <c r="D688" t="inlineStr">
        <is>
          <t>冷拉优质碳素结构圆钢|圆钢|45|Φ26|GB/T 3078-2008|冷拉|GB/T 905-1994</t>
        </is>
      </c>
      <c r="E688" t="inlineStr">
        <is>
          <t>物资名称 冷拉优质碳素结构圆钢;物资简称 圆钢;牌号 45;直径 Φ26;技术标准号 GB/T 3078-2008;加工工艺 冷拉;热处理工艺 ;特殊要求 ;规格标准号 GB/T 905-1994</t>
        </is>
      </c>
      <c r="F688" t="inlineStr">
        <is>
          <t>千克</t>
        </is>
      </c>
    </row>
    <row r="689">
      <c r="A689" t="inlineStr">
        <is>
          <t>100201</t>
        </is>
      </c>
      <c r="B689" t="inlineStr">
        <is>
          <t>圆钢</t>
        </is>
      </c>
      <c r="C689" t="inlineStr">
        <is>
          <t>600609300</t>
        </is>
      </c>
      <c r="D689" t="inlineStr">
        <is>
          <t>优质碳素结构钢棒|钢棒|45|GB/T 699-1999</t>
        </is>
      </c>
      <c r="E689" t="inlineStr">
        <is>
          <t xml:space="preserve">物资名称 优质碳素结构钢棒;物资简称 钢棒;牌号 45;直径 Φ;技术标准号 GB/T 699-1999;加工工艺 ;热处理工艺 ;特殊要求 ;规格标准号 </t>
        </is>
      </c>
      <c r="F689" t="inlineStr">
        <is>
          <t>千克</t>
        </is>
      </c>
    </row>
    <row r="690">
      <c r="A690" t="inlineStr">
        <is>
          <t>100201</t>
        </is>
      </c>
      <c r="B690" t="inlineStr">
        <is>
          <t>圆钢</t>
        </is>
      </c>
      <c r="C690" t="inlineStr">
        <is>
          <t>600609200</t>
        </is>
      </c>
      <c r="D690" t="inlineStr">
        <is>
          <t>热轧优质碳素结构圆钢|圆钢|45|Φ8|GB/T 699-1999|热轧|GB/T 702-2008</t>
        </is>
      </c>
      <c r="E690" t="inlineStr">
        <is>
          <t>物资名称 热轧优质碳素结构圆钢;物资简称 圆钢;牌号 45;直径 Φ8;技术标准号 GB/T 699-1999;加工工艺 热轧;热处理工艺 ;特殊要求 ;规格标准号 GB/T 702-2008</t>
        </is>
      </c>
      <c r="F690" t="inlineStr">
        <is>
          <t>千克</t>
        </is>
      </c>
    </row>
    <row r="691">
      <c r="A691" t="inlineStr">
        <is>
          <t>100201</t>
        </is>
      </c>
      <c r="B691" t="inlineStr">
        <is>
          <t>圆钢</t>
        </is>
      </c>
      <c r="C691" t="inlineStr">
        <is>
          <t>600609100</t>
        </is>
      </c>
      <c r="D691" t="inlineStr">
        <is>
          <t>热轧优质碳素结构圆钢|圆钢|45|Φ10|GB/T 699-1999|热轧|GB/T 702-2008</t>
        </is>
      </c>
      <c r="E691" t="inlineStr">
        <is>
          <t>物资名称 热轧优质碳素结构圆钢;物资简称 圆钢;牌号 45;直径 Φ10;技术标准号 GB/T 699-1999;加工工艺 热轧;热处理工艺 ;特殊要求 ;规格标准号 GB/T 702-2008</t>
        </is>
      </c>
      <c r="F691" t="inlineStr">
        <is>
          <t>千克</t>
        </is>
      </c>
    </row>
    <row r="692">
      <c r="A692" t="inlineStr">
        <is>
          <t>100201</t>
        </is>
      </c>
      <c r="B692" t="inlineStr">
        <is>
          <t>圆钢</t>
        </is>
      </c>
      <c r="C692" t="inlineStr">
        <is>
          <t>600609000</t>
        </is>
      </c>
      <c r="D692" t="inlineStr">
        <is>
          <t>热轧优质碳素结构圆钢|圆钢|45|Φ12|GB/T 699-1999|热轧|GB/T 702-2008</t>
        </is>
      </c>
      <c r="E692" t="inlineStr">
        <is>
          <t>物资名称 热轧优质碳素结构圆钢;物资简称 圆钢;牌号 45;直径 Φ12;技术标准号 GB/T 699-1999;加工工艺 热轧;热处理工艺 ;特殊要求 ;规格标准号 GB/T 702-2008</t>
        </is>
      </c>
      <c r="F692" t="inlineStr">
        <is>
          <t>千克</t>
        </is>
      </c>
    </row>
    <row r="693">
      <c r="A693" t="inlineStr">
        <is>
          <t>100201</t>
        </is>
      </c>
      <c r="B693" t="inlineStr">
        <is>
          <t>圆钢</t>
        </is>
      </c>
      <c r="C693" t="inlineStr">
        <is>
          <t>600608900</t>
        </is>
      </c>
      <c r="D693" t="inlineStr">
        <is>
          <t>热轧优质碳素结构圆钢|圆钢|45|Φ15|GB/T 699-1999|热轧|GB/T 702-2008</t>
        </is>
      </c>
      <c r="E693" t="inlineStr">
        <is>
          <t>物资名称 热轧优质碳素结构圆钢;物资简称 圆钢;牌号 45;直径 Φ15;技术标准号 GB/T 699-1999;加工工艺 热轧;热处理工艺 ;特殊要求 ;规格标准号 GB/T 702-2008</t>
        </is>
      </c>
      <c r="F693" t="inlineStr">
        <is>
          <t>千克</t>
        </is>
      </c>
    </row>
    <row r="694">
      <c r="A694" t="inlineStr">
        <is>
          <t>100201</t>
        </is>
      </c>
      <c r="B694" t="inlineStr">
        <is>
          <t>圆钢</t>
        </is>
      </c>
      <c r="C694" t="inlineStr">
        <is>
          <t>600608800</t>
        </is>
      </c>
      <c r="D694" t="inlineStr">
        <is>
          <t>热轧优质碳素结构圆钢|圆钢|45|Φ16|GB/T 699-1999|热轧|GB/T 702-2008</t>
        </is>
      </c>
      <c r="E694" t="inlineStr">
        <is>
          <t>物资名称 热轧优质碳素结构圆钢;物资简称 圆钢;牌号 45;直径 Φ16;技术标准号 GB/T 699-1999;加工工艺 热轧;热处理工艺 ;特殊要求 ;规格标准号 GB/T 702-2008</t>
        </is>
      </c>
      <c r="F694" t="inlineStr">
        <is>
          <t>千克</t>
        </is>
      </c>
    </row>
    <row r="695">
      <c r="A695" t="inlineStr">
        <is>
          <t>100201</t>
        </is>
      </c>
      <c r="B695" t="inlineStr">
        <is>
          <t>圆钢</t>
        </is>
      </c>
      <c r="C695" t="inlineStr">
        <is>
          <t>600608700</t>
        </is>
      </c>
      <c r="D695" t="inlineStr">
        <is>
          <t>热轧优质碳素结构圆钢|圆钢|45|Φ18|GB/T 699-1999|热轧|GB/T 702-2008</t>
        </is>
      </c>
      <c r="E695" t="inlineStr">
        <is>
          <t>物资名称 热轧优质碳素结构圆钢;物资简称 圆钢;牌号 45;直径 Φ18;技术标准号 GB/T 699-1999;加工工艺 热轧;热处理工艺 ;特殊要求 ;规格标准号 GB/T 702-2008</t>
        </is>
      </c>
      <c r="F695" t="inlineStr">
        <is>
          <t>千克</t>
        </is>
      </c>
    </row>
    <row r="696">
      <c r="A696" t="inlineStr">
        <is>
          <t>100201</t>
        </is>
      </c>
      <c r="B696" t="inlineStr">
        <is>
          <t>圆钢</t>
        </is>
      </c>
      <c r="C696" t="inlineStr">
        <is>
          <t>600608600</t>
        </is>
      </c>
      <c r="D696" t="inlineStr">
        <is>
          <t>热轧优质碳素结构圆钢|圆钢|45|Φ20|GB/T 699-1999|热轧|GB/T 702-2008</t>
        </is>
      </c>
      <c r="E696" t="inlineStr">
        <is>
          <t>物资名称 热轧优质碳素结构圆钢;物资简称 圆钢;牌号 45;直径 Φ20;技术标准号 GB/T 699-1999;加工工艺 热轧;热处理工艺 ;特殊要求 ;规格标准号 GB/T 702-2008</t>
        </is>
      </c>
      <c r="F696" t="inlineStr">
        <is>
          <t>千克</t>
        </is>
      </c>
    </row>
    <row r="697">
      <c r="A697" t="inlineStr">
        <is>
          <t>100201</t>
        </is>
      </c>
      <c r="B697" t="inlineStr">
        <is>
          <t>圆钢</t>
        </is>
      </c>
      <c r="C697" t="inlineStr">
        <is>
          <t>600608500</t>
        </is>
      </c>
      <c r="D697" t="inlineStr">
        <is>
          <t>热轧优质碳素结构圆钢|圆钢|45|Φ22|GB/T 699-1999|热轧|GB/T 702-2008</t>
        </is>
      </c>
      <c r="E697" t="inlineStr">
        <is>
          <t>物资名称 热轧优质碳素结构圆钢;物资简称 圆钢;牌号 45;直径 Φ22;技术标准号 GB/T 699-1999;加工工艺 热轧;热处理工艺 ;特殊要求 ;规格标准号 GB/T 702-2008</t>
        </is>
      </c>
      <c r="F697" t="inlineStr">
        <is>
          <t>千克</t>
        </is>
      </c>
    </row>
    <row r="698">
      <c r="A698" t="inlineStr">
        <is>
          <t>100201</t>
        </is>
      </c>
      <c r="B698" t="inlineStr">
        <is>
          <t>圆钢</t>
        </is>
      </c>
      <c r="C698" t="inlineStr">
        <is>
          <t>600608400</t>
        </is>
      </c>
      <c r="D698" t="inlineStr">
        <is>
          <t>热轧优质碳素结构圆钢|圆钢|45|Φ30|GB/T 699-1999|热轧|GB/T 702-2008</t>
        </is>
      </c>
      <c r="E698" t="inlineStr">
        <is>
          <t>物资名称 热轧优质碳素结构圆钢;物资简称 圆钢;牌号 45;直径 Φ30;技术标准号 GB/T 699-1999;加工工艺 热轧;热处理工艺 ;特殊要求 ;规格标准号 GB/T 702-2008</t>
        </is>
      </c>
      <c r="F698" t="inlineStr">
        <is>
          <t>千克</t>
        </is>
      </c>
    </row>
    <row r="699">
      <c r="A699" t="inlineStr">
        <is>
          <t>100201</t>
        </is>
      </c>
      <c r="B699" t="inlineStr">
        <is>
          <t>圆钢</t>
        </is>
      </c>
      <c r="C699" t="inlineStr">
        <is>
          <t>600608300</t>
        </is>
      </c>
      <c r="D699" t="inlineStr">
        <is>
          <t>热轧优质碳素结构圆钢|圆钢|45|Φ35|GB/T 699-1999|热轧|GB/T 702-2008</t>
        </is>
      </c>
      <c r="E699" t="inlineStr">
        <is>
          <t>物资名称 热轧优质碳素结构圆钢;物资简称 圆钢;牌号 45;直径 Φ35;技术标准号 GB/T 699-1999;加工工艺 热轧;热处理工艺 ;特殊要求 ;规格标准号 GB/T 702-2008</t>
        </is>
      </c>
      <c r="F699" t="inlineStr">
        <is>
          <t>千克</t>
        </is>
      </c>
    </row>
    <row r="700">
      <c r="A700" t="inlineStr">
        <is>
          <t>100201</t>
        </is>
      </c>
      <c r="B700" t="inlineStr">
        <is>
          <t>圆钢</t>
        </is>
      </c>
      <c r="C700" t="inlineStr">
        <is>
          <t>600608200</t>
        </is>
      </c>
      <c r="D700" t="inlineStr">
        <is>
          <t>热轧优质碳素结构圆钢|圆钢|45|Φ40|GB/T 699-1999|热轧|GB/T 702-2008</t>
        </is>
      </c>
      <c r="E700" t="inlineStr">
        <is>
          <t>物资名称 热轧优质碳素结构圆钢;物资简称 圆钢;牌号 45;直径 Φ40;技术标准号 GB/T 699-1999;加工工艺 热轧;热处理工艺 ;特殊要求 ;规格标准号 GB/T 702-2008</t>
        </is>
      </c>
      <c r="F700" t="inlineStr">
        <is>
          <t>千克</t>
        </is>
      </c>
    </row>
    <row r="701">
      <c r="A701" t="inlineStr">
        <is>
          <t>100201</t>
        </is>
      </c>
      <c r="B701" t="inlineStr">
        <is>
          <t>圆钢</t>
        </is>
      </c>
      <c r="C701" t="inlineStr">
        <is>
          <t>600608100</t>
        </is>
      </c>
      <c r="D701" t="inlineStr">
        <is>
          <t>热轧优质碳素结构圆钢|圆钢|45|Φ42|GB/T 699-1999|热轧|GB/T 702-2008</t>
        </is>
      </c>
      <c r="E701" t="inlineStr">
        <is>
          <t>物资名称 热轧优质碳素结构圆钢;物资简称 圆钢;牌号 45;直径 Φ42;技术标准号 GB/T 699-1999;加工工艺 热轧;热处理工艺 ;特殊要求 ;规格标准号 GB/T 702-2008</t>
        </is>
      </c>
      <c r="F701" t="inlineStr">
        <is>
          <t>千克</t>
        </is>
      </c>
    </row>
    <row r="702">
      <c r="A702" t="inlineStr">
        <is>
          <t>100201</t>
        </is>
      </c>
      <c r="B702" t="inlineStr">
        <is>
          <t>圆钢</t>
        </is>
      </c>
      <c r="C702" t="inlineStr">
        <is>
          <t>600608000</t>
        </is>
      </c>
      <c r="D702" t="inlineStr">
        <is>
          <t>热轧优质碳素结构圆钢|圆钢|45|Φ55|GB/T 699-1999|热轧|GB/T 702-2008</t>
        </is>
      </c>
      <c r="E702" t="inlineStr">
        <is>
          <t>物资名称 热轧优质碳素结构圆钢;物资简称 圆钢;牌号 45;直径 Φ55;技术标准号 GB/T 699-1999;加工工艺 热轧;热处理工艺 ;特殊要求 ;规格标准号 GB/T 702-2008</t>
        </is>
      </c>
      <c r="F702" t="inlineStr">
        <is>
          <t>千克</t>
        </is>
      </c>
    </row>
    <row r="703">
      <c r="A703" t="inlineStr">
        <is>
          <t>100201</t>
        </is>
      </c>
      <c r="B703" t="inlineStr">
        <is>
          <t>圆钢</t>
        </is>
      </c>
      <c r="C703" t="inlineStr">
        <is>
          <t>600607900</t>
        </is>
      </c>
      <c r="D703" t="inlineStr">
        <is>
          <t>热轧优质碳素结构圆钢|圆钢|45|Φ80|GB/T 699-1999|热轧|GB/T 702-2008</t>
        </is>
      </c>
      <c r="E703" t="inlineStr">
        <is>
          <t>物资名称 热轧优质碳素结构圆钢;物资简称 圆钢;牌号 45;直径 Φ80;技术标准号 GB/T 699-1999;加工工艺 热轧;热处理工艺 ;特殊要求 ;规格标准号 GB/T 702-2008</t>
        </is>
      </c>
      <c r="F703" t="inlineStr">
        <is>
          <t>千克</t>
        </is>
      </c>
    </row>
    <row r="704">
      <c r="A704" t="inlineStr">
        <is>
          <t>100201</t>
        </is>
      </c>
      <c r="B704" t="inlineStr">
        <is>
          <t>圆钢</t>
        </is>
      </c>
      <c r="C704" t="inlineStr">
        <is>
          <t>600607800</t>
        </is>
      </c>
      <c r="D704" t="inlineStr">
        <is>
          <t>热轧优质碳素结构圆钢|圆钢|45|Φ100|GB/T 699-1999|热轧|GB/T 702-2008</t>
        </is>
      </c>
      <c r="E704" t="inlineStr">
        <is>
          <t>物资名称 热轧优质碳素结构圆钢;物资简称 圆钢;牌号 45;直径 Φ100;技术标准号 GB/T 699-1999;加工工艺 热轧;热处理工艺 ;特殊要求 ;规格标准号 GB/T 702-2008</t>
        </is>
      </c>
      <c r="F704" t="inlineStr">
        <is>
          <t>千克</t>
        </is>
      </c>
    </row>
    <row r="705">
      <c r="A705" t="inlineStr">
        <is>
          <t>100201</t>
        </is>
      </c>
      <c r="B705" t="inlineStr">
        <is>
          <t>圆钢</t>
        </is>
      </c>
      <c r="C705" t="inlineStr">
        <is>
          <t>600607700</t>
        </is>
      </c>
      <c r="D705" t="inlineStr">
        <is>
          <t>热轧优质碳素结构圆钢|圆钢|45|Φ110|GB/T 699-1999|热轧|GB/T 702-2008</t>
        </is>
      </c>
      <c r="E705" t="inlineStr">
        <is>
          <t>物资名称 热轧优质碳素结构圆钢;物资简称 圆钢;牌号 45;直径 Φ110;技术标准号 GB/T 699-1999;加工工艺 热轧;热处理工艺 ;特殊要求 ;规格标准号 GB/T 702-2008</t>
        </is>
      </c>
      <c r="F705" t="inlineStr">
        <is>
          <t>千克</t>
        </is>
      </c>
    </row>
    <row r="706">
      <c r="A706" t="inlineStr">
        <is>
          <t>100201</t>
        </is>
      </c>
      <c r="B706" t="inlineStr">
        <is>
          <t>圆钢</t>
        </is>
      </c>
      <c r="C706" t="inlineStr">
        <is>
          <t>600607600</t>
        </is>
      </c>
      <c r="D706" t="inlineStr">
        <is>
          <t>热轧优质碳素结构圆钢|圆钢|45|Φ140|GB/T 699-1999|热轧|GB/T 702-2008</t>
        </is>
      </c>
      <c r="E706" t="inlineStr">
        <is>
          <t>物资名称 热轧优质碳素结构圆钢;物资简称 圆钢;牌号 45;直径 Φ140;技术标准号 GB/T 699-1999;加工工艺 热轧;热处理工艺 ;特殊要求 ;规格标准号 GB/T 702-2008</t>
        </is>
      </c>
      <c r="F706" t="inlineStr">
        <is>
          <t>千克</t>
        </is>
      </c>
    </row>
    <row r="707">
      <c r="A707" t="inlineStr">
        <is>
          <t>100201</t>
        </is>
      </c>
      <c r="B707" t="inlineStr">
        <is>
          <t>圆钢</t>
        </is>
      </c>
      <c r="C707" t="inlineStr">
        <is>
          <t>600607500</t>
        </is>
      </c>
      <c r="D707" t="inlineStr">
        <is>
          <t>热轧优质碳素结构圆钢|圆钢|45|Φ150|GB/T 699-1999|热轧|GB/T 702-2008</t>
        </is>
      </c>
      <c r="E707" t="inlineStr">
        <is>
          <t>物资名称 热轧优质碳素结构圆钢;物资简称 圆钢;牌号 45;直径 Φ150;技术标准号 GB/T 699-1999;加工工艺 热轧;热处理工艺 ;特殊要求 ;规格标准号 GB/T 702-2008</t>
        </is>
      </c>
      <c r="F707" t="inlineStr">
        <is>
          <t>千克</t>
        </is>
      </c>
    </row>
    <row r="708">
      <c r="A708" t="inlineStr">
        <is>
          <t>100201</t>
        </is>
      </c>
      <c r="B708" t="inlineStr">
        <is>
          <t>圆钢</t>
        </is>
      </c>
      <c r="C708" t="inlineStr">
        <is>
          <t>600607400</t>
        </is>
      </c>
      <c r="D708" t="inlineStr">
        <is>
          <t>热轧优质碳素结构圆钢|圆钢|45|Φ170|GB/T 699-1999|热轧|GB/T 702-2008</t>
        </is>
      </c>
      <c r="E708" t="inlineStr">
        <is>
          <t>物资名称 热轧优质碳素结构圆钢;物资简称 圆钢;牌号 45;直径 Φ170;技术标准号 GB/T 699-1999;加工工艺 热轧;热处理工艺 ;特殊要求 ;规格标准号 GB/T 702-2008</t>
        </is>
      </c>
      <c r="F708" t="inlineStr">
        <is>
          <t>千克</t>
        </is>
      </c>
    </row>
    <row r="709">
      <c r="A709" t="inlineStr">
        <is>
          <t>100201</t>
        </is>
      </c>
      <c r="B709" t="inlineStr">
        <is>
          <t>圆钢</t>
        </is>
      </c>
      <c r="C709" t="inlineStr">
        <is>
          <t>600607300</t>
        </is>
      </c>
      <c r="D709" t="inlineStr">
        <is>
          <t>热轧优质碳素结构圆钢|圆钢|45|Φ210|GB/T 699-1999|热轧|GB/T 702-2008</t>
        </is>
      </c>
      <c r="E709" t="inlineStr">
        <is>
          <t>物资名称 热轧优质碳素结构圆钢;物资简称 圆钢;牌号 45;直径 Φ210;技术标准号 GB/T 699-1999;加工工艺 热轧;热处理工艺 ;特殊要求 ;规格标准号 GB/T 702-2008</t>
        </is>
      </c>
      <c r="F709" t="inlineStr">
        <is>
          <t>千克</t>
        </is>
      </c>
    </row>
    <row r="710">
      <c r="A710" t="inlineStr">
        <is>
          <t>100201</t>
        </is>
      </c>
      <c r="B710" t="inlineStr">
        <is>
          <t>圆钢</t>
        </is>
      </c>
      <c r="C710" t="inlineStr">
        <is>
          <t>600607200</t>
        </is>
      </c>
      <c r="D710" t="inlineStr">
        <is>
          <t>热轧优质碳素结构圆钢|圆钢|45|Φ280|GB/T 699-1999|热轧|GB/T 702-2008</t>
        </is>
      </c>
      <c r="E710" t="inlineStr">
        <is>
          <t>物资名称 热轧优质碳素结构圆钢;物资简称 圆钢;牌号 45;直径 Φ280;技术标准号 GB/T 699-1999;加工工艺 热轧;热处理工艺 ;特殊要求 ;规格标准号 GB/T 702-2008</t>
        </is>
      </c>
      <c r="F710" t="inlineStr">
        <is>
          <t>千克</t>
        </is>
      </c>
    </row>
    <row r="711">
      <c r="A711" t="inlineStr">
        <is>
          <t>100201</t>
        </is>
      </c>
      <c r="B711" t="inlineStr">
        <is>
          <t>圆钢</t>
        </is>
      </c>
      <c r="C711" t="inlineStr">
        <is>
          <t>600607100</t>
        </is>
      </c>
      <c r="D711" t="inlineStr">
        <is>
          <t>热轧易切削结构圆钢|圆钢|Y20|GB/T 8731-2008|GB/T 702-2008</t>
        </is>
      </c>
      <c r="E711" t="inlineStr">
        <is>
          <t>物资名称 热轧易切削结构圆钢;物资简称 圆钢;牌号 Y20;直径 Φ;技术标准号 GB/T 8731-2008;加工工艺 ;热处理工艺 ;特殊要求 ;规格标准号 GB/T 702-2008</t>
        </is>
      </c>
      <c r="F711" t="inlineStr">
        <is>
          <t>千克</t>
        </is>
      </c>
    </row>
    <row r="712">
      <c r="A712" t="inlineStr">
        <is>
          <t>100201</t>
        </is>
      </c>
      <c r="B712" t="inlineStr">
        <is>
          <t>圆钢</t>
        </is>
      </c>
      <c r="C712" t="inlineStr">
        <is>
          <t>600607000</t>
        </is>
      </c>
      <c r="D712" t="inlineStr">
        <is>
          <t>热轧易切削结构圆钢|圆钢|Y20|Φ10|GB/T 8731-2008|热轧|GB/T 702-2008</t>
        </is>
      </c>
      <c r="E712" t="inlineStr">
        <is>
          <t>物资名称 热轧易切削结构圆钢;物资简称 圆钢;牌号 Y20;直径 Φ10;技术标准号 GB/T 8731-2008;加工工艺 热轧;热处理工艺 ;特殊要求 ;规格标准号 GB/T 702-2008</t>
        </is>
      </c>
      <c r="F712" t="inlineStr">
        <is>
          <t>千克</t>
        </is>
      </c>
    </row>
    <row r="713">
      <c r="A713" t="inlineStr">
        <is>
          <t>100201</t>
        </is>
      </c>
      <c r="B713" t="inlineStr">
        <is>
          <t>圆钢</t>
        </is>
      </c>
      <c r="C713" t="inlineStr">
        <is>
          <t>600606900</t>
        </is>
      </c>
      <c r="D713" t="inlineStr">
        <is>
          <t>热轧易切削结构圆钢|圆钢|Y20|Φ18|GB/T 8731-2008|热轧|GB/T 702-2008</t>
        </is>
      </c>
      <c r="E713" t="inlineStr">
        <is>
          <t>物资名称 热轧易切削结构圆钢;物资简称 圆钢;牌号 Y20;直径 Φ18;技术标准号 GB/T 8731-2008;加工工艺 热轧;热处理工艺 ;特殊要求 ;规格标准号 GB/T 702-2008</t>
        </is>
      </c>
      <c r="F713" t="inlineStr">
        <is>
          <t>千克</t>
        </is>
      </c>
    </row>
    <row r="714">
      <c r="A714" t="inlineStr">
        <is>
          <t>100201</t>
        </is>
      </c>
      <c r="B714" t="inlineStr">
        <is>
          <t>圆钢</t>
        </is>
      </c>
      <c r="C714" t="inlineStr">
        <is>
          <t>600606800</t>
        </is>
      </c>
      <c r="D714" t="inlineStr">
        <is>
          <t>航空用不锈钢棒|钢棒|Y2Cr13Ni2|GJB 2294-1995</t>
        </is>
      </c>
      <c r="E714" t="inlineStr">
        <is>
          <t xml:space="preserve">物资名称 航空用不锈钢棒;物资简称 钢棒;牌号 Y2Cr13Ni2;直径 Φ;技术标准号 GJB 2294-1995;加工工艺 ;热处理工艺 ;特殊要求 ;规格标准号 </t>
        </is>
      </c>
      <c r="F714" t="inlineStr">
        <is>
          <t>千克</t>
        </is>
      </c>
    </row>
    <row r="715">
      <c r="A715" t="inlineStr">
        <is>
          <t>100201</t>
        </is>
      </c>
      <c r="B715" t="inlineStr">
        <is>
          <t>圆钢</t>
        </is>
      </c>
      <c r="C715" t="inlineStr">
        <is>
          <t>600606700</t>
        </is>
      </c>
      <c r="D715" t="inlineStr">
        <is>
          <t>热轧航空用不锈圆钢|圆钢|Y2Cr13Ni2|GJB 2294-1995|热轧|GB/T 702-2008</t>
        </is>
      </c>
      <c r="E715" t="inlineStr">
        <is>
          <t>物资名称 热轧航空用不锈圆钢;物资简称 圆钢;牌号 Y2Cr13Ni2;直径 Φ;技术标准号 GJB 2294-1995;加工工艺 热轧;热处理工艺 ;特殊要求 ;规格标准号 GB/T 702-2008</t>
        </is>
      </c>
      <c r="F715" t="inlineStr">
        <is>
          <t>千克</t>
        </is>
      </c>
    </row>
    <row r="716">
      <c r="A716" t="inlineStr">
        <is>
          <t>100201</t>
        </is>
      </c>
      <c r="B716" t="inlineStr">
        <is>
          <t>圆钢</t>
        </is>
      </c>
      <c r="C716" t="inlineStr">
        <is>
          <t>600606600</t>
        </is>
      </c>
      <c r="D716" t="inlineStr">
        <is>
          <t>热轧航空用不锈圆钢|圆钢|Y2Cr13Ni2|Φ10|GJB 2294-1995|热轧|GB/T 702-2008</t>
        </is>
      </c>
      <c r="E716" t="inlineStr">
        <is>
          <t>物资名称 热轧航空用不锈圆钢;物资简称 圆钢;牌号 Y2Cr13Ni2;直径 Φ10;技术标准号 GJB 2294-1995;加工工艺 热轧;热处理工艺 ;特殊要求 ;规格标准号 GB/T 702-2008</t>
        </is>
      </c>
      <c r="F716" t="inlineStr">
        <is>
          <t>千克</t>
        </is>
      </c>
    </row>
    <row r="717">
      <c r="A717" t="inlineStr">
        <is>
          <t>100201</t>
        </is>
      </c>
      <c r="B717" t="inlineStr">
        <is>
          <t>圆钢</t>
        </is>
      </c>
      <c r="C717" t="inlineStr">
        <is>
          <t>600606500</t>
        </is>
      </c>
      <c r="D717" t="inlineStr">
        <is>
          <t>热轧航空用不锈圆钢|圆钢|Y2Cr13Ni2|Φ12|GJB 2294-1995|热轧|退火|GB/T 702-2008</t>
        </is>
      </c>
      <c r="E717" t="inlineStr">
        <is>
          <t>物资名称 热轧航空用不锈圆钢;物资简称 圆钢;牌号 Y2Cr13Ni2;直径 Φ12;技术标准号 GJB 2294-1995;加工工艺 热轧;热处理工艺 退火;特殊要求 ;规格标准号 GB/T 702-2008</t>
        </is>
      </c>
      <c r="F717" t="inlineStr">
        <is>
          <t>千克</t>
        </is>
      </c>
    </row>
    <row r="718">
      <c r="A718" t="inlineStr">
        <is>
          <t>100201</t>
        </is>
      </c>
      <c r="B718" t="inlineStr">
        <is>
          <t>圆钢</t>
        </is>
      </c>
      <c r="C718" t="inlineStr">
        <is>
          <t>600606400</t>
        </is>
      </c>
      <c r="D718" t="inlineStr">
        <is>
          <t>热轧航空用不锈圆钢|圆钢|Y2Cr13Ni2|Φ14|GJB 2294-1995|热轧|退火|GB/T 702-2008</t>
        </is>
      </c>
      <c r="E718" t="inlineStr">
        <is>
          <t>物资名称 热轧航空用不锈圆钢;物资简称 圆钢;牌号 Y2Cr13Ni2;直径 Φ14;技术标准号 GJB 2294-1995;加工工艺 热轧;热处理工艺 退火;特殊要求 ;规格标准号 GB/T 702-2008</t>
        </is>
      </c>
      <c r="F718" t="inlineStr">
        <is>
          <t>千克</t>
        </is>
      </c>
    </row>
    <row r="719">
      <c r="A719" t="inlineStr">
        <is>
          <t>100201</t>
        </is>
      </c>
      <c r="B719" t="inlineStr">
        <is>
          <t>圆钢</t>
        </is>
      </c>
      <c r="C719" t="inlineStr">
        <is>
          <t>600606300</t>
        </is>
      </c>
      <c r="D719" t="inlineStr">
        <is>
          <t>热轧航空用不锈圆钢|圆钢|Y2Cr13Ni2|Φ16|GJB 2294-1995|热轧|GB/T 702-2008</t>
        </is>
      </c>
      <c r="E719" t="inlineStr">
        <is>
          <t>物资名称 热轧航空用不锈圆钢;物资简称 圆钢;牌号 Y2Cr13Ni2;直径 Φ16;技术标准号 GJB 2294-1995;加工工艺 热轧;热处理工艺 ;特殊要求 ;规格标准号 GB/T 702-2008</t>
        </is>
      </c>
      <c r="F719" t="inlineStr">
        <is>
          <t>千克</t>
        </is>
      </c>
    </row>
    <row r="720">
      <c r="A720" t="inlineStr">
        <is>
          <t>100201</t>
        </is>
      </c>
      <c r="B720" t="inlineStr">
        <is>
          <t>圆钢</t>
        </is>
      </c>
      <c r="C720" t="inlineStr">
        <is>
          <t>600606200</t>
        </is>
      </c>
      <c r="D720" t="inlineStr">
        <is>
          <t>热轧航空用不锈圆钢|圆钢|Y2Cr13Ni2|Φ18|GJB 2294-1995|热轧|退火|GB/T 702-2008</t>
        </is>
      </c>
      <c r="E720" t="inlineStr">
        <is>
          <t>物资名称 热轧航空用不锈圆钢;物资简称 圆钢;牌号 Y2Cr13Ni2;直径 Φ18;技术标准号 GJB 2294-1995;加工工艺 热轧;热处理工艺 退火;特殊要求 ;规格标准号 GB/T 702-2008</t>
        </is>
      </c>
      <c r="F720" t="inlineStr">
        <is>
          <t>千克</t>
        </is>
      </c>
    </row>
    <row r="721">
      <c r="A721" t="inlineStr">
        <is>
          <t>100201</t>
        </is>
      </c>
      <c r="B721" t="inlineStr">
        <is>
          <t>圆钢</t>
        </is>
      </c>
      <c r="C721" t="inlineStr">
        <is>
          <t>600606100</t>
        </is>
      </c>
      <c r="D721" t="inlineStr">
        <is>
          <t>热轧航空用不锈圆钢|圆钢|Y2Cr13Ni2|Φ20|GJB 2294-1995|热轧|GB/T 702-2008</t>
        </is>
      </c>
      <c r="E721" t="inlineStr">
        <is>
          <t>物资名称 热轧航空用不锈圆钢;物资简称 圆钢;牌号 Y2Cr13Ni2;直径 Φ20;技术标准号 GJB 2294-1995;加工工艺 热轧;热处理工艺 ;特殊要求 ;规格标准号 GB/T 702-2008</t>
        </is>
      </c>
      <c r="F721" t="inlineStr">
        <is>
          <t>千克</t>
        </is>
      </c>
    </row>
    <row r="722">
      <c r="A722" t="inlineStr">
        <is>
          <t>100201</t>
        </is>
      </c>
      <c r="B722" t="inlineStr">
        <is>
          <t>圆钢</t>
        </is>
      </c>
      <c r="C722" t="inlineStr">
        <is>
          <t>600606000</t>
        </is>
      </c>
      <c r="D722" t="inlineStr">
        <is>
          <t>热轧航空用不锈圆钢|圆钢|Y2Cr13Ni2|Φ22|GJB 2294-1995|热轧|GB/T 702-2008</t>
        </is>
      </c>
      <c r="E722" t="inlineStr">
        <is>
          <t>物资名称 热轧航空用不锈圆钢;物资简称 圆钢;牌号 Y2Cr13Ni2;直径 Φ22;技术标准号 GJB 2294-1995;加工工艺 热轧;热处理工艺 ;特殊要求 ;规格标准号 GB/T 702-2008</t>
        </is>
      </c>
      <c r="F722" t="inlineStr">
        <is>
          <t>千克</t>
        </is>
      </c>
    </row>
    <row r="723">
      <c r="A723" t="inlineStr">
        <is>
          <t>100201</t>
        </is>
      </c>
      <c r="B723" t="inlineStr">
        <is>
          <t>圆钢</t>
        </is>
      </c>
      <c r="C723" t="inlineStr">
        <is>
          <t>600605900</t>
        </is>
      </c>
      <c r="D723" t="inlineStr">
        <is>
          <t>热轧航空用不锈圆钢|圆钢|Y2Cr13Ni2|Φ24|GJB 2294-1995|热轧|GB/T 702-2008</t>
        </is>
      </c>
      <c r="E723" t="inlineStr">
        <is>
          <t>物资名称 热轧航空用不锈圆钢;物资简称 圆钢;牌号 Y2Cr13Ni2;直径 Φ24;技术标准号 GJB 2294-1995;加工工艺 热轧;热处理工艺 ;特殊要求 ;规格标准号 GB/T 702-2008</t>
        </is>
      </c>
      <c r="F723" t="inlineStr">
        <is>
          <t>千克</t>
        </is>
      </c>
    </row>
    <row r="724">
      <c r="A724" t="inlineStr">
        <is>
          <t>100201</t>
        </is>
      </c>
      <c r="B724" t="inlineStr">
        <is>
          <t>圆钢</t>
        </is>
      </c>
      <c r="C724" t="inlineStr">
        <is>
          <t>600605800</t>
        </is>
      </c>
      <c r="D724" t="inlineStr">
        <is>
          <t>热轧航空用不锈圆钢|圆钢|Y2Cr13Ni2|Φ25|GJB 2294-1995|热轧|GB/T 702-2008</t>
        </is>
      </c>
      <c r="E724" t="inlineStr">
        <is>
          <t>物资名称 热轧航空用不锈圆钢;物资简称 圆钢;牌号 Y2Cr13Ni2;直径 Φ25;技术标准号 GJB 2294-1995;加工工艺 热轧;热处理工艺 ;特殊要求 ;规格标准号 GB/T 702-2008</t>
        </is>
      </c>
      <c r="F724" t="inlineStr">
        <is>
          <t>千克</t>
        </is>
      </c>
    </row>
    <row r="725">
      <c r="A725" t="inlineStr">
        <is>
          <t>100201</t>
        </is>
      </c>
      <c r="B725" t="inlineStr">
        <is>
          <t>圆钢</t>
        </is>
      </c>
      <c r="C725" t="inlineStr">
        <is>
          <t>600605700</t>
        </is>
      </c>
      <c r="D725" t="inlineStr">
        <is>
          <t>热轧航空用不锈圆钢|圆钢|Y2Cr13Ni2|Φ28|GJB 2294-1995|热轧|GB/T 702-2008</t>
        </is>
      </c>
      <c r="E725" t="inlineStr">
        <is>
          <t>物资名称 热轧航空用不锈圆钢;物资简称 圆钢;牌号 Y2Cr13Ni2;直径 Φ28;技术标准号 GJB 2294-1995;加工工艺 热轧;热处理工艺 ;特殊要求 ;规格标准号 GB/T 702-2008</t>
        </is>
      </c>
      <c r="F725" t="inlineStr">
        <is>
          <t>千克</t>
        </is>
      </c>
    </row>
    <row r="726">
      <c r="A726" t="inlineStr">
        <is>
          <t>100201</t>
        </is>
      </c>
      <c r="B726" t="inlineStr">
        <is>
          <t>圆钢</t>
        </is>
      </c>
      <c r="C726" t="inlineStr">
        <is>
          <t>600605600</t>
        </is>
      </c>
      <c r="D726" t="inlineStr">
        <is>
          <t>热轧航空用不锈圆钢|圆钢|Y2Cr13Ni2|Φ30|GJB 2294-1995|热轧|GB/T 702-2008</t>
        </is>
      </c>
      <c r="E726" t="inlineStr">
        <is>
          <t>物资名称 热轧航空用不锈圆钢;物资简称 圆钢;牌号 Y2Cr13Ni2;直径 Φ30;技术标准号 GJB 2294-1995;加工工艺 热轧;热处理工艺 ;特殊要求 ;规格标准号 GB/T 702-2008</t>
        </is>
      </c>
      <c r="F726" t="inlineStr">
        <is>
          <t>千克</t>
        </is>
      </c>
    </row>
    <row r="727">
      <c r="A727" t="inlineStr">
        <is>
          <t>100201</t>
        </is>
      </c>
      <c r="B727" t="inlineStr">
        <is>
          <t>圆钢</t>
        </is>
      </c>
      <c r="C727" t="inlineStr">
        <is>
          <t>600605500</t>
        </is>
      </c>
      <c r="D727" t="inlineStr">
        <is>
          <t>热轧航空用不锈圆钢|圆钢|Y2Cr13Ni2|Φ32|GJB 2294-1995|热轧|GB/T 702-2008</t>
        </is>
      </c>
      <c r="E727" t="inlineStr">
        <is>
          <t>物资名称 热轧航空用不锈圆钢;物资简称 圆钢;牌号 Y2Cr13Ni2;直径 Φ32;技术标准号 GJB 2294-1995;加工工艺 热轧;热处理工艺 ;特殊要求 ;规格标准号 GB/T 702-2008</t>
        </is>
      </c>
      <c r="F727" t="inlineStr">
        <is>
          <t>千克</t>
        </is>
      </c>
    </row>
    <row r="728">
      <c r="A728" t="inlineStr">
        <is>
          <t>100201</t>
        </is>
      </c>
      <c r="B728" t="inlineStr">
        <is>
          <t>圆钢</t>
        </is>
      </c>
      <c r="C728" t="inlineStr">
        <is>
          <t>600605400</t>
        </is>
      </c>
      <c r="D728" t="inlineStr">
        <is>
          <t>热轧航空用不锈圆钢|圆钢|Y2Cr13Ni2|Φ35|GJB 2294-1995|热轧|退火|GB/T 702-2008</t>
        </is>
      </c>
      <c r="E728" t="inlineStr">
        <is>
          <t>物资名称 热轧航空用不锈圆钢;物资简称 圆钢;牌号 Y2Cr13Ni2;直径 Φ35;技术标准号 GJB 2294-1995;加工工艺 热轧;热处理工艺 退火;特殊要求 ;规格标准号 GB/T 702-2008</t>
        </is>
      </c>
      <c r="F728" t="inlineStr">
        <is>
          <t>千克</t>
        </is>
      </c>
    </row>
    <row r="729">
      <c r="A729" t="inlineStr">
        <is>
          <t>100201</t>
        </is>
      </c>
      <c r="B729" t="inlineStr">
        <is>
          <t>圆钢</t>
        </is>
      </c>
      <c r="C729" t="inlineStr">
        <is>
          <t>600605300</t>
        </is>
      </c>
      <c r="D729" t="inlineStr">
        <is>
          <t>热轧航空用不锈圆钢|圆钢|Y2Cr13Ni2|Φ42|GJB 2294-1995|热轧|退火|GB/T 702-2008</t>
        </is>
      </c>
      <c r="E729" t="inlineStr">
        <is>
          <t>物资名称 热轧航空用不锈圆钢;物资简称 圆钢;牌号 Y2Cr13Ni2;直径 Φ42;技术标准号 GJB 2294-1995;加工工艺 热轧;热处理工艺 退火;特殊要求 ;规格标准号 GB/T 702-2008</t>
        </is>
      </c>
      <c r="F729" t="inlineStr">
        <is>
          <t>千克</t>
        </is>
      </c>
    </row>
    <row r="730">
      <c r="A730" t="inlineStr">
        <is>
          <t>100201</t>
        </is>
      </c>
      <c r="B730" t="inlineStr">
        <is>
          <t>圆钢</t>
        </is>
      </c>
      <c r="C730" t="inlineStr">
        <is>
          <t>600605200</t>
        </is>
      </c>
      <c r="D730" t="inlineStr">
        <is>
          <t>热轧航空用不锈圆钢|圆钢|Y2Cr13Ni2|Φ42|GJB 2294-1995|热轧|GB/T 702-2008</t>
        </is>
      </c>
      <c r="E730" t="inlineStr">
        <is>
          <t>物资名称 热轧航空用不锈圆钢;物资简称 圆钢;牌号 Y2Cr13Ni2;直径 Φ42;技术标准号 GJB 2294-1995;加工工艺 热轧;热处理工艺 ;特殊要求 ;规格标准号 GB/T 702-2008</t>
        </is>
      </c>
      <c r="F730" t="inlineStr">
        <is>
          <t>千克</t>
        </is>
      </c>
    </row>
    <row r="731">
      <c r="A731" t="inlineStr">
        <is>
          <t>100201</t>
        </is>
      </c>
      <c r="B731" t="inlineStr">
        <is>
          <t>圆钢</t>
        </is>
      </c>
      <c r="C731" t="inlineStr">
        <is>
          <t>600605100</t>
        </is>
      </c>
      <c r="D731" t="inlineStr">
        <is>
          <t>热轧航空用不锈圆钢|圆钢|Y2Cr13Ni2|Φ45|GJB 2294-1995|热轧|GB/T 702-2008</t>
        </is>
      </c>
      <c r="E731" t="inlineStr">
        <is>
          <t>物资名称 热轧航空用不锈圆钢;物资简称 圆钢;牌号 Y2Cr13Ni2;直径 Φ45;技术标准号 GJB 2294-1995;加工工艺 热轧;热处理工艺 ;特殊要求 ;规格标准号 GB/T 702-2008</t>
        </is>
      </c>
      <c r="F731" t="inlineStr">
        <is>
          <t>千克</t>
        </is>
      </c>
    </row>
    <row r="732">
      <c r="A732" t="inlineStr">
        <is>
          <t>100201</t>
        </is>
      </c>
      <c r="B732" t="inlineStr">
        <is>
          <t>圆钢</t>
        </is>
      </c>
      <c r="C732" t="inlineStr">
        <is>
          <t>600605000</t>
        </is>
      </c>
      <c r="D732" t="inlineStr">
        <is>
          <t>热轧航空用不锈圆钢|圆钢|Y2Cr13Ni2|Φ150|GJB 2294-1995|热轧|GB/T 702-2008</t>
        </is>
      </c>
      <c r="E732" t="inlineStr">
        <is>
          <t>物资名称 热轧航空用不锈圆钢;物资简称 圆钢;牌号 Y2Cr13Ni2;直径 Φ150;技术标准号 GJB 2294-1995;加工工艺 热轧;热处理工艺 ;特殊要求 ;规格标准号 GB/T 702-2008</t>
        </is>
      </c>
      <c r="F732" t="inlineStr">
        <is>
          <t>千克</t>
        </is>
      </c>
    </row>
    <row r="733">
      <c r="A733" t="inlineStr">
        <is>
          <t>100201</t>
        </is>
      </c>
      <c r="B733" t="inlineStr">
        <is>
          <t>圆钢</t>
        </is>
      </c>
      <c r="C733" t="inlineStr">
        <is>
          <t>600603200</t>
        </is>
      </c>
      <c r="D733" t="inlineStr">
        <is>
          <t>不锈钢棒|钢棒|Y12Cr18Ni9|GB/T 1220-2007</t>
        </is>
      </c>
      <c r="E733" t="inlineStr">
        <is>
          <t xml:space="preserve">物资名称 不锈钢棒;物资简称 钢棒;牌号 Y12Cr18Ni9;直径 Φ;技术标准号 GB/T 1220-2007;加工工艺 ;热处理工艺 ;特殊要求 ;规格标准号 </t>
        </is>
      </c>
      <c r="F733" t="inlineStr">
        <is>
          <t>千克</t>
        </is>
      </c>
    </row>
    <row r="734">
      <c r="A734" t="inlineStr">
        <is>
          <t>100201</t>
        </is>
      </c>
      <c r="B734" t="inlineStr">
        <is>
          <t>圆钢</t>
        </is>
      </c>
      <c r="C734" t="inlineStr">
        <is>
          <t>600603100</t>
        </is>
      </c>
      <c r="D734" t="inlineStr">
        <is>
          <t>热轧不锈圆钢|圆钢|Y12Cr18Ni9|GB/T 1220-2007|GB/T 702-2008</t>
        </is>
      </c>
      <c r="E734" t="inlineStr">
        <is>
          <t>物资名称 热轧不锈圆钢;物资简称 圆钢;牌号 Y12Cr18Ni9;直径 Φ;技术标准号 GB/T 1220-2007;加工工艺 ;热处理工艺 ;特殊要求 ;规格标准号 GB/T 702-2008</t>
        </is>
      </c>
      <c r="F734" t="inlineStr">
        <is>
          <t>千克</t>
        </is>
      </c>
    </row>
    <row r="735">
      <c r="A735" t="inlineStr">
        <is>
          <t>100201</t>
        </is>
      </c>
      <c r="B735" t="inlineStr">
        <is>
          <t>圆钢</t>
        </is>
      </c>
      <c r="C735" t="inlineStr">
        <is>
          <t>600603000</t>
        </is>
      </c>
      <c r="D735" t="inlineStr">
        <is>
          <t>热轧不锈圆钢|圆钢|Y12Cr18Ni9|Φ50|GB/T 1220-2007|热轧|GB/T 702-2008</t>
        </is>
      </c>
      <c r="E735" t="inlineStr">
        <is>
          <t>物资名称 热轧不锈圆钢;物资简称 圆钢;牌号 Y12Cr18Ni9;直径 Φ50;技术标准号 GB/T 1220-2007;加工工艺 热轧;热处理工艺 ;特殊要求 ;规格标准号 GB/T 702-2008</t>
        </is>
      </c>
      <c r="F735" t="inlineStr">
        <is>
          <t>千克</t>
        </is>
      </c>
    </row>
    <row r="736">
      <c r="A736" t="inlineStr">
        <is>
          <t>100201</t>
        </is>
      </c>
      <c r="B736" t="inlineStr">
        <is>
          <t>圆钢</t>
        </is>
      </c>
      <c r="C736" t="inlineStr">
        <is>
          <t>600602900</t>
        </is>
      </c>
      <c r="D736" t="inlineStr">
        <is>
          <t>热轧不锈圆钢|圆钢|Y12Cr18Ni9|Φ55|GB/T 1220-2007|热轧|GB/T 702-2008</t>
        </is>
      </c>
      <c r="E736" t="inlineStr">
        <is>
          <t>物资名称 热轧不锈圆钢;物资简称 圆钢;牌号 Y12Cr18Ni9;直径 Φ55;技术标准号 GB/T 1220-2007;加工工艺 热轧;热处理工艺 ;特殊要求 ;规格标准号 GB/T 702-2008</t>
        </is>
      </c>
      <c r="F736" t="inlineStr">
        <is>
          <t>千克</t>
        </is>
      </c>
    </row>
    <row r="737">
      <c r="A737" t="inlineStr">
        <is>
          <t>100201</t>
        </is>
      </c>
      <c r="B737" t="inlineStr">
        <is>
          <t>圆钢</t>
        </is>
      </c>
      <c r="C737" t="inlineStr">
        <is>
          <t>600602800</t>
        </is>
      </c>
      <c r="D737" t="inlineStr">
        <is>
          <t>热轧不锈圆钢|圆钢|Y12Cr18Ni9|Φ65|GB/T 1220-2007|热轧|GB/T 702-2008</t>
        </is>
      </c>
      <c r="E737" t="inlineStr">
        <is>
          <t>物资名称 热轧不锈圆钢;物资简称 圆钢;牌号 Y12Cr18Ni9;直径 Φ65;技术标准号 GB/T 1220-2007;加工工艺 热轧;热处理工艺 ;特殊要求 ;规格标准号 GB/T 702-2008</t>
        </is>
      </c>
      <c r="F737" t="inlineStr">
        <is>
          <t>千克</t>
        </is>
      </c>
    </row>
    <row r="738">
      <c r="A738" t="inlineStr">
        <is>
          <t>100201</t>
        </is>
      </c>
      <c r="B738" t="inlineStr">
        <is>
          <t>圆钢</t>
        </is>
      </c>
      <c r="C738" t="inlineStr">
        <is>
          <t>600602700</t>
        </is>
      </c>
      <c r="D738" t="inlineStr">
        <is>
          <t>热轧不锈圆钢|圆钢|Y12Cr18Ni9|Φ85|GB/T 1220-2007|热轧|GB/T 702-2008</t>
        </is>
      </c>
      <c r="E738" t="inlineStr">
        <is>
          <t>物资名称 热轧不锈圆钢;物资简称 圆钢;牌号 Y12Cr18Ni9;直径 Φ85;技术标准号 GB/T 1220-2007;加工工艺 热轧;热处理工艺 ;特殊要求 ;规格标准号 GB/T 702-2008</t>
        </is>
      </c>
      <c r="F738" t="inlineStr">
        <is>
          <t>千克</t>
        </is>
      </c>
    </row>
    <row r="739">
      <c r="A739" t="inlineStr">
        <is>
          <t>100201</t>
        </is>
      </c>
      <c r="B739" t="inlineStr">
        <is>
          <t>圆钢</t>
        </is>
      </c>
      <c r="C739" t="inlineStr">
        <is>
          <t>600602600</t>
        </is>
      </c>
      <c r="D739" t="inlineStr">
        <is>
          <t>热轧不锈圆钢|圆钢|Y12Cr18Ni9|Φ90|GB/T 1220-2007|热轧|GB/T 702-2008</t>
        </is>
      </c>
      <c r="E739" t="inlineStr">
        <is>
          <t>物资名称 热轧不锈圆钢;物资简称 圆钢;牌号 Y12Cr18Ni9;直径 Φ90;技术标准号 GB/T 1220-2007;加工工艺 热轧;热处理工艺 ;特殊要求 ;规格标准号 GB/T 702-2008</t>
        </is>
      </c>
      <c r="F739" t="inlineStr">
        <is>
          <t>千克</t>
        </is>
      </c>
    </row>
    <row r="740">
      <c r="A740" t="inlineStr">
        <is>
          <t>100201</t>
        </is>
      </c>
      <c r="B740" t="inlineStr">
        <is>
          <t>圆钢</t>
        </is>
      </c>
      <c r="C740" t="inlineStr">
        <is>
          <t>600602500</t>
        </is>
      </c>
      <c r="D740" t="inlineStr">
        <is>
          <t>热轧不锈圆钢|圆钢|Y12Cr18Ni9|Φ160|GB/T 1220-2007|热轧|GB/T 702-2008</t>
        </is>
      </c>
      <c r="E740" t="inlineStr">
        <is>
          <t>物资名称 热轧不锈圆钢;物资简称 圆钢;牌号 Y12Cr18Ni9;直径 Φ160;技术标准号 GB/T 1220-2007;加工工艺 热轧;热处理工艺 ;特殊要求 ;规格标准号 GB/T 702-2008</t>
        </is>
      </c>
      <c r="F740" t="inlineStr">
        <is>
          <t>千克</t>
        </is>
      </c>
    </row>
    <row r="741">
      <c r="A741" t="inlineStr">
        <is>
          <t>100201</t>
        </is>
      </c>
      <c r="B741" t="inlineStr">
        <is>
          <t>圆钢</t>
        </is>
      </c>
      <c r="C741" t="inlineStr">
        <is>
          <t>600602400</t>
        </is>
      </c>
      <c r="D741" t="inlineStr">
        <is>
          <t>合金结构钢棒|钢棒|12CrNi2|GB/T 3077-1999</t>
        </is>
      </c>
      <c r="E741" t="inlineStr">
        <is>
          <t xml:space="preserve">物资名称 合金结构钢棒;物资简称 钢棒;牌号 12CrNi2;直径 Φ;技术标准号 GB/T 3077-1999;加工工艺 ;热处理工艺 ;特殊要求 ;规格标准号 </t>
        </is>
      </c>
      <c r="F741" t="inlineStr">
        <is>
          <t>千克</t>
        </is>
      </c>
    </row>
    <row r="742">
      <c r="A742" t="inlineStr">
        <is>
          <t>100201</t>
        </is>
      </c>
      <c r="B742" t="inlineStr">
        <is>
          <t>圆钢</t>
        </is>
      </c>
      <c r="C742" t="inlineStr">
        <is>
          <t>600602300</t>
        </is>
      </c>
      <c r="D742" t="inlineStr">
        <is>
          <t>热轧低膨胀铁镍合金圆钢|圆钢|4J36|YB/T 5241-2005|GB/T 14985-2007</t>
        </is>
      </c>
      <c r="E742" t="inlineStr">
        <is>
          <t>物资名称 热轧低膨胀铁镍合金圆钢;物资简称 圆钢;牌号 4J36;直径 Φ;技术标准号 YB/T 5241-2005;加工工艺 ;热处理工艺 ;特殊要求 ;规格标准号 GB/T 14985-2007</t>
        </is>
      </c>
      <c r="F742" t="inlineStr">
        <is>
          <t>千克</t>
        </is>
      </c>
    </row>
    <row r="743">
      <c r="A743" t="inlineStr">
        <is>
          <t>100201</t>
        </is>
      </c>
      <c r="B743" t="inlineStr">
        <is>
          <t>圆钢</t>
        </is>
      </c>
      <c r="C743" t="inlineStr">
        <is>
          <t>600602200</t>
        </is>
      </c>
      <c r="D743" t="inlineStr">
        <is>
          <t>热轧低膨胀铁镍合金圆钢|圆钢|4J36|Φ140|YB/T 5241-2005|热轧|GB/T 14985-2007</t>
        </is>
      </c>
      <c r="E743" t="inlineStr">
        <is>
          <t>物资名称 热轧低膨胀铁镍合金圆钢;物资简称 圆钢;牌号 4J36;直径 Φ140;技术标准号 YB/T 5241-2005;加工工艺 热轧;热处理工艺 ;特殊要求 ;规格标准号 GB/T 14985-2007</t>
        </is>
      </c>
      <c r="F743" t="inlineStr">
        <is>
          <t>千克</t>
        </is>
      </c>
    </row>
    <row r="744">
      <c r="A744" t="inlineStr">
        <is>
          <t>100201</t>
        </is>
      </c>
      <c r="B744" t="inlineStr">
        <is>
          <t>圆钢</t>
        </is>
      </c>
      <c r="C744" t="inlineStr">
        <is>
          <t>600602100</t>
        </is>
      </c>
      <c r="D744" t="inlineStr">
        <is>
          <t>热轧低膨胀铁镍合金圆钢|圆钢|4J36|Φ185|YB/T 5241-2005|热轧|GB/T 14985-2007</t>
        </is>
      </c>
      <c r="E744" t="inlineStr">
        <is>
          <t>物资名称 热轧低膨胀铁镍合金圆钢;物资简称 圆钢;牌号 4J36;直径 Φ185;技术标准号 YB/T 5241-2005;加工工艺 热轧;热处理工艺 ;特殊要求 ;规格标准号 GB/T 14985-2007</t>
        </is>
      </c>
      <c r="F744" t="inlineStr">
        <is>
          <t>千克</t>
        </is>
      </c>
    </row>
    <row r="745">
      <c r="A745" t="inlineStr">
        <is>
          <t>100201</t>
        </is>
      </c>
      <c r="B745" t="inlineStr">
        <is>
          <t>圆钢</t>
        </is>
      </c>
      <c r="C745" t="inlineStr">
        <is>
          <t>600602000</t>
        </is>
      </c>
      <c r="D745" t="inlineStr">
        <is>
          <t>热轧低膨胀铁镍合金圆钢|圆钢|4J36|Φ200|YB/T 5241-2005|热轧|GB/T 14985-2007</t>
        </is>
      </c>
      <c r="E745" t="inlineStr">
        <is>
          <t>物资名称 热轧低膨胀铁镍合金圆钢;物资简称 圆钢;牌号 4J36;直径 Φ200;技术标准号 YB/T 5241-2005;加工工艺 热轧;热处理工艺 ;特殊要求 ;规格标准号 GB/T 14985-2007</t>
        </is>
      </c>
      <c r="F745" t="inlineStr">
        <is>
          <t>千克</t>
        </is>
      </c>
    </row>
    <row r="746">
      <c r="A746" t="inlineStr">
        <is>
          <t>100201</t>
        </is>
      </c>
      <c r="B746" t="inlineStr">
        <is>
          <t>圆钢</t>
        </is>
      </c>
      <c r="C746" t="inlineStr">
        <is>
          <t>600601900</t>
        </is>
      </c>
      <c r="D746" t="inlineStr">
        <is>
          <t>热轧低膨胀铁镍合金圆钢|圆钢|4J36|Φ235|YB/T 5241-2005|热轧|GB/T 14985-2007</t>
        </is>
      </c>
      <c r="E746" t="inlineStr">
        <is>
          <t>物资名称 热轧低膨胀铁镍合金圆钢;物资简称 圆钢;牌号 4J36;直径 Φ235;技术标准号 YB/T 5241-2005;加工工艺 热轧;热处理工艺 ;特殊要求 ;规格标准号 GB/T 14985-2007</t>
        </is>
      </c>
      <c r="F746" t="inlineStr">
        <is>
          <t>千克</t>
        </is>
      </c>
    </row>
    <row r="747">
      <c r="A747" t="inlineStr">
        <is>
          <t>100201</t>
        </is>
      </c>
      <c r="B747" t="inlineStr">
        <is>
          <t>圆钢</t>
        </is>
      </c>
      <c r="C747" t="inlineStr">
        <is>
          <t>600601800</t>
        </is>
      </c>
      <c r="D747" t="inlineStr">
        <is>
          <t>不锈钢棒|钢棒|06Cr19Ni10|GB/T 1220-2007</t>
        </is>
      </c>
      <c r="E747" t="inlineStr">
        <is>
          <t xml:space="preserve">物资名称 不锈钢棒;物资简称 钢棒;牌号 06Cr19Ni10;直径 Φ;技术标准号 GB/T 1220-2007;加工工艺 ;热处理工艺 ;特殊要求 ;规格标准号 </t>
        </is>
      </c>
      <c r="F747" t="inlineStr">
        <is>
          <t>千克</t>
        </is>
      </c>
    </row>
    <row r="748">
      <c r="A748" t="inlineStr">
        <is>
          <t>100201</t>
        </is>
      </c>
      <c r="B748" t="inlineStr">
        <is>
          <t>圆钢</t>
        </is>
      </c>
      <c r="C748" t="inlineStr">
        <is>
          <t>600601700</t>
        </is>
      </c>
      <c r="D748" t="inlineStr">
        <is>
          <t>热轧不锈圆钢|圆钢|06Cr19Ni10|GB/T 1220-2007|GB/T 702-2008</t>
        </is>
      </c>
      <c r="E748" t="inlineStr">
        <is>
          <t>物资名称 热轧不锈圆钢;物资简称 圆钢;牌号 06Cr19Ni10;直径 Φ;技术标准号 GB/T 1220-2007;加工工艺 ;热处理工艺 ;特殊要求 ;规格标准号 GB/T 702-2008</t>
        </is>
      </c>
      <c r="F748" t="inlineStr">
        <is>
          <t>千克</t>
        </is>
      </c>
    </row>
    <row r="749">
      <c r="A749" t="inlineStr">
        <is>
          <t>100201</t>
        </is>
      </c>
      <c r="B749" t="inlineStr">
        <is>
          <t>圆钢</t>
        </is>
      </c>
      <c r="C749" t="inlineStr">
        <is>
          <t>600601600</t>
        </is>
      </c>
      <c r="D749" t="inlineStr">
        <is>
          <t>热轧不锈圆钢|圆钢|06Cr19Ni10|Φ65|GB/T 1220-2007|热轧|固溶|GB/T 702-2008</t>
        </is>
      </c>
      <c r="E749" t="inlineStr">
        <is>
          <t>物资名称 热轧不锈圆钢;物资简称 圆钢;牌号 06Cr19Ni10;直径 Φ65;技术标准号 GB/T 1220-2007;加工工艺 热轧;热处理工艺 固溶;特殊要求 ;规格标准号 GB/T 702-2008</t>
        </is>
      </c>
      <c r="F749" t="inlineStr">
        <is>
          <t>千克</t>
        </is>
      </c>
    </row>
    <row r="750">
      <c r="A750" t="inlineStr">
        <is>
          <t>100201</t>
        </is>
      </c>
      <c r="B750" t="inlineStr">
        <is>
          <t>圆钢</t>
        </is>
      </c>
      <c r="C750" t="inlineStr">
        <is>
          <t>600601500</t>
        </is>
      </c>
      <c r="D750" t="inlineStr">
        <is>
          <t>不锈钢棒|钢棒|12Cr13|GB/T 1220-2007</t>
        </is>
      </c>
      <c r="E750" t="inlineStr">
        <is>
          <t xml:space="preserve">物资名称 不锈钢棒;物资简称 钢棒;牌号 12Cr13;直径 Φ;技术标准号 GB/T 1220-2007;加工工艺 ;热处理工艺 ;特殊要求 ;规格标准号 </t>
        </is>
      </c>
      <c r="F750" t="inlineStr">
        <is>
          <t>千克</t>
        </is>
      </c>
    </row>
    <row r="751">
      <c r="A751" t="inlineStr">
        <is>
          <t>100201</t>
        </is>
      </c>
      <c r="B751" t="inlineStr">
        <is>
          <t>圆钢</t>
        </is>
      </c>
      <c r="C751" t="inlineStr">
        <is>
          <t>600601400</t>
        </is>
      </c>
      <c r="D751" t="inlineStr">
        <is>
          <t>热轧不锈圆钢|圆钢|12Cr13|GB/T 1220-2007|GB/T 702-2008</t>
        </is>
      </c>
      <c r="E751" t="inlineStr">
        <is>
          <t>物资名称 热轧不锈圆钢;物资简称 圆钢;牌号 12Cr13;直径 Φ;技术标准号 GB/T 1220-2007;加工工艺 ;热处理工艺 ;特殊要求 ;规格标准号 GB/T 702-2008</t>
        </is>
      </c>
      <c r="F751" t="inlineStr">
        <is>
          <t>千克</t>
        </is>
      </c>
    </row>
    <row r="752">
      <c r="A752" t="inlineStr">
        <is>
          <t>100201</t>
        </is>
      </c>
      <c r="B752" t="inlineStr">
        <is>
          <t>圆钢</t>
        </is>
      </c>
      <c r="C752" t="inlineStr">
        <is>
          <t>600601300</t>
        </is>
      </c>
      <c r="D752" t="inlineStr">
        <is>
          <t>热轧不锈圆钢|圆钢|12Cr13|Φ75|GB/T 1220-2007|热轧|退火|GB/T 702-2008</t>
        </is>
      </c>
      <c r="E752" t="inlineStr">
        <is>
          <t>物资名称 热轧不锈圆钢;物资简称 圆钢;牌号 12Cr13;直径 Φ75;技术标准号 GB/T 1220-2007;加工工艺 热轧;热处理工艺 退火;特殊要求 ;规格标准号 GB/T 702-2008</t>
        </is>
      </c>
      <c r="F752" t="inlineStr">
        <is>
          <t>千克</t>
        </is>
      </c>
    </row>
    <row r="753">
      <c r="A753" t="inlineStr">
        <is>
          <t>100201</t>
        </is>
      </c>
      <c r="B753" t="inlineStr">
        <is>
          <t>圆钢</t>
        </is>
      </c>
      <c r="C753" t="inlineStr">
        <is>
          <t>600601200</t>
        </is>
      </c>
      <c r="D753" t="inlineStr">
        <is>
          <t>热轧弹簧圆钢|圆钢|60Si2MnA|GB/T 1222-2007|GB/T 702-2008</t>
        </is>
      </c>
      <c r="E753" t="inlineStr">
        <is>
          <t>物资名称 热轧弹簧圆钢;物资简称 圆钢;牌号 60Si2MnA;直径 Φ;技术标准号 GB/T 1222-2007;加工工艺 ;热处理工艺 ;特殊要求 ;规格标准号 GB/T 702-2008</t>
        </is>
      </c>
      <c r="F753" t="inlineStr">
        <is>
          <t>千克</t>
        </is>
      </c>
    </row>
    <row r="754">
      <c r="A754" t="inlineStr">
        <is>
          <t>100201</t>
        </is>
      </c>
      <c r="B754" t="inlineStr">
        <is>
          <t>圆钢</t>
        </is>
      </c>
      <c r="C754" t="inlineStr">
        <is>
          <t>600601100</t>
        </is>
      </c>
      <c r="D754" t="inlineStr">
        <is>
          <t>热轧弹簧圆钢|圆钢|60Si2MnA|Φ45|GB/T 1222-2007|热轧|GB/T 702-2008</t>
        </is>
      </c>
      <c r="E754" t="inlineStr">
        <is>
          <t>物资名称 热轧弹簧圆钢;物资简称 圆钢;牌号 60Si2MnA;直径 Φ45;技术标准号 GB/T 1222-2007;加工工艺 热轧;热处理工艺 ;特殊要求 ;规格标准号 GB/T 702-2008</t>
        </is>
      </c>
      <c r="F754" t="inlineStr">
        <is>
          <t>千克</t>
        </is>
      </c>
    </row>
    <row r="755">
      <c r="A755" t="inlineStr">
        <is>
          <t>100201</t>
        </is>
      </c>
      <c r="B755" t="inlineStr">
        <is>
          <t>圆钢</t>
        </is>
      </c>
      <c r="C755" t="inlineStr">
        <is>
          <t>600601000</t>
        </is>
      </c>
      <c r="D755" t="inlineStr">
        <is>
          <t>热轧合金工具圆钢|圆钢|Cr12MoV|GB/T 1299-2000|GB/T 702-2008</t>
        </is>
      </c>
      <c r="E755" t="inlineStr">
        <is>
          <t>物资名称 热轧合金工具圆钢;物资简称 圆钢;牌号 Cr12MoV;直径 Φ;技术标准号 GB/T 1299-2000;加工工艺 ;热处理工艺 ;特殊要求 ;规格标准号 GB/T 702-2008</t>
        </is>
      </c>
      <c r="F755" t="inlineStr">
        <is>
          <t>千克</t>
        </is>
      </c>
    </row>
    <row r="756">
      <c r="A756" t="inlineStr">
        <is>
          <t>100201</t>
        </is>
      </c>
      <c r="B756" t="inlineStr">
        <is>
          <t>圆钢</t>
        </is>
      </c>
      <c r="C756" t="inlineStr">
        <is>
          <t>600600900</t>
        </is>
      </c>
      <c r="D756" t="inlineStr">
        <is>
          <t>热轧合金工具圆钢|圆钢|Cr12MoV|Φ35|GB/T 1299-2000|热轧|退火|GB/T 702-2008</t>
        </is>
      </c>
      <c r="E756" t="inlineStr">
        <is>
          <t>物资名称 热轧合金工具圆钢;物资简称 圆钢;牌号 Cr12MoV;直径 Φ35;技术标准号 GB/T 1299-2000;加工工艺 热轧;热处理工艺 退火;特殊要求 ;规格标准号 GB/T 702-2008</t>
        </is>
      </c>
      <c r="F756" t="inlineStr">
        <is>
          <t>千克</t>
        </is>
      </c>
    </row>
    <row r="757">
      <c r="A757" t="inlineStr">
        <is>
          <t>100201</t>
        </is>
      </c>
      <c r="B757" t="inlineStr">
        <is>
          <t>圆钢</t>
        </is>
      </c>
      <c r="C757" t="inlineStr">
        <is>
          <t>600600800</t>
        </is>
      </c>
      <c r="D757" t="inlineStr">
        <is>
          <t>热轧合金结构圆钢|圆钢|30CrNi3|GB/T 3077-1999|热轧|GB/T 702-2008</t>
        </is>
      </c>
      <c r="E757" t="inlineStr">
        <is>
          <t>物资名称 热轧合金结构圆钢;物资简称 圆钢;牌号 30CrNi3;直径 Φ;技术标准号 GB/T 3077-1999;加工工艺 热轧;热处理工艺 ;特殊要求 ;规格标准号 GB/T 702-2008</t>
        </is>
      </c>
      <c r="F757" t="inlineStr">
        <is>
          <t>千克</t>
        </is>
      </c>
    </row>
    <row r="758">
      <c r="A758" t="inlineStr">
        <is>
          <t>100201</t>
        </is>
      </c>
      <c r="B758" t="inlineStr">
        <is>
          <t>圆钢</t>
        </is>
      </c>
      <c r="C758" t="inlineStr">
        <is>
          <t>600600700</t>
        </is>
      </c>
      <c r="D758" t="inlineStr">
        <is>
          <t>热轧合金结构圆钢|圆钢|30CrNi3|Φ20|GB/T 3077-1999|热轧|GB/T 702-2008</t>
        </is>
      </c>
      <c r="E758" t="inlineStr">
        <is>
          <t>物资名称 热轧合金结构圆钢;物资简称 圆钢;牌号 30CrNi3;直径 Φ20;技术标准号 GB/T 3077-1999;加工工艺 热轧;热处理工艺 ;特殊要求 ;规格标准号 GB/T 702-2008</t>
        </is>
      </c>
      <c r="F758" t="inlineStr">
        <is>
          <t>千克</t>
        </is>
      </c>
    </row>
    <row r="759">
      <c r="A759" t="inlineStr">
        <is>
          <t>100201</t>
        </is>
      </c>
      <c r="B759" t="inlineStr">
        <is>
          <t>圆钢</t>
        </is>
      </c>
      <c r="C759" t="inlineStr">
        <is>
          <t>600600600</t>
        </is>
      </c>
      <c r="D759" t="inlineStr">
        <is>
          <t>热轧合金结构圆钢|圆钢|35CrMnSiA|GB/T 3077-1999|GB/T 702-2008</t>
        </is>
      </c>
      <c r="E759" t="inlineStr">
        <is>
          <t>物资名称 热轧合金结构圆钢;物资简称 圆钢;牌号 35CrMnSiA;直径 Φ;技术标准号 GB/T 3077-1999;加工工艺 ;热处理工艺 ;特殊要求 ;规格标准号 GB/T 702-2008</t>
        </is>
      </c>
      <c r="F759" t="inlineStr">
        <is>
          <t>千克</t>
        </is>
      </c>
    </row>
    <row r="760">
      <c r="A760" t="inlineStr">
        <is>
          <t>100201</t>
        </is>
      </c>
      <c r="B760" t="inlineStr">
        <is>
          <t>圆钢</t>
        </is>
      </c>
      <c r="C760" t="inlineStr">
        <is>
          <t>600600500</t>
        </is>
      </c>
      <c r="D760" t="inlineStr">
        <is>
          <t>热轧合金结构圆钢|圆钢|35CrMnSiA|Φ80|GB/T 3077-1999|热轧|退火|GB/T 702-2008</t>
        </is>
      </c>
      <c r="E760" t="inlineStr">
        <is>
          <t>物资名称 热轧合金结构圆钢;物资简称 圆钢;牌号 35CrMnSiA;直径 Φ80;技术标准号 GB/T 3077-1999;加工工艺 热轧;热处理工艺 退火;特殊要求 ;规格标准号 GB/T 702-2008</t>
        </is>
      </c>
      <c r="F760" t="inlineStr">
        <is>
          <t>千克</t>
        </is>
      </c>
    </row>
    <row r="761">
      <c r="A761" t="inlineStr">
        <is>
          <t>100201</t>
        </is>
      </c>
      <c r="B761" t="inlineStr">
        <is>
          <t>圆钢</t>
        </is>
      </c>
      <c r="C761" t="inlineStr">
        <is>
          <t>600600400</t>
        </is>
      </c>
      <c r="D761" t="inlineStr">
        <is>
          <t>热轧圆钢|圆钢|Q235A|GB/T 700-2006|GB/T 702-2008</t>
        </is>
      </c>
      <c r="E761" t="inlineStr">
        <is>
          <t>物资名称 热轧圆钢;物资简称 圆钢;牌号 Q235A;直径 Φ;技术标准号 GB/T 700-2006;加工工艺 ;热处理工艺 ;特殊要求 ;规格标准号 GB/T 702-2008</t>
        </is>
      </c>
      <c r="F761" t="inlineStr">
        <is>
          <t>千克</t>
        </is>
      </c>
    </row>
    <row r="762">
      <c r="A762" t="inlineStr">
        <is>
          <t>100201</t>
        </is>
      </c>
      <c r="B762" t="inlineStr">
        <is>
          <t>圆钢</t>
        </is>
      </c>
      <c r="C762" t="inlineStr">
        <is>
          <t>600600300</t>
        </is>
      </c>
      <c r="D762" t="inlineStr">
        <is>
          <t>热轧圆钢|圆钢|Q235A|Φ10|GB/T 700-2006|热轧|GB/T 702-2008</t>
        </is>
      </c>
      <c r="E762" t="inlineStr">
        <is>
          <t>物资名称 热轧圆钢;物资简称 圆钢;牌号 Q235A;直径 Φ10;技术标准号 GB/T 700-2006;加工工艺 热轧;热处理工艺 ;特殊要求 ;规格标准号 GB/T 702-2008</t>
        </is>
      </c>
      <c r="F762" t="inlineStr">
        <is>
          <t>千克</t>
        </is>
      </c>
    </row>
    <row r="763">
      <c r="A763" t="inlineStr">
        <is>
          <t>100201</t>
        </is>
      </c>
      <c r="B763" t="inlineStr">
        <is>
          <t>圆钢</t>
        </is>
      </c>
      <c r="C763" t="inlineStr">
        <is>
          <t>600600200</t>
        </is>
      </c>
      <c r="D763" t="inlineStr">
        <is>
          <t>合金结构圆钢|圆钢|30CrMnSi|GB/T 3077-1999</t>
        </is>
      </c>
      <c r="E763" t="inlineStr">
        <is>
          <t xml:space="preserve">物资名称 合金结构圆钢;物资简称 圆钢;牌号 30CrMnSi;直径 Φ;技术标准号 GB/T 3077-1999;加工工艺 ;热处理工艺 ;特殊要求 ;规格标准号 </t>
        </is>
      </c>
      <c r="F763" t="inlineStr">
        <is>
          <t>千克</t>
        </is>
      </c>
    </row>
    <row r="764">
      <c r="A764" t="inlineStr">
        <is>
          <t>100206</t>
        </is>
      </c>
      <c r="B764" t="inlineStr">
        <is>
          <t>角钢</t>
        </is>
      </c>
      <c r="C764" t="inlineStr">
        <is>
          <t>602383700</t>
        </is>
      </c>
      <c r="D764" t="inlineStr">
        <is>
          <t>热轧角钢|角钢|Q235A|∠80×80×6|GB/T 700-2006|热轧|GB/T 706-2016</t>
        </is>
      </c>
      <c r="E764" t="inlineStr">
        <is>
          <t>物资名称 热轧角钢;物资简称 角钢;牌号 Q235A;长边宽 ∠80;短边宽 80;厚度 6;技术标准号 GB/T 700-2006;加工工艺 热轧;热处理工艺 ;特殊要求 ;规格标准号 GB/T 706-2016</t>
        </is>
      </c>
      <c r="F764" t="inlineStr">
        <is>
          <t>千克</t>
        </is>
      </c>
    </row>
    <row r="765">
      <c r="A765" t="inlineStr">
        <is>
          <t>100206</t>
        </is>
      </c>
      <c r="B765" t="inlineStr">
        <is>
          <t>角钢</t>
        </is>
      </c>
      <c r="C765" t="inlineStr">
        <is>
          <t>602366600</t>
        </is>
      </c>
      <c r="D765" t="inlineStr">
        <is>
          <t>热轧角钢|角钢|Q235A|∠90×90×8|GB/T 700-2006|热轧|GB/T 706-2016</t>
        </is>
      </c>
      <c r="E765" t="inlineStr">
        <is>
          <t>物资名称 热轧角钢;物资简称 角钢;牌号 Q235A;长边宽 ∠90;短边宽 90;厚度 8;技术标准号 GB/T 700-2006;加工工艺 热轧;热处理工艺 ;特殊要求 ;规格标准号 GB/T 706-2016</t>
        </is>
      </c>
      <c r="F765" t="inlineStr">
        <is>
          <t>千克</t>
        </is>
      </c>
    </row>
    <row r="766">
      <c r="A766" t="inlineStr">
        <is>
          <t>100206</t>
        </is>
      </c>
      <c r="B766" t="inlineStr">
        <is>
          <t>角钢</t>
        </is>
      </c>
      <c r="C766" t="inlineStr">
        <is>
          <t>600999600</t>
        </is>
      </c>
      <c r="D766" t="inlineStr">
        <is>
          <t>热轧角钢|角钢|Q235|∠125×80×8|GB/T 700-2006|热轧|GB/T 706-2008</t>
        </is>
      </c>
      <c r="E766" t="inlineStr">
        <is>
          <t>物资名称 热轧角钢;物资简称 角钢;牌号 Q235;长边宽 ∠125;短边宽 80;厚度 8;技术标准号 GB/T 700-2006;加工工艺 热轧;热处理工艺 ;特殊要求 ;规格标准号 GB/T 706-2008</t>
        </is>
      </c>
      <c r="F766" t="inlineStr">
        <is>
          <t>千克</t>
        </is>
      </c>
    </row>
    <row r="767">
      <c r="A767" t="inlineStr">
        <is>
          <t>100206</t>
        </is>
      </c>
      <c r="B767" t="inlineStr">
        <is>
          <t>角钢</t>
        </is>
      </c>
      <c r="C767" t="inlineStr">
        <is>
          <t>600626000</t>
        </is>
      </c>
      <c r="D767" t="inlineStr">
        <is>
          <t>热轧角钢|角钢|Q235A|GB/T 700-2006|GB/T 706-2008</t>
        </is>
      </c>
      <c r="E767" t="inlineStr">
        <is>
          <t>物资名称 热轧角钢;物资简称 角钢;牌号 Q235A;长边宽 ∠;短边宽 ;厚度 ;技术标准号 GB/T 700-2006;加工工艺 ;热处理工艺 ;特殊要求 ;规格标准号 GB/T 706-2008</t>
        </is>
      </c>
      <c r="F767" t="inlineStr">
        <is>
          <t>千克</t>
        </is>
      </c>
    </row>
    <row r="768">
      <c r="A768" t="inlineStr">
        <is>
          <t>100206</t>
        </is>
      </c>
      <c r="B768" t="inlineStr">
        <is>
          <t>角钢</t>
        </is>
      </c>
      <c r="C768" t="inlineStr">
        <is>
          <t>600625900</t>
        </is>
      </c>
      <c r="D768" t="inlineStr">
        <is>
          <t>热轧角钢|角钢|Q235A|∠20×20×2|GB/T 700-2006|GB/T 706-2008</t>
        </is>
      </c>
      <c r="E768" t="inlineStr">
        <is>
          <t>物资名称 热轧角钢;物资简称 角钢;牌号 Q235A;长边宽 ∠20;短边宽 20;厚度 2;技术标准号 GB/T 700-2006;加工工艺 ;热处理工艺 ;特殊要求 ;规格标准号 GB/T 706-2008</t>
        </is>
      </c>
      <c r="F768" t="inlineStr">
        <is>
          <t>千克</t>
        </is>
      </c>
    </row>
    <row r="769">
      <c r="A769" t="inlineStr">
        <is>
          <t>100206</t>
        </is>
      </c>
      <c r="B769" t="inlineStr">
        <is>
          <t>角钢</t>
        </is>
      </c>
      <c r="C769" t="inlineStr">
        <is>
          <t>600625800</t>
        </is>
      </c>
      <c r="D769" t="inlineStr">
        <is>
          <t>热轧角钢|角钢|Q235A|∠25×25×3|GB/T 700-2006|GB/T 706-2008</t>
        </is>
      </c>
      <c r="E769" t="inlineStr">
        <is>
          <t>物资名称 热轧角钢;物资简称 角钢;牌号 Q235A;长边宽 ∠25;短边宽 25;厚度 3;技术标准号 GB/T 700-2006;加工工艺 ;热处理工艺 ;特殊要求 ;规格标准号 GB/T 706-2008</t>
        </is>
      </c>
      <c r="F769" t="inlineStr">
        <is>
          <t>千克</t>
        </is>
      </c>
    </row>
    <row r="770">
      <c r="A770" t="inlineStr">
        <is>
          <t>100206</t>
        </is>
      </c>
      <c r="B770" t="inlineStr">
        <is>
          <t>角钢</t>
        </is>
      </c>
      <c r="C770" t="inlineStr">
        <is>
          <t>600625700</t>
        </is>
      </c>
      <c r="D770" t="inlineStr">
        <is>
          <t>热轧角钢|角钢|Q235A|∠25×25×2|GB/T 700-2006|GB/T 706-2008</t>
        </is>
      </c>
      <c r="E770" t="inlineStr">
        <is>
          <t>物资名称 热轧角钢;物资简称 角钢;牌号 Q235A;长边宽 ∠25;短边宽 25;厚度 2;技术标准号 GB/T 700-2006;加工工艺 ;热处理工艺 ;特殊要求 ;规格标准号 GB/T 706-2008</t>
        </is>
      </c>
      <c r="F770" t="inlineStr">
        <is>
          <t>千克</t>
        </is>
      </c>
    </row>
    <row r="771">
      <c r="A771" t="inlineStr">
        <is>
          <t>100206</t>
        </is>
      </c>
      <c r="B771" t="inlineStr">
        <is>
          <t>角钢</t>
        </is>
      </c>
      <c r="C771" t="inlineStr">
        <is>
          <t>600625600</t>
        </is>
      </c>
      <c r="D771" t="inlineStr">
        <is>
          <t>热轧角钢|角钢|Q235A|∠30×30×4|GB/T 700-2006|GB/T 706-2008</t>
        </is>
      </c>
      <c r="E771" t="inlineStr">
        <is>
          <t>物资名称 热轧角钢;物资简称 角钢;牌号 Q235A;长边宽 ∠30;短边宽 30;厚度 4;技术标准号 GB/T 700-2006;加工工艺 ;热处理工艺 ;特殊要求 ;规格标准号 GB/T 706-2008</t>
        </is>
      </c>
      <c r="F771" t="inlineStr">
        <is>
          <t>千克</t>
        </is>
      </c>
    </row>
    <row r="772">
      <c r="A772" t="inlineStr">
        <is>
          <t>100206</t>
        </is>
      </c>
      <c r="B772" t="inlineStr">
        <is>
          <t>角钢</t>
        </is>
      </c>
      <c r="C772" t="inlineStr">
        <is>
          <t>600625500</t>
        </is>
      </c>
      <c r="D772" t="inlineStr">
        <is>
          <t>热轧角钢|角钢|Q235A|∠30×30×3|GB/T 700-2006|GB/T 706-2008</t>
        </is>
      </c>
      <c r="E772" t="inlineStr">
        <is>
          <t>物资名称 热轧角钢;物资简称 角钢;牌号 Q235A;长边宽 ∠30;短边宽 30;厚度 3;技术标准号 GB/T 700-2006;加工工艺 ;热处理工艺 ;特殊要求 ;规格标准号 GB/T 706-2008</t>
        </is>
      </c>
      <c r="F772" t="inlineStr">
        <is>
          <t>千克</t>
        </is>
      </c>
    </row>
    <row r="773">
      <c r="A773" t="inlineStr">
        <is>
          <t>100206</t>
        </is>
      </c>
      <c r="B773" t="inlineStr">
        <is>
          <t>角钢</t>
        </is>
      </c>
      <c r="C773" t="inlineStr">
        <is>
          <t>600625400</t>
        </is>
      </c>
      <c r="D773" t="inlineStr">
        <is>
          <t>热轧角钢|角钢|Q235A|∠50×50×5|GB/T 700-2006|GB/T 706-2008</t>
        </is>
      </c>
      <c r="E773" t="inlineStr">
        <is>
          <t>物资名称 热轧角钢;物资简称 角钢;牌号 Q235A;长边宽 ∠50;短边宽 50;厚度 5;技术标准号 GB/T 700-2006;加工工艺 ;热处理工艺 ;特殊要求 ;规格标准号 GB/T 706-2008</t>
        </is>
      </c>
      <c r="F773" t="inlineStr">
        <is>
          <t>千克</t>
        </is>
      </c>
    </row>
    <row r="774">
      <c r="A774" t="inlineStr">
        <is>
          <t>100206</t>
        </is>
      </c>
      <c r="B774" t="inlineStr">
        <is>
          <t>角钢</t>
        </is>
      </c>
      <c r="C774" t="inlineStr">
        <is>
          <t>600625300</t>
        </is>
      </c>
      <c r="D774" t="inlineStr">
        <is>
          <t>热轧角钢|角钢|Q235A|∠60×60×6|GB/T 700-2006|GB/T 706-2008</t>
        </is>
      </c>
      <c r="E774" t="inlineStr">
        <is>
          <t>物资名称 热轧角钢;物资简称 角钢;牌号 Q235A;长边宽 ∠60;短边宽 60;厚度 6;技术标准号 GB/T 700-2006;加工工艺 ;热处理工艺 ;特殊要求 ;规格标准号 GB/T 706-2008</t>
        </is>
      </c>
      <c r="F774" t="inlineStr">
        <is>
          <t>千克</t>
        </is>
      </c>
    </row>
    <row r="775">
      <c r="A775" t="inlineStr">
        <is>
          <t>100206</t>
        </is>
      </c>
      <c r="B775" t="inlineStr">
        <is>
          <t>角钢</t>
        </is>
      </c>
      <c r="C775" t="inlineStr">
        <is>
          <t>600625200</t>
        </is>
      </c>
      <c r="D775" t="inlineStr">
        <is>
          <t>热轧角钢|角钢|Q235A|∠70×70×6|GB/T 700-2006|GB/T 706-2008</t>
        </is>
      </c>
      <c r="E775" t="inlineStr">
        <is>
          <t>物资名称 热轧角钢;物资简称 角钢;牌号 Q235A;长边宽 ∠70;短边宽 70;厚度 6;技术标准号 GB/T 700-2006;加工工艺 ;热处理工艺 ;特殊要求 ;规格标准号 GB/T 706-2008</t>
        </is>
      </c>
      <c r="F775" t="inlineStr">
        <is>
          <t>千克</t>
        </is>
      </c>
    </row>
    <row r="776">
      <c r="A776" t="inlineStr">
        <is>
          <t>100206</t>
        </is>
      </c>
      <c r="B776" t="inlineStr">
        <is>
          <t>角钢</t>
        </is>
      </c>
      <c r="C776" t="inlineStr">
        <is>
          <t>600625100</t>
        </is>
      </c>
      <c r="D776" t="inlineStr">
        <is>
          <t>热轧角钢|角钢|Q235A|∠75×50×6|GB/T 700-2006|GB/T 706-2008</t>
        </is>
      </c>
      <c r="E776" t="inlineStr">
        <is>
          <t>物资名称 热轧角钢;物资简称 角钢;牌号 Q235A;长边宽 ∠75;短边宽 50;厚度 6;技术标准号 GB/T 700-2006;加工工艺 ;热处理工艺 ;特殊要求 ;规格标准号 GB/T 706-2008</t>
        </is>
      </c>
      <c r="F776" t="inlineStr">
        <is>
          <t>千克</t>
        </is>
      </c>
    </row>
    <row r="777">
      <c r="A777" t="inlineStr">
        <is>
          <t>100206</t>
        </is>
      </c>
      <c r="B777" t="inlineStr">
        <is>
          <t>角钢</t>
        </is>
      </c>
      <c r="C777" t="inlineStr">
        <is>
          <t>600625000</t>
        </is>
      </c>
      <c r="D777" t="inlineStr">
        <is>
          <t>热轧角钢|角钢|Q235A|∠140×140×10|GB/T 700-2006|GB/T 706-2008</t>
        </is>
      </c>
      <c r="E777" t="inlineStr">
        <is>
          <t>物资名称 热轧角钢;物资简称 角钢;牌号 Q235A;长边宽 ∠140;短边宽 140;厚度 10;技术标准号 GB/T 700-2006;加工工艺 ;热处理工艺 ;特殊要求 ;规格标准号 GB/T 706-2008</t>
        </is>
      </c>
      <c r="F777" t="inlineStr">
        <is>
          <t>千克</t>
        </is>
      </c>
    </row>
    <row r="778">
      <c r="A778" t="inlineStr">
        <is>
          <t>100301</t>
        </is>
      </c>
      <c r="B778" t="inlineStr">
        <is>
          <t>无缝钢管</t>
        </is>
      </c>
      <c r="C778" t="inlineStr">
        <is>
          <t>603523400</t>
        </is>
      </c>
      <c r="D778" t="inlineStr">
        <is>
          <t>结构用热轧优质碳素结构无缝钢管|钢管|45|Φ145×25|GB/T 8162-2018|热轧|GB/T 17395-2024</t>
        </is>
      </c>
      <c r="E778" t="inlineStr">
        <is>
          <t>物资名称 结构用热轧优质碳素结构无缝钢管;物资简称 钢管;牌号 45;外径 Φ145;壁厚 25;技术标准号 GB/T 8162-2018;加工工艺 热轧;热处理工艺 ;特殊要求 ;规格标准号 GB/T 17395-2024</t>
        </is>
      </c>
      <c r="F778" t="inlineStr">
        <is>
          <t>千克</t>
        </is>
      </c>
    </row>
    <row r="779">
      <c r="A779" t="inlineStr">
        <is>
          <t>100301</t>
        </is>
      </c>
      <c r="B779" t="inlineStr">
        <is>
          <t>无缝钢管</t>
        </is>
      </c>
      <c r="C779" t="inlineStr">
        <is>
          <t>603465900</t>
        </is>
      </c>
      <c r="D779" t="inlineStr">
        <is>
          <t>输送流体用无缝钢管|不锈钢管|0Cr18Ni9|Φ32×2|GB/T 8163-2018</t>
        </is>
      </c>
      <c r="E779" t="inlineStr">
        <is>
          <t>物资名称 输送流体用无缝钢管;物资简称 不锈钢管;牌号 0Cr18Ni9;外径 Φ32;壁厚 2;技术标准号 GB/T 8163-2018;加工工艺 ;热处理工艺 ;特殊要求 ;规格标准号</t>
        </is>
      </c>
      <c r="F779" t="inlineStr">
        <is>
          <t>千克</t>
        </is>
      </c>
    </row>
    <row r="780">
      <c r="A780" t="inlineStr">
        <is>
          <t>100301</t>
        </is>
      </c>
      <c r="B780" t="inlineStr">
        <is>
          <t>无缝钢管</t>
        </is>
      </c>
      <c r="C780" t="inlineStr">
        <is>
          <t>602290900</t>
        </is>
      </c>
      <c r="D780" t="inlineStr">
        <is>
          <t>航空用不锈钢无缝钢管|不锈钢管|1Cr18Ni9Ti|Φ32×2|GJB 2296A-2021</t>
        </is>
      </c>
      <c r="E780" t="inlineStr">
        <is>
          <t xml:space="preserve">物资名称 航空用不锈钢无缝钢管;物资简称 不锈钢管;牌号 1Cr18Ni9Ti;外径 Φ32;壁厚 2;技术标准号 GJB 2296A-2021;加工工艺 ;热处理工艺 ;特殊要求 ;规格标准号 </t>
        </is>
      </c>
      <c r="F780" t="inlineStr">
        <is>
          <t>千克</t>
        </is>
      </c>
    </row>
    <row r="781">
      <c r="A781" t="inlineStr">
        <is>
          <t>100301</t>
        </is>
      </c>
      <c r="B781" t="inlineStr">
        <is>
          <t>无缝钢管</t>
        </is>
      </c>
      <c r="C781" t="inlineStr">
        <is>
          <t>602290800</t>
        </is>
      </c>
      <c r="D781" t="inlineStr">
        <is>
          <t>航空用不锈钢无缝钢管|不锈钢管|1Cr18Ni9Ti|GJB 2296A-2021</t>
        </is>
      </c>
      <c r="E781" t="inlineStr">
        <is>
          <t xml:space="preserve">物资名称 航空用不锈钢无缝钢管;物资简称 不锈钢管;牌号 1Cr18Ni9Ti;外径 Φ;壁厚 ;技术标准号 GJB 2296A-2021;加工工艺 ;热处理工艺 ;特殊要求 ;规格标准号 </t>
        </is>
      </c>
      <c r="F781" t="inlineStr">
        <is>
          <t>千克</t>
        </is>
      </c>
    </row>
    <row r="782">
      <c r="A782" t="inlineStr">
        <is>
          <t>100301</t>
        </is>
      </c>
      <c r="B782" t="inlineStr">
        <is>
          <t>无缝钢管</t>
        </is>
      </c>
      <c r="C782" t="inlineStr">
        <is>
          <t>602288500</t>
        </is>
      </c>
      <c r="D782" t="inlineStr">
        <is>
          <t>航空用不锈钢无缝钢管|不锈钢管|1Cr18Ni9Ti|Φ4×1|GJB 2296A-2005</t>
        </is>
      </c>
      <c r="E782" t="inlineStr">
        <is>
          <t xml:space="preserve">物资名称 航空用不锈钢无缝钢管;物资简称 不锈钢管;牌号 1Cr18Ni9Ti;外径 Φ4;壁厚 1;技术标准号 GJB 2296A-2005;加工工艺 ;热处理工艺 ;特殊要求 ;规格标准号 </t>
        </is>
      </c>
      <c r="F782" t="inlineStr">
        <is>
          <t>千克</t>
        </is>
      </c>
    </row>
    <row r="783">
      <c r="A783" t="inlineStr">
        <is>
          <t>100301</t>
        </is>
      </c>
      <c r="B783" t="inlineStr">
        <is>
          <t>无缝钢管</t>
        </is>
      </c>
      <c r="C783" t="inlineStr">
        <is>
          <t>602147400</t>
        </is>
      </c>
      <c r="D783" t="inlineStr">
        <is>
          <t>航空用不锈钢无缝钢管|不锈钢管|1Cr18Ni9Ti|Φ36×2|GJB 2296A-2005</t>
        </is>
      </c>
      <c r="E783" t="inlineStr">
        <is>
          <t xml:space="preserve">物资名称 航空用不锈钢无缝钢管;物资简称 不锈钢管;牌号 1Cr18Ni9Ti;外径 Φ36;壁厚 2;技术标准号 GJB 2296A-2005;加工工艺 ;热处理工艺 ;特殊要求 ;规格标准号 </t>
        </is>
      </c>
      <c r="F783" t="inlineStr">
        <is>
          <t>千克</t>
        </is>
      </c>
    </row>
    <row r="784">
      <c r="A784" t="inlineStr">
        <is>
          <t>100301</t>
        </is>
      </c>
      <c r="B784" t="inlineStr">
        <is>
          <t>无缝钢管</t>
        </is>
      </c>
      <c r="C784" t="inlineStr">
        <is>
          <t>601496300</t>
        </is>
      </c>
      <c r="D784" t="inlineStr">
        <is>
          <t>钢管|钢管|45|Φ203×50|-</t>
        </is>
      </c>
      <c r="E784" t="inlineStr">
        <is>
          <t xml:space="preserve">物资名称 钢管;物资简称 钢管;牌号 45;外径 Φ203;壁厚 50;技术标准号 -;加工工艺 ;热处理工艺 ;特殊要求 ;规格标准号 </t>
        </is>
      </c>
      <c r="F784" t="inlineStr">
        <is>
          <t>千克</t>
        </is>
      </c>
    </row>
    <row r="785">
      <c r="A785" t="inlineStr">
        <is>
          <t>100301</t>
        </is>
      </c>
      <c r="B785" t="inlineStr">
        <is>
          <t>无缝钢管</t>
        </is>
      </c>
      <c r="C785" t="inlineStr">
        <is>
          <t>601473200</t>
        </is>
      </c>
      <c r="D785" t="inlineStr">
        <is>
          <t>航空用不锈钢无缝钢管|不锈钢管|1Cr18Ni9Ti|Φ36×3|GJB 2296-1995</t>
        </is>
      </c>
      <c r="E785" t="inlineStr">
        <is>
          <t xml:space="preserve">物资名称 航空用不锈钢无缝钢管;物资简称 不锈钢管;牌号 1Cr18Ni9Ti;外径 Φ36;壁厚 3;技术标准号 GJB 2296-1995;加工工艺 ;热处理工艺 ;特殊要求 ;规格标准号 </t>
        </is>
      </c>
      <c r="F785" t="inlineStr">
        <is>
          <t>千克</t>
        </is>
      </c>
    </row>
    <row r="786">
      <c r="A786" t="inlineStr">
        <is>
          <t>100301</t>
        </is>
      </c>
      <c r="B786" t="inlineStr">
        <is>
          <t>无缝钢管</t>
        </is>
      </c>
      <c r="C786" t="inlineStr">
        <is>
          <t>601454500</t>
        </is>
      </c>
      <c r="D786" t="inlineStr">
        <is>
          <t>航空用不锈钢无缝钢管|钢管|1Cr18Ni9Ti|Φ45×4|GJB 2296-1995</t>
        </is>
      </c>
      <c r="E786" t="inlineStr">
        <is>
          <t xml:space="preserve">物资名称 航空用不锈钢无缝钢管;物资简称 钢管;牌号 1Cr18Ni9Ti;外径 Φ45;壁厚 4;技术标准号 GJB 2296-1995;加工工艺 ;热处理工艺 ;特殊要求 ;规格标准号 </t>
        </is>
      </c>
      <c r="F786" t="inlineStr">
        <is>
          <t>千克</t>
        </is>
      </c>
    </row>
    <row r="787">
      <c r="A787" t="inlineStr">
        <is>
          <t>100301</t>
        </is>
      </c>
      <c r="B787" t="inlineStr">
        <is>
          <t>无缝钢管</t>
        </is>
      </c>
      <c r="C787" t="inlineStr">
        <is>
          <t>601454400</t>
        </is>
      </c>
      <c r="D787" t="inlineStr">
        <is>
          <t>航空用不锈钢无缝钢管|钢管|1Cr18Ni9Ti|Φ6×1|GJB 2296-1995</t>
        </is>
      </c>
      <c r="E787" t="inlineStr">
        <is>
          <t xml:space="preserve">物资名称 航空用不锈钢无缝钢管;物资简称 钢管;牌号 1Cr18Ni9Ti;外径 Φ6;壁厚 1;技术标准号 GJB 2296-1995;加工工艺 ;热处理工艺 ;特殊要求 ;规格标准号 </t>
        </is>
      </c>
      <c r="F787" t="inlineStr">
        <is>
          <t>千克</t>
        </is>
      </c>
    </row>
    <row r="788">
      <c r="A788" t="inlineStr">
        <is>
          <t>100301</t>
        </is>
      </c>
      <c r="B788" t="inlineStr">
        <is>
          <t>无缝钢管</t>
        </is>
      </c>
      <c r="C788" t="inlineStr">
        <is>
          <t>601438800</t>
        </is>
      </c>
      <c r="D788" t="inlineStr">
        <is>
          <t>航空用不锈钢无缝钢管|钢管|1Cr18Ni9Ti|Φ25×2|GJB 2296-1995</t>
        </is>
      </c>
      <c r="E788" t="inlineStr">
        <is>
          <t xml:space="preserve">物资名称 航空用不锈钢无缝钢管;物资简称 钢管;牌号 1Cr18Ni9Ti;外径 Φ25;壁厚 2;技术标准号 GJB 2296-1995;加工工艺 ;热处理工艺 ;特殊要求 ;规格标准号 </t>
        </is>
      </c>
      <c r="F788" t="inlineStr">
        <is>
          <t>千克</t>
        </is>
      </c>
    </row>
    <row r="789">
      <c r="A789" t="inlineStr">
        <is>
          <t>100301</t>
        </is>
      </c>
      <c r="B789" t="inlineStr">
        <is>
          <t>无缝钢管</t>
        </is>
      </c>
      <c r="C789" t="inlineStr">
        <is>
          <t>601438700</t>
        </is>
      </c>
      <c r="D789" t="inlineStr">
        <is>
          <t>航空用不锈钢无缝钢管|钢管|1Cr18Ni9Ti|Φ32×2|GJB 2296-1995</t>
        </is>
      </c>
      <c r="E789" t="inlineStr">
        <is>
          <t xml:space="preserve">物资名称 航空用不锈钢无缝钢管;物资简称 钢管;牌号 1Cr18Ni9Ti;外径 Φ32;壁厚 2;技术标准号 GJB 2296-1995;加工工艺 ;热处理工艺 ;特殊要求 ;规格标准号 </t>
        </is>
      </c>
      <c r="F789" t="inlineStr">
        <is>
          <t>千克</t>
        </is>
      </c>
    </row>
    <row r="790">
      <c r="A790" t="inlineStr">
        <is>
          <t>100301</t>
        </is>
      </c>
      <c r="B790" t="inlineStr">
        <is>
          <t>无缝钢管</t>
        </is>
      </c>
      <c r="C790" t="inlineStr">
        <is>
          <t>601438600</t>
        </is>
      </c>
      <c r="D790" t="inlineStr">
        <is>
          <t>航空用不锈钢无缝钢管|钢管|1Cr18Ni9Ti|Φ42×2|GJB 2296-1995</t>
        </is>
      </c>
      <c r="E790" t="inlineStr">
        <is>
          <t xml:space="preserve">物资名称 航空用不锈钢无缝钢管;物资简称 钢管;牌号 1Cr18Ni9Ti;外径 Φ42;壁厚 2;技术标准号 GJB 2296-1995;加工工艺 ;热处理工艺 ;特殊要求 ;规格标准号 </t>
        </is>
      </c>
      <c r="F790" t="inlineStr">
        <is>
          <t>千克</t>
        </is>
      </c>
    </row>
    <row r="791">
      <c r="A791" t="inlineStr">
        <is>
          <t>100301</t>
        </is>
      </c>
      <c r="B791" t="inlineStr">
        <is>
          <t>无缝钢管</t>
        </is>
      </c>
      <c r="C791" t="inlineStr">
        <is>
          <t>601438500</t>
        </is>
      </c>
      <c r="D791" t="inlineStr">
        <is>
          <t>航空用不锈钢无缝钢管|钢管|1Cr18Ni9Ti|Φ36×2|GJB 2296-1995</t>
        </is>
      </c>
      <c r="E791" t="inlineStr">
        <is>
          <t xml:space="preserve">物资名称 航空用不锈钢无缝钢管;物资简称 钢管;牌号 1Cr18Ni9Ti;外径 Φ36;壁厚 2;技术标准号 GJB 2296-1995;加工工艺 ;热处理工艺 ;特殊要求 ;规格标准号 </t>
        </is>
      </c>
      <c r="F791" t="inlineStr">
        <is>
          <t>千克</t>
        </is>
      </c>
    </row>
    <row r="792">
      <c r="A792" t="inlineStr">
        <is>
          <t>100301</t>
        </is>
      </c>
      <c r="B792" t="inlineStr">
        <is>
          <t>无缝钢管</t>
        </is>
      </c>
      <c r="C792" t="inlineStr">
        <is>
          <t>601329800</t>
        </is>
      </c>
      <c r="D792" t="inlineStr">
        <is>
          <t>结构用不锈无缝钢管|钢管|1Cr18Ni9Ti|Φ10×1|空</t>
        </is>
      </c>
      <c r="E792" t="inlineStr">
        <is>
          <t xml:space="preserve">物资名称 结构用不锈无缝钢管;物资简称 钢管;牌号 1Cr18Ni9Ti;外径 Φ10;壁厚 1;技术标准号 空;加工工艺 ;热处理工艺 ;特殊要求 ;规格标准号 </t>
        </is>
      </c>
      <c r="F792" t="inlineStr">
        <is>
          <t>千克</t>
        </is>
      </c>
    </row>
    <row r="793">
      <c r="A793" t="inlineStr">
        <is>
          <t>100301</t>
        </is>
      </c>
      <c r="B793" t="inlineStr">
        <is>
          <t>无缝钢管</t>
        </is>
      </c>
      <c r="C793" t="inlineStr">
        <is>
          <t>601329700</t>
        </is>
      </c>
      <c r="D793" t="inlineStr">
        <is>
          <t>结构用不锈无缝钢管|钢管|1Cr18Ni9Ti|Φ12×1|空</t>
        </is>
      </c>
      <c r="E793" t="inlineStr">
        <is>
          <t xml:space="preserve">物资名称 结构用不锈无缝钢管;物资简称 钢管;牌号 1Cr18Ni9Ti;外径 Φ12;壁厚 1;技术标准号 空;加工工艺 ;热处理工艺 ;特殊要求 ;规格标准号 </t>
        </is>
      </c>
      <c r="F793" t="inlineStr">
        <is>
          <t>千克</t>
        </is>
      </c>
    </row>
    <row r="794">
      <c r="A794" t="inlineStr">
        <is>
          <t>100301</t>
        </is>
      </c>
      <c r="B794" t="inlineStr">
        <is>
          <t>无缝钢管</t>
        </is>
      </c>
      <c r="C794" t="inlineStr">
        <is>
          <t>601329600</t>
        </is>
      </c>
      <c r="D794" t="inlineStr">
        <is>
          <t>结构用不锈无缝钢管|钢管|1Cr18Ni9Ti|Φ2×0.5|空</t>
        </is>
      </c>
      <c r="E794" t="inlineStr">
        <is>
          <t xml:space="preserve">物资名称 结构用不锈无缝钢管;物资简称 钢管;牌号 1Cr18Ni9Ti;外径 Φ2;壁厚 0.5;技术标准号 空;加工工艺 ;热处理工艺 ;特殊要求 ;规格标准号 </t>
        </is>
      </c>
      <c r="F794" t="inlineStr">
        <is>
          <t>千克</t>
        </is>
      </c>
    </row>
    <row r="795">
      <c r="A795" t="inlineStr">
        <is>
          <t>100301</t>
        </is>
      </c>
      <c r="B795" t="inlineStr">
        <is>
          <t>无缝钢管</t>
        </is>
      </c>
      <c r="C795" t="inlineStr">
        <is>
          <t>601329500</t>
        </is>
      </c>
      <c r="D795" t="inlineStr">
        <is>
          <t>结构用不锈无缝钢管|钢管|1Cr18Ni9Ti|Φ34×5|空</t>
        </is>
      </c>
      <c r="E795" t="inlineStr">
        <is>
          <t xml:space="preserve">物资名称 结构用不锈无缝钢管;物资简称 钢管;牌号 1Cr18Ni9Ti;外径 Φ34;壁厚 5;技术标准号 空;加工工艺 ;热处理工艺 ;特殊要求 ;规格标准号 </t>
        </is>
      </c>
      <c r="F795" t="inlineStr">
        <is>
          <t>千克</t>
        </is>
      </c>
    </row>
    <row r="796">
      <c r="A796" t="inlineStr">
        <is>
          <t>100301</t>
        </is>
      </c>
      <c r="B796" t="inlineStr">
        <is>
          <t>无缝钢管</t>
        </is>
      </c>
      <c r="C796" t="inlineStr">
        <is>
          <t>601329400</t>
        </is>
      </c>
      <c r="D796" t="inlineStr">
        <is>
          <t>结构用不锈无缝钢管|钢管|1Cr18Ni9Ti|Φ6×1.5|空</t>
        </is>
      </c>
      <c r="E796" t="inlineStr">
        <is>
          <t xml:space="preserve">物资名称 结构用不锈无缝钢管;物资简称 钢管;牌号 1Cr18Ni9Ti;外径 Φ6;壁厚 1.5;技术标准号 空;加工工艺 ;热处理工艺 ;特殊要求 ;规格标准号 </t>
        </is>
      </c>
      <c r="F796" t="inlineStr">
        <is>
          <t>千克</t>
        </is>
      </c>
    </row>
    <row r="797">
      <c r="A797" t="inlineStr">
        <is>
          <t>100301</t>
        </is>
      </c>
      <c r="B797" t="inlineStr">
        <is>
          <t>无缝钢管</t>
        </is>
      </c>
      <c r="C797" t="inlineStr">
        <is>
          <t>601329300</t>
        </is>
      </c>
      <c r="D797" t="inlineStr">
        <is>
          <t>结构用不锈无缝钢管|钢管|1Cr18Ni9Ti|Φ6×1|空</t>
        </is>
      </c>
      <c r="E797" t="inlineStr">
        <is>
          <t xml:space="preserve">物资名称 结构用不锈无缝钢管;物资简称 钢管;牌号 1Cr18Ni9Ti;外径 Φ6;壁厚 1;技术标准号 空;加工工艺 ;热处理工艺 ;特殊要求 ;规格标准号 </t>
        </is>
      </c>
      <c r="F797" t="inlineStr">
        <is>
          <t>千克</t>
        </is>
      </c>
    </row>
    <row r="798">
      <c r="A798" t="inlineStr">
        <is>
          <t>100301</t>
        </is>
      </c>
      <c r="B798" t="inlineStr">
        <is>
          <t>无缝钢管</t>
        </is>
      </c>
      <c r="C798" t="inlineStr">
        <is>
          <t>601329200</t>
        </is>
      </c>
      <c r="D798" t="inlineStr">
        <is>
          <t>结构用不锈无缝钢管|钢管|1Cr18Ni9Ti|Φ8×1|空</t>
        </is>
      </c>
      <c r="E798" t="inlineStr">
        <is>
          <t xml:space="preserve">物资名称 结构用不锈无缝钢管;物资简称 钢管;牌号 1Cr18Ni9Ti;外径 Φ8;壁厚 1;技术标准号 空;加工工艺 ;热处理工艺 ;特殊要求 ;规格标准号 </t>
        </is>
      </c>
      <c r="F798" t="inlineStr">
        <is>
          <t>千克</t>
        </is>
      </c>
    </row>
    <row r="799">
      <c r="A799" t="inlineStr">
        <is>
          <t>100301</t>
        </is>
      </c>
      <c r="B799" t="inlineStr">
        <is>
          <t>无缝钢管</t>
        </is>
      </c>
      <c r="C799" t="inlineStr">
        <is>
          <t>601329100</t>
        </is>
      </c>
      <c r="D799" t="inlineStr">
        <is>
          <t>优质碳素结构无缝钢管|钢管|45#|Φ219×60|空</t>
        </is>
      </c>
      <c r="E799" t="inlineStr">
        <is>
          <t xml:space="preserve">物资名称 优质碳素结构无缝钢管;物资简称 钢管;牌号 45#;外径 Φ219;壁厚 60;技术标准号 空;加工工艺 ;热处理工艺 ;特殊要求 ;规格标准号 </t>
        </is>
      </c>
      <c r="F799" t="inlineStr">
        <is>
          <t>千克</t>
        </is>
      </c>
    </row>
    <row r="800">
      <c r="A800" t="inlineStr">
        <is>
          <t>100301</t>
        </is>
      </c>
      <c r="B800" t="inlineStr">
        <is>
          <t>无缝钢管</t>
        </is>
      </c>
      <c r="C800" t="inlineStr">
        <is>
          <t>601329000</t>
        </is>
      </c>
      <c r="D800" t="inlineStr">
        <is>
          <t>优质碳素结构无缝钢管|钢管|45#|Φ232×45|空</t>
        </is>
      </c>
      <c r="E800" t="inlineStr">
        <is>
          <t xml:space="preserve">物资名称 优质碳素结构无缝钢管;物资简称 钢管;牌号 45#;外径 Φ232;壁厚 45;技术标准号 空;加工工艺 ;热处理工艺 ;特殊要求 ;规格标准号 </t>
        </is>
      </c>
      <c r="F800" t="inlineStr">
        <is>
          <t>千克</t>
        </is>
      </c>
    </row>
    <row r="801">
      <c r="A801" t="inlineStr">
        <is>
          <t>100301</t>
        </is>
      </c>
      <c r="B801" t="inlineStr">
        <is>
          <t>无缝钢管</t>
        </is>
      </c>
      <c r="C801" t="inlineStr">
        <is>
          <t>601018300</t>
        </is>
      </c>
      <c r="D801" t="inlineStr">
        <is>
          <t>结构用热轧优质碳素结构无缝钢管|钢管|45|Φ180×25|GB/T 8162-2008|热轧</t>
        </is>
      </c>
      <c r="E801" t="inlineStr">
        <is>
          <t>物资名称 结构用热轧优质碳素结构无缝钢管;物资简称 钢管;牌号 45;外径 Φ180;壁厚 25;技术标准号 GB/T 8162-2008;加工工艺 热轧;热处理工艺 ;特殊要求 ;规格标准号 GB/T 17395-2008</t>
        </is>
      </c>
      <c r="F801" t="inlineStr">
        <is>
          <t>千克</t>
        </is>
      </c>
    </row>
    <row r="802">
      <c r="A802" t="inlineStr">
        <is>
          <t>100301</t>
        </is>
      </c>
      <c r="B802" t="inlineStr">
        <is>
          <t>无缝钢管</t>
        </is>
      </c>
      <c r="C802" t="inlineStr">
        <is>
          <t>601003500</t>
        </is>
      </c>
      <c r="D802" t="inlineStr">
        <is>
          <t>航空用不锈钢无缝钢管|不锈钢管|1Cr18Ni9Ti|Φ25×3|GJB 2296-1995</t>
        </is>
      </c>
      <c r="E802" t="inlineStr">
        <is>
          <t xml:space="preserve">物资名称 航空用不锈钢无缝钢管;物资简称 不锈钢管;牌号 1Cr18Ni9Ti;外径 Φ25;壁厚 3;技术标准号 GJB 2296-1995;加工工艺 ;热处理工艺 ;特殊要求 ;规格标准号 </t>
        </is>
      </c>
      <c r="F802" t="inlineStr">
        <is>
          <t>千克</t>
        </is>
      </c>
    </row>
    <row r="803">
      <c r="A803" t="inlineStr">
        <is>
          <t>100301</t>
        </is>
      </c>
      <c r="B803" t="inlineStr">
        <is>
          <t>无缝钢管</t>
        </is>
      </c>
      <c r="C803" t="inlineStr">
        <is>
          <t>601003400</t>
        </is>
      </c>
      <c r="D803" t="inlineStr">
        <is>
          <t>航空用不锈钢无缝钢管|不锈钢管|1Cr18Ni9Ti|Φ42×3|GJB 2296-1995</t>
        </is>
      </c>
      <c r="E803" t="inlineStr">
        <is>
          <t xml:space="preserve">物资名称 航空用不锈钢无缝钢管;物资简称 不锈钢管;牌号 1Cr18Ni9Ti;外径 Φ42;壁厚 3;技术标准号 GJB 2296-1995;加工工艺 ;热处理工艺 ;特殊要求 ;规格标准号 </t>
        </is>
      </c>
      <c r="F803" t="inlineStr">
        <is>
          <t>千克</t>
        </is>
      </c>
    </row>
    <row r="804">
      <c r="A804" t="inlineStr">
        <is>
          <t>100301</t>
        </is>
      </c>
      <c r="B804" t="inlineStr">
        <is>
          <t>无缝钢管</t>
        </is>
      </c>
      <c r="C804" t="inlineStr">
        <is>
          <t>601003300</t>
        </is>
      </c>
      <c r="D804" t="inlineStr">
        <is>
          <t>航空用不锈钢无缝钢管|不锈钢管|1Cr18Ni9Ti|Φ32×3|GJB 2296-1995</t>
        </is>
      </c>
      <c r="E804" t="inlineStr">
        <is>
          <t xml:space="preserve">物资名称 航空用不锈钢无缝钢管;物资简称 不锈钢管;牌号 1Cr18Ni9Ti;外径 Φ32;壁厚 3;技术标准号 GJB 2296-1995;加工工艺 ;热处理工艺 ;特殊要求 ;规格标准号 </t>
        </is>
      </c>
      <c r="F804" t="inlineStr">
        <is>
          <t>千克</t>
        </is>
      </c>
    </row>
    <row r="805">
      <c r="A805" t="inlineStr">
        <is>
          <t>100301</t>
        </is>
      </c>
      <c r="B805" t="inlineStr">
        <is>
          <t>无缝钢管</t>
        </is>
      </c>
      <c r="C805" t="inlineStr">
        <is>
          <t>601000900</t>
        </is>
      </c>
      <c r="D805" t="inlineStr">
        <is>
          <t>结构用热轧优质碳素结构无缝钢管|钢管|45|Φ133×15|GB/T 8162-1999|热轧|退火|GB/T 17395-2008</t>
        </is>
      </c>
      <c r="E805" t="inlineStr">
        <is>
          <t>物资名称 结构用热轧优质碳素结构无缝钢管;物资简称 钢管;牌号 45;外径 Φ133;壁厚 15;技术标准号 GB/T 8162-1999;加工工艺 热轧;热处理工艺 退火;特殊要求 ;规格标准号 GB/T 17395-2008</t>
        </is>
      </c>
      <c r="F805" t="inlineStr">
        <is>
          <t>千克</t>
        </is>
      </c>
    </row>
    <row r="806">
      <c r="A806" t="inlineStr">
        <is>
          <t>100301</t>
        </is>
      </c>
      <c r="B806" t="inlineStr">
        <is>
          <t>无缝钢管</t>
        </is>
      </c>
      <c r="C806" t="inlineStr">
        <is>
          <t>600996600</t>
        </is>
      </c>
      <c r="D806" t="inlineStr">
        <is>
          <t>航空用不锈钢无缝钢管|不锈钢管|1Cr18Ni9Ti|Φ28×4|GJB 2296-1995</t>
        </is>
      </c>
      <c r="E806" t="inlineStr">
        <is>
          <t xml:space="preserve">物资名称 航空用不锈钢无缝钢管;物资简称 不锈钢管;牌号 1Cr18Ni9Ti;外径 Φ28;壁厚 4;技术标准号 GJB 2296-1995;加工工艺 ;热处理工艺 ;特殊要求 ;规格标准号 </t>
        </is>
      </c>
      <c r="F806" t="inlineStr">
        <is>
          <t>千克</t>
        </is>
      </c>
    </row>
    <row r="807">
      <c r="A807" t="inlineStr">
        <is>
          <t>100301</t>
        </is>
      </c>
      <c r="B807" t="inlineStr">
        <is>
          <t>无缝钢管</t>
        </is>
      </c>
      <c r="C807" t="inlineStr">
        <is>
          <t>600988100</t>
        </is>
      </c>
      <c r="D807" t="inlineStr">
        <is>
          <t>航空用不锈钢无缝钢管|不锈钢管|1Cr18Ni9Ti|Φ34×3|GJB 2296-1995</t>
        </is>
      </c>
      <c r="E807" t="inlineStr">
        <is>
          <t xml:space="preserve">物资名称 航空用不锈钢无缝钢管;物资简称 不锈钢管;牌号 1Cr18Ni9Ti;外径 Φ34;壁厚 3;技术标准号 GJB 2296-1995;加工工艺 ;热处理工艺 ;特殊要求 ;规格标准号 </t>
        </is>
      </c>
      <c r="F807" t="inlineStr">
        <is>
          <t>千克</t>
        </is>
      </c>
    </row>
    <row r="808">
      <c r="A808" t="inlineStr">
        <is>
          <t>100301</t>
        </is>
      </c>
      <c r="B808" t="inlineStr">
        <is>
          <t>无缝钢管</t>
        </is>
      </c>
      <c r="C808" t="inlineStr">
        <is>
          <t>600988000</t>
        </is>
      </c>
      <c r="D808" t="inlineStr">
        <is>
          <t>航空用不锈钢无缝钢管|不锈钢管|1Cr18Ni9Ti|Φ27×3|GJB 2296-1995</t>
        </is>
      </c>
      <c r="E808" t="inlineStr">
        <is>
          <t xml:space="preserve">物资名称 航空用不锈钢无缝钢管;物资简称 不锈钢管;牌号 1Cr18Ni9Ti;外径 Φ27;壁厚 3;技术标准号 GJB 2296-1995;加工工艺 ;热处理工艺 ;特殊要求 ;规格标准号 </t>
        </is>
      </c>
      <c r="F808" t="inlineStr">
        <is>
          <t>千克</t>
        </is>
      </c>
    </row>
    <row r="809">
      <c r="A809" t="inlineStr">
        <is>
          <t>100301</t>
        </is>
      </c>
      <c r="B809" t="inlineStr">
        <is>
          <t>无缝钢管</t>
        </is>
      </c>
      <c r="C809" t="inlineStr">
        <is>
          <t>600985500</t>
        </is>
      </c>
      <c r="D809" t="inlineStr">
        <is>
          <t>结构用热轧优质碳素结构无缝钢管|钢管|45|Φ305×38|GB/T 8162-1999</t>
        </is>
      </c>
      <c r="E809" t="inlineStr">
        <is>
          <t xml:space="preserve">物资名称 结构用热轧优质碳素结构无缝钢管;物资简称 钢管;牌号 45;外径 Φ305;壁厚 38;技术标准号 GB/T 8162-1999;加工工艺 ;热处理工艺 ;特殊要求 ;规格标准号 </t>
        </is>
      </c>
      <c r="F809" t="inlineStr">
        <is>
          <t>千克</t>
        </is>
      </c>
    </row>
    <row r="810">
      <c r="A810" t="inlineStr">
        <is>
          <t>100301</t>
        </is>
      </c>
      <c r="B810" t="inlineStr">
        <is>
          <t>无缝钢管</t>
        </is>
      </c>
      <c r="C810" t="inlineStr">
        <is>
          <t>600985400</t>
        </is>
      </c>
      <c r="D810" t="inlineStr">
        <is>
          <t>合金结构无缝钢管|钢管|20|Φ80×6|GB/T 699-1999</t>
        </is>
      </c>
      <c r="E810" t="inlineStr">
        <is>
          <t xml:space="preserve">物资名称 合金结构无缝钢管;物资简称 钢管;牌号 20;外径 Φ80;壁厚 6;技术标准号 GB/T 699-1999;加工工艺 ;热处理工艺 ;特殊要求 ;规格标准号 </t>
        </is>
      </c>
      <c r="F810" t="inlineStr">
        <is>
          <t>千克</t>
        </is>
      </c>
    </row>
    <row r="811">
      <c r="A811" t="inlineStr">
        <is>
          <t>100301</t>
        </is>
      </c>
      <c r="B811" t="inlineStr">
        <is>
          <t>无缝钢管</t>
        </is>
      </c>
      <c r="C811" t="inlineStr">
        <is>
          <t>600985300</t>
        </is>
      </c>
      <c r="D811" t="inlineStr">
        <is>
          <t>结构用热轧优质碳素结构无缝钢管|钢管|20|Φ130×7|GB/T 8162-1999</t>
        </is>
      </c>
      <c r="E811" t="inlineStr">
        <is>
          <t xml:space="preserve">物资名称 结构用热轧优质碳素结构无缝钢管;物资简称 钢管;牌号 20;外径 Φ130;壁厚 7;技术标准号 GB/T 8162-1999;加工工艺 ;热处理工艺 ;特殊要求 ;规格标准号 </t>
        </is>
      </c>
      <c r="F811" t="inlineStr">
        <is>
          <t>千克</t>
        </is>
      </c>
    </row>
    <row r="812">
      <c r="A812" t="inlineStr">
        <is>
          <t>100301</t>
        </is>
      </c>
      <c r="B812" t="inlineStr">
        <is>
          <t>无缝钢管</t>
        </is>
      </c>
      <c r="C812" t="inlineStr">
        <is>
          <t>600985200</t>
        </is>
      </c>
      <c r="D812" t="inlineStr">
        <is>
          <t>合金结构无缝钢管|钢管|20|Φ36×4|GB/T 699-1999</t>
        </is>
      </c>
      <c r="E812" t="inlineStr">
        <is>
          <t xml:space="preserve">物资名称 合金结构无缝钢管;物资简称 钢管;牌号 20;外径 Φ36;壁厚 4;技术标准号 GB/T 699-1999;加工工艺 ;热处理工艺 ;特殊要求 ;规格标准号 </t>
        </is>
      </c>
      <c r="F812" t="inlineStr">
        <is>
          <t>千克</t>
        </is>
      </c>
    </row>
    <row r="813">
      <c r="A813" t="inlineStr">
        <is>
          <t>100301</t>
        </is>
      </c>
      <c r="B813" t="inlineStr">
        <is>
          <t>无缝钢管</t>
        </is>
      </c>
      <c r="C813" t="inlineStr">
        <is>
          <t>600985100</t>
        </is>
      </c>
      <c r="D813" t="inlineStr">
        <is>
          <t>合金结构无缝钢管|钢管|20|Φ68×8|GB/T 699-1999</t>
        </is>
      </c>
      <c r="E813" t="inlineStr">
        <is>
          <t xml:space="preserve">物资名称 合金结构无缝钢管;物资简称 钢管;牌号 20;外径 Φ68;壁厚 8;技术标准号 GB/T 699-1999;加工工艺 ;热处理工艺 ;特殊要求 ;规格标准号 </t>
        </is>
      </c>
      <c r="F813" t="inlineStr">
        <is>
          <t>千克</t>
        </is>
      </c>
    </row>
    <row r="814">
      <c r="A814" t="inlineStr">
        <is>
          <t>100301</t>
        </is>
      </c>
      <c r="B814" t="inlineStr">
        <is>
          <t>无缝钢管</t>
        </is>
      </c>
      <c r="C814" t="inlineStr">
        <is>
          <t>600985000</t>
        </is>
      </c>
      <c r="D814" t="inlineStr">
        <is>
          <t>合金结构无缝钢管|钢管|20|Φ65×5|GB/T 699-1999</t>
        </is>
      </c>
      <c r="E814" t="inlineStr">
        <is>
          <t xml:space="preserve">物资名称 合金结构无缝钢管;物资简称 钢管;牌号 20;外径 Φ65;壁厚 5;技术标准号 GB/T 699-1999;加工工艺 ;热处理工艺 ;特殊要求 ;规格标准号 </t>
        </is>
      </c>
      <c r="F814" t="inlineStr">
        <is>
          <t>千克</t>
        </is>
      </c>
    </row>
    <row r="815">
      <c r="A815" t="inlineStr">
        <is>
          <t>100301</t>
        </is>
      </c>
      <c r="B815" t="inlineStr">
        <is>
          <t>无缝钢管</t>
        </is>
      </c>
      <c r="C815" t="inlineStr">
        <is>
          <t>600947600</t>
        </is>
      </c>
      <c r="D815" t="inlineStr">
        <is>
          <t>结构用热轧优质碳素结构无缝钢管|钢管|45|Φ205×48|GB/T 8162-2008|热轧|GB/T 17395-2008</t>
        </is>
      </c>
      <c r="E815" t="inlineStr">
        <is>
          <t>物资名称 结构用热轧优质碳素结构无缝钢管;物资简称 钢管;牌号 45;外径 Φ205;壁厚 48;技术标准号 GB/T 8162-2008;加工工艺 热轧;热处理工艺 ;特殊要求 ;规格标准号 GB/T 17395-2008</t>
        </is>
      </c>
      <c r="F815" t="inlineStr">
        <is>
          <t>千克</t>
        </is>
      </c>
    </row>
    <row r="816">
      <c r="A816" t="inlineStr">
        <is>
          <t>100301</t>
        </is>
      </c>
      <c r="B816" t="inlineStr">
        <is>
          <t>无缝钢管</t>
        </is>
      </c>
      <c r="C816" t="inlineStr">
        <is>
          <t>600919400</t>
        </is>
      </c>
      <c r="D816" t="inlineStr">
        <is>
          <t>钢管|钢管|40Cr|Φ325×28|GB/T 8162-1999</t>
        </is>
      </c>
      <c r="E816" t="inlineStr">
        <is>
          <t xml:space="preserve">物资名称 钢管;物资简称 钢管;牌号 40Cr;外径 Φ325;壁厚 28;技术标准号 GB/T 8162-1999;加工工艺 ;热处理工艺 ;特殊要求 ;规格标准号 </t>
        </is>
      </c>
      <c r="F816" t="inlineStr">
        <is>
          <t>千克</t>
        </is>
      </c>
    </row>
    <row r="817">
      <c r="A817" t="inlineStr">
        <is>
          <t>100301</t>
        </is>
      </c>
      <c r="B817" t="inlineStr">
        <is>
          <t>无缝钢管</t>
        </is>
      </c>
      <c r="C817" t="inlineStr">
        <is>
          <t>600919300</t>
        </is>
      </c>
      <c r="D817" t="inlineStr">
        <is>
          <t>钢管|钢管|45|GB/T 8162-1999</t>
        </is>
      </c>
      <c r="E817" t="inlineStr">
        <is>
          <t xml:space="preserve">物资名称 钢管;物资简称 钢管;牌号 45;外径 Φ;壁厚 ;技术标准号 GB/T 8162-1999;加工工艺 ;热处理工艺 ;特殊要求 ;规格标准号 </t>
        </is>
      </c>
      <c r="F817" t="inlineStr">
        <is>
          <t>千克</t>
        </is>
      </c>
    </row>
    <row r="818">
      <c r="A818" t="inlineStr">
        <is>
          <t>100301</t>
        </is>
      </c>
      <c r="B818" t="inlineStr">
        <is>
          <t>无缝钢管</t>
        </is>
      </c>
      <c r="C818" t="inlineStr">
        <is>
          <t>600918400</t>
        </is>
      </c>
      <c r="D818" t="inlineStr">
        <is>
          <t>钢管|钢管|20|GB/T 8162-1999</t>
        </is>
      </c>
      <c r="E818" t="inlineStr">
        <is>
          <t xml:space="preserve">物资名称 钢管;物资简称 钢管;牌号 20;外径 Φ;壁厚 ;技术标准号 GB/T 8162-1999;加工工艺 ;热处理工艺 ;特殊要求 ;规格标准号 </t>
        </is>
      </c>
      <c r="F818" t="inlineStr">
        <is>
          <t>千克</t>
        </is>
      </c>
    </row>
    <row r="819">
      <c r="A819" t="inlineStr">
        <is>
          <t>100301</t>
        </is>
      </c>
      <c r="B819" t="inlineStr">
        <is>
          <t>无缝钢管</t>
        </is>
      </c>
      <c r="C819" t="inlineStr">
        <is>
          <t>600917800</t>
        </is>
      </c>
      <c r="D819" t="inlineStr">
        <is>
          <t>结构用热轧合金结构无缝钢管|钢管|40Cr|GB/T 8162-1999</t>
        </is>
      </c>
      <c r="E819" t="inlineStr">
        <is>
          <t xml:space="preserve">物资名称 结构用热轧合金结构无缝钢管;物资简称 钢管;牌号 40Cr;外径 Φ;壁厚 ;技术标准号 GB/T 8162-1999;加工工艺 ;热处理工艺 ;特殊要求 ;规格标准号 </t>
        </is>
      </c>
      <c r="F819" t="inlineStr">
        <is>
          <t>千克</t>
        </is>
      </c>
    </row>
    <row r="820">
      <c r="A820" t="inlineStr">
        <is>
          <t>100301</t>
        </is>
      </c>
      <c r="B820" t="inlineStr">
        <is>
          <t>无缝钢管</t>
        </is>
      </c>
      <c r="C820" t="inlineStr">
        <is>
          <t>600901400</t>
        </is>
      </c>
      <c r="D820" t="inlineStr">
        <is>
          <t>结构用热轧合金结构无缝钢管|钢管|40Cr|Φ315×40|GB/T 8162-2008|热轧|GB/T 17395-2008</t>
        </is>
      </c>
      <c r="E820" t="inlineStr">
        <is>
          <t>物资名称 结构用热轧合金结构无缝钢管;物资简称 钢管;牌号 40Cr;外径 Φ315;壁厚 40;技术标准号 GB/T 8162-2008;加工工艺 热轧;热处理工艺 ;特殊要求 ;规格标准号 GB/T 17395-2008</t>
        </is>
      </c>
      <c r="F820" t="inlineStr">
        <is>
          <t>千克</t>
        </is>
      </c>
    </row>
    <row r="821">
      <c r="A821" t="inlineStr">
        <is>
          <t>100301</t>
        </is>
      </c>
      <c r="B821" t="inlineStr">
        <is>
          <t>无缝钢管</t>
        </is>
      </c>
      <c r="C821" t="inlineStr">
        <is>
          <t>600844300</t>
        </is>
      </c>
      <c r="D821" t="inlineStr">
        <is>
          <t>航空用不锈钢无缝钢管|不锈钢|1Cr18Ni9Ti|Φ4×1|GJB 2296-1995</t>
        </is>
      </c>
      <c r="E821" t="inlineStr">
        <is>
          <t xml:space="preserve">物资名称 航空用不锈钢无缝钢管;物资简称 不锈钢;牌号 1Cr18Ni9Ti;外径 Φ4;壁厚 1;技术标准号 GJB 2296-1995;加工工艺 ;热处理工艺 ;特殊要求 ;规格标准号 </t>
        </is>
      </c>
      <c r="F821" t="inlineStr">
        <is>
          <t>千克</t>
        </is>
      </c>
    </row>
    <row r="822">
      <c r="A822" t="inlineStr">
        <is>
          <t>100301</t>
        </is>
      </c>
      <c r="B822" t="inlineStr">
        <is>
          <t>无缝钢管</t>
        </is>
      </c>
      <c r="C822" t="inlineStr">
        <is>
          <t>600839700</t>
        </is>
      </c>
      <c r="D822" t="inlineStr">
        <is>
          <t>航空用不锈钢无缝钢管|不锈钢|1Cr18Ni9Ti|GJB 2296-1995</t>
        </is>
      </c>
      <c r="E822" t="inlineStr">
        <is>
          <t xml:space="preserve">物资名称 航空用不锈钢无缝钢管;物资简称 不锈钢;牌号 1Cr18Ni9Ti;外径 Φ;壁厚 ;技术标准号 GJB 2296-1995;加工工艺 ;热处理工艺 ;特殊要求 ;规格标准号 </t>
        </is>
      </c>
      <c r="F822" t="inlineStr">
        <is>
          <t>千克</t>
        </is>
      </c>
    </row>
    <row r="823">
      <c r="A823" t="inlineStr">
        <is>
          <t>100301</t>
        </is>
      </c>
      <c r="B823" t="inlineStr">
        <is>
          <t>无缝钢管</t>
        </is>
      </c>
      <c r="C823" t="inlineStr">
        <is>
          <t>600823800</t>
        </is>
      </c>
      <c r="D823" t="inlineStr">
        <is>
          <t>结构用热轧合金结构无缝钢管|钢管|40Cr|Φ273×30|GB/T 8162-1999|热轧|GB/T 17395-2008</t>
        </is>
      </c>
      <c r="E823" t="inlineStr">
        <is>
          <t>物资名称 结构用热轧合金结构无缝钢管;物资简称 钢管;牌号 40Cr;外径 Φ273;壁厚 30;技术标准号 GB/T 8162-1999;加工工艺 热轧;热处理工艺 ;特殊要求 ;规格标准号 GB/T 17395-2008</t>
        </is>
      </c>
      <c r="F823" t="inlineStr">
        <is>
          <t>千克</t>
        </is>
      </c>
    </row>
    <row r="824">
      <c r="A824" t="inlineStr">
        <is>
          <t>100301</t>
        </is>
      </c>
      <c r="B824" t="inlineStr">
        <is>
          <t>无缝钢管</t>
        </is>
      </c>
      <c r="C824" t="inlineStr">
        <is>
          <t>600629800</t>
        </is>
      </c>
      <c r="D824" t="inlineStr">
        <is>
          <t>结构用热轧优质碳素结构无缝钢管|钢管|20|GB/T 8162-2008|GB/T 17395-2008</t>
        </is>
      </c>
      <c r="E824" t="inlineStr">
        <is>
          <t>物资名称 结构用热轧优质碳素结构无缝钢管;物资简称 钢管;牌号 20;外径 Φ;壁厚 ;技术标准号 GB/T 8162-2008;加工工艺 ;热处理工艺 ;特殊要求 ;规格标准号 GB/T 17395-2008</t>
        </is>
      </c>
      <c r="F824" t="inlineStr">
        <is>
          <t>千克</t>
        </is>
      </c>
    </row>
    <row r="825">
      <c r="A825" t="inlineStr">
        <is>
          <t>100301</t>
        </is>
      </c>
      <c r="B825" t="inlineStr">
        <is>
          <t>无缝钢管</t>
        </is>
      </c>
      <c r="C825" t="inlineStr">
        <is>
          <t>600629700</t>
        </is>
      </c>
      <c r="D825" t="inlineStr">
        <is>
          <t>结构用热轧优质碳素结构无缝钢管|钢管|20|Φ38×6|GB/T 8162-2008|热轧|GB/T 17395-2008</t>
        </is>
      </c>
      <c r="E825" t="inlineStr">
        <is>
          <t>物资名称 结构用热轧优质碳素结构无缝钢管;物资简称 钢管;牌号 20;外径 Φ38;壁厚 6;技术标准号 GB/T 8162-2008;加工工艺 热轧;热处理工艺 ;特殊要求 ;规格标准号 GB/T 17395-2008</t>
        </is>
      </c>
      <c r="F825" t="inlineStr">
        <is>
          <t>千克</t>
        </is>
      </c>
    </row>
    <row r="826">
      <c r="A826" t="inlineStr">
        <is>
          <t>100301</t>
        </is>
      </c>
      <c r="B826" t="inlineStr">
        <is>
          <t>无缝钢管</t>
        </is>
      </c>
      <c r="C826" t="inlineStr">
        <is>
          <t>600629600</t>
        </is>
      </c>
      <c r="D826" t="inlineStr">
        <is>
          <t>结构用热轧优质碳素结构无缝钢管|钢管|20|Φ54×8|GB/T 8162-2008|热轧|退火|GB/T 17395-2008</t>
        </is>
      </c>
      <c r="E826" t="inlineStr">
        <is>
          <t>物资名称 结构用热轧优质碳素结构无缝钢管;物资简称 钢管;牌号 20;外径 Φ54;壁厚 8;技术标准号 GB/T 8162-2008;加工工艺 热轧;热处理工艺 退火;特殊要求 ;规格标准号 GB/T 17395-2008</t>
        </is>
      </c>
      <c r="F826" t="inlineStr">
        <is>
          <t>千克</t>
        </is>
      </c>
    </row>
    <row r="827">
      <c r="A827" t="inlineStr">
        <is>
          <t>100301</t>
        </is>
      </c>
      <c r="B827" t="inlineStr">
        <is>
          <t>无缝钢管</t>
        </is>
      </c>
      <c r="C827" t="inlineStr">
        <is>
          <t>600629500</t>
        </is>
      </c>
      <c r="D827" t="inlineStr">
        <is>
          <t>结构用热轧优质碳素结构无缝钢管|钢管|20|Φ65×5|GB/T 8162-2008|热轧|GB/T 17395-2008</t>
        </is>
      </c>
      <c r="E827" t="inlineStr">
        <is>
          <t>物资名称 结构用热轧优质碳素结构无缝钢管;物资简称 钢管;牌号 20;外径 Φ65;壁厚 5;技术标准号 GB/T 8162-2008;加工工艺 热轧;热处理工艺 ;特殊要求 ;规格标准号 GB/T 17395-2008</t>
        </is>
      </c>
      <c r="F827" t="inlineStr">
        <is>
          <t>千克</t>
        </is>
      </c>
    </row>
    <row r="828">
      <c r="A828" t="inlineStr">
        <is>
          <t>100301</t>
        </is>
      </c>
      <c r="B828" t="inlineStr">
        <is>
          <t>无缝钢管</t>
        </is>
      </c>
      <c r="C828" t="inlineStr">
        <is>
          <t>600629400</t>
        </is>
      </c>
      <c r="D828" t="inlineStr">
        <is>
          <t>结构用热轧优质碳素结构无缝钢管|钢管|20|Φ68×8|GB/T 8162-2008|热轧|GB/T 17395-2008</t>
        </is>
      </c>
      <c r="E828" t="inlineStr">
        <is>
          <t>物资名称 结构用热轧优质碳素结构无缝钢管;物资简称 钢管;牌号 20;外径 Φ68;壁厚 8;技术标准号 GB/T 8162-2008;加工工艺 热轧;热处理工艺 ;特殊要求 ;规格标准号 GB/T 17395-2008</t>
        </is>
      </c>
      <c r="F828" t="inlineStr">
        <is>
          <t>千克</t>
        </is>
      </c>
    </row>
    <row r="829">
      <c r="A829" t="inlineStr">
        <is>
          <t>100301</t>
        </is>
      </c>
      <c r="B829" t="inlineStr">
        <is>
          <t>无缝钢管</t>
        </is>
      </c>
      <c r="C829" t="inlineStr">
        <is>
          <t>600629300</t>
        </is>
      </c>
      <c r="D829" t="inlineStr">
        <is>
          <t>结构用热轧优质碳素结构无缝钢管|钢管|20|Φ80×6|GB/T 8162-2008|热轧|GB/T 17395-2008</t>
        </is>
      </c>
      <c r="E829" t="inlineStr">
        <is>
          <t>物资名称 结构用热轧优质碳素结构无缝钢管;物资简称 钢管;牌号 20;外径 Φ80;壁厚 6;技术标准号 GB/T 8162-2008;加工工艺 热轧;热处理工艺 ;特殊要求 ;规格标准号 GB/T 17395-2008</t>
        </is>
      </c>
      <c r="F829" t="inlineStr">
        <is>
          <t>千克</t>
        </is>
      </c>
    </row>
    <row r="830">
      <c r="A830" t="inlineStr">
        <is>
          <t>100301</t>
        </is>
      </c>
      <c r="B830" t="inlineStr">
        <is>
          <t>无缝钢管</t>
        </is>
      </c>
      <c r="C830" t="inlineStr">
        <is>
          <t>600629200</t>
        </is>
      </c>
      <c r="D830" t="inlineStr">
        <is>
          <t>结构用热轧优质碳素结构无缝钢管|钢管|20|Φ89×10|GB/T 8162-2008|热轧|GB/T 17395-2008</t>
        </is>
      </c>
      <c r="E830" t="inlineStr">
        <is>
          <t>物资名称 结构用热轧优质碳素结构无缝钢管;物资简称 钢管;牌号 20;外径 Φ89;壁厚 10;技术标准号 GB/T 8162-2008;加工工艺 热轧;热处理工艺 ;特殊要求 ;规格标准号 GB/T 17395-2008</t>
        </is>
      </c>
      <c r="F830" t="inlineStr">
        <is>
          <t>千克</t>
        </is>
      </c>
    </row>
    <row r="831">
      <c r="A831" t="inlineStr">
        <is>
          <t>100301</t>
        </is>
      </c>
      <c r="B831" t="inlineStr">
        <is>
          <t>无缝钢管</t>
        </is>
      </c>
      <c r="C831" t="inlineStr">
        <is>
          <t>600629100</t>
        </is>
      </c>
      <c r="D831" t="inlineStr">
        <is>
          <t>结构用热轧优质碳素结构无缝钢管|钢管|20|Φ130×8|GB/T 8162-2008|热轧|GB/T 17395-2008</t>
        </is>
      </c>
      <c r="E831" t="inlineStr">
        <is>
          <t>物资名称 结构用热轧优质碳素结构无缝钢管;物资简称 钢管;牌号 20;外径 Φ130;壁厚 8;技术标准号 GB/T 8162-2008;加工工艺 热轧;热处理工艺 ;特殊要求 ;规格标准号 GB/T 17395-2008</t>
        </is>
      </c>
      <c r="F831" t="inlineStr">
        <is>
          <t>千克</t>
        </is>
      </c>
    </row>
    <row r="832">
      <c r="A832" t="inlineStr">
        <is>
          <t>100301</t>
        </is>
      </c>
      <c r="B832" t="inlineStr">
        <is>
          <t>无缝钢管</t>
        </is>
      </c>
      <c r="C832" t="inlineStr">
        <is>
          <t>600629000</t>
        </is>
      </c>
      <c r="D832" t="inlineStr">
        <is>
          <t>结构用热轧优质碳素结构无缝钢管|钢管|20|Φ133×10|GB/T 8162-2008|热轧|GB/T 17395-2008</t>
        </is>
      </c>
      <c r="E832" t="inlineStr">
        <is>
          <t>物资名称 结构用热轧优质碳素结构无缝钢管;物资简称 钢管;牌号 20;外径 Φ133;壁厚 10;技术标准号 GB/T 8162-2008;加工工艺 热轧;热处理工艺 ;特殊要求 ;规格标准号 GB/T 17395-2008</t>
        </is>
      </c>
      <c r="F832" t="inlineStr">
        <is>
          <t>千克</t>
        </is>
      </c>
    </row>
    <row r="833">
      <c r="A833" t="inlineStr">
        <is>
          <t>100301</t>
        </is>
      </c>
      <c r="B833" t="inlineStr">
        <is>
          <t>无缝钢管</t>
        </is>
      </c>
      <c r="C833" t="inlineStr">
        <is>
          <t>600628900</t>
        </is>
      </c>
      <c r="D833" t="inlineStr">
        <is>
          <t>结构用热轧优质碳素结构无缝钢管|钢管|45|GB/T 8162-2008|GB/T 17395-2008</t>
        </is>
      </c>
      <c r="E833" t="inlineStr">
        <is>
          <t>物资名称 结构用热轧优质碳素结构无缝钢管;物资简称 钢管;牌号 45;外径 Φ;壁厚 ;技术标准号 GB/T 8162-2008;加工工艺 ;热处理工艺 ;特殊要求 ;规格标准号 GB/T 17395-2008</t>
        </is>
      </c>
      <c r="F833" t="inlineStr">
        <is>
          <t>千克</t>
        </is>
      </c>
    </row>
    <row r="834">
      <c r="A834" t="inlineStr">
        <is>
          <t>100301</t>
        </is>
      </c>
      <c r="B834" t="inlineStr">
        <is>
          <t>无缝钢管</t>
        </is>
      </c>
      <c r="C834" t="inlineStr">
        <is>
          <t>600628800</t>
        </is>
      </c>
      <c r="D834" t="inlineStr">
        <is>
          <t>结构用热轧优质碳素结构无缝钢管|钢管|45|Φ133×16|GB/T 8162-2008|热轧|退火|GB/T 17395-2008</t>
        </is>
      </c>
      <c r="E834" t="inlineStr">
        <is>
          <t>物资名称 结构用热轧优质碳素结构无缝钢管;物资简称 钢管;牌号 45;外径 Φ133;壁厚 16;技术标准号 GB/T 8162-2008;加工工艺 热轧;热处理工艺 退火;特殊要求 ;规格标准号 GB/T 17395-2008</t>
        </is>
      </c>
      <c r="F834" t="inlineStr">
        <is>
          <t>千克</t>
        </is>
      </c>
    </row>
    <row r="835">
      <c r="A835" t="inlineStr">
        <is>
          <t>100301</t>
        </is>
      </c>
      <c r="B835" t="inlineStr">
        <is>
          <t>无缝钢管</t>
        </is>
      </c>
      <c r="C835" t="inlineStr">
        <is>
          <t>600628700</t>
        </is>
      </c>
      <c r="D835" t="inlineStr">
        <is>
          <t>结构用热轧优质碳素结构无缝钢管|钢管|45|Φ194×35|GB/T 8162-2008|热轧|GB/T 17395-2008</t>
        </is>
      </c>
      <c r="E835" t="inlineStr">
        <is>
          <t>物资名称 结构用热轧优质碳素结构无缝钢管;物资简称 钢管;牌号 45;外径 Φ194;壁厚 35;技术标准号 GB/T 8162-2008;加工工艺 热轧;热处理工艺 ;特殊要求 ;规格标准号 GB/T 17395-2008</t>
        </is>
      </c>
      <c r="F835" t="inlineStr">
        <is>
          <t>千克</t>
        </is>
      </c>
    </row>
    <row r="836">
      <c r="A836" t="inlineStr">
        <is>
          <t>100301</t>
        </is>
      </c>
      <c r="B836" t="inlineStr">
        <is>
          <t>无缝钢管</t>
        </is>
      </c>
      <c r="C836" t="inlineStr">
        <is>
          <t>600628600</t>
        </is>
      </c>
      <c r="D836" t="inlineStr">
        <is>
          <t>结构用热轧优质碳素结构无缝钢管|钢管|45|Φ195×20|GB/T 8162-2008|热轧|GB/T 17395-2008</t>
        </is>
      </c>
      <c r="E836" t="inlineStr">
        <is>
          <t>物资名称 结构用热轧优质碳素结构无缝钢管;物资简称 钢管;牌号 45;外径 Φ195;壁厚 20;技术标准号 GB/T 8162-2008;加工工艺 热轧;热处理工艺 ;特殊要求 ;规格标准号 GB/T 17395-2008</t>
        </is>
      </c>
      <c r="F836" t="inlineStr">
        <is>
          <t>千克</t>
        </is>
      </c>
    </row>
    <row r="837">
      <c r="A837" t="inlineStr">
        <is>
          <t>100301</t>
        </is>
      </c>
      <c r="B837" t="inlineStr">
        <is>
          <t>无缝钢管</t>
        </is>
      </c>
      <c r="C837" t="inlineStr">
        <is>
          <t>600628500</t>
        </is>
      </c>
      <c r="D837" t="inlineStr">
        <is>
          <t>结构用热轧优质碳素结构无缝钢管|钢管|45|Φ325×28|GB/T 8162-2008|热轧|GB/T 17395-2008</t>
        </is>
      </c>
      <c r="E837" t="inlineStr">
        <is>
          <t>物资名称 结构用热轧优质碳素结构无缝钢管;物资简称 钢管;牌号 45;外径 Φ325;壁厚 28;技术标准号 GB/T 8162-2008;加工工艺 热轧;热处理工艺 ;特殊要求 ;规格标准号 GB/T 17395-2008</t>
        </is>
      </c>
      <c r="F837" t="inlineStr">
        <is>
          <t>千克</t>
        </is>
      </c>
    </row>
    <row r="838">
      <c r="A838" t="inlineStr">
        <is>
          <t>100301</t>
        </is>
      </c>
      <c r="B838" t="inlineStr">
        <is>
          <t>无缝钢管</t>
        </is>
      </c>
      <c r="C838" t="inlineStr">
        <is>
          <t>600628400</t>
        </is>
      </c>
      <c r="D838" t="inlineStr">
        <is>
          <t>结构用热轧合金结构无缝钢管|钢管|40Cr|GB/T 8162-2008|GB/T 17395-2008</t>
        </is>
      </c>
      <c r="E838" t="inlineStr">
        <is>
          <t>物资名称 结构用热轧合金结构无缝钢管;物资简称 钢管;牌号 40Cr;外径 Φ;壁厚 ;技术标准号 GB/T 8162-2008;加工工艺 ;热处理工艺 ;特殊要求 ;规格标准号 GB/T 17395-2008</t>
        </is>
      </c>
      <c r="F838" t="inlineStr">
        <is>
          <t>千克</t>
        </is>
      </c>
    </row>
    <row r="839">
      <c r="A839" t="inlineStr">
        <is>
          <t>100301</t>
        </is>
      </c>
      <c r="B839" t="inlineStr">
        <is>
          <t>无缝钢管</t>
        </is>
      </c>
      <c r="C839" t="inlineStr">
        <is>
          <t>600628300</t>
        </is>
      </c>
      <c r="D839" t="inlineStr">
        <is>
          <t>结构用热轧合金结构无缝钢管|钢管|40Cr|Φ121×13.5|GB/T 8162-2008|热轧|GB/T 17395-2008</t>
        </is>
      </c>
      <c r="E839" t="inlineStr">
        <is>
          <t>物资名称 结构用热轧合金结构无缝钢管;物资简称 钢管;牌号 40Cr;外径 Φ121;壁厚 13.5;技术标准号 GB/T 8162-2008;加工工艺 热轧;热处理工艺 ;特殊要求 ;规格标准号 GB/T 17395-2008</t>
        </is>
      </c>
      <c r="F839" t="inlineStr">
        <is>
          <t>千克</t>
        </is>
      </c>
    </row>
    <row r="840">
      <c r="A840" t="inlineStr">
        <is>
          <t>100301</t>
        </is>
      </c>
      <c r="B840" t="inlineStr">
        <is>
          <t>无缝钢管</t>
        </is>
      </c>
      <c r="C840" t="inlineStr">
        <is>
          <t>600628200</t>
        </is>
      </c>
      <c r="D840" t="inlineStr">
        <is>
          <t>结构用热轧合金结构无缝钢管|钢管|40Cr|Φ205×38|GB/T 8162-2008|热轧|GB/T 17395-2008</t>
        </is>
      </c>
      <c r="E840" t="inlineStr">
        <is>
          <t>物资名称 结构用热轧合金结构无缝钢管;物资简称 钢管;牌号 40Cr;外径 Φ205;壁厚 38;技术标准号 GB/T 8162-2008;加工工艺 热轧;热处理工艺 ;特殊要求 ;规格标准号 GB/T 17395-2008</t>
        </is>
      </c>
      <c r="F840" t="inlineStr">
        <is>
          <t>千克</t>
        </is>
      </c>
    </row>
    <row r="841">
      <c r="A841" t="inlineStr">
        <is>
          <t>100301</t>
        </is>
      </c>
      <c r="B841" t="inlineStr">
        <is>
          <t>无缝钢管</t>
        </is>
      </c>
      <c r="C841" t="inlineStr">
        <is>
          <t>600628100</t>
        </is>
      </c>
      <c r="D841" t="inlineStr">
        <is>
          <t>结构用热轧合金结构无缝钢管|钢管|40Cr|Φ273×30|GB/T 8162-2008|热轧|GB/T 17395-2008</t>
        </is>
      </c>
      <c r="E841" t="inlineStr">
        <is>
          <t>物资名称 结构用热轧合金结构无缝钢管;物资简称 钢管;牌号 40Cr;外径 Φ273;壁厚 30;技术标准号 GB/T 8162-2008;加工工艺 热轧;热处理工艺 ;特殊要求 ;规格标准号 GB/T 17395-2008</t>
        </is>
      </c>
      <c r="F841" t="inlineStr">
        <is>
          <t>千克</t>
        </is>
      </c>
    </row>
    <row r="842">
      <c r="A842" t="inlineStr">
        <is>
          <t>100301</t>
        </is>
      </c>
      <c r="B842" t="inlineStr">
        <is>
          <t>无缝钢管</t>
        </is>
      </c>
      <c r="C842" t="inlineStr">
        <is>
          <t>600628000</t>
        </is>
      </c>
      <c r="D842" t="inlineStr">
        <is>
          <t>结构用热轧合金结构无缝钢管|钢管|40Cr|Φ325×45|GB/T 8162-2008|热轧|GB/T 17395-2008</t>
        </is>
      </c>
      <c r="E842" t="inlineStr">
        <is>
          <t>物资名称 结构用热轧合金结构无缝钢管;物资简称 钢管;牌号 40Cr;外径 Φ325;壁厚 45;技术标准号 GB/T 8162-2008;加工工艺 热轧;热处理工艺 ;特殊要求 ;规格标准号 GB/T 17395-2008</t>
        </is>
      </c>
      <c r="F842" t="inlineStr">
        <is>
          <t>千克</t>
        </is>
      </c>
    </row>
    <row r="843">
      <c r="A843" t="inlineStr">
        <is>
          <t>100301</t>
        </is>
      </c>
      <c r="B843" t="inlineStr">
        <is>
          <t>无缝钢管</t>
        </is>
      </c>
      <c r="C843" t="inlineStr">
        <is>
          <t>600627900</t>
        </is>
      </c>
      <c r="D843" t="inlineStr">
        <is>
          <t>结构用热轧不锈无缝钢管|钢管|1Cr18Ni9Ti|GB/T 14975-2002</t>
        </is>
      </c>
      <c r="E843" t="inlineStr">
        <is>
          <t xml:space="preserve">物资名称 结构用热轧不锈无缝钢管;物资简称 钢管;牌号 1Cr18Ni9Ti;外径 Φ;壁厚 ;技术标准号 GB/T 14975-2002;加工工艺 ;热处理工艺 ;特殊要求 ;规格标准号 </t>
        </is>
      </c>
      <c r="F843" t="inlineStr">
        <is>
          <t>千克</t>
        </is>
      </c>
    </row>
    <row r="844">
      <c r="A844" t="inlineStr">
        <is>
          <t>100301</t>
        </is>
      </c>
      <c r="B844" t="inlineStr">
        <is>
          <t>无缝钢管</t>
        </is>
      </c>
      <c r="C844" t="inlineStr">
        <is>
          <t>600627800</t>
        </is>
      </c>
      <c r="D844" t="inlineStr">
        <is>
          <t>结构用热轧不锈无缝钢管|钢管|1Cr18Ni9Ti|Φ2×0.5|GB/T 14975-2002|热轧</t>
        </is>
      </c>
      <c r="E844" t="inlineStr">
        <is>
          <t xml:space="preserve">物资名称 结构用热轧不锈无缝钢管;物资简称 钢管;牌号 1Cr18Ni9Ti;外径 Φ2;壁厚 0.5;技术标准号 GB/T 14975-2002;加工工艺 热轧;热处理工艺 ;特殊要求 ;规格标准号 </t>
        </is>
      </c>
      <c r="F844" t="inlineStr">
        <is>
          <t>千克</t>
        </is>
      </c>
    </row>
    <row r="845">
      <c r="A845" t="inlineStr">
        <is>
          <t>100301</t>
        </is>
      </c>
      <c r="B845" t="inlineStr">
        <is>
          <t>无缝钢管</t>
        </is>
      </c>
      <c r="C845" t="inlineStr">
        <is>
          <t>600627700</t>
        </is>
      </c>
      <c r="D845" t="inlineStr">
        <is>
          <t>结构用热轧不锈无缝钢管|钢管|1Cr18Ni9Ti|Φ4×1|GB/T 14975-2002|热轧</t>
        </is>
      </c>
      <c r="E845" t="inlineStr">
        <is>
          <t xml:space="preserve">物资名称 结构用热轧不锈无缝钢管;物资简称 钢管;牌号 1Cr18Ni9Ti;外径 Φ4;壁厚 1;技术标准号 GB/T 14975-2002;加工工艺 热轧;热处理工艺 ;特殊要求 ;规格标准号 </t>
        </is>
      </c>
      <c r="F845" t="inlineStr">
        <is>
          <t>千克</t>
        </is>
      </c>
    </row>
    <row r="846">
      <c r="A846" t="inlineStr">
        <is>
          <t>100301</t>
        </is>
      </c>
      <c r="B846" t="inlineStr">
        <is>
          <t>无缝钢管</t>
        </is>
      </c>
      <c r="C846" t="inlineStr">
        <is>
          <t>600627600</t>
        </is>
      </c>
      <c r="D846" t="inlineStr">
        <is>
          <t>结构用热轧不锈无缝钢管|钢管|1Cr18Ni9Ti|Φ6×1|GB/T 14975-2002|热轧</t>
        </is>
      </c>
      <c r="E846" t="inlineStr">
        <is>
          <t xml:space="preserve">物资名称 结构用热轧不锈无缝钢管;物资简称 钢管;牌号 1Cr18Ni9Ti;外径 Φ6;壁厚 1;技术标准号 GB/T 14975-2002;加工工艺 热轧;热处理工艺 ;特殊要求 ;规格标准号 </t>
        </is>
      </c>
      <c r="F846" t="inlineStr">
        <is>
          <t>千克</t>
        </is>
      </c>
    </row>
    <row r="847">
      <c r="A847" t="inlineStr">
        <is>
          <t>100301</t>
        </is>
      </c>
      <c r="B847" t="inlineStr">
        <is>
          <t>无缝钢管</t>
        </is>
      </c>
      <c r="C847" t="inlineStr">
        <is>
          <t>600627500</t>
        </is>
      </c>
      <c r="D847" t="inlineStr">
        <is>
          <t>结构用热轧不锈无缝钢管|钢管|1Cr18Ni9Ti|Φ6×1.5|GB/T 14975-2002|热轧</t>
        </is>
      </c>
      <c r="E847" t="inlineStr">
        <is>
          <t xml:space="preserve">物资名称 结构用热轧不锈无缝钢管;物资简称 钢管;牌号 1Cr18Ni9Ti;外径 Φ6;壁厚 1.5;技术标准号 GB/T 14975-2002;加工工艺 热轧;热处理工艺 ;特殊要求 ;规格标准号 </t>
        </is>
      </c>
      <c r="F847" t="inlineStr">
        <is>
          <t>千克</t>
        </is>
      </c>
    </row>
    <row r="848">
      <c r="A848" t="inlineStr">
        <is>
          <t>100301</t>
        </is>
      </c>
      <c r="B848" t="inlineStr">
        <is>
          <t>无缝钢管</t>
        </is>
      </c>
      <c r="C848" t="inlineStr">
        <is>
          <t>600627400</t>
        </is>
      </c>
      <c r="D848" t="inlineStr">
        <is>
          <t>结构用热轧不锈无缝钢管|钢管|1Cr18Ni9Ti|Φ8×1|GB/T 14975-2002|热轧</t>
        </is>
      </c>
      <c r="E848" t="inlineStr">
        <is>
          <t xml:space="preserve">物资名称 结构用热轧不锈无缝钢管;物资简称 钢管;牌号 1Cr18Ni9Ti;外径 Φ8;壁厚 1;技术标准号 GB/T 14975-2002;加工工艺 热轧;热处理工艺 ;特殊要求 ;规格标准号 </t>
        </is>
      </c>
      <c r="F848" t="inlineStr">
        <is>
          <t>千克</t>
        </is>
      </c>
    </row>
    <row r="849">
      <c r="A849" t="inlineStr">
        <is>
          <t>100301</t>
        </is>
      </c>
      <c r="B849" t="inlineStr">
        <is>
          <t>无缝钢管</t>
        </is>
      </c>
      <c r="C849" t="inlineStr">
        <is>
          <t>600627300</t>
        </is>
      </c>
      <c r="D849" t="inlineStr">
        <is>
          <t>结构用热轧不锈无缝钢管|钢管|1Cr18Ni9Ti|Φ8×2|GB/T 14975-2002|热轧</t>
        </is>
      </c>
      <c r="E849" t="inlineStr">
        <is>
          <t xml:space="preserve">物资名称 结构用热轧不锈无缝钢管;物资简称 钢管;牌号 1Cr18Ni9Ti;外径 Φ8;壁厚 2;技术标准号 GB/T 14975-2002;加工工艺 热轧;热处理工艺 ;特殊要求 ;规格标准号 </t>
        </is>
      </c>
      <c r="F849" t="inlineStr">
        <is>
          <t>千克</t>
        </is>
      </c>
    </row>
    <row r="850">
      <c r="A850" t="inlineStr">
        <is>
          <t>100301</t>
        </is>
      </c>
      <c r="B850" t="inlineStr">
        <is>
          <t>无缝钢管</t>
        </is>
      </c>
      <c r="C850" t="inlineStr">
        <is>
          <t>600627200</t>
        </is>
      </c>
      <c r="D850" t="inlineStr">
        <is>
          <t>结构用热轧不锈无缝钢管|钢管|1Cr18Ni9Ti|Φ10×1|GB/T 14975-2002|热轧</t>
        </is>
      </c>
      <c r="E850" t="inlineStr">
        <is>
          <t xml:space="preserve">物资名称 结构用热轧不锈无缝钢管;物资简称 钢管;牌号 1Cr18Ni9Ti;外径 Φ10;壁厚 1;技术标准号 GB/T 14975-2002;加工工艺 热轧;热处理工艺 ;特殊要求 ;规格标准号 </t>
        </is>
      </c>
      <c r="F850" t="inlineStr">
        <is>
          <t>千克</t>
        </is>
      </c>
    </row>
    <row r="851">
      <c r="A851" t="inlineStr">
        <is>
          <t>100301</t>
        </is>
      </c>
      <c r="B851" t="inlineStr">
        <is>
          <t>无缝钢管</t>
        </is>
      </c>
      <c r="C851" t="inlineStr">
        <is>
          <t>600627100</t>
        </is>
      </c>
      <c r="D851" t="inlineStr">
        <is>
          <t>结构用热轧不锈无缝钢管|钢管|1Cr18Ni9Ti|Φ12×1|GB/T 14975-2002|热轧</t>
        </is>
      </c>
      <c r="E851" t="inlineStr">
        <is>
          <t xml:space="preserve">物资名称 结构用热轧不锈无缝钢管;物资简称 钢管;牌号 1Cr18Ni9Ti;外径 Φ12;壁厚 1;技术标准号 GB/T 14975-2002;加工工艺 热轧;热处理工艺 ;特殊要求 ;规格标准号 </t>
        </is>
      </c>
      <c r="F851" t="inlineStr">
        <is>
          <t>千克</t>
        </is>
      </c>
    </row>
    <row r="852">
      <c r="A852" t="inlineStr">
        <is>
          <t>100301</t>
        </is>
      </c>
      <c r="B852" t="inlineStr">
        <is>
          <t>无缝钢管</t>
        </is>
      </c>
      <c r="C852" t="inlineStr">
        <is>
          <t>600627000</t>
        </is>
      </c>
      <c r="D852" t="inlineStr">
        <is>
          <t>结构用热轧不锈无缝钢管|钢管|1Cr18Ni9Ti|Φ45×4|GB/T 14975-2002|热轧</t>
        </is>
      </c>
      <c r="E852" t="inlineStr">
        <is>
          <t xml:space="preserve">物资名称 结构用热轧不锈无缝钢管;物资简称 钢管;牌号 1Cr18Ni9Ti;外径 Φ45;壁厚 4;技术标准号 GB/T 14975-2002;加工工艺 热轧;热处理工艺 ;特殊要求 ;规格标准号 </t>
        </is>
      </c>
      <c r="F852" t="inlineStr">
        <is>
          <t>千克</t>
        </is>
      </c>
    </row>
    <row r="853">
      <c r="A853" t="inlineStr">
        <is>
          <t>100301</t>
        </is>
      </c>
      <c r="B853" t="inlineStr">
        <is>
          <t>无缝钢管</t>
        </is>
      </c>
      <c r="C853" t="inlineStr">
        <is>
          <t>600626900</t>
        </is>
      </c>
      <c r="D853" t="inlineStr">
        <is>
          <t>结构用热轧不锈无缝钢管|钢管|1Cr18Ni9Ti|Φ89×6|GB/T 14975-2002|热轧</t>
        </is>
      </c>
      <c r="E853" t="inlineStr">
        <is>
          <t xml:space="preserve">物资名称 结构用热轧不锈无缝钢管;物资简称 钢管;牌号 1Cr18Ni9Ti;外径 Φ89;壁厚 6;技术标准号 GB/T 14975-2002;加工工艺 热轧;热处理工艺 ;特殊要求 ;规格标准号 </t>
        </is>
      </c>
      <c r="F853" t="inlineStr">
        <is>
          <t>千克</t>
        </is>
      </c>
    </row>
    <row r="854">
      <c r="A854" t="inlineStr">
        <is>
          <t>100301</t>
        </is>
      </c>
      <c r="B854" t="inlineStr">
        <is>
          <t>无缝钢管</t>
        </is>
      </c>
      <c r="C854" t="inlineStr">
        <is>
          <t>600626800</t>
        </is>
      </c>
      <c r="D854" t="inlineStr">
        <is>
          <t>结构用热轧不锈无缝钢管|钢管|1Cr18Ni9Ti|Φ25×2.5|GB/T 14975-2002|热轧</t>
        </is>
      </c>
      <c r="E854" t="inlineStr">
        <is>
          <t xml:space="preserve">物资名称 结构用热轧不锈无缝钢管;物资简称 钢管;牌号 1Cr18Ni9Ti;外径 Φ25;壁厚 2.5;技术标准号 GB/T 14975-2002;加工工艺 热轧;热处理工艺 ;特殊要求 ;规格标准号 </t>
        </is>
      </c>
      <c r="F854" t="inlineStr">
        <is>
          <t>千克</t>
        </is>
      </c>
    </row>
    <row r="855">
      <c r="A855" t="inlineStr">
        <is>
          <t>100301</t>
        </is>
      </c>
      <c r="B855" t="inlineStr">
        <is>
          <t>无缝钢管</t>
        </is>
      </c>
      <c r="C855" t="inlineStr">
        <is>
          <t>600626700</t>
        </is>
      </c>
      <c r="D855" t="inlineStr">
        <is>
          <t>结构用热轧不锈无缝钢管|钢管|1Cr18Ni9Ti|Φ32×3|GB/T 14975-2002|热轧</t>
        </is>
      </c>
      <c r="E855" t="inlineStr">
        <is>
          <t xml:space="preserve">物资名称 结构用热轧不锈无缝钢管;物资简称 钢管;牌号 1Cr18Ni9Ti;外径 Φ32;壁厚 3;技术标准号 GB/T 14975-2002;加工工艺 热轧;热处理工艺 ;特殊要求 ;规格标准号 </t>
        </is>
      </c>
      <c r="F855" t="inlineStr">
        <is>
          <t>千克</t>
        </is>
      </c>
    </row>
    <row r="856">
      <c r="A856" t="inlineStr">
        <is>
          <t>100301</t>
        </is>
      </c>
      <c r="B856" t="inlineStr">
        <is>
          <t>无缝钢管</t>
        </is>
      </c>
      <c r="C856" t="inlineStr">
        <is>
          <t>600626600</t>
        </is>
      </c>
      <c r="D856" t="inlineStr">
        <is>
          <t>结构用热轧不锈无缝钢管|钢管|1Cr18Ni9Ti|Φ34×3|GB/T 14975-2002|热轧</t>
        </is>
      </c>
      <c r="E856" t="inlineStr">
        <is>
          <t xml:space="preserve">物资名称 结构用热轧不锈无缝钢管;物资简称 钢管;牌号 1Cr18Ni9Ti;外径 Φ34;壁厚 3;技术标准号 GB/T 14975-2002;加工工艺 热轧;热处理工艺 ;特殊要求 ;规格标准号 </t>
        </is>
      </c>
      <c r="F856" t="inlineStr">
        <is>
          <t>千克</t>
        </is>
      </c>
    </row>
    <row r="857">
      <c r="A857" t="inlineStr">
        <is>
          <t>100301</t>
        </is>
      </c>
      <c r="B857" t="inlineStr">
        <is>
          <t>无缝钢管</t>
        </is>
      </c>
      <c r="C857" t="inlineStr">
        <is>
          <t>600626500</t>
        </is>
      </c>
      <c r="D857" t="inlineStr">
        <is>
          <t>结构用热轧不锈无缝钢管|钢管|1Cr18Ni9Ti|Φ28×4|GB/T 14975-2002|热轧</t>
        </is>
      </c>
      <c r="E857" t="inlineStr">
        <is>
          <t xml:space="preserve">物资名称 结构用热轧不锈无缝钢管;物资简称 钢管;牌号 1Cr18Ni9Ti;外径 Φ28;壁厚 4;技术标准号 GB/T 14975-2002;加工工艺 热轧;热处理工艺 ;特殊要求 ;规格标准号 </t>
        </is>
      </c>
      <c r="F857" t="inlineStr">
        <is>
          <t>千克</t>
        </is>
      </c>
    </row>
    <row r="858">
      <c r="A858" t="inlineStr">
        <is>
          <t>100301</t>
        </is>
      </c>
      <c r="B858" t="inlineStr">
        <is>
          <t>无缝钢管</t>
        </is>
      </c>
      <c r="C858" t="inlineStr">
        <is>
          <t>600626400</t>
        </is>
      </c>
      <c r="D858" t="inlineStr">
        <is>
          <t>结构用热轧不锈无缝钢管|钢管|1Cr18Ni9Ti|Φ27×3|GB/T 14975-2002|热轧</t>
        </is>
      </c>
      <c r="E858" t="inlineStr">
        <is>
          <t xml:space="preserve">物资名称 结构用热轧不锈无缝钢管;物资简称 钢管;牌号 1Cr18Ni9Ti;外径 Φ27;壁厚 3;技术标准号 GB/T 14975-2002;加工工艺 热轧;热处理工艺 ;特殊要求 ;规格标准号 </t>
        </is>
      </c>
      <c r="F858" t="inlineStr">
        <is>
          <t>千克</t>
        </is>
      </c>
    </row>
    <row r="859">
      <c r="A859" t="inlineStr">
        <is>
          <t>100301</t>
        </is>
      </c>
      <c r="B859" t="inlineStr">
        <is>
          <t>无缝钢管</t>
        </is>
      </c>
      <c r="C859" t="inlineStr">
        <is>
          <t>600626300</t>
        </is>
      </c>
      <c r="D859" t="inlineStr">
        <is>
          <t>结构用热轧不锈无缝钢管|钢管|1Cr18Ni9Ti|Φ25×3|GB/T 14975-2002|热轧</t>
        </is>
      </c>
      <c r="E859" t="inlineStr">
        <is>
          <t xml:space="preserve">物资名称 结构用热轧不锈无缝钢管;物资简称 钢管;牌号 1Cr18Ni9Ti;外径 Φ25;壁厚 3;技术标准号 GB/T 14975-2002;加工工艺 热轧;热处理工艺 ;特殊要求 ;规格标准号 </t>
        </is>
      </c>
      <c r="F859" t="inlineStr">
        <is>
          <t>千克</t>
        </is>
      </c>
    </row>
    <row r="860">
      <c r="A860" t="inlineStr">
        <is>
          <t>100301</t>
        </is>
      </c>
      <c r="B860" t="inlineStr">
        <is>
          <t>无缝钢管</t>
        </is>
      </c>
      <c r="C860" t="inlineStr">
        <is>
          <t>600626200</t>
        </is>
      </c>
      <c r="D860" t="inlineStr">
        <is>
          <t>结构用热轧不锈无缝钢管|钢管|1Cr18Ni9Ti|Φ42×3|GB/T 14975-2002|热轧</t>
        </is>
      </c>
      <c r="E860" t="inlineStr">
        <is>
          <t xml:space="preserve">物资名称 结构用热轧不锈无缝钢管;物资简称 钢管;牌号 1Cr18Ni9Ti;外径 Φ42;壁厚 3;技术标准号 GB/T 14975-2002;加工工艺 热轧;热处理工艺 ;特殊要求 ;规格标准号 </t>
        </is>
      </c>
      <c r="F860" t="inlineStr">
        <is>
          <t>千克</t>
        </is>
      </c>
    </row>
    <row r="861">
      <c r="A861" t="inlineStr">
        <is>
          <t>100301</t>
        </is>
      </c>
      <c r="B861" t="inlineStr">
        <is>
          <t>无缝钢管</t>
        </is>
      </c>
      <c r="C861" t="inlineStr">
        <is>
          <t>600626100</t>
        </is>
      </c>
      <c r="D861" t="inlineStr">
        <is>
          <t>结构用热轧不锈无缝钢管|钢管|1Cr18Ni9Ti|Φ60×6|GB/T 14975-2002|热轧</t>
        </is>
      </c>
      <c r="E861" t="inlineStr">
        <is>
          <t xml:space="preserve">物资名称 结构用热轧不锈无缝钢管;物资简称 钢管;牌号 1Cr18Ni9Ti;外径 Φ60;壁厚 6;技术标准号 GB/T 14975-2002;加工工艺 热轧;热处理工艺 ;特殊要求 ;规格标准号 </t>
        </is>
      </c>
      <c r="F861" t="inlineStr">
        <is>
          <t>千克</t>
        </is>
      </c>
    </row>
    <row r="862">
      <c r="A862" t="inlineStr">
        <is>
          <t>100401</t>
        </is>
      </c>
      <c r="B862" t="inlineStr">
        <is>
          <t>钢带</t>
        </is>
      </c>
      <c r="C862" t="inlineStr">
        <is>
          <t>603573200</t>
        </is>
      </c>
      <c r="D862" t="inlineStr">
        <is>
          <t>冷轧不锈钢带|钢带|45-P-G-Q-I|δ1|30|YB207-1965|冷轧|H1/4|N|GB/T 708-2006</t>
        </is>
      </c>
      <c r="E862" t="inlineStr">
        <is>
          <t>物资名称 冷轧不锈钢带;物资简称 钢带;牌号 45-P-G-Q-I;厚度 δ1;宽 30;技术标准号 YB207-1965;加工工艺 冷轧;热处理工艺 H1/4;特殊要求 N;规格标准号 GB/T 708-2006</t>
        </is>
      </c>
      <c r="F862" t="inlineStr">
        <is>
          <t>千克</t>
        </is>
      </c>
    </row>
    <row r="863">
      <c r="A863" t="inlineStr">
        <is>
          <t>100401</t>
        </is>
      </c>
      <c r="B863" t="inlineStr">
        <is>
          <t>钢带</t>
        </is>
      </c>
      <c r="C863" t="inlineStr">
        <is>
          <t>603540500</t>
        </is>
      </c>
      <c r="D863" t="inlineStr">
        <is>
          <t>冷轧不锈钢带|钢带|12Cr18Ni9|δ1.2|GB/T 3280-2015|冷轧|H1/4|N|GB/T 708-2006</t>
        </is>
      </c>
      <c r="E863" t="inlineStr">
        <is>
          <t>物资名称 冷轧不锈钢带;物资简称 钢带;牌号 12Cr18Ni9;厚度 δ1.2;宽 ;技术标准号 GB/T 3280-2015;加工工艺 冷轧;热处理工艺 H1/4;特殊要求 N;规格标准号 GB/T 708-2006</t>
        </is>
      </c>
      <c r="F863" t="inlineStr">
        <is>
          <t>千克</t>
        </is>
      </c>
    </row>
    <row r="864">
      <c r="A864" t="inlineStr">
        <is>
          <t>100401</t>
        </is>
      </c>
      <c r="B864" t="inlineStr">
        <is>
          <t>钢带</t>
        </is>
      </c>
      <c r="C864" t="inlineStr">
        <is>
          <t>603539300</t>
        </is>
      </c>
      <c r="D864" t="inlineStr">
        <is>
          <t>热处理弹簧钢带|钢带|60Si2MnA|YB/T 5063-2007</t>
        </is>
      </c>
      <c r="E864" t="inlineStr">
        <is>
          <t>物资名称 热处理弹簧钢带;物资简称 钢带;牌号 60Si2MnA;厚度 δ;宽 ;技术标准号 YB/T 5063-2007;加工工艺 ;热处理工艺 ;特殊要求 ;规格标准号</t>
        </is>
      </c>
      <c r="F864" t="inlineStr">
        <is>
          <t>千克</t>
        </is>
      </c>
    </row>
    <row r="865">
      <c r="A865" t="inlineStr">
        <is>
          <t>100401</t>
        </is>
      </c>
      <c r="B865" t="inlineStr">
        <is>
          <t>钢带</t>
        </is>
      </c>
      <c r="C865" t="inlineStr">
        <is>
          <t>603537900</t>
        </is>
      </c>
      <c r="D865" t="inlineStr">
        <is>
          <t>弹簧用不锈钢冷轧钢带|钢带|12Cr17Ni7|δ0.6|YB/T 5310-2010|冷轧</t>
        </is>
      </c>
      <c r="E865" t="inlineStr">
        <is>
          <t>物资名称 弹簧用不锈钢冷轧钢带;物资简称 钢带;牌号 12Cr17Ni7;厚度 δ0.6;宽 ;技术标准号 YB/T 5310-2010;加工工艺 冷轧;热处理工艺 ;特殊要求 ;规格标准号</t>
        </is>
      </c>
      <c r="F865" t="inlineStr">
        <is>
          <t>千克</t>
        </is>
      </c>
    </row>
    <row r="866">
      <c r="A866" t="inlineStr">
        <is>
          <t>100401</t>
        </is>
      </c>
      <c r="B866" t="inlineStr">
        <is>
          <t>钢带</t>
        </is>
      </c>
      <c r="C866" t="inlineStr">
        <is>
          <t>603528800</t>
        </is>
      </c>
      <c r="D866" t="inlineStr">
        <is>
          <t>冷轧不锈钢带|钢带|0Cr18Ni9|δ0.25|GB/T 4239-1991|冷轧|Y2</t>
        </is>
      </c>
      <c r="E866" t="inlineStr">
        <is>
          <t>物资名称 冷轧不锈钢带;物资简称 钢带;牌号 0Cr18Ni9;厚度 δ0.25;宽 ;技术标准号 GB/T 4239-1991;加工工艺 冷轧;热处理工艺 ;特殊要求 Y2;规格标准号</t>
        </is>
      </c>
      <c r="F866" t="inlineStr">
        <is>
          <t>千克</t>
        </is>
      </c>
    </row>
    <row r="867">
      <c r="A867" t="inlineStr">
        <is>
          <t>100401</t>
        </is>
      </c>
      <c r="B867" t="inlineStr">
        <is>
          <t>钢带</t>
        </is>
      </c>
      <c r="C867" t="inlineStr">
        <is>
          <t>603335100</t>
        </is>
      </c>
      <c r="D867" t="inlineStr">
        <is>
          <t>带孔无花镀锌板卷|镀锌板|δ0.4mm×10mm</t>
        </is>
      </c>
      <c r="E867" t="inlineStr">
        <is>
          <t>物资名称 带孔无花镀锌板卷;物资简称 镀锌板;牌号 ;厚度 δ0.4mm;宽 10mm;技术标准号 ;加工工艺 ;热处理工艺 ;特殊要求 ;规格标准号</t>
        </is>
      </c>
      <c r="F867" t="inlineStr">
        <is>
          <t>千克</t>
        </is>
      </c>
    </row>
    <row r="868">
      <c r="A868" t="inlineStr">
        <is>
          <t>100401</t>
        </is>
      </c>
      <c r="B868" t="inlineStr">
        <is>
          <t>钢带</t>
        </is>
      </c>
      <c r="C868" t="inlineStr">
        <is>
          <t>602886900</t>
        </is>
      </c>
      <c r="D868" t="inlineStr">
        <is>
          <t>特种钢带|钢带|SOONV-32181|δ0.508|SVM-NM-32181|上海速威特特种合金</t>
        </is>
      </c>
      <c r="E868" t="inlineStr">
        <is>
          <t>物资名称 特种钢带;物资简称 钢带;牌号 SOONV-32181;厚度 δ0.508;宽 ;技术标准号 SVM-NM-32181;加工工艺 ;热处理工艺 ;特殊要求 上海速威特特种合金;规格标准号</t>
        </is>
      </c>
      <c r="F868" t="inlineStr">
        <is>
          <t>千克</t>
        </is>
      </c>
    </row>
    <row r="869">
      <c r="A869" t="inlineStr">
        <is>
          <t>100401</t>
        </is>
      </c>
      <c r="B869" t="inlineStr">
        <is>
          <t>钢带</t>
        </is>
      </c>
      <c r="C869" t="inlineStr">
        <is>
          <t>602309100</t>
        </is>
      </c>
      <c r="D869" t="inlineStr">
        <is>
          <t>冷轧不锈钢带|钢带|0Cr18Ni9|δ0.02|GB/T 4239-1991|冷轧|Y2</t>
        </is>
      </c>
      <c r="E869" t="inlineStr">
        <is>
          <t xml:space="preserve">物资名称 冷轧不锈钢带;物资简称 钢带;牌号 0Cr18Ni9;厚度 δ0.02;宽 ;技术标准号 GB/T 4239-1991;加工工艺 冷轧;热处理工艺 ;特殊要求 Y2;规格标准号 </t>
        </is>
      </c>
      <c r="F869" t="inlineStr">
        <is>
          <t>千克</t>
        </is>
      </c>
    </row>
    <row r="870">
      <c r="A870" t="inlineStr">
        <is>
          <t>100401</t>
        </is>
      </c>
      <c r="B870" t="inlineStr">
        <is>
          <t>钢带</t>
        </is>
      </c>
      <c r="C870" t="inlineStr">
        <is>
          <t>602309000</t>
        </is>
      </c>
      <c r="D870" t="inlineStr">
        <is>
          <t>特种钢带|钢带|XSVS-7C27Mo2|δ0.508×200×205|厂家约定</t>
        </is>
      </c>
      <c r="E870" t="inlineStr">
        <is>
          <t xml:space="preserve">物资名称 特种钢带;物资简称 钢带;牌号 XSVS-7C27Mo2;厚度 δ0.508;宽 200×205;技术标准号 ;加工工艺 ;热处理工艺 ;特殊要求 厂家约定;规格标准号 </t>
        </is>
      </c>
      <c r="F870" t="inlineStr">
        <is>
          <t>千克</t>
        </is>
      </c>
    </row>
    <row r="871">
      <c r="A871" t="inlineStr">
        <is>
          <t>100401</t>
        </is>
      </c>
      <c r="B871" t="inlineStr">
        <is>
          <t>钢带</t>
        </is>
      </c>
      <c r="C871" t="inlineStr">
        <is>
          <t>602288600</t>
        </is>
      </c>
      <c r="D871" t="inlineStr">
        <is>
          <t>特种钢带|钢带|SOONV-32181|SVM-NM-32181|上海速威特特种合金</t>
        </is>
      </c>
      <c r="E871" t="inlineStr">
        <is>
          <t xml:space="preserve">物资名称 特种钢带;物资简称 钢带;牌号 SOONV-32181;厚度 δ;宽 ;技术标准号 SVM-NM-32181;加工工艺 ;热处理工艺 ;特殊要求 上海速威特特种合金;规格标准号 </t>
        </is>
      </c>
      <c r="F871" t="inlineStr">
        <is>
          <t>千克</t>
        </is>
      </c>
    </row>
    <row r="872">
      <c r="A872" t="inlineStr">
        <is>
          <t>100401</t>
        </is>
      </c>
      <c r="B872" t="inlineStr">
        <is>
          <t>钢带</t>
        </is>
      </c>
      <c r="C872" t="inlineStr">
        <is>
          <t>602148400</t>
        </is>
      </c>
      <c r="D872" t="inlineStr">
        <is>
          <t>冷轧不锈钢带|钢带|0Cr18Ni9|δ0.1|GB/T 4239-1991|冷轧|Y2</t>
        </is>
      </c>
      <c r="E872" t="inlineStr">
        <is>
          <t xml:space="preserve">物资名称 冷轧不锈钢带;物资简称 钢带;牌号 0Cr18Ni9;厚度 δ0.1;宽 ;技术标准号 GB/T 4239-1991;加工工艺 冷轧;热处理工艺 ;特殊要求 Y2;规格标准号 </t>
        </is>
      </c>
      <c r="F872" t="inlineStr">
        <is>
          <t>千克</t>
        </is>
      </c>
    </row>
    <row r="873">
      <c r="A873" t="inlineStr">
        <is>
          <t>100401</t>
        </is>
      </c>
      <c r="B873" t="inlineStr">
        <is>
          <t>钢带</t>
        </is>
      </c>
      <c r="C873" t="inlineStr">
        <is>
          <t>602148300</t>
        </is>
      </c>
      <c r="D873" t="inlineStr">
        <is>
          <t>冷轧不锈钢带|钢带|0Cr18Ni9|δ0.15|GB/T 4239-1991|冷轧|Y2</t>
        </is>
      </c>
      <c r="E873" t="inlineStr">
        <is>
          <t xml:space="preserve">物资名称 冷轧不锈钢带;物资简称 钢带;牌号 0Cr18Ni9;厚度 δ0.15;宽 ;技术标准号 GB/T 4239-1991;加工工艺 冷轧;热处理工艺 ;特殊要求 Y2;规格标准号 </t>
        </is>
      </c>
      <c r="F873" t="inlineStr">
        <is>
          <t>千克</t>
        </is>
      </c>
    </row>
    <row r="874">
      <c r="A874" t="inlineStr">
        <is>
          <t>100401</t>
        </is>
      </c>
      <c r="B874" t="inlineStr">
        <is>
          <t>钢带</t>
        </is>
      </c>
      <c r="C874" t="inlineStr">
        <is>
          <t>602148200</t>
        </is>
      </c>
      <c r="D874" t="inlineStr">
        <is>
          <t>冷轧不锈钢带|钢带|0Cr18Ni9|δ0.2|GB/T 4239-1991|冷轧|Y2</t>
        </is>
      </c>
      <c r="E874" t="inlineStr">
        <is>
          <t xml:space="preserve">物资名称 冷轧不锈钢带;物资简称 钢带;牌号 0Cr18Ni9;厚度 δ0.2;宽 ;技术标准号 GB/T 4239-1991;加工工艺 冷轧;热处理工艺 ;特殊要求 Y2;规格标准号 </t>
        </is>
      </c>
      <c r="F874" t="inlineStr">
        <is>
          <t>千克</t>
        </is>
      </c>
    </row>
    <row r="875">
      <c r="A875" t="inlineStr">
        <is>
          <t>100401</t>
        </is>
      </c>
      <c r="B875" t="inlineStr">
        <is>
          <t>钢带</t>
        </is>
      </c>
      <c r="C875" t="inlineStr">
        <is>
          <t>602148100</t>
        </is>
      </c>
      <c r="D875" t="inlineStr">
        <is>
          <t>冷轧不锈钢带|钢带|0Cr18Ni9|δ0.05|GB/T 4239-1991|冷轧|Y2</t>
        </is>
      </c>
      <c r="E875" t="inlineStr">
        <is>
          <t xml:space="preserve">物资名称 冷轧不锈钢带;物资简称 钢带;牌号 0Cr18Ni9;厚度 δ0.05;宽 ;技术标准号 GB/T 4239-1991;加工工艺 冷轧;热处理工艺 ;特殊要求 Y2;规格标准号 </t>
        </is>
      </c>
      <c r="F875" t="inlineStr">
        <is>
          <t>千克</t>
        </is>
      </c>
    </row>
    <row r="876">
      <c r="A876" t="inlineStr">
        <is>
          <t>100401</t>
        </is>
      </c>
      <c r="B876" t="inlineStr">
        <is>
          <t>钢带</t>
        </is>
      </c>
      <c r="C876" t="inlineStr">
        <is>
          <t>602148000</t>
        </is>
      </c>
      <c r="D876" t="inlineStr">
        <is>
          <t>冷轧不锈钢带|钢带|0Cr18Ni9|δ0.3|GB/T 4239-1991|冷轧|Y2</t>
        </is>
      </c>
      <c r="E876" t="inlineStr">
        <is>
          <t xml:space="preserve">物资名称 冷轧不锈钢带;物资简称 钢带;牌号 0Cr18Ni9;厚度 δ0.3;宽 ;技术标准号 GB/T 4239-1991;加工工艺 冷轧;热处理工艺 ;特殊要求 Y2;规格标准号 </t>
        </is>
      </c>
      <c r="F876" t="inlineStr">
        <is>
          <t>千克</t>
        </is>
      </c>
    </row>
    <row r="877">
      <c r="A877" t="inlineStr">
        <is>
          <t>100401</t>
        </is>
      </c>
      <c r="B877" t="inlineStr">
        <is>
          <t>钢带</t>
        </is>
      </c>
      <c r="C877" t="inlineStr">
        <is>
          <t>602147900</t>
        </is>
      </c>
      <c r="D877" t="inlineStr">
        <is>
          <t>冷轧不锈钢带|钢带|0Cr18Ni9|δ0.35|GB/T 4239-1991|冷轧|Y2</t>
        </is>
      </c>
      <c r="E877" t="inlineStr">
        <is>
          <t xml:space="preserve">物资名称 冷轧不锈钢带;物资简称 钢带;牌号 0Cr18Ni9;厚度 δ0.35;宽 ;技术标准号 GB/T 4239-1991;加工工艺 冷轧;热处理工艺 ;特殊要求 Y2;规格标准号 </t>
        </is>
      </c>
      <c r="F877" t="inlineStr">
        <is>
          <t>千克</t>
        </is>
      </c>
    </row>
    <row r="878">
      <c r="A878" t="inlineStr">
        <is>
          <t>100401</t>
        </is>
      </c>
      <c r="B878" t="inlineStr">
        <is>
          <t>钢带</t>
        </is>
      </c>
      <c r="C878" t="inlineStr">
        <is>
          <t>602147800</t>
        </is>
      </c>
      <c r="D878" t="inlineStr">
        <is>
          <t>冷轧不锈钢带|钢带|0Cr18Ni9|δ0.5|GB/T 4239-1991|冷轧|Y2</t>
        </is>
      </c>
      <c r="E878" t="inlineStr">
        <is>
          <t xml:space="preserve">物资名称 冷轧不锈钢带;物资简称 钢带;牌号 0Cr18Ni9;厚度 δ0.5;宽 ;技术标准号 GB/T 4239-1991;加工工艺 冷轧;热处理工艺 ;特殊要求 Y2;规格标准号 </t>
        </is>
      </c>
      <c r="F878" t="inlineStr">
        <is>
          <t>千克</t>
        </is>
      </c>
    </row>
    <row r="879">
      <c r="A879" t="inlineStr">
        <is>
          <t>100401</t>
        </is>
      </c>
      <c r="B879" t="inlineStr">
        <is>
          <t>钢带</t>
        </is>
      </c>
      <c r="C879" t="inlineStr">
        <is>
          <t>602147700</t>
        </is>
      </c>
      <c r="D879" t="inlineStr">
        <is>
          <t>冷轧不锈钢带|钢带|0Cr18Ni9|δ1|GB/T 4239-1991|冷轧|Y2</t>
        </is>
      </c>
      <c r="E879" t="inlineStr">
        <is>
          <t xml:space="preserve">物资名称 冷轧不锈钢带;物资简称 钢带;牌号 0Cr18Ni9;厚度 δ1;宽 ;技术标准号 GB/T 4239-1991;加工工艺 冷轧;热处理工艺 ;特殊要求 Y2;规格标准号 </t>
        </is>
      </c>
      <c r="F879" t="inlineStr">
        <is>
          <t>千克</t>
        </is>
      </c>
    </row>
    <row r="880">
      <c r="A880" t="inlineStr">
        <is>
          <t>100401</t>
        </is>
      </c>
      <c r="B880" t="inlineStr">
        <is>
          <t>钢带</t>
        </is>
      </c>
      <c r="C880" t="inlineStr">
        <is>
          <t>601686100</t>
        </is>
      </c>
      <c r="D880" t="inlineStr">
        <is>
          <t>冷轧不锈钢带|钢带|0Cr18Ni9|GB/T 4239-1991|Y2</t>
        </is>
      </c>
      <c r="E880" t="inlineStr">
        <is>
          <t xml:space="preserve">物资名称 冷轧不锈钢带;物资简称 钢带;牌号 0Cr18Ni9;厚度 δ;宽 ;技术标准号 GB/T 4239-1991;加工工艺 ;热处理工艺 ;特殊要求 Y2;规格标准号 </t>
        </is>
      </c>
      <c r="F880" t="inlineStr">
        <is>
          <t>千克</t>
        </is>
      </c>
    </row>
    <row r="881">
      <c r="A881" t="inlineStr">
        <is>
          <t>100401</t>
        </is>
      </c>
      <c r="B881" t="inlineStr">
        <is>
          <t>钢带</t>
        </is>
      </c>
      <c r="C881" t="inlineStr">
        <is>
          <t>601496500</t>
        </is>
      </c>
      <c r="D881" t="inlineStr">
        <is>
          <t>不锈钢带|钢带|1Cr18Ni9Ti|δ0.05</t>
        </is>
      </c>
      <c r="E881" t="inlineStr">
        <is>
          <t xml:space="preserve">物资名称 不锈钢带;物资简称 钢带;牌号 1Cr18Ni9Ti;厚度 δ0.05;宽 ;技术标准号 ;加工工艺 ;热处理工艺 ;特殊要求 ;规格标准号 </t>
        </is>
      </c>
      <c r="F881" t="inlineStr">
        <is>
          <t>千克</t>
        </is>
      </c>
    </row>
    <row r="882">
      <c r="A882" t="inlineStr">
        <is>
          <t>100401</t>
        </is>
      </c>
      <c r="B882" t="inlineStr">
        <is>
          <t>钢带</t>
        </is>
      </c>
      <c r="C882" t="inlineStr">
        <is>
          <t>601496400</t>
        </is>
      </c>
      <c r="D882" t="inlineStr">
        <is>
          <t>不锈钢带|钢带|1Cr18Ni9Ti|δ0.5×200</t>
        </is>
      </c>
      <c r="E882" t="inlineStr">
        <is>
          <t xml:space="preserve">物资名称 不锈钢带;物资简称 钢带;牌号 1Cr18Ni9Ti;厚度 δ0.5;宽 200;技术标准号 ;加工工艺 ;热处理工艺 ;特殊要求 ;规格标准号 </t>
        </is>
      </c>
      <c r="F882" t="inlineStr">
        <is>
          <t>千克</t>
        </is>
      </c>
    </row>
    <row r="883">
      <c r="A883" t="inlineStr">
        <is>
          <t>100401</t>
        </is>
      </c>
      <c r="B883" t="inlineStr">
        <is>
          <t>钢带</t>
        </is>
      </c>
      <c r="C883" t="inlineStr">
        <is>
          <t>601439000</t>
        </is>
      </c>
      <c r="D883" t="inlineStr">
        <is>
          <t>不锈钢带|钢带|1Cr17Ni17|δ0.6|305</t>
        </is>
      </c>
      <c r="E883" t="inlineStr">
        <is>
          <t xml:space="preserve">物资名称 不锈钢带;物资简称 钢带;牌号 1Cr17Ni17;厚度 δ0.6;宽 305;技术标准号 ;加工工艺 ;热处理工艺 ;特殊要求 ;规格标准号 </t>
        </is>
      </c>
      <c r="F883" t="inlineStr">
        <is>
          <t>千克</t>
        </is>
      </c>
    </row>
    <row r="884">
      <c r="A884" t="inlineStr">
        <is>
          <t>100401</t>
        </is>
      </c>
      <c r="B884" t="inlineStr">
        <is>
          <t>钢带</t>
        </is>
      </c>
      <c r="C884" t="inlineStr">
        <is>
          <t>601438900</t>
        </is>
      </c>
      <c r="D884" t="inlineStr">
        <is>
          <t>不锈钢带|钢带|1Cr18Ni9Ti|δ0.1</t>
        </is>
      </c>
      <c r="E884" t="inlineStr">
        <is>
          <t xml:space="preserve">物资名称 不锈钢带;物资简称 钢带;牌号 1Cr18Ni9Ti;厚度 δ0.1;宽 ;技术标准号 ;加工工艺 ;热处理工艺 ;特殊要求 ;规格标准号 </t>
        </is>
      </c>
      <c r="F884" t="inlineStr">
        <is>
          <t>千克</t>
        </is>
      </c>
    </row>
    <row r="885">
      <c r="A885" t="inlineStr">
        <is>
          <t>100401</t>
        </is>
      </c>
      <c r="B885" t="inlineStr">
        <is>
          <t>钢带</t>
        </is>
      </c>
      <c r="C885" t="inlineStr">
        <is>
          <t>601346500</t>
        </is>
      </c>
      <c r="D885" t="inlineStr">
        <is>
          <t>不锈钢带|钢带|12Cr18Ni9|δ0.35</t>
        </is>
      </c>
      <c r="E885" t="inlineStr">
        <is>
          <t xml:space="preserve">物资名称 不锈钢带;物资简称 钢带;牌号 12Cr18Ni9;厚度 δ0.35;宽 ;技术标准号 ;加工工艺 ;热处理工艺 ;特殊要求 ;规格标准号 </t>
        </is>
      </c>
      <c r="F885" t="inlineStr">
        <is>
          <t>千克</t>
        </is>
      </c>
    </row>
    <row r="886">
      <c r="A886" t="inlineStr">
        <is>
          <t>100401</t>
        </is>
      </c>
      <c r="B886" t="inlineStr">
        <is>
          <t>钢带</t>
        </is>
      </c>
      <c r="C886" t="inlineStr">
        <is>
          <t>601337100</t>
        </is>
      </c>
      <c r="D886" t="inlineStr">
        <is>
          <t>不锈钢带|钢带|1Cr18Ni9|δ0.26</t>
        </is>
      </c>
      <c r="E886" t="inlineStr">
        <is>
          <t xml:space="preserve">物资名称 不锈钢带;物资简称 钢带;牌号 1Cr18Ni9;厚度 δ0.26;宽 ;技术标准号 ;加工工艺 ;热处理工艺 ;特殊要求 ;规格标准号 </t>
        </is>
      </c>
      <c r="F886" t="inlineStr">
        <is>
          <t>千克</t>
        </is>
      </c>
    </row>
    <row r="887">
      <c r="A887" t="inlineStr">
        <is>
          <t>100401</t>
        </is>
      </c>
      <c r="B887" t="inlineStr">
        <is>
          <t>钢带</t>
        </is>
      </c>
      <c r="C887" t="inlineStr">
        <is>
          <t>601337000</t>
        </is>
      </c>
      <c r="D887" t="inlineStr">
        <is>
          <t>不锈钢带|钢带|1Cr18NiTi？|δ0.7</t>
        </is>
      </c>
      <c r="E887" t="inlineStr">
        <is>
          <t xml:space="preserve">物资名称 不锈钢带;物资简称 钢带;牌号 1Cr18NiTi？;厚度 δ0.7;宽 ;技术标准号 ;加工工艺 ;热处理工艺 ;特殊要求 ;规格标准号 </t>
        </is>
      </c>
      <c r="F887" t="inlineStr">
        <is>
          <t>千克</t>
        </is>
      </c>
    </row>
    <row r="888">
      <c r="A888" t="inlineStr">
        <is>
          <t>100401</t>
        </is>
      </c>
      <c r="B888" t="inlineStr">
        <is>
          <t>钢带</t>
        </is>
      </c>
      <c r="C888" t="inlineStr">
        <is>
          <t>601336900</t>
        </is>
      </c>
      <c r="D888" t="inlineStr">
        <is>
          <t>不锈钢带|钢带|1Cr18Ni9Ti|δ0.15</t>
        </is>
      </c>
      <c r="E888" t="inlineStr">
        <is>
          <t xml:space="preserve">物资名称 不锈钢带;物资简称 钢带;牌号 1Cr18Ni9Ti;厚度 δ0.15;宽 ;技术标准号 ;加工工艺 ;热处理工艺 ;特殊要求 ;规格标准号 </t>
        </is>
      </c>
      <c r="F888" t="inlineStr">
        <is>
          <t>千克</t>
        </is>
      </c>
    </row>
    <row r="889">
      <c r="A889" t="inlineStr">
        <is>
          <t>100401</t>
        </is>
      </c>
      <c r="B889" t="inlineStr">
        <is>
          <t>钢带</t>
        </is>
      </c>
      <c r="C889" t="inlineStr">
        <is>
          <t>601336800</t>
        </is>
      </c>
      <c r="D889" t="inlineStr">
        <is>
          <t>不锈钢带|钢带|1Cr18Ni9|δ0.3</t>
        </is>
      </c>
      <c r="E889" t="inlineStr">
        <is>
          <t xml:space="preserve">物资名称 不锈钢带;物资简称 钢带;牌号 1Cr18Ni9;厚度 δ0.3;宽 ;技术标准号 ;加工工艺 ;热处理工艺 ;特殊要求 ;规格标准号 </t>
        </is>
      </c>
      <c r="F889" t="inlineStr">
        <is>
          <t>千克</t>
        </is>
      </c>
    </row>
    <row r="890">
      <c r="A890" t="inlineStr">
        <is>
          <t>100401</t>
        </is>
      </c>
      <c r="B890" t="inlineStr">
        <is>
          <t>钢带</t>
        </is>
      </c>
      <c r="C890" t="inlineStr">
        <is>
          <t>601336700</t>
        </is>
      </c>
      <c r="D890" t="inlineStr">
        <is>
          <t>不锈钢带|钢带|12Cr18Ni9|δ0.1</t>
        </is>
      </c>
      <c r="E890" t="inlineStr">
        <is>
          <t xml:space="preserve">物资名称 不锈钢带;物资简称 钢带;牌号 12Cr18Ni9;厚度 δ0.1;宽 ;技术标准号 ;加工工艺 ;热处理工艺 ;特殊要求 ;规格标准号 </t>
        </is>
      </c>
      <c r="F890" t="inlineStr">
        <is>
          <t>千克</t>
        </is>
      </c>
    </row>
    <row r="891">
      <c r="A891" t="inlineStr">
        <is>
          <t>100401</t>
        </is>
      </c>
      <c r="B891" t="inlineStr">
        <is>
          <t>钢带</t>
        </is>
      </c>
      <c r="C891" t="inlineStr">
        <is>
          <t>601336600</t>
        </is>
      </c>
      <c r="D891" t="inlineStr">
        <is>
          <t>不锈钢带|钢带|12Cr18Ni9|δ0.2</t>
        </is>
      </c>
      <c r="E891" t="inlineStr">
        <is>
          <t xml:space="preserve">物资名称 不锈钢带;物资简称 钢带;牌号 12Cr18Ni9;厚度 δ0.2;宽 ;技术标准号 ;加工工艺 ;热处理工艺 ;特殊要求 ;规格标准号 </t>
        </is>
      </c>
      <c r="F891" t="inlineStr">
        <is>
          <t>千克</t>
        </is>
      </c>
    </row>
    <row r="892">
      <c r="A892" t="inlineStr">
        <is>
          <t>100401</t>
        </is>
      </c>
      <c r="B892" t="inlineStr">
        <is>
          <t>钢带</t>
        </is>
      </c>
      <c r="C892" t="inlineStr">
        <is>
          <t>601336500</t>
        </is>
      </c>
      <c r="D892" t="inlineStr">
        <is>
          <t>磁头用软磁合金带|钢带|1J85|δ0.2|YB/T 086-1996|软态</t>
        </is>
      </c>
      <c r="E892" t="inlineStr">
        <is>
          <t xml:space="preserve">物资名称 磁头用软磁合金带;物资简称 钢带;牌号 1J85;厚度 δ0.2;宽 ;技术标准号 YB/T 086-1996;加工工艺 ;热处理工艺 ;特殊要求 软态;规格标准号 </t>
        </is>
      </c>
      <c r="F892" t="inlineStr">
        <is>
          <t>千克</t>
        </is>
      </c>
    </row>
    <row r="893">
      <c r="A893" t="inlineStr">
        <is>
          <t>100401</t>
        </is>
      </c>
      <c r="B893" t="inlineStr">
        <is>
          <t>钢带</t>
        </is>
      </c>
      <c r="C893" t="inlineStr">
        <is>
          <t>601336400</t>
        </is>
      </c>
      <c r="D893" t="inlineStr">
        <is>
          <t>不锈钢带|钢带|12Cr18Ni9|δ0.5|200</t>
        </is>
      </c>
      <c r="E893" t="inlineStr">
        <is>
          <t xml:space="preserve">物资名称 不锈钢带;物资简称 钢带;牌号 12Cr18Ni9;厚度 δ0.5;宽 200;技术标准号 ;加工工艺 ;热处理工艺 ;特殊要求 ;规格标准号 </t>
        </is>
      </c>
      <c r="F893" t="inlineStr">
        <is>
          <t>千克</t>
        </is>
      </c>
    </row>
    <row r="894">
      <c r="A894" t="inlineStr">
        <is>
          <t>100401</t>
        </is>
      </c>
      <c r="B894" t="inlineStr">
        <is>
          <t>钢带</t>
        </is>
      </c>
      <c r="C894" t="inlineStr">
        <is>
          <t>601336300</t>
        </is>
      </c>
      <c r="D894" t="inlineStr">
        <is>
          <t>不锈钢带|钢带|1Cr17Ni7|δ0.6</t>
        </is>
      </c>
      <c r="E894" t="inlineStr">
        <is>
          <t xml:space="preserve">物资名称 不锈钢带;物资简称 钢带;牌号 1Cr17Ni7;厚度 δ0.6;宽 ;技术标准号 ;加工工艺 ;热处理工艺 ;特殊要求 ;规格标准号 </t>
        </is>
      </c>
      <c r="F894" t="inlineStr">
        <is>
          <t>千克</t>
        </is>
      </c>
    </row>
    <row r="895">
      <c r="A895" t="inlineStr">
        <is>
          <t>100401</t>
        </is>
      </c>
      <c r="B895" t="inlineStr">
        <is>
          <t>钢带</t>
        </is>
      </c>
      <c r="C895" t="inlineStr">
        <is>
          <t>601336200</t>
        </is>
      </c>
      <c r="D895" t="inlineStr">
        <is>
          <t>磁头用软磁合金带|钢带|1J85|δ0.2|YB/T 086-1996|硬态</t>
        </is>
      </c>
      <c r="E895" t="inlineStr">
        <is>
          <t xml:space="preserve">物资名称 磁头用软磁合金带;物资简称 钢带;牌号 1J85;厚度 δ0.2;宽 ;技术标准号 YB/T 086-1996;加工工艺 ;热处理工艺 ;特殊要求 硬态;规格标准号 </t>
        </is>
      </c>
      <c r="F895" t="inlineStr">
        <is>
          <t>千克</t>
        </is>
      </c>
    </row>
    <row r="896">
      <c r="A896" t="inlineStr">
        <is>
          <t>100401</t>
        </is>
      </c>
      <c r="B896" t="inlineStr">
        <is>
          <t>钢带</t>
        </is>
      </c>
      <c r="C896" t="inlineStr">
        <is>
          <t>601336100</t>
        </is>
      </c>
      <c r="D896" t="inlineStr">
        <is>
          <t>不锈钢带|钢带|12Cr18Ni9|δ0.01</t>
        </is>
      </c>
      <c r="E896" t="inlineStr">
        <is>
          <t xml:space="preserve">物资名称 不锈钢带;物资简称 钢带;牌号 12Cr18Ni9;厚度 δ0.01;宽 ;技术标准号 ;加工工艺 ;热处理工艺 ;特殊要求 ;规格标准号 </t>
        </is>
      </c>
      <c r="F896" t="inlineStr">
        <is>
          <t>千克</t>
        </is>
      </c>
    </row>
    <row r="897">
      <c r="A897" t="inlineStr">
        <is>
          <t>100401</t>
        </is>
      </c>
      <c r="B897" t="inlineStr">
        <is>
          <t>钢带</t>
        </is>
      </c>
      <c r="C897" t="inlineStr">
        <is>
          <t>601336000</t>
        </is>
      </c>
      <c r="D897" t="inlineStr">
        <is>
          <t>不锈钢带|钢带|1Cr18Ni9|δ0.2</t>
        </is>
      </c>
      <c r="E897" t="inlineStr">
        <is>
          <t xml:space="preserve">物资名称 不锈钢带;物资简称 钢带;牌号 1Cr18Ni9;厚度 δ0.2;宽 ;技术标准号 ;加工工艺 ;热处理工艺 ;特殊要求 ;规格标准号 </t>
        </is>
      </c>
      <c r="F897" t="inlineStr">
        <is>
          <t>千克</t>
        </is>
      </c>
    </row>
    <row r="898">
      <c r="A898" t="inlineStr">
        <is>
          <t>100401</t>
        </is>
      </c>
      <c r="B898" t="inlineStr">
        <is>
          <t>钢带</t>
        </is>
      </c>
      <c r="C898" t="inlineStr">
        <is>
          <t>601335900</t>
        </is>
      </c>
      <c r="D898" t="inlineStr">
        <is>
          <t>弹簧钢带|钢带|T8A-Ⅲ-PT.B-SC|δ0.2|100</t>
        </is>
      </c>
      <c r="E898" t="inlineStr">
        <is>
          <t xml:space="preserve">物资名称 弹簧钢带;物资简称 钢带;牌号 T8A-Ⅲ-PT.B-SC;厚度 δ0.2;宽 100;技术标准号 ;加工工艺 ;热处理工艺 ;特殊要求 ;规格标准号 </t>
        </is>
      </c>
      <c r="F898" t="inlineStr">
        <is>
          <t>千克</t>
        </is>
      </c>
    </row>
    <row r="899">
      <c r="A899" t="inlineStr">
        <is>
          <t>100401</t>
        </is>
      </c>
      <c r="B899" t="inlineStr">
        <is>
          <t>钢带</t>
        </is>
      </c>
      <c r="C899" t="inlineStr">
        <is>
          <t>601335800</t>
        </is>
      </c>
      <c r="D899" t="inlineStr">
        <is>
          <t>弹性合金钢带|钢带|3J21|δ0.1\0.29|90|502/97-5-41</t>
        </is>
      </c>
      <c r="E899" t="inlineStr">
        <is>
          <t xml:space="preserve">物资名称 弹性合金钢带;物资简称 钢带;牌号 3J21;厚度 δ0.1\0.29;宽 90;技术标准号 502/97-5-41;加工工艺 ;热处理工艺 ;特殊要求 ;规格标准号 </t>
        </is>
      </c>
      <c r="F899" t="inlineStr">
        <is>
          <t>千克</t>
        </is>
      </c>
    </row>
    <row r="900">
      <c r="A900" t="inlineStr">
        <is>
          <t>100401</t>
        </is>
      </c>
      <c r="B900" t="inlineStr">
        <is>
          <t>钢带</t>
        </is>
      </c>
      <c r="C900" t="inlineStr">
        <is>
          <t>601335700</t>
        </is>
      </c>
      <c r="D900" t="inlineStr">
        <is>
          <t>弹性合金钢带|钢带|3J21-B|δ0.29|180|502/2002-7-29</t>
        </is>
      </c>
      <c r="E900" t="inlineStr">
        <is>
          <t xml:space="preserve">物资名称 弹性合金钢带;物资简称 钢带;牌号 3J21-B;厚度 δ0.29;宽 180;技术标准号 502/2002-7-29;加工工艺 ;热处理工艺 ;特殊要求 ;规格标准号 </t>
        </is>
      </c>
      <c r="F900" t="inlineStr">
        <is>
          <t>千克</t>
        </is>
      </c>
    </row>
    <row r="901">
      <c r="A901" t="inlineStr">
        <is>
          <t>100401</t>
        </is>
      </c>
      <c r="B901" t="inlineStr">
        <is>
          <t>钢带</t>
        </is>
      </c>
      <c r="C901" t="inlineStr">
        <is>
          <t>601335600</t>
        </is>
      </c>
      <c r="D901" t="inlineStr">
        <is>
          <t>钢板|钢带|50RM400-AI|δ0.5×1230×1000|101/2003-2-10</t>
        </is>
      </c>
      <c r="E901" t="inlineStr">
        <is>
          <t xml:space="preserve">物资名称 钢板;物资简称 钢带;牌号 50RM400-AI;厚度 δ0.5×1230×1000;宽 ;技术标准号 101/2003-2-10;加工工艺 ;热处理工艺 ;特殊要求 ;规格标准号 </t>
        </is>
      </c>
      <c r="F901" t="inlineStr">
        <is>
          <t>千克</t>
        </is>
      </c>
    </row>
    <row r="902">
      <c r="A902" t="inlineStr">
        <is>
          <t>100401</t>
        </is>
      </c>
      <c r="B902" t="inlineStr">
        <is>
          <t>钢带</t>
        </is>
      </c>
      <c r="C902" t="inlineStr">
        <is>
          <t>601335500</t>
        </is>
      </c>
      <c r="D902" t="inlineStr">
        <is>
          <t>钢板|钢带|35H300|δ0.35×1000×1000|101/2006-3-67</t>
        </is>
      </c>
      <c r="E902" t="inlineStr">
        <is>
          <t xml:space="preserve">物资名称 钢板;物资简称 钢带;牌号 35H300;厚度 δ0.35×1000×1000;宽 ;技术标准号 101/2006-3-67;加工工艺 ;热处理工艺 ;特殊要求 ;规格标准号 </t>
        </is>
      </c>
      <c r="F902" t="inlineStr">
        <is>
          <t>千克</t>
        </is>
      </c>
    </row>
    <row r="903">
      <c r="A903" t="inlineStr">
        <is>
          <t>100401</t>
        </is>
      </c>
      <c r="B903" t="inlineStr">
        <is>
          <t>钢带</t>
        </is>
      </c>
      <c r="C903" t="inlineStr">
        <is>
          <t>601335400</t>
        </is>
      </c>
      <c r="D903" t="inlineStr">
        <is>
          <t>钢带|钢带|0Cr18Ni9|δ0.02</t>
        </is>
      </c>
      <c r="E903" t="inlineStr">
        <is>
          <t xml:space="preserve">物资名称 钢带;物资简称 钢带;牌号 0Cr18Ni9;厚度 δ0.02;宽 ;技术标准号 ;加工工艺 ;热处理工艺 ;特殊要求 ;规格标准号 </t>
        </is>
      </c>
      <c r="F903" t="inlineStr">
        <is>
          <t>千克</t>
        </is>
      </c>
    </row>
    <row r="904">
      <c r="A904" t="inlineStr">
        <is>
          <t>100401</t>
        </is>
      </c>
      <c r="B904" t="inlineStr">
        <is>
          <t>钢带</t>
        </is>
      </c>
      <c r="C904" t="inlineStr">
        <is>
          <t>601335300</t>
        </is>
      </c>
      <c r="D904" t="inlineStr">
        <is>
          <t>钢带|钢带|0Cr18Ni9|δ0.12</t>
        </is>
      </c>
      <c r="E904" t="inlineStr">
        <is>
          <t xml:space="preserve">物资名称 钢带;物资简称 钢带;牌号 0Cr18Ni9;厚度 δ0.12;宽 ;技术标准号 ;加工工艺 ;热处理工艺 ;特殊要求 ;规格标准号 </t>
        </is>
      </c>
      <c r="F904" t="inlineStr">
        <is>
          <t>千克</t>
        </is>
      </c>
    </row>
    <row r="905">
      <c r="A905" t="inlineStr">
        <is>
          <t>100401</t>
        </is>
      </c>
      <c r="B905" t="inlineStr">
        <is>
          <t>钢带</t>
        </is>
      </c>
      <c r="C905" t="inlineStr">
        <is>
          <t>601335200</t>
        </is>
      </c>
      <c r="D905" t="inlineStr">
        <is>
          <t>钢带|钢带|0Cr18Ni9|δ0.18</t>
        </is>
      </c>
      <c r="E905" t="inlineStr">
        <is>
          <t xml:space="preserve">物资名称 钢带;物资简称 钢带;牌号 0Cr18Ni9;厚度 δ0.18;宽 ;技术标准号 ;加工工艺 ;热处理工艺 ;特殊要求 ;规格标准号 </t>
        </is>
      </c>
      <c r="F905" t="inlineStr">
        <is>
          <t>千克</t>
        </is>
      </c>
    </row>
    <row r="906">
      <c r="A906" t="inlineStr">
        <is>
          <t>100401</t>
        </is>
      </c>
      <c r="B906" t="inlineStr">
        <is>
          <t>钢带</t>
        </is>
      </c>
      <c r="C906" t="inlineStr">
        <is>
          <t>601335100</t>
        </is>
      </c>
      <c r="D906" t="inlineStr">
        <is>
          <t>钢带|钢带|10#-H-Q-R|δ0.8×100|101/2003-11-17</t>
        </is>
      </c>
      <c r="E906" t="inlineStr">
        <is>
          <t xml:space="preserve">物资名称 钢带;物资简称 钢带;牌号 10#-H-Q-R;厚度 δ0.8×100;宽 ;技术标准号 101/2003-11-17;加工工艺 ;热处理工艺 ;特殊要求 ;规格标准号 </t>
        </is>
      </c>
      <c r="F906" t="inlineStr">
        <is>
          <t>千克</t>
        </is>
      </c>
    </row>
    <row r="907">
      <c r="A907" t="inlineStr">
        <is>
          <t>100401</t>
        </is>
      </c>
      <c r="B907" t="inlineStr">
        <is>
          <t>钢带</t>
        </is>
      </c>
      <c r="C907" t="inlineStr">
        <is>
          <t>601335000</t>
        </is>
      </c>
      <c r="D907" t="inlineStr">
        <is>
          <t>钢带|钢带|20#|δ0.5|104/75-3-13</t>
        </is>
      </c>
      <c r="E907" t="inlineStr">
        <is>
          <t xml:space="preserve">物资名称 钢带;物资简称 钢带;牌号 20#;厚度 δ0.5;宽 ;技术标准号 104/75-3-13;加工工艺 ;热处理工艺 ;特殊要求 ;规格标准号 </t>
        </is>
      </c>
      <c r="F907" t="inlineStr">
        <is>
          <t>千克</t>
        </is>
      </c>
    </row>
    <row r="908">
      <c r="A908" t="inlineStr">
        <is>
          <t>100401</t>
        </is>
      </c>
      <c r="B908" t="inlineStr">
        <is>
          <t>钢带</t>
        </is>
      </c>
      <c r="C908" t="inlineStr">
        <is>
          <t>601334900</t>
        </is>
      </c>
      <c r="D908" t="inlineStr">
        <is>
          <t>钢带|钢带|20-S-Ⅱ|δ1-140×1000</t>
        </is>
      </c>
      <c r="E908" t="inlineStr">
        <is>
          <t xml:space="preserve">物资名称 钢带;物资简称 钢带;牌号 20-S-Ⅱ;厚度 δ1-140×1000;宽 ;技术标准号 ;加工工艺 ;热处理工艺 ;特殊要求 ;规格标准号 </t>
        </is>
      </c>
      <c r="F908" t="inlineStr">
        <is>
          <t>千克</t>
        </is>
      </c>
    </row>
    <row r="909">
      <c r="A909" t="inlineStr">
        <is>
          <t>100401</t>
        </is>
      </c>
      <c r="B909" t="inlineStr">
        <is>
          <t>钢带</t>
        </is>
      </c>
      <c r="C909" t="inlineStr">
        <is>
          <t>601334800</t>
        </is>
      </c>
      <c r="D909" t="inlineStr">
        <is>
          <t>钢带|钢带|2Cr13|δ0.4,0.5,0.6|101/83-12-104</t>
        </is>
      </c>
      <c r="E909" t="inlineStr">
        <is>
          <t xml:space="preserve">物资名称 钢带;物资简称 钢带;牌号 2Cr13;厚度 δ0.4,0.5,0.6;宽 ;技术标准号 101/83-12-104;加工工艺 ;热处理工艺 ;特殊要求 ;规格标准号 </t>
        </is>
      </c>
      <c r="F909" t="inlineStr">
        <is>
          <t>千克</t>
        </is>
      </c>
    </row>
    <row r="910">
      <c r="A910" t="inlineStr">
        <is>
          <t>100401</t>
        </is>
      </c>
      <c r="B910" t="inlineStr">
        <is>
          <t>钢带</t>
        </is>
      </c>
      <c r="C910" t="inlineStr">
        <is>
          <t>601334700</t>
        </is>
      </c>
      <c r="D910" t="inlineStr">
        <is>
          <t>钢带|钢带|60Si2MnA|δ0.5|502/92-4-21</t>
        </is>
      </c>
      <c r="E910" t="inlineStr">
        <is>
          <t xml:space="preserve">物资名称 钢带;物资简称 钢带;牌号 60Si2MnA;厚度 δ0.5;宽 ;技术标准号 502/92-4-21;加工工艺 ;热处理工艺 ;特殊要求 ;规格标准号 </t>
        </is>
      </c>
      <c r="F910" t="inlineStr">
        <is>
          <t>千克</t>
        </is>
      </c>
    </row>
    <row r="911">
      <c r="A911" t="inlineStr">
        <is>
          <t>100401</t>
        </is>
      </c>
      <c r="B911" t="inlineStr">
        <is>
          <t>钢带</t>
        </is>
      </c>
      <c r="C911" t="inlineStr">
        <is>
          <t>601334600</t>
        </is>
      </c>
      <c r="D911" t="inlineStr">
        <is>
          <t>钢带|钢带|60Si2MnA|δ0.6×55|502/98-6-39</t>
        </is>
      </c>
      <c r="E911" t="inlineStr">
        <is>
          <t xml:space="preserve">物资名称 钢带;物资简称 钢带;牌号 60Si2MnA;厚度 δ0.6×55;宽 ;技术标准号 502/98-6-39;加工工艺 ;热处理工艺 ;特殊要求 ;规格标准号 </t>
        </is>
      </c>
      <c r="F911" t="inlineStr">
        <is>
          <t>千克</t>
        </is>
      </c>
    </row>
    <row r="912">
      <c r="A912" t="inlineStr">
        <is>
          <t>100401</t>
        </is>
      </c>
      <c r="B912" t="inlineStr">
        <is>
          <t>钢带</t>
        </is>
      </c>
      <c r="C912" t="inlineStr">
        <is>
          <t>601334500</t>
        </is>
      </c>
      <c r="D912" t="inlineStr">
        <is>
          <t>钢带|钢带|60Si2MnA-H-Q-T|δ0.6×70|502/98-10-54</t>
        </is>
      </c>
      <c r="E912" t="inlineStr">
        <is>
          <t xml:space="preserve">物资名称 钢带;物资简称 钢带;牌号 60Si2MnA-H-Q-T;厚度 δ0.6×70;宽 ;技术标准号 502/98-10-54;加工工艺 ;热处理工艺 ;特殊要求 ;规格标准号 </t>
        </is>
      </c>
      <c r="F912" t="inlineStr">
        <is>
          <t>千克</t>
        </is>
      </c>
    </row>
    <row r="913">
      <c r="A913" t="inlineStr">
        <is>
          <t>100401</t>
        </is>
      </c>
      <c r="B913" t="inlineStr">
        <is>
          <t>钢带</t>
        </is>
      </c>
      <c r="C913" t="inlineStr">
        <is>
          <t>601334400</t>
        </is>
      </c>
      <c r="D913" t="inlineStr">
        <is>
          <t>钢带|钢带|60Si2MnA-P-Q-BG-T|δ0.2×40|101/71-9-80</t>
        </is>
      </c>
      <c r="E913" t="inlineStr">
        <is>
          <t xml:space="preserve">物资名称 钢带;物资简称 钢带;牌号 60Si2MnA-P-Q-BG-T;厚度 δ0.2×40;宽 ;技术标准号 101/71-9-80;加工工艺 ;热处理工艺 ;特殊要求 ;规格标准号 </t>
        </is>
      </c>
      <c r="F913" t="inlineStr">
        <is>
          <t>千克</t>
        </is>
      </c>
    </row>
    <row r="914">
      <c r="A914" t="inlineStr">
        <is>
          <t>100401</t>
        </is>
      </c>
      <c r="B914" t="inlineStr">
        <is>
          <t>钢带</t>
        </is>
      </c>
      <c r="C914" t="inlineStr">
        <is>
          <t>601334300</t>
        </is>
      </c>
      <c r="D914" t="inlineStr">
        <is>
          <t>钢带|钢带|65Mn|δ1.5</t>
        </is>
      </c>
      <c r="E914" t="inlineStr">
        <is>
          <t xml:space="preserve">物资名称 钢带;物资简称 钢带;牌号 65Mn;厚度 δ1.5;宽 ;技术标准号 ;加工工艺 ;热处理工艺 ;特殊要求 ;规格标准号 </t>
        </is>
      </c>
      <c r="F914" t="inlineStr">
        <is>
          <t>千克</t>
        </is>
      </c>
    </row>
    <row r="915">
      <c r="A915" t="inlineStr">
        <is>
          <t>100401</t>
        </is>
      </c>
      <c r="B915" t="inlineStr">
        <is>
          <t>钢带</t>
        </is>
      </c>
      <c r="C915" t="inlineStr">
        <is>
          <t>601334200</t>
        </is>
      </c>
      <c r="D915" t="inlineStr">
        <is>
          <t>钢带|钢带|65Mn-I-P-Y|δ0.2×100</t>
        </is>
      </c>
      <c r="E915" t="inlineStr">
        <is>
          <t xml:space="preserve">物资名称 钢带;物资简称 钢带;牌号 65Mn-I-P-Y;厚度 δ0.2×100;宽 ;技术标准号 ;加工工艺 ;热处理工艺 ;特殊要求 ;规格标准号 </t>
        </is>
      </c>
      <c r="F915" t="inlineStr">
        <is>
          <t>千克</t>
        </is>
      </c>
    </row>
    <row r="916">
      <c r="A916" t="inlineStr">
        <is>
          <t>100401</t>
        </is>
      </c>
      <c r="B916" t="inlineStr">
        <is>
          <t>钢带</t>
        </is>
      </c>
      <c r="C916" t="inlineStr">
        <is>
          <t>601334100</t>
        </is>
      </c>
      <c r="D916" t="inlineStr">
        <is>
          <t>钢带|钢带|65Mn-J-Ⅱ-Q-S|δ0.1×60|101/2002-2-5</t>
        </is>
      </c>
      <c r="E916" t="inlineStr">
        <is>
          <t xml:space="preserve">物资名称 钢带;物资简称 钢带;牌号 65Mn-J-Ⅱ-Q-S;厚度 δ0.1×60;宽 ;技术标准号 101/2002-2-5;加工工艺 ;热处理工艺 ;特殊要求 ;规格标准号 </t>
        </is>
      </c>
      <c r="F916" t="inlineStr">
        <is>
          <t>千克</t>
        </is>
      </c>
    </row>
    <row r="917">
      <c r="A917" t="inlineStr">
        <is>
          <t>100401</t>
        </is>
      </c>
      <c r="B917" t="inlineStr">
        <is>
          <t>钢带</t>
        </is>
      </c>
      <c r="C917" t="inlineStr">
        <is>
          <t>601334000</t>
        </is>
      </c>
      <c r="D917" t="inlineStr">
        <is>
          <t>钢带|钢带|T10A|δ0.3×100|101/74-7-18</t>
        </is>
      </c>
      <c r="E917" t="inlineStr">
        <is>
          <t xml:space="preserve">物资名称 钢带;物资简称 钢带;牌号 T10A;厚度 δ0.3×100;宽 ;技术标准号 101/74-7-18;加工工艺 ;热处理工艺 ;特殊要求 ;规格标准号 </t>
        </is>
      </c>
      <c r="F917" t="inlineStr">
        <is>
          <t>千克</t>
        </is>
      </c>
    </row>
    <row r="918">
      <c r="A918" t="inlineStr">
        <is>
          <t>100401</t>
        </is>
      </c>
      <c r="B918" t="inlineStr">
        <is>
          <t>钢带</t>
        </is>
      </c>
      <c r="C918" t="inlineStr">
        <is>
          <t>601333900</t>
        </is>
      </c>
      <c r="D918" t="inlineStr">
        <is>
          <t>钢带|钢带|T10A-Ⅱ-J-Q-P-S|δ0.33×5|101/77-10-161</t>
        </is>
      </c>
      <c r="E918" t="inlineStr">
        <is>
          <t xml:space="preserve">物资名称 钢带;物资简称 钢带;牌号 T10A-Ⅱ-J-Q-P-S;厚度 δ0.33×5;宽 ;技术标准号 101/77-10-161;加工工艺 ;热处理工艺 ;特殊要求 ;规格标准号 </t>
        </is>
      </c>
      <c r="F918" t="inlineStr">
        <is>
          <t>千克</t>
        </is>
      </c>
    </row>
    <row r="919">
      <c r="A919" t="inlineStr">
        <is>
          <t>100401</t>
        </is>
      </c>
      <c r="B919" t="inlineStr">
        <is>
          <t>钢带</t>
        </is>
      </c>
      <c r="C919" t="inlineStr">
        <is>
          <t>601333800</t>
        </is>
      </c>
      <c r="D919" t="inlineStr">
        <is>
          <t>钢带|钢带|T10A-Ⅱ-T-M-S|δ0.25×5|69-10-244</t>
        </is>
      </c>
      <c r="E919" t="inlineStr">
        <is>
          <t xml:space="preserve">物资名称 钢带;物资简称 钢带;牌号 T10A-Ⅱ-T-M-S;厚度 δ0.25×5;宽 ;技术标准号 69-10-244;加工工艺 ;热处理工艺 ;特殊要求 ;规格标准号 </t>
        </is>
      </c>
      <c r="F919" t="inlineStr">
        <is>
          <t>千克</t>
        </is>
      </c>
    </row>
    <row r="920">
      <c r="A920" t="inlineStr">
        <is>
          <t>100401</t>
        </is>
      </c>
      <c r="B920" t="inlineStr">
        <is>
          <t>钢带</t>
        </is>
      </c>
      <c r="C920" t="inlineStr">
        <is>
          <t>601333700</t>
        </is>
      </c>
      <c r="D920" t="inlineStr">
        <is>
          <t>钢带|钢带|T10A-P-Q-BG-T|δ0.2×60|101/66-12-504</t>
        </is>
      </c>
      <c r="E920" t="inlineStr">
        <is>
          <t xml:space="preserve">物资名称 钢带;物资简称 钢带;牌号 T10A-P-Q-BG-T;厚度 δ0.2×60;宽 ;技术标准号 101/66-12-504;加工工艺 ;热处理工艺 ;特殊要求 ;规格标准号 </t>
        </is>
      </c>
      <c r="F920" t="inlineStr">
        <is>
          <t>千克</t>
        </is>
      </c>
    </row>
    <row r="921">
      <c r="A921" t="inlineStr">
        <is>
          <t>100401</t>
        </is>
      </c>
      <c r="B921" t="inlineStr">
        <is>
          <t>钢带</t>
        </is>
      </c>
      <c r="C921" t="inlineStr">
        <is>
          <t>601333600</t>
        </is>
      </c>
      <c r="D921" t="inlineStr">
        <is>
          <t>钢带|钢带|T10A-P-Q-BG-T|δ0.4×90|101/70-1-3</t>
        </is>
      </c>
      <c r="E921" t="inlineStr">
        <is>
          <t xml:space="preserve">物资名称 钢带;物资简称 钢带;牌号 T10A-P-Q-BG-T;厚度 δ0.4×90;宽 ;技术标准号 101/70-1-3;加工工艺 ;热处理工艺 ;特殊要求 ;规格标准号 </t>
        </is>
      </c>
      <c r="F921" t="inlineStr">
        <is>
          <t>千克</t>
        </is>
      </c>
    </row>
    <row r="922">
      <c r="A922" t="inlineStr">
        <is>
          <t>100401</t>
        </is>
      </c>
      <c r="B922" t="inlineStr">
        <is>
          <t>钢带</t>
        </is>
      </c>
      <c r="C922" t="inlineStr">
        <is>
          <t>601333500</t>
        </is>
      </c>
      <c r="D922" t="inlineStr">
        <is>
          <t>钢带|钢带|T10A-P-Q-G-T|δ0.8×100|101/76-2-17</t>
        </is>
      </c>
      <c r="E922" t="inlineStr">
        <is>
          <t xml:space="preserve">物资名称 钢带;物资简称 钢带;牌号 T10A-P-Q-G-T;厚度 δ0.8×100;宽 ;技术标准号 101/76-2-17;加工工艺 ;热处理工艺 ;特殊要求 ;规格标准号 </t>
        </is>
      </c>
      <c r="F922" t="inlineStr">
        <is>
          <t>千克</t>
        </is>
      </c>
    </row>
    <row r="923">
      <c r="A923" t="inlineStr">
        <is>
          <t>100401</t>
        </is>
      </c>
      <c r="B923" t="inlineStr">
        <is>
          <t>钢带</t>
        </is>
      </c>
      <c r="C923" t="inlineStr">
        <is>
          <t>601333400</t>
        </is>
      </c>
      <c r="D923" t="inlineStr">
        <is>
          <t>钢带|钢带|T10A-P-Q-G-T|δ0.8×100|101/76-8-85</t>
        </is>
      </c>
      <c r="E923" t="inlineStr">
        <is>
          <t xml:space="preserve">物资名称 钢带;物资简称 钢带;牌号 T10A-P-Q-G-T;厚度 δ0.8×100;宽 ;技术标准号 101/76-8-85;加工工艺 ;热处理工艺 ;特殊要求 ;规格标准号 </t>
        </is>
      </c>
      <c r="F923" t="inlineStr">
        <is>
          <t>千克</t>
        </is>
      </c>
    </row>
    <row r="924">
      <c r="A924" t="inlineStr">
        <is>
          <t>100401</t>
        </is>
      </c>
      <c r="B924" t="inlineStr">
        <is>
          <t>钢带</t>
        </is>
      </c>
      <c r="C924" t="inlineStr">
        <is>
          <t>601333300</t>
        </is>
      </c>
      <c r="D924" t="inlineStr">
        <is>
          <t>钢带|钢带|T10A-P-Q-G-T|δ1×90|101/69-6-171</t>
        </is>
      </c>
      <c r="E924" t="inlineStr">
        <is>
          <t xml:space="preserve">物资名称 钢带;物资简称 钢带;牌号 T10A-P-Q-G-T;厚度 δ1×90;宽 ;技术标准号 101/69-6-171;加工工艺 ;热处理工艺 ;特殊要求 ;规格标准号 </t>
        </is>
      </c>
      <c r="F924" t="inlineStr">
        <is>
          <t>千克</t>
        </is>
      </c>
    </row>
    <row r="925">
      <c r="A925" t="inlineStr">
        <is>
          <t>100401</t>
        </is>
      </c>
      <c r="B925" t="inlineStr">
        <is>
          <t>钢带</t>
        </is>
      </c>
      <c r="C925" t="inlineStr">
        <is>
          <t>601333200</t>
        </is>
      </c>
      <c r="D925" t="inlineStr">
        <is>
          <t>钢带|钢带|T10A-T-Ⅱ-Q-P6-S|δ0.33×5|101/79-12-127</t>
        </is>
      </c>
      <c r="E925" t="inlineStr">
        <is>
          <t xml:space="preserve">物资名称 钢带;物资简称 钢带;牌号 T10A-T-Ⅱ-Q-P6-S;厚度 δ0.33×5;宽 ;技术标准号 101/79-12-127;加工工艺 ;热处理工艺 ;特殊要求 ;规格标准号 </t>
        </is>
      </c>
      <c r="F925" t="inlineStr">
        <is>
          <t>千克</t>
        </is>
      </c>
    </row>
    <row r="926">
      <c r="A926" t="inlineStr">
        <is>
          <t>100401</t>
        </is>
      </c>
      <c r="B926" t="inlineStr">
        <is>
          <t>钢带</t>
        </is>
      </c>
      <c r="C926" t="inlineStr">
        <is>
          <t>601333100</t>
        </is>
      </c>
      <c r="D926" t="inlineStr">
        <is>
          <t>钢带|钢带|T8A|δ0.3×4|101/69-8-210</t>
        </is>
      </c>
      <c r="E926" t="inlineStr">
        <is>
          <t xml:space="preserve">物资名称 钢带;物资简称 钢带;牌号 T8A;厚度 δ0.3×4;宽 ;技术标准号 101/69-8-210;加工工艺 ;热处理工艺 ;特殊要求 ;规格标准号 </t>
        </is>
      </c>
      <c r="F926" t="inlineStr">
        <is>
          <t>千克</t>
        </is>
      </c>
    </row>
    <row r="927">
      <c r="A927" t="inlineStr">
        <is>
          <t>100401</t>
        </is>
      </c>
      <c r="B927" t="inlineStr">
        <is>
          <t>钢带</t>
        </is>
      </c>
      <c r="C927" t="inlineStr">
        <is>
          <t>601333000</t>
        </is>
      </c>
      <c r="D927" t="inlineStr">
        <is>
          <t>钢带|钢带|T8A|δ0.6×50|101/79-3-37</t>
        </is>
      </c>
      <c r="E927" t="inlineStr">
        <is>
          <t xml:space="preserve">物资名称 钢带;物资简称 钢带;牌号 T8A;厚度 δ0.6×50;宽 ;技术标准号 101/79-3-37;加工工艺 ;热处理工艺 ;特殊要求 ;规格标准号 </t>
        </is>
      </c>
      <c r="F927" t="inlineStr">
        <is>
          <t>千克</t>
        </is>
      </c>
    </row>
    <row r="928">
      <c r="A928" t="inlineStr">
        <is>
          <t>100401</t>
        </is>
      </c>
      <c r="B928" t="inlineStr">
        <is>
          <t>钢带</t>
        </is>
      </c>
      <c r="C928" t="inlineStr">
        <is>
          <t>601332900</t>
        </is>
      </c>
      <c r="D928" t="inlineStr">
        <is>
          <t>钢带|钢带|T8A-2n|δ1×6|104/69-2-52</t>
        </is>
      </c>
      <c r="E928" t="inlineStr">
        <is>
          <t xml:space="preserve">物资名称 钢带;物资简称 钢带;牌号 T8A-2n;厚度 δ1×6;宽 ;技术标准号 104/69-2-52;加工工艺 ;热处理工艺 ;特殊要求 ;规格标准号 </t>
        </is>
      </c>
      <c r="F928" t="inlineStr">
        <is>
          <t>千克</t>
        </is>
      </c>
    </row>
    <row r="929">
      <c r="A929" t="inlineStr">
        <is>
          <t>100401</t>
        </is>
      </c>
      <c r="B929" t="inlineStr">
        <is>
          <t>钢带</t>
        </is>
      </c>
      <c r="C929" t="inlineStr">
        <is>
          <t>601332800</t>
        </is>
      </c>
      <c r="D929" t="inlineStr">
        <is>
          <t>钢带|钢带|T8A-2n-BK|δ0.2×40|101/65-7-308</t>
        </is>
      </c>
      <c r="E929" t="inlineStr">
        <is>
          <t xml:space="preserve">物资名称 钢带;物资简称 钢带;牌号 T8A-2n-BK;厚度 δ0.2×40;宽 ;技术标准号 101/65-7-308;加工工艺 ;热处理工艺 ;特殊要求 ;规格标准号 </t>
        </is>
      </c>
      <c r="F929" t="inlineStr">
        <is>
          <t>千克</t>
        </is>
      </c>
    </row>
    <row r="930">
      <c r="A930" t="inlineStr">
        <is>
          <t>100401</t>
        </is>
      </c>
      <c r="B930" t="inlineStr">
        <is>
          <t>钢带</t>
        </is>
      </c>
      <c r="C930" t="inlineStr">
        <is>
          <t>601332700</t>
        </is>
      </c>
      <c r="D930" t="inlineStr">
        <is>
          <t>钢带|钢带|T8A-2n-B-K|δ0.3×50|101/65-12-750</t>
        </is>
      </c>
      <c r="E930" t="inlineStr">
        <is>
          <t xml:space="preserve">物资名称 钢带;物资简称 钢带;牌号 T8A-2n-B-K;厚度 δ0.3×50;宽 ;技术标准号 101/65-12-750;加工工艺 ;热处理工艺 ;特殊要求 ;规格标准号 </t>
        </is>
      </c>
      <c r="F930" t="inlineStr">
        <is>
          <t>千克</t>
        </is>
      </c>
    </row>
    <row r="931">
      <c r="A931" t="inlineStr">
        <is>
          <t>100401</t>
        </is>
      </c>
      <c r="B931" t="inlineStr">
        <is>
          <t>钢带</t>
        </is>
      </c>
      <c r="C931" t="inlineStr">
        <is>
          <t>601332600</t>
        </is>
      </c>
      <c r="D931" t="inlineStr">
        <is>
          <t>钢带|钢带|T8A-2n-K|δ0.4×50|101/65-12-745</t>
        </is>
      </c>
      <c r="E931" t="inlineStr">
        <is>
          <t xml:space="preserve">物资名称 钢带;物资简称 钢带;牌号 T8A-2n-K;厚度 δ0.4×50;宽 ;技术标准号 101/65-12-745;加工工艺 ;热处理工艺 ;特殊要求 ;规格标准号 </t>
        </is>
      </c>
      <c r="F931" t="inlineStr">
        <is>
          <t>千克</t>
        </is>
      </c>
    </row>
    <row r="932">
      <c r="A932" t="inlineStr">
        <is>
          <t>100401</t>
        </is>
      </c>
      <c r="B932" t="inlineStr">
        <is>
          <t>钢带</t>
        </is>
      </c>
      <c r="C932" t="inlineStr">
        <is>
          <t>601332500</t>
        </is>
      </c>
      <c r="D932" t="inlineStr">
        <is>
          <t>钢带|钢带|T8A-2n-K|δ0.5×51|101/67-2-55</t>
        </is>
      </c>
      <c r="E932" t="inlineStr">
        <is>
          <t xml:space="preserve">物资名称 钢带;物资简称 钢带;牌号 T8A-2n-K;厚度 δ0.5×51;宽 ;技术标准号 101/67-2-55;加工工艺 ;热处理工艺 ;特殊要求 ;规格标准号 </t>
        </is>
      </c>
      <c r="F932" t="inlineStr">
        <is>
          <t>千克</t>
        </is>
      </c>
    </row>
    <row r="933">
      <c r="A933" t="inlineStr">
        <is>
          <t>100401</t>
        </is>
      </c>
      <c r="B933" t="inlineStr">
        <is>
          <t>钢带</t>
        </is>
      </c>
      <c r="C933" t="inlineStr">
        <is>
          <t>601332400</t>
        </is>
      </c>
      <c r="D933" t="inlineStr">
        <is>
          <t>钢带|钢带|T8A-2n-K|δ0.6×60|101/65-12-753</t>
        </is>
      </c>
      <c r="E933" t="inlineStr">
        <is>
          <t xml:space="preserve">物资名称 钢带;物资简称 钢带;牌号 T8A-2n-K;厚度 δ0.6×60;宽 ;技术标准号 101/65-12-753;加工工艺 ;热处理工艺 ;特殊要求 ;规格标准号 </t>
        </is>
      </c>
      <c r="F933" t="inlineStr">
        <is>
          <t>千克</t>
        </is>
      </c>
    </row>
    <row r="934">
      <c r="A934" t="inlineStr">
        <is>
          <t>100401</t>
        </is>
      </c>
      <c r="B934" t="inlineStr">
        <is>
          <t>钢带</t>
        </is>
      </c>
      <c r="C934" t="inlineStr">
        <is>
          <t>601332300</t>
        </is>
      </c>
      <c r="D934" t="inlineStr">
        <is>
          <t>钢带|钢带|T8A-3n|δ0.3×4|101/69-8-210</t>
        </is>
      </c>
      <c r="E934" t="inlineStr">
        <is>
          <t xml:space="preserve">物资名称 钢带;物资简称 钢带;牌号 T8A-3n;厚度 δ0.3×4;宽 ;技术标准号 101/69-8-210;加工工艺 ;热处理工艺 ;特殊要求 ;规格标准号 </t>
        </is>
      </c>
      <c r="F934" t="inlineStr">
        <is>
          <t>千克</t>
        </is>
      </c>
    </row>
    <row r="935">
      <c r="A935" t="inlineStr">
        <is>
          <t>100401</t>
        </is>
      </c>
      <c r="B935" t="inlineStr">
        <is>
          <t>钢带</t>
        </is>
      </c>
      <c r="C935" t="inlineStr">
        <is>
          <t>601332200</t>
        </is>
      </c>
      <c r="D935" t="inlineStr">
        <is>
          <t>钢带|钢带|T8A-3n-BK|δ0.3×20|101/66-6-263</t>
        </is>
      </c>
      <c r="E935" t="inlineStr">
        <is>
          <t xml:space="preserve">物资名称 钢带;物资简称 钢带;牌号 T8A-3n-BK;厚度 δ0.3×20;宽 ;技术标准号 101/66-6-263;加工工艺 ;热处理工艺 ;特殊要求 ;规格标准号 </t>
        </is>
      </c>
      <c r="F935" t="inlineStr">
        <is>
          <t>千克</t>
        </is>
      </c>
    </row>
    <row r="936">
      <c r="A936" t="inlineStr">
        <is>
          <t>100401</t>
        </is>
      </c>
      <c r="B936" t="inlineStr">
        <is>
          <t>钢带</t>
        </is>
      </c>
      <c r="C936" t="inlineStr">
        <is>
          <t>601332100</t>
        </is>
      </c>
      <c r="D936" t="inlineStr">
        <is>
          <t>钢带|钢带|T8A-Ⅱ-P-Q-S|δ0.4×30|101/79-3-25</t>
        </is>
      </c>
      <c r="E936" t="inlineStr">
        <is>
          <t xml:space="preserve">物资名称 钢带;物资简称 钢带;牌号 T8A-Ⅱ-P-Q-S;厚度 δ0.4×30;宽 ;技术标准号 101/79-3-25;加工工艺 ;热处理工艺 ;特殊要求 ;规格标准号 </t>
        </is>
      </c>
      <c r="F936" t="inlineStr">
        <is>
          <t>千克</t>
        </is>
      </c>
    </row>
    <row r="937">
      <c r="A937" t="inlineStr">
        <is>
          <t>100401</t>
        </is>
      </c>
      <c r="B937" t="inlineStr">
        <is>
          <t>钢带</t>
        </is>
      </c>
      <c r="C937" t="inlineStr">
        <is>
          <t>601332000</t>
        </is>
      </c>
      <c r="D937" t="inlineStr">
        <is>
          <t>钢带|钢带|T8A-Ⅱ-P-S|δ1×80|101/2003-4-12</t>
        </is>
      </c>
      <c r="E937" t="inlineStr">
        <is>
          <t xml:space="preserve">物资名称 钢带;物资简称 钢带;牌号 T8A-Ⅱ-P-S;厚度 δ1×80;宽 ;技术标准号 101/2003-4-12;加工工艺 ;热处理工艺 ;特殊要求 ;规格标准号 </t>
        </is>
      </c>
      <c r="F937" t="inlineStr">
        <is>
          <t>千克</t>
        </is>
      </c>
    </row>
    <row r="938">
      <c r="A938" t="inlineStr">
        <is>
          <t>100401</t>
        </is>
      </c>
      <c r="B938" t="inlineStr">
        <is>
          <t>钢带</t>
        </is>
      </c>
      <c r="C938" t="inlineStr">
        <is>
          <t>601331900</t>
        </is>
      </c>
      <c r="D938" t="inlineStr">
        <is>
          <t>钢带|钢带|T8A-J-Q-Ⅲ-S|δ0.2×40</t>
        </is>
      </c>
      <c r="E938" t="inlineStr">
        <is>
          <t xml:space="preserve">物资名称 钢带;物资简称 钢带;牌号 T8A-J-Q-Ⅲ-S;厚度 δ0.2×40;宽 ;技术标准号 ;加工工艺 ;热处理工艺 ;特殊要求 ;规格标准号 </t>
        </is>
      </c>
      <c r="F938" t="inlineStr">
        <is>
          <t>千克</t>
        </is>
      </c>
    </row>
    <row r="939">
      <c r="A939" t="inlineStr">
        <is>
          <t>100401</t>
        </is>
      </c>
      <c r="B939" t="inlineStr">
        <is>
          <t>钢带</t>
        </is>
      </c>
      <c r="C939" t="inlineStr">
        <is>
          <t>601331800</t>
        </is>
      </c>
      <c r="D939" t="inlineStr">
        <is>
          <t>钢带|钢带|T8A-P-Ⅰ-Gn-Q|δ0.5×32|101/75-5-47</t>
        </is>
      </c>
      <c r="E939" t="inlineStr">
        <is>
          <t xml:space="preserve">物资名称 钢带;物资简称 钢带;牌号 T8A-P-Ⅰ-Gn-Q;厚度 δ0.5×32;宽 ;技术标准号 101/75-5-47;加工工艺 ;热处理工艺 ;特殊要求 ;规格标准号 </t>
        </is>
      </c>
      <c r="F939" t="inlineStr">
        <is>
          <t>千克</t>
        </is>
      </c>
    </row>
    <row r="940">
      <c r="A940" t="inlineStr">
        <is>
          <t>100401</t>
        </is>
      </c>
      <c r="B940" t="inlineStr">
        <is>
          <t>钢带</t>
        </is>
      </c>
      <c r="C940" t="inlineStr">
        <is>
          <t>601331700</t>
        </is>
      </c>
      <c r="D940" t="inlineStr">
        <is>
          <t>钢带|钢带|T8A-P-BQ-T|δ1×108|101/69-2-51</t>
        </is>
      </c>
      <c r="E940" t="inlineStr">
        <is>
          <t xml:space="preserve">物资名称 钢带;物资简称 钢带;牌号 T8A-P-BQ-T;厚度 δ1×108;宽 ;技术标准号 101/69-2-51;加工工艺 ;热处理工艺 ;特殊要求 ;规格标准号 </t>
        </is>
      </c>
      <c r="F940" t="inlineStr">
        <is>
          <t>千克</t>
        </is>
      </c>
    </row>
    <row r="941">
      <c r="A941" t="inlineStr">
        <is>
          <t>100401</t>
        </is>
      </c>
      <c r="B941" t="inlineStr">
        <is>
          <t>钢带</t>
        </is>
      </c>
      <c r="C941" t="inlineStr">
        <is>
          <t>601331600</t>
        </is>
      </c>
      <c r="D941" t="inlineStr">
        <is>
          <t>钢带|钢带|T8A-P-G-BG-T|δ0.8×100|104/67-8-222</t>
        </is>
      </c>
      <c r="E941" t="inlineStr">
        <is>
          <t xml:space="preserve">物资名称 钢带;物资简称 钢带;牌号 T8A-P-G-BG-T;厚度 δ0.8×100;宽 ;技术标准号 104/67-8-222;加工工艺 ;热处理工艺 ;特殊要求 ;规格标准号 </t>
        </is>
      </c>
      <c r="F941" t="inlineStr">
        <is>
          <t>千克</t>
        </is>
      </c>
    </row>
    <row r="942">
      <c r="A942" t="inlineStr">
        <is>
          <t>100401</t>
        </is>
      </c>
      <c r="B942" t="inlineStr">
        <is>
          <t>钢带</t>
        </is>
      </c>
      <c r="C942" t="inlineStr">
        <is>
          <t>601331500</t>
        </is>
      </c>
      <c r="D942" t="inlineStr">
        <is>
          <t>钢带|钢带|T8A-P-Q-BG-T|δ0.7×50|工装</t>
        </is>
      </c>
      <c r="E942" t="inlineStr">
        <is>
          <t xml:space="preserve">物资名称 钢带;物资简称 钢带;牌号 T8A-P-Q-BG-T;厚度 δ0.7×50;宽 ;技术标准号 工装;加工工艺 ;热处理工艺 ;特殊要求 ;规格标准号 </t>
        </is>
      </c>
      <c r="F942" t="inlineStr">
        <is>
          <t>千克</t>
        </is>
      </c>
    </row>
    <row r="943">
      <c r="A943" t="inlineStr">
        <is>
          <t>100401</t>
        </is>
      </c>
      <c r="B943" t="inlineStr">
        <is>
          <t>钢带</t>
        </is>
      </c>
      <c r="C943" t="inlineStr">
        <is>
          <t>601331400</t>
        </is>
      </c>
      <c r="D943" t="inlineStr">
        <is>
          <t>钢带|钢带|T8A-P-Q-G-T|δ0.3×4|104/69-2-59</t>
        </is>
      </c>
      <c r="E943" t="inlineStr">
        <is>
          <t xml:space="preserve">物资名称 钢带;物资简称 钢带;牌号 T8A-P-Q-G-T;厚度 δ0.3×4;宽 ;技术标准号 104/69-2-59;加工工艺 ;热处理工艺 ;特殊要求 ;规格标准号 </t>
        </is>
      </c>
      <c r="F943" t="inlineStr">
        <is>
          <t>千克</t>
        </is>
      </c>
    </row>
    <row r="944">
      <c r="A944" t="inlineStr">
        <is>
          <t>100401</t>
        </is>
      </c>
      <c r="B944" t="inlineStr">
        <is>
          <t>钢带</t>
        </is>
      </c>
      <c r="C944" t="inlineStr">
        <is>
          <t>601331300</t>
        </is>
      </c>
      <c r="D944" t="inlineStr">
        <is>
          <t>钢带|钢带|T8A-P-Q-G-T|δ0.5×40|104/75-12-97</t>
        </is>
      </c>
      <c r="E944" t="inlineStr">
        <is>
          <t xml:space="preserve">物资名称 钢带;物资简称 钢带;牌号 T8A-P-Q-G-T;厚度 δ0.5×40;宽 ;技术标准号 104/75-12-97;加工工艺 ;热处理工艺 ;特殊要求 ;规格标准号 </t>
        </is>
      </c>
      <c r="F944" t="inlineStr">
        <is>
          <t>千克</t>
        </is>
      </c>
    </row>
    <row r="945">
      <c r="A945" t="inlineStr">
        <is>
          <t>100401</t>
        </is>
      </c>
      <c r="B945" t="inlineStr">
        <is>
          <t>钢带</t>
        </is>
      </c>
      <c r="C945" t="inlineStr">
        <is>
          <t>601331200</t>
        </is>
      </c>
      <c r="D945" t="inlineStr">
        <is>
          <t>钢带|钢带|T8A-P-Q-G-T|δ0.5×90|104/69-2-56</t>
        </is>
      </c>
      <c r="E945" t="inlineStr">
        <is>
          <t xml:space="preserve">物资名称 钢带;物资简称 钢带;牌号 T8A-P-Q-G-T;厚度 δ0.5×90;宽 ;技术标准号 104/69-2-56;加工工艺 ;热处理工艺 ;特殊要求 ;规格标准号 </t>
        </is>
      </c>
      <c r="F945" t="inlineStr">
        <is>
          <t>千克</t>
        </is>
      </c>
    </row>
    <row r="946">
      <c r="A946" t="inlineStr">
        <is>
          <t>100401</t>
        </is>
      </c>
      <c r="B946" t="inlineStr">
        <is>
          <t>钢带</t>
        </is>
      </c>
      <c r="C946" t="inlineStr">
        <is>
          <t>601331100</t>
        </is>
      </c>
      <c r="D946" t="inlineStr">
        <is>
          <t>钢带|钢带|T8A-P-Q-T|δ0.3×90|104/76-11-106</t>
        </is>
      </c>
      <c r="E946" t="inlineStr">
        <is>
          <t xml:space="preserve">物资名称 钢带;物资简称 钢带;牌号 T8A-P-Q-T;厚度 δ0.3×90;宽 ;技术标准号 104/76-11-106;加工工艺 ;热处理工艺 ;特殊要求 ;规格标准号 </t>
        </is>
      </c>
      <c r="F946" t="inlineStr">
        <is>
          <t>千克</t>
        </is>
      </c>
    </row>
    <row r="947">
      <c r="A947" t="inlineStr">
        <is>
          <t>100401</t>
        </is>
      </c>
      <c r="B947" t="inlineStr">
        <is>
          <t>钢带</t>
        </is>
      </c>
      <c r="C947" t="inlineStr">
        <is>
          <t>601331000</t>
        </is>
      </c>
      <c r="D947" t="inlineStr">
        <is>
          <t>钢带|钢带|T8A-P-Q-T|δ0.4×90|104/73-2-24</t>
        </is>
      </c>
      <c r="E947" t="inlineStr">
        <is>
          <t xml:space="preserve">物资名称 钢带;物资简称 钢带;牌号 T8A-P-Q-T;厚度 δ0.4×90;宽 ;技术标准号 104/73-2-24;加工工艺 ;热处理工艺 ;特殊要求 ;规格标准号 </t>
        </is>
      </c>
      <c r="F947" t="inlineStr">
        <is>
          <t>千克</t>
        </is>
      </c>
    </row>
    <row r="948">
      <c r="A948" t="inlineStr">
        <is>
          <t>100401</t>
        </is>
      </c>
      <c r="B948" t="inlineStr">
        <is>
          <t>钢带</t>
        </is>
      </c>
      <c r="C948" t="inlineStr">
        <is>
          <t>601330900</t>
        </is>
      </c>
      <c r="D948" t="inlineStr">
        <is>
          <t>钢带|钢带|T8A-Q-G-T|δ0.15×50|维修</t>
        </is>
      </c>
      <c r="E948" t="inlineStr">
        <is>
          <t xml:space="preserve">物资名称 钢带;物资简称 钢带;牌号 T8A-Q-G-T;厚度 δ0.15×50;宽 ;技术标准号 维修;加工工艺 ;热处理工艺 ;特殊要求 ;规格标准号 </t>
        </is>
      </c>
      <c r="F948" t="inlineStr">
        <is>
          <t>千克</t>
        </is>
      </c>
    </row>
    <row r="949">
      <c r="A949" t="inlineStr">
        <is>
          <t>100401</t>
        </is>
      </c>
      <c r="B949" t="inlineStr">
        <is>
          <t>钢带</t>
        </is>
      </c>
      <c r="C949" t="inlineStr">
        <is>
          <t>601330800</t>
        </is>
      </c>
      <c r="D949" t="inlineStr">
        <is>
          <t>钢带|钢带|1Cr18Ni9Ti|δ0.05</t>
        </is>
      </c>
      <c r="E949" t="inlineStr">
        <is>
          <t xml:space="preserve">物资名称 钢带;物资简称 钢带;牌号 1Cr18Ni9Ti;厚度 δ0.05;宽 ;技术标准号 ;加工工艺 ;热处理工艺 ;特殊要求 ;规格标准号 </t>
        </is>
      </c>
      <c r="F949" t="inlineStr">
        <is>
          <t>千克</t>
        </is>
      </c>
    </row>
    <row r="950">
      <c r="A950" t="inlineStr">
        <is>
          <t>100401</t>
        </is>
      </c>
      <c r="B950" t="inlineStr">
        <is>
          <t>钢带</t>
        </is>
      </c>
      <c r="C950" t="inlineStr">
        <is>
          <t>601330700</t>
        </is>
      </c>
      <c r="D950" t="inlineStr">
        <is>
          <t>钢带|钢带|LT50|δ0.35|工装</t>
        </is>
      </c>
      <c r="E950" t="inlineStr">
        <is>
          <t xml:space="preserve">物资名称 钢带;物资简称 钢带;牌号 LT50;厚度 δ0.35;宽 ;技术标准号 工装;加工工艺 ;热处理工艺 ;特殊要求 ;规格标准号 </t>
        </is>
      </c>
      <c r="F950" t="inlineStr">
        <is>
          <t>千克</t>
        </is>
      </c>
    </row>
    <row r="951">
      <c r="A951" t="inlineStr">
        <is>
          <t>100401</t>
        </is>
      </c>
      <c r="B951" t="inlineStr">
        <is>
          <t>钢带</t>
        </is>
      </c>
      <c r="C951" t="inlineStr">
        <is>
          <t>601330600</t>
        </is>
      </c>
      <c r="D951" t="inlineStr">
        <is>
          <t>钢带|钢带|RS-3|δ0.25×80|101/69-11-317</t>
        </is>
      </c>
      <c r="E951" t="inlineStr">
        <is>
          <t xml:space="preserve">物资名称 钢带;物资简称 钢带;牌号 RS-3;厚度 δ0.25×80;宽 ;技术标准号 101/69-11-317;加工工艺 ;热处理工艺 ;特殊要求 ;规格标准号 </t>
        </is>
      </c>
      <c r="F951" t="inlineStr">
        <is>
          <t>千克</t>
        </is>
      </c>
    </row>
    <row r="952">
      <c r="A952" t="inlineStr">
        <is>
          <t>100401</t>
        </is>
      </c>
      <c r="B952" t="inlineStr">
        <is>
          <t>钢带</t>
        </is>
      </c>
      <c r="C952" t="inlineStr">
        <is>
          <t>601330500</t>
        </is>
      </c>
      <c r="D952" t="inlineStr">
        <is>
          <t>钢带|钢带|RS-3|δ0.3×120|101/65-10-680</t>
        </is>
      </c>
      <c r="E952" t="inlineStr">
        <is>
          <t xml:space="preserve">物资名称 钢带;物资简称 钢带;牌号 RS-3;厚度 δ0.3×120;宽 ;技术标准号 101/65-10-680;加工工艺 ;热处理工艺 ;特殊要求 ;规格标准号 </t>
        </is>
      </c>
      <c r="F952" t="inlineStr">
        <is>
          <t>千克</t>
        </is>
      </c>
    </row>
    <row r="953">
      <c r="A953" t="inlineStr">
        <is>
          <t>100401</t>
        </is>
      </c>
      <c r="B953" t="inlineStr">
        <is>
          <t>钢带</t>
        </is>
      </c>
      <c r="C953" t="inlineStr">
        <is>
          <t>601330400</t>
        </is>
      </c>
      <c r="D953" t="inlineStr">
        <is>
          <t>钢带|钢带|RS-3|δ0.3×80|101/69-12-273</t>
        </is>
      </c>
      <c r="E953" t="inlineStr">
        <is>
          <t xml:space="preserve">物资名称 钢带;物资简称 钢带;牌号 RS-3;厚度 δ0.3×80;宽 ;技术标准号 101/69-12-273;加工工艺 ;热处理工艺 ;特殊要求 ;规格标准号 </t>
        </is>
      </c>
      <c r="F953" t="inlineStr">
        <is>
          <t>千克</t>
        </is>
      </c>
    </row>
    <row r="954">
      <c r="A954" t="inlineStr">
        <is>
          <t>100401</t>
        </is>
      </c>
      <c r="B954" t="inlineStr">
        <is>
          <t>钢带</t>
        </is>
      </c>
      <c r="C954" t="inlineStr">
        <is>
          <t>601330300</t>
        </is>
      </c>
      <c r="D954" t="inlineStr">
        <is>
          <t>碳素弹簧钢带|钢带|65Mn|δ0.4</t>
        </is>
      </c>
      <c r="E954" t="inlineStr">
        <is>
          <t xml:space="preserve">物资名称 碳素弹簧钢带;物资简称 钢带;牌号 65Mn;厚度 δ0.4;宽 ;技术标准号 ;加工工艺 ;热处理工艺 ;特殊要求 ;规格标准号 </t>
        </is>
      </c>
      <c r="F954" t="inlineStr">
        <is>
          <t>千克</t>
        </is>
      </c>
    </row>
    <row r="955">
      <c r="A955" t="inlineStr">
        <is>
          <t>100401</t>
        </is>
      </c>
      <c r="B955" t="inlineStr">
        <is>
          <t>钢带</t>
        </is>
      </c>
      <c r="C955" t="inlineStr">
        <is>
          <t>601330200</t>
        </is>
      </c>
      <c r="D955" t="inlineStr">
        <is>
          <t>不锈钢带|钢带|12Cr18Ni9|δ0.02</t>
        </is>
      </c>
      <c r="E955" t="inlineStr">
        <is>
          <t xml:space="preserve">物资名称 不锈钢带;物资简称 钢带;牌号 12Cr18Ni9;厚度 δ0.02;宽 ;技术标准号 ;加工工艺 ;热处理工艺 ;特殊要求 ;规格标准号 </t>
        </is>
      </c>
      <c r="F955" t="inlineStr">
        <is>
          <t>千克</t>
        </is>
      </c>
    </row>
    <row r="956">
      <c r="A956" t="inlineStr">
        <is>
          <t>100401</t>
        </is>
      </c>
      <c r="B956" t="inlineStr">
        <is>
          <t>钢带</t>
        </is>
      </c>
      <c r="C956" t="inlineStr">
        <is>
          <t>601330100</t>
        </is>
      </c>
      <c r="D956" t="inlineStr">
        <is>
          <t>不锈钢带|钢带|12Cr18Ni9|δ0.05|GB/T 3280-2007</t>
        </is>
      </c>
      <c r="E956" t="inlineStr">
        <is>
          <t xml:space="preserve">物资名称 不锈钢带;物资简称 钢带;牌号 12Cr18Ni9;厚度 δ0.05;宽 ;技术标准号 GB/T 3280-2007;加工工艺 ;热处理工艺 ;特殊要求 ;规格标准号 </t>
        </is>
      </c>
      <c r="F956" t="inlineStr">
        <is>
          <t>千克</t>
        </is>
      </c>
    </row>
    <row r="957">
      <c r="A957" t="inlineStr">
        <is>
          <t>100401</t>
        </is>
      </c>
      <c r="B957" t="inlineStr">
        <is>
          <t>钢带</t>
        </is>
      </c>
      <c r="C957" t="inlineStr">
        <is>
          <t>601330000</t>
        </is>
      </c>
      <c r="D957" t="inlineStr">
        <is>
          <t>合金弹簧钢带|钢带|60Si2Mn|δ1.5</t>
        </is>
      </c>
      <c r="E957" t="inlineStr">
        <is>
          <t xml:space="preserve">物资名称 合金弹簧钢带;物资简称 钢带;牌号 60Si2Mn;厚度 δ1.5;宽 ;技术标准号 ;加工工艺 ;热处理工艺 ;特殊要求 ;规格标准号 </t>
        </is>
      </c>
      <c r="F957" t="inlineStr">
        <is>
          <t>千克</t>
        </is>
      </c>
    </row>
    <row r="958">
      <c r="A958" t="inlineStr">
        <is>
          <t>100401</t>
        </is>
      </c>
      <c r="B958" t="inlineStr">
        <is>
          <t>钢带</t>
        </is>
      </c>
      <c r="C958" t="inlineStr">
        <is>
          <t>601329900</t>
        </is>
      </c>
      <c r="D958" t="inlineStr">
        <is>
          <t>不锈钢带|钢带|12Cr18Ni9|δ0.04|200</t>
        </is>
      </c>
      <c r="E958" t="inlineStr">
        <is>
          <t xml:space="preserve">物资名称 不锈钢带;物资简称 钢带;牌号 12Cr18Ni9;厚度 δ0.04;宽 200;技术标准号 ;加工工艺 ;热处理工艺 ;特殊要求 ;规格标准号 </t>
        </is>
      </c>
      <c r="F958" t="inlineStr">
        <is>
          <t>千克</t>
        </is>
      </c>
    </row>
    <row r="959">
      <c r="A959" t="inlineStr">
        <is>
          <t>100401</t>
        </is>
      </c>
      <c r="B959" t="inlineStr">
        <is>
          <t>钢带</t>
        </is>
      </c>
      <c r="C959" t="inlineStr">
        <is>
          <t>601000000</t>
        </is>
      </c>
      <c r="D959" t="inlineStr">
        <is>
          <t>冷轧不锈钢带|钢带|1Cr18Ni19Ti|δ0.35|GB/T 3280-1992|冷轧|GB/T 708-2006</t>
        </is>
      </c>
      <c r="E959" t="inlineStr">
        <is>
          <t>物资名称 冷轧不锈钢带;物资简称 钢带;牌号 1Cr18Ni19Ti;厚度 δ0.35;宽 ;技术标准号 GB/T 3280-1992;加工工艺 冷轧;热处理工艺 ;特殊要求 ;规格标准号 GB/T 708-2006</t>
        </is>
      </c>
      <c r="F959" t="inlineStr">
        <is>
          <t>千克</t>
        </is>
      </c>
    </row>
    <row r="960">
      <c r="A960" t="inlineStr">
        <is>
          <t>100401</t>
        </is>
      </c>
      <c r="B960" t="inlineStr">
        <is>
          <t>钢带</t>
        </is>
      </c>
      <c r="C960" t="inlineStr">
        <is>
          <t>600997300</t>
        </is>
      </c>
      <c r="D960" t="inlineStr">
        <is>
          <t>冷轧不锈钢带|钢带|1Cr18Ni19Ti|δ0.48|GB/T 3280-1992|冷轧|GB/T 708-2006</t>
        </is>
      </c>
      <c r="E960" t="inlineStr">
        <is>
          <t>物资名称 冷轧不锈钢带;物资简称 钢带;牌号 1Cr18Ni19Ti;厚度 δ0.48;宽 ;技术标准号 GB/T 3280-1992;加工工艺 冷轧;热处理工艺 ;特殊要求 ;规格标准号 GB/T 708-2006</t>
        </is>
      </c>
      <c r="F960" t="inlineStr">
        <is>
          <t>千克</t>
        </is>
      </c>
    </row>
    <row r="961">
      <c r="A961" t="inlineStr">
        <is>
          <t>100401</t>
        </is>
      </c>
      <c r="B961" t="inlineStr">
        <is>
          <t>钢带</t>
        </is>
      </c>
      <c r="C961" t="inlineStr">
        <is>
          <t>600997200</t>
        </is>
      </c>
      <c r="D961" t="inlineStr">
        <is>
          <t>冷轧不锈钢带|钢带|1Cr18Ni19Ti|δ0.5|GB/T 3280-1992|冷轧|GB/T 708-2006</t>
        </is>
      </c>
      <c r="E961" t="inlineStr">
        <is>
          <t>物资名称 冷轧不锈钢带;物资简称 钢带;牌号 1Cr18Ni19Ti;厚度 δ0.5;宽 ;技术标准号 GB/T 3280-1992;加工工艺 冷轧;热处理工艺 ;特殊要求 ;规格标准号 GB/T 708-2006</t>
        </is>
      </c>
      <c r="F961" t="inlineStr">
        <is>
          <t>千克</t>
        </is>
      </c>
    </row>
    <row r="962">
      <c r="A962" t="inlineStr">
        <is>
          <t>100401</t>
        </is>
      </c>
      <c r="B962" t="inlineStr">
        <is>
          <t>钢带</t>
        </is>
      </c>
      <c r="C962" t="inlineStr">
        <is>
          <t>600997100</t>
        </is>
      </c>
      <c r="D962" t="inlineStr">
        <is>
          <t>冷轧不锈钢带|钢带|1Cr18Ni19Ti|δ0.1|GB/T 3280-1992|冷轧|GB/T 708-2006</t>
        </is>
      </c>
      <c r="E962" t="inlineStr">
        <is>
          <t>物资名称 冷轧不锈钢带;物资简称 钢带;牌号 1Cr18Ni19Ti;厚度 δ0.1;宽 ;技术标准号 GB/T 3280-1992;加工工艺 冷轧;热处理工艺 ;特殊要求 ;规格标准号 GB/T 708-2006</t>
        </is>
      </c>
      <c r="F962" t="inlineStr">
        <is>
          <t>千克</t>
        </is>
      </c>
    </row>
    <row r="963">
      <c r="A963" t="inlineStr">
        <is>
          <t>100401</t>
        </is>
      </c>
      <c r="B963" t="inlineStr">
        <is>
          <t>钢带</t>
        </is>
      </c>
      <c r="C963" t="inlineStr">
        <is>
          <t>600997000</t>
        </is>
      </c>
      <c r="D963" t="inlineStr">
        <is>
          <t>冷轧不锈钢带|钢带|1Cr18Ni19Ti|δ0.15|GB/T 3280-1992|冷轧|GB/T 708-2006</t>
        </is>
      </c>
      <c r="E963" t="inlineStr">
        <is>
          <t>物资名称 冷轧不锈钢带;物资简称 钢带;牌号 1Cr18Ni19Ti;厚度 δ0.15;宽 ;技术标准号 GB/T 3280-1992;加工工艺 冷轧;热处理工艺 ;特殊要求 ;规格标准号 GB/T 708-2006</t>
        </is>
      </c>
      <c r="F963" t="inlineStr">
        <is>
          <t>千克</t>
        </is>
      </c>
    </row>
    <row r="964">
      <c r="A964" t="inlineStr">
        <is>
          <t>100401</t>
        </is>
      </c>
      <c r="B964" t="inlineStr">
        <is>
          <t>钢带</t>
        </is>
      </c>
      <c r="C964" t="inlineStr">
        <is>
          <t>600996900</t>
        </is>
      </c>
      <c r="D964" t="inlineStr">
        <is>
          <t>冷轧不锈钢带|钢带|1Cr18Ni19Ti|δ0.25|GB/T 3280-1992|冷轧|GB/T 708-2006</t>
        </is>
      </c>
      <c r="E964" t="inlineStr">
        <is>
          <t>物资名称 冷轧不锈钢带;物资简称 钢带;牌号 1Cr18Ni19Ti;厚度 δ0.25;宽 ;技术标准号 GB/T 3280-1992;加工工艺 冷轧;热处理工艺 ;特殊要求 ;规格标准号 GB/T 708-2006</t>
        </is>
      </c>
      <c r="F964" t="inlineStr">
        <is>
          <t>千克</t>
        </is>
      </c>
    </row>
    <row r="965">
      <c r="A965" t="inlineStr">
        <is>
          <t>100401</t>
        </is>
      </c>
      <c r="B965" t="inlineStr">
        <is>
          <t>钢带</t>
        </is>
      </c>
      <c r="C965" t="inlineStr">
        <is>
          <t>600996800</t>
        </is>
      </c>
      <c r="D965" t="inlineStr">
        <is>
          <t>冷轧不锈钢带|钢带|1Cr18Ni19Ti|δ0.46|GB/T 3280-1992|冷轧|GB/T 708-2006</t>
        </is>
      </c>
      <c r="E965" t="inlineStr">
        <is>
          <t>物资名称 冷轧不锈钢带;物资简称 钢带;牌号 1Cr18Ni19Ti;厚度 δ0.46;宽 ;技术标准号 GB/T 3280-1992;加工工艺 冷轧;热处理工艺 ;特殊要求 ;规格标准号 GB/T 708-2006</t>
        </is>
      </c>
      <c r="F965" t="inlineStr">
        <is>
          <t>千克</t>
        </is>
      </c>
    </row>
    <row r="966">
      <c r="A966" t="inlineStr">
        <is>
          <t>100401</t>
        </is>
      </c>
      <c r="B966" t="inlineStr">
        <is>
          <t>钢带</t>
        </is>
      </c>
      <c r="C966" t="inlineStr">
        <is>
          <t>600996700</t>
        </is>
      </c>
      <c r="D966" t="inlineStr">
        <is>
          <t>冷轧不锈钢带|钢带|1Cr18Ni19Ti|δ0.3|GB/T 3280-1992|冷轧|GB/T 708-2006</t>
        </is>
      </c>
      <c r="E966" t="inlineStr">
        <is>
          <t>物资名称 冷轧不锈钢带;物资简称 钢带;牌号 1Cr18Ni19Ti;厚度 δ0.3;宽 ;技术标准号 GB/T 3280-1992;加工工艺 冷轧;热处理工艺 ;特殊要求 ;规格标准号 GB/T 708-2006</t>
        </is>
      </c>
      <c r="F966" t="inlineStr">
        <is>
          <t>千克</t>
        </is>
      </c>
    </row>
    <row r="967">
      <c r="A967" t="inlineStr">
        <is>
          <t>100401</t>
        </is>
      </c>
      <c r="B967" t="inlineStr">
        <is>
          <t>钢带</t>
        </is>
      </c>
      <c r="C967" t="inlineStr">
        <is>
          <t>600842300</t>
        </is>
      </c>
      <c r="D967" t="inlineStr">
        <is>
          <t>特种钢带|钢带|XSVS-7C27Mo2|δ0.203|厂家约定</t>
        </is>
      </c>
      <c r="E967" t="inlineStr">
        <is>
          <t xml:space="preserve">物资名称 特种钢带;物资简称 钢带;牌号 XSVS-7C27Mo2;厚度 δ0.203;宽 ;技术标准号 ;加工工艺 ;热处理工艺 ;特殊要求 厂家约定;规格标准号 </t>
        </is>
      </c>
      <c r="F967" t="inlineStr">
        <is>
          <t>千克</t>
        </is>
      </c>
    </row>
    <row r="968">
      <c r="A968" t="inlineStr">
        <is>
          <t>100401</t>
        </is>
      </c>
      <c r="B968" t="inlineStr">
        <is>
          <t>钢带</t>
        </is>
      </c>
      <c r="C968" t="inlineStr">
        <is>
          <t>600632100</t>
        </is>
      </c>
      <c r="D968" t="inlineStr">
        <is>
          <t>冷轧不锈钢带|钢带|1Cr18Ni19Ti|GB/T 3280-1992|GB/T 708-2006</t>
        </is>
      </c>
      <c r="E968" t="inlineStr">
        <is>
          <t>物资名称 冷轧不锈钢带;物资简称 钢带;牌号 1Cr18Ni19Ti;厚度 ;宽 ;技术标准号 GB/T 3280-1992;加工工艺 ;热处理工艺 ;特殊要求 ;规格标准号 GB/T 708-2006</t>
        </is>
      </c>
      <c r="F968" t="inlineStr">
        <is>
          <t>千克</t>
        </is>
      </c>
    </row>
    <row r="969">
      <c r="A969" t="inlineStr">
        <is>
          <t>100401</t>
        </is>
      </c>
      <c r="B969" t="inlineStr">
        <is>
          <t>钢带</t>
        </is>
      </c>
      <c r="C969" t="inlineStr">
        <is>
          <t>600632000</t>
        </is>
      </c>
      <c r="D969" t="inlineStr">
        <is>
          <t>冷轧不锈钢带|钢带|1Cr18Ni19Ti|δ0.2|GB/T 3280-1992|冷轧|GB/T 708-2006</t>
        </is>
      </c>
      <c r="E969" t="inlineStr">
        <is>
          <t>物资名称 冷轧不锈钢带;物资简称 钢带;牌号 1Cr18Ni19Ti;厚度 δ0.2;宽 ;技术标准号 GB/T 3280-1992;加工工艺 冷轧;热处理工艺 ;特殊要求 ;规格标准号 GB/T 708-2006</t>
        </is>
      </c>
      <c r="F969" t="inlineStr">
        <is>
          <t>千克</t>
        </is>
      </c>
    </row>
    <row r="970">
      <c r="A970" t="inlineStr">
        <is>
          <t>100401</t>
        </is>
      </c>
      <c r="B970" t="inlineStr">
        <is>
          <t>钢带</t>
        </is>
      </c>
      <c r="C970" t="inlineStr">
        <is>
          <t>600631900</t>
        </is>
      </c>
      <c r="D970" t="inlineStr">
        <is>
          <t>冷轧不锈钢带|钢带|12Cr18Ni9|GB/T 3280-2007|GB/T 708-2006</t>
        </is>
      </c>
      <c r="E970" t="inlineStr">
        <is>
          <t>物资名称 冷轧不锈钢带;物资简称 钢带;牌号 12Cr18Ni9;厚度 ;宽 ;技术标准号 GB/T 3280-2007;加工工艺 ;热处理工艺 ;特殊要求 ;规格标准号 GB/T 708-2006</t>
        </is>
      </c>
      <c r="F970" t="inlineStr">
        <is>
          <t>千克</t>
        </is>
      </c>
    </row>
    <row r="971">
      <c r="A971" t="inlineStr">
        <is>
          <t>100401</t>
        </is>
      </c>
      <c r="B971" t="inlineStr">
        <is>
          <t>钢带</t>
        </is>
      </c>
      <c r="C971" t="inlineStr">
        <is>
          <t>600631800</t>
        </is>
      </c>
      <c r="D971" t="inlineStr">
        <is>
          <t>冷轧不锈钢带|钢带|12Cr18Ni9|δ0.1|GB/T 3280-2007|冷轧|H1/4|GB/T 708-2006</t>
        </is>
      </c>
      <c r="E971" t="inlineStr">
        <is>
          <t>物资名称 冷轧不锈钢带;物资简称 钢带;牌号 12Cr18Ni9;厚度 δ0.1;宽 ;技术标准号 GB/T 3280-2007;加工工艺 冷轧;热处理工艺 H1/4;特殊要求 ;规格标准号 GB/T 708-2006</t>
        </is>
      </c>
      <c r="F971" t="inlineStr">
        <is>
          <t>千克</t>
        </is>
      </c>
    </row>
    <row r="972">
      <c r="A972" t="inlineStr">
        <is>
          <t>100401</t>
        </is>
      </c>
      <c r="B972" t="inlineStr">
        <is>
          <t>钢带</t>
        </is>
      </c>
      <c r="C972" t="inlineStr">
        <is>
          <t>600631700</t>
        </is>
      </c>
      <c r="D972" t="inlineStr">
        <is>
          <t>冷轧不锈钢带|钢带|12Cr18Ni9|δ0.2|GB/T 3280-2007|冷轧|H1/4|GB/T 708-2006</t>
        </is>
      </c>
      <c r="E972" t="inlineStr">
        <is>
          <t>物资名称 冷轧不锈钢带;物资简称 钢带;牌号 12Cr18Ni9;厚度 δ0.2;宽 ;技术标准号 GB/T 3280-2007;加工工艺 冷轧;热处理工艺 H1/4;特殊要求 ;规格标准号 GB/T 708-2006</t>
        </is>
      </c>
      <c r="F972" t="inlineStr">
        <is>
          <t>千克</t>
        </is>
      </c>
    </row>
    <row r="973">
      <c r="A973" t="inlineStr">
        <is>
          <t>100401</t>
        </is>
      </c>
      <c r="B973" t="inlineStr">
        <is>
          <t>钢带</t>
        </is>
      </c>
      <c r="C973" t="inlineStr">
        <is>
          <t>600631600</t>
        </is>
      </c>
      <c r="D973" t="inlineStr">
        <is>
          <t>冷轧不锈钢带|钢带|12Cr18Ni9|δ0.5|GB/T 3280-2007|冷轧|H1/4|GB/T 708-2006</t>
        </is>
      </c>
      <c r="E973" t="inlineStr">
        <is>
          <t>物资名称 冷轧不锈钢带;物资简称 钢带;牌号 12Cr18Ni9;厚度 δ0.5;宽 ;技术标准号 GB/T 3280-2007;加工工艺 冷轧;热处理工艺 H1/4;特殊要求 ;规格标准号 GB/T 708-2006</t>
        </is>
      </c>
      <c r="F973" t="inlineStr">
        <is>
          <t>千克</t>
        </is>
      </c>
    </row>
    <row r="974">
      <c r="A974" t="inlineStr">
        <is>
          <t>100401</t>
        </is>
      </c>
      <c r="B974" t="inlineStr">
        <is>
          <t>钢带</t>
        </is>
      </c>
      <c r="C974" t="inlineStr">
        <is>
          <t>600631500</t>
        </is>
      </c>
      <c r="D974" t="inlineStr">
        <is>
          <t>冷轧不锈钢带|钢带|12Cr18Ni9|δ1.2|GB/T 3280-2007|冷轧|H1/4|N|GB/T 708-2006</t>
        </is>
      </c>
      <c r="E974" t="inlineStr">
        <is>
          <t>物资名称 冷轧不锈钢带;物资简称 钢带;牌号 12Cr18Ni9;厚度 δ1.2;宽 ;技术标准号 GB/T 3280-2007;加工工艺 冷轧;热处理工艺 H1/4;特殊要求 N;规格标准号 GB/T 708-2006</t>
        </is>
      </c>
      <c r="F974" t="inlineStr">
        <is>
          <t>千克</t>
        </is>
      </c>
    </row>
    <row r="975">
      <c r="A975" t="inlineStr">
        <is>
          <t>100401</t>
        </is>
      </c>
      <c r="B975" t="inlineStr">
        <is>
          <t>钢带</t>
        </is>
      </c>
      <c r="C975" t="inlineStr">
        <is>
          <t>600631400</t>
        </is>
      </c>
      <c r="D975" t="inlineStr">
        <is>
          <t>冷轧耐热钢带|钢带|1Cr18Ni9Ti|GB  4239-1991</t>
        </is>
      </c>
      <c r="E975" t="inlineStr">
        <is>
          <t xml:space="preserve">物资名称 冷轧耐热钢带;物资简称 钢带;牌号 1Cr18Ni9Ti;厚度 ;宽 ;技术标准号 GB  4239-1991;加工工艺 ;热处理工艺 ;特殊要求 ;规格标准号 </t>
        </is>
      </c>
      <c r="F975" t="inlineStr">
        <is>
          <t>千克</t>
        </is>
      </c>
    </row>
    <row r="976">
      <c r="A976" t="inlineStr">
        <is>
          <t>100401</t>
        </is>
      </c>
      <c r="B976" t="inlineStr">
        <is>
          <t>钢带</t>
        </is>
      </c>
      <c r="C976" t="inlineStr">
        <is>
          <t>600631300</t>
        </is>
      </c>
      <c r="D976" t="inlineStr">
        <is>
          <t>冷轧耐热钢带|钢带|1Cr18Ni9Ti|δ0.05|GB  4239-1991|冷轧</t>
        </is>
      </c>
      <c r="E976" t="inlineStr">
        <is>
          <t xml:space="preserve">物资名称 冷轧耐热钢带;物资简称 钢带;牌号 1Cr18Ni9Ti;厚度 δ0.05;宽 ;技术标准号 GB  4239-1991;加工工艺 冷轧;热处理工艺 ;特殊要求 ;规格标准号 </t>
        </is>
      </c>
      <c r="F976" t="inlineStr">
        <is>
          <t>千克</t>
        </is>
      </c>
    </row>
    <row r="977">
      <c r="A977" t="inlineStr">
        <is>
          <t>100401</t>
        </is>
      </c>
      <c r="B977" t="inlineStr">
        <is>
          <t>钢带</t>
        </is>
      </c>
      <c r="C977" t="inlineStr">
        <is>
          <t>600631200</t>
        </is>
      </c>
      <c r="D977" t="inlineStr">
        <is>
          <t>冷轧耐热钢带|钢带|1Cr18Ni9Ti|δ0.15|GB  4239-1991|冷轧</t>
        </is>
      </c>
      <c r="E977" t="inlineStr">
        <is>
          <t xml:space="preserve">物资名称 冷轧耐热钢带;物资简称 钢带;牌号 1Cr18Ni9Ti;厚度 δ0.15;宽 ;技术标准号 GB  4239-1991;加工工艺 冷轧;热处理工艺 ;特殊要求 ;规格标准号 </t>
        </is>
      </c>
      <c r="F977" t="inlineStr">
        <is>
          <t>千克</t>
        </is>
      </c>
    </row>
    <row r="978">
      <c r="A978" t="inlineStr">
        <is>
          <t>100401</t>
        </is>
      </c>
      <c r="B978" t="inlineStr">
        <is>
          <t>钢带</t>
        </is>
      </c>
      <c r="C978" t="inlineStr">
        <is>
          <t>600631100</t>
        </is>
      </c>
      <c r="D978" t="inlineStr">
        <is>
          <t>冷轧耐热钢带|钢带|1Cr18Ni9Ti|δ0.2|GB  4239-1991|冷轧</t>
        </is>
      </c>
      <c r="E978" t="inlineStr">
        <is>
          <t xml:space="preserve">物资名称 冷轧耐热钢带;物资简称 钢带;牌号 1Cr18Ni9Ti;厚度 δ0.2;宽 ;技术标准号 GB  4239-1991;加工工艺 冷轧;热处理工艺 ;特殊要求 ;规格标准号 </t>
        </is>
      </c>
      <c r="F978" t="inlineStr">
        <is>
          <t>千克</t>
        </is>
      </c>
    </row>
    <row r="979">
      <c r="A979" t="inlineStr">
        <is>
          <t>100401</t>
        </is>
      </c>
      <c r="B979" t="inlineStr">
        <is>
          <t>钢带</t>
        </is>
      </c>
      <c r="C979" t="inlineStr">
        <is>
          <t>600631000</t>
        </is>
      </c>
      <c r="D979" t="inlineStr">
        <is>
          <t>冷轧耐热钢带|钢带|1Cr18Ni9Ti|δ0.2|GB  4239-1991|冷轧|硬态</t>
        </is>
      </c>
      <c r="E979" t="inlineStr">
        <is>
          <t xml:space="preserve">物资名称 冷轧耐热钢带;物资简称 钢带;牌号 1Cr18Ni9Ti;厚度 δ0.2;宽 ;技术标准号 GB  4239-1991;加工工艺 冷轧;热处理工艺 ;特殊要求 硬态;规格标准号 </t>
        </is>
      </c>
      <c r="F979" t="inlineStr">
        <is>
          <t>千克</t>
        </is>
      </c>
    </row>
    <row r="980">
      <c r="A980" t="inlineStr">
        <is>
          <t>100401</t>
        </is>
      </c>
      <c r="B980" t="inlineStr">
        <is>
          <t>钢带</t>
        </is>
      </c>
      <c r="C980" t="inlineStr">
        <is>
          <t>600630900</t>
        </is>
      </c>
      <c r="D980" t="inlineStr">
        <is>
          <t>冷轧耐热钢带|钢带|1Cr18Ni9Ti|δ0.3|GB  4239-1991|冷轧</t>
        </is>
      </c>
      <c r="E980" t="inlineStr">
        <is>
          <t xml:space="preserve">物资名称 冷轧耐热钢带;物资简称 钢带;牌号 1Cr18Ni9Ti;厚度 δ0.3;宽 ;技术标准号 GB  4239-1991;加工工艺 冷轧;热处理工艺 ;特殊要求 ;规格标准号 </t>
        </is>
      </c>
      <c r="F980" t="inlineStr">
        <is>
          <t>千克</t>
        </is>
      </c>
    </row>
    <row r="981">
      <c r="A981" t="inlineStr">
        <is>
          <t>100401</t>
        </is>
      </c>
      <c r="B981" t="inlineStr">
        <is>
          <t>钢带</t>
        </is>
      </c>
      <c r="C981" t="inlineStr">
        <is>
          <t>600630800</t>
        </is>
      </c>
      <c r="D981" t="inlineStr">
        <is>
          <t>冷轧耐热钢带|钢带|1Cr18Ni9Ti|δ0.4|GB  4239-1991|冷轧|R</t>
        </is>
      </c>
      <c r="E981" t="inlineStr">
        <is>
          <t xml:space="preserve">物资名称 冷轧耐热钢带;物资简称 钢带;牌号 1Cr18Ni9Ti;厚度 δ0.4;宽 ;技术标准号 GB  4239-1991;加工工艺 冷轧;热处理工艺 ;特殊要求 R;规格标准号 </t>
        </is>
      </c>
      <c r="F981" t="inlineStr">
        <is>
          <t>千克</t>
        </is>
      </c>
    </row>
    <row r="982">
      <c r="A982" t="inlineStr">
        <is>
          <t>100401</t>
        </is>
      </c>
      <c r="B982" t="inlineStr">
        <is>
          <t>钢带</t>
        </is>
      </c>
      <c r="C982" t="inlineStr">
        <is>
          <t>600630700</t>
        </is>
      </c>
      <c r="D982" t="inlineStr">
        <is>
          <t>冷轧耐热钢带|钢带|1Cr18Ni9Ti|δ0.4|GB  4239-1991|冷轧</t>
        </is>
      </c>
      <c r="E982" t="inlineStr">
        <is>
          <t xml:space="preserve">物资名称 冷轧耐热钢带;物资简称 钢带;牌号 1Cr18Ni9Ti;厚度 δ0.4;宽 ;技术标准号 GB  4239-1991;加工工艺 冷轧;热处理工艺 ;特殊要求 ;规格标准号 </t>
        </is>
      </c>
      <c r="F982" t="inlineStr">
        <is>
          <t>千克</t>
        </is>
      </c>
    </row>
    <row r="983">
      <c r="A983" t="inlineStr">
        <is>
          <t>100401</t>
        </is>
      </c>
      <c r="B983" t="inlineStr">
        <is>
          <t>钢带</t>
        </is>
      </c>
      <c r="C983" t="inlineStr">
        <is>
          <t>600630600</t>
        </is>
      </c>
      <c r="D983" t="inlineStr">
        <is>
          <t>冷轧耐热钢带|钢带|1Cr18Ni9Ti|δ0.8|GB  4239-1991|冷轧</t>
        </is>
      </c>
      <c r="E983" t="inlineStr">
        <is>
          <t xml:space="preserve">物资名称 冷轧耐热钢带;物资简称 钢带;牌号 1Cr18Ni9Ti;厚度 δ0.8;宽 ;技术标准号 GB  4239-1991;加工工艺 冷轧;热处理工艺 ;特殊要求 ;规格标准号 </t>
        </is>
      </c>
      <c r="F983" t="inlineStr">
        <is>
          <t>千克</t>
        </is>
      </c>
    </row>
    <row r="984">
      <c r="A984" t="inlineStr">
        <is>
          <t>100401</t>
        </is>
      </c>
      <c r="B984" t="inlineStr">
        <is>
          <t>钢带</t>
        </is>
      </c>
      <c r="C984" t="inlineStr">
        <is>
          <t>600630500</t>
        </is>
      </c>
      <c r="D984" t="inlineStr">
        <is>
          <t>冷轧弹簧钢带|钢带|65Mn|YB/T 5058-2005|GB/T 15391-1994</t>
        </is>
      </c>
      <c r="E984" t="inlineStr">
        <is>
          <t>物资名称 冷轧弹簧钢带;物资简称 钢带;牌号 65Mn;厚度 ;宽 ;技术标准号 YB/T 5058-2005;加工工艺 ;热处理工艺 ;特殊要求 ;规格标准号 GB/T 15391-1994</t>
        </is>
      </c>
      <c r="F984" t="inlineStr">
        <is>
          <t>千克</t>
        </is>
      </c>
    </row>
    <row r="985">
      <c r="A985" t="inlineStr">
        <is>
          <t>100401</t>
        </is>
      </c>
      <c r="B985" t="inlineStr">
        <is>
          <t>钢带</t>
        </is>
      </c>
      <c r="C985" t="inlineStr">
        <is>
          <t>600630400</t>
        </is>
      </c>
      <c r="D985" t="inlineStr">
        <is>
          <t>冷轧弹簧钢带|钢带|65Mn|δ0.1|YB/T 5058-2005|冷轧|EC、FB|GB/T 15391-1994</t>
        </is>
      </c>
      <c r="E985" t="inlineStr">
        <is>
          <t>物资名称 冷轧弹簧钢带;物资简称 钢带;牌号 65Mn;厚度 δ0.1;宽 ;技术标准号 YB/T 5058-2005;加工工艺 冷轧;热处理工艺 ;特殊要求 EC、FB;规格标准号 GB/T 15391-1994</t>
        </is>
      </c>
      <c r="F985" t="inlineStr">
        <is>
          <t>千克</t>
        </is>
      </c>
    </row>
    <row r="986">
      <c r="A986" t="inlineStr">
        <is>
          <t>100401</t>
        </is>
      </c>
      <c r="B986" t="inlineStr">
        <is>
          <t>钢带</t>
        </is>
      </c>
      <c r="C986" t="inlineStr">
        <is>
          <t>600630300</t>
        </is>
      </c>
      <c r="D986" t="inlineStr">
        <is>
          <t>冷轧弹簧钢带|钢带|65Mn|δ0.2|YB/T 5058-2005|冷轧|FB、PT.A、PT.B|GB/T 15391-1994</t>
        </is>
      </c>
      <c r="E986" t="inlineStr">
        <is>
          <t>物资名称 冷轧弹簧钢带;物资简称 钢带;牌号 65Mn;厚度 δ0.2;宽 ;技术标准号 YB/T 5058-2005;加工工艺 冷轧;热处理工艺 ;特殊要求 FB、PT.A、PT.B;规格标准号 GB/T 15391-1994</t>
        </is>
      </c>
      <c r="F986" t="inlineStr">
        <is>
          <t>千克</t>
        </is>
      </c>
    </row>
    <row r="987">
      <c r="A987" t="inlineStr">
        <is>
          <t>100401</t>
        </is>
      </c>
      <c r="B987" t="inlineStr">
        <is>
          <t>钢带</t>
        </is>
      </c>
      <c r="C987" t="inlineStr">
        <is>
          <t>600630200</t>
        </is>
      </c>
      <c r="D987" t="inlineStr">
        <is>
          <t>冷轧弹簧钢带|钢带|65Mn|δ0.5|YB/T 5058-2005|冷轧|PT.B、FB、EC|GB/T 15391-1994</t>
        </is>
      </c>
      <c r="E987" t="inlineStr">
        <is>
          <t>物资名称 冷轧弹簧钢带;物资简称 钢带;牌号 65Mn;厚度 δ0.5;宽 ;技术标准号 YB/T 5058-2005;加工工艺 冷轧;热处理工艺 ;特殊要求 PT.B、FB、EC;规格标准号 GB/T 15391-1994</t>
        </is>
      </c>
      <c r="F987" t="inlineStr">
        <is>
          <t>千克</t>
        </is>
      </c>
    </row>
    <row r="988">
      <c r="A988" t="inlineStr">
        <is>
          <t>100401</t>
        </is>
      </c>
      <c r="B988" t="inlineStr">
        <is>
          <t>钢带</t>
        </is>
      </c>
      <c r="C988" t="inlineStr">
        <is>
          <t>600630100</t>
        </is>
      </c>
      <c r="D988" t="inlineStr">
        <is>
          <t>冷轧弹簧钢带|钢带|65Mn|δ0.5|YB/T 5058-2005|冷轧|GB/T 15391-1994</t>
        </is>
      </c>
      <c r="E988" t="inlineStr">
        <is>
          <t>物资名称 冷轧弹簧钢带;物资简称 钢带;牌号 65Mn;厚度 δ0.5;宽 ;技术标准号 YB/T 5058-2005;加工工艺 冷轧;热处理工艺 ;特殊要求 ;规格标准号 GB/T 15391-1994</t>
        </is>
      </c>
      <c r="F988" t="inlineStr">
        <is>
          <t>千克</t>
        </is>
      </c>
    </row>
    <row r="989">
      <c r="A989" t="inlineStr">
        <is>
          <t>100401</t>
        </is>
      </c>
      <c r="B989" t="inlineStr">
        <is>
          <t>钢带</t>
        </is>
      </c>
      <c r="C989" t="inlineStr">
        <is>
          <t>600630000</t>
        </is>
      </c>
      <c r="D989" t="inlineStr">
        <is>
          <t>冷轧弹簧钢带|钢带|65Mn|δ0.6|YB/T 5058-2005|冷轧|GB/T 15391-1994</t>
        </is>
      </c>
      <c r="E989" t="inlineStr">
        <is>
          <t>物资名称 冷轧弹簧钢带;物资简称 钢带;牌号 65Mn;厚度 δ0.6;宽 ;技术标准号 YB/T 5058-2005;加工工艺 冷轧;热处理工艺 ;特殊要求 ;规格标准号 GB/T 15391-1994</t>
        </is>
      </c>
      <c r="F989" t="inlineStr">
        <is>
          <t>千克</t>
        </is>
      </c>
    </row>
    <row r="990">
      <c r="A990" t="inlineStr">
        <is>
          <t>100401</t>
        </is>
      </c>
      <c r="B990" t="inlineStr">
        <is>
          <t>钢带</t>
        </is>
      </c>
      <c r="C990" t="inlineStr">
        <is>
          <t>600629900</t>
        </is>
      </c>
      <c r="D990" t="inlineStr">
        <is>
          <t>特种钢带|钢带|XSVS-7C27Mo2|δ0.508|厂家约定</t>
        </is>
      </c>
      <c r="E990" t="inlineStr">
        <is>
          <t xml:space="preserve">物资名称 特种钢带;物资简称 钢带;牌号 XSVS-7C27Mo2;厚度 δ0.508;宽 ;技术标准号 ;加工工艺 ;热处理工艺 ;特殊要求 厂家约定;规格标准号 </t>
        </is>
      </c>
      <c r="F990" t="inlineStr">
        <is>
          <t>千克</t>
        </is>
      </c>
    </row>
    <row r="991">
      <c r="A991" t="inlineStr">
        <is>
          <t>100501</t>
        </is>
      </c>
      <c r="B991" t="inlineStr">
        <is>
          <t>钢丝</t>
        </is>
      </c>
      <c r="C991" t="inlineStr">
        <is>
          <t>603548500</t>
        </is>
      </c>
      <c r="D991" t="inlineStr">
        <is>
          <t>不锈钢丝|钢丝|12Cr18Ni9|Φ0.8|GB/T 4240-2019|软态</t>
        </is>
      </c>
      <c r="E991" t="inlineStr">
        <is>
          <t>物资名称 不锈钢丝;物资简称 钢丝;牌号 12Cr18Ni9;直径 Φ0.8;技术标准号 GB/T 4240-2019;抗拉强度 ;加工工艺 ;表面状态 ;特殊要求 软态;规格标准号</t>
        </is>
      </c>
      <c r="F991" t="inlineStr">
        <is>
          <t>米</t>
        </is>
      </c>
    </row>
    <row r="992">
      <c r="A992" t="inlineStr">
        <is>
          <t>100501</t>
        </is>
      </c>
      <c r="B992" t="inlineStr">
        <is>
          <t>钢丝</t>
        </is>
      </c>
      <c r="C992" t="inlineStr">
        <is>
          <t>603543600</t>
        </is>
      </c>
      <c r="D992" t="inlineStr">
        <is>
          <t>冷拉碳素弹簧钢丝|钢丝|T9A|Φ2.5|GB/T 4357-2022|冷拉|DM,h11|GB/T 342-2017</t>
        </is>
      </c>
      <c r="E992" t="inlineStr">
        <is>
          <t>物资名称 重要用途碳素弹簧钢丝;物资简称 钢丝;牌号 T9A;直径 Φ2.5;技术标准号 YB/T 5311-2010;抗拉强度 ;加工工艺 ;表面状态 ;特殊要求 F,h11;规格标准号 GB/T 342-1997</t>
        </is>
      </c>
      <c r="F992" t="inlineStr">
        <is>
          <t>千克</t>
        </is>
      </c>
    </row>
    <row r="993">
      <c r="A993" t="inlineStr">
        <is>
          <t>100501</t>
        </is>
      </c>
      <c r="B993" t="inlineStr">
        <is>
          <t>钢丝</t>
        </is>
      </c>
      <c r="C993" t="inlineStr">
        <is>
          <t>603543500</t>
        </is>
      </c>
      <c r="D993" t="inlineStr">
        <is>
          <t>冷拉碳素弹簧钢丝|钢丝|T9A|Φ0.8|GB/T 4357-2022|冷拉|DM,h11|GB/T 342-2017</t>
        </is>
      </c>
      <c r="E993" t="inlineStr">
        <is>
          <t>物资名称 重要用途碳素弹簧钢丝;物资简称 钢丝;牌号 T9A;直径 Φ0.8;技术标准号 YB/T 5311-2010;抗拉强度 ;加工工艺 ;表面状态 ;特殊要求 F,h11;规格标准号 GB/T 342-1997</t>
        </is>
      </c>
      <c r="F993" t="inlineStr">
        <is>
          <t>千克</t>
        </is>
      </c>
    </row>
    <row r="994">
      <c r="A994" t="inlineStr">
        <is>
          <t>100501</t>
        </is>
      </c>
      <c r="B994" t="inlineStr">
        <is>
          <t>钢丝</t>
        </is>
      </c>
      <c r="C994" t="inlineStr">
        <is>
          <t>603541500</t>
        </is>
      </c>
      <c r="D994" t="inlineStr">
        <is>
          <t>冷拉碳素弹簧钢丝|钢丝|65Mn|Φ1.6|GB/T 4357-2009|DM|冷拉</t>
        </is>
      </c>
      <c r="E994" t="inlineStr">
        <is>
          <t>物资名称 冷拉碳素弹簧钢丝;物资简称 钢丝;牌号 65Mn;直径 Φ1.6;技术标准号 GB/T 4357-2009;抗拉强度 DM;加工工艺 冷拉;表面状态 ;特殊要求 ;规格标准号</t>
        </is>
      </c>
      <c r="F994" t="inlineStr">
        <is>
          <t>千克</t>
        </is>
      </c>
    </row>
    <row r="995">
      <c r="A995" t="inlineStr">
        <is>
          <t>100501</t>
        </is>
      </c>
      <c r="B995" t="inlineStr">
        <is>
          <t>钢丝</t>
        </is>
      </c>
      <c r="C995" t="inlineStr">
        <is>
          <t>603536700</t>
        </is>
      </c>
      <c r="D995" t="inlineStr">
        <is>
          <t>重要用途碳素弹簧钢丝|钢丝|T9A|YB/T 5311-2010|F</t>
        </is>
      </c>
      <c r="E995" t="inlineStr">
        <is>
          <t>物资名称 重要用途碳素弹簧钢丝;物资简称 钢丝;牌号 T9A;直径 Φ;技术标准号 YB/T 5311-2010;抗拉强度 ;加工工艺 ;表面状态 ;特殊要求 F;规格标准号</t>
        </is>
      </c>
      <c r="F995" t="inlineStr">
        <is>
          <t>千克</t>
        </is>
      </c>
    </row>
    <row r="996">
      <c r="A996" t="inlineStr">
        <is>
          <t>100501</t>
        </is>
      </c>
      <c r="B996" t="inlineStr">
        <is>
          <t>钢丝</t>
        </is>
      </c>
      <c r="C996" t="inlineStr">
        <is>
          <t>603536600</t>
        </is>
      </c>
      <c r="D996" t="inlineStr">
        <is>
          <t>冷拉碳素弹簧钢丝|钢丝|T9A|GB/T 4357-2009|SM|冷拉</t>
        </is>
      </c>
      <c r="E996" t="inlineStr">
        <is>
          <t>物资名称 冷拉碳素弹簧钢丝;物资简称 钢丝;牌号 T9A;直径 Φ;技术标准号 GB/T 4357-2009;抗拉强度 SM;加工工艺 冷拉;表面状态 ;特殊要求 ;规格标准号</t>
        </is>
      </c>
      <c r="F996" t="inlineStr">
        <is>
          <t>千克</t>
        </is>
      </c>
    </row>
    <row r="997">
      <c r="A997" t="inlineStr">
        <is>
          <t>100501</t>
        </is>
      </c>
      <c r="B997" t="inlineStr">
        <is>
          <t>钢丝</t>
        </is>
      </c>
      <c r="C997" t="inlineStr">
        <is>
          <t>603171700</t>
        </is>
      </c>
      <c r="D997" t="inlineStr">
        <is>
          <t>冷拉不锈钢丝|钢丝|12Cr18Ni9|Φ1|GB/T 4240-2009|冷拉|软态</t>
        </is>
      </c>
      <c r="E997" t="inlineStr">
        <is>
          <t>物资名称 冷拉不锈钢丝;物资简称 钢丝;牌号 12Cr18Ni9;直径 Φ1;技术标准号 GB/T 4240-2009;抗拉强度 ;加工工艺 冷拉;表面状态 ;特殊要求 软态;规格标准号</t>
        </is>
      </c>
      <c r="F997" t="inlineStr">
        <is>
          <t>米</t>
        </is>
      </c>
    </row>
    <row r="998">
      <c r="A998" t="inlineStr">
        <is>
          <t>100501</t>
        </is>
      </c>
      <c r="B998" t="inlineStr">
        <is>
          <t>钢丝</t>
        </is>
      </c>
      <c r="C998" t="inlineStr">
        <is>
          <t>602888700</t>
        </is>
      </c>
      <c r="D998" t="inlineStr">
        <is>
          <t>不锈钢丝|钢丝|12Cr18Ni9|Φ0.5|GB/T 4240-2019</t>
        </is>
      </c>
      <c r="E998" t="inlineStr">
        <is>
          <t>物资名称 不锈钢丝;物资简称 钢丝;牌号 12Cr18Ni9;直径 Φ0.5;技术标准号 GB/T 4240-2019;抗拉强度 ;加工工艺 ;表面状态 ;特殊要求 ;规格标准号</t>
        </is>
      </c>
      <c r="F998" t="inlineStr">
        <is>
          <t>米</t>
        </is>
      </c>
    </row>
    <row r="999">
      <c r="A999" t="inlineStr">
        <is>
          <t>100501</t>
        </is>
      </c>
      <c r="B999" t="inlineStr">
        <is>
          <t>钢丝</t>
        </is>
      </c>
      <c r="C999" t="inlineStr">
        <is>
          <t>602888600</t>
        </is>
      </c>
      <c r="D999" t="inlineStr">
        <is>
          <t>不锈钢丝|钢丝|12Cr18Ni9|Φ1|GB/T 4240-2019</t>
        </is>
      </c>
      <c r="E999" t="inlineStr">
        <is>
          <t>物资名称 不锈钢丝;物资简称 钢丝;牌号 12Cr18Ni9;直径 Φ1;技术标准号 GB/T 4240-2019;抗拉强度 ;加工工艺 ;表面状态 ;特殊要求 ;规格标准号</t>
        </is>
      </c>
      <c r="F999" t="inlineStr">
        <is>
          <t>米</t>
        </is>
      </c>
    </row>
    <row r="1000">
      <c r="A1000" t="inlineStr">
        <is>
          <t>100501</t>
        </is>
      </c>
      <c r="B1000" t="inlineStr">
        <is>
          <t>钢丝</t>
        </is>
      </c>
      <c r="C1000" t="inlineStr">
        <is>
          <t>602469700</t>
        </is>
      </c>
      <c r="D1000" t="inlineStr">
        <is>
          <t>不锈钢丝|钢丝|06Cr19Ni10|Φ0.5|GB/T 4240-2019|软态</t>
        </is>
      </c>
      <c r="E1000" t="inlineStr">
        <is>
          <t xml:space="preserve">物资名称 不锈钢丝;物资简称 钢丝;牌号 06Cr19Ni10;直径 Φ0.5;技术标准号 GB/T 4240-2019;抗拉强度 ;加工工艺 ;表面状态 ;特殊要求 软态;规格标准号 </t>
        </is>
      </c>
      <c r="F1000" t="inlineStr">
        <is>
          <t>米</t>
        </is>
      </c>
    </row>
    <row r="1001">
      <c r="A1001" t="inlineStr">
        <is>
          <t>100501</t>
        </is>
      </c>
      <c r="B1001" t="inlineStr">
        <is>
          <t>钢丝</t>
        </is>
      </c>
      <c r="C1001" t="inlineStr">
        <is>
          <t>602377500</t>
        </is>
      </c>
      <c r="D1001" t="inlineStr">
        <is>
          <t>冷拉碳素弹簧钢丝|钢丝|65Mn-DM|Φ0.9|GB/T 4357-2009|冷拉</t>
        </is>
      </c>
      <c r="E1001" t="inlineStr">
        <is>
          <t xml:space="preserve">物资名称 冷拉碳素弹簧钢丝;物资简称 钢丝;牌号 65Mn-DM;直径 Φ0.9;技术标准号 GB/T 4357-2009;抗拉强度 ;加工工艺 冷拉;表面状态 ;特殊要求 ;规格标准号 </t>
        </is>
      </c>
      <c r="F1001" t="inlineStr">
        <is>
          <t>千克</t>
        </is>
      </c>
    </row>
    <row r="1002">
      <c r="A1002" t="inlineStr">
        <is>
          <t>100501</t>
        </is>
      </c>
      <c r="B1002" t="inlineStr">
        <is>
          <t>钢丝</t>
        </is>
      </c>
      <c r="C1002" t="inlineStr">
        <is>
          <t>602324700</t>
        </is>
      </c>
      <c r="D1002" t="inlineStr">
        <is>
          <t>碳素弹簧钢丝|钢丝|65Mn|Φ0.9|GB/T 4357-1989|C|h11|GB/T 342-1997</t>
        </is>
      </c>
      <c r="E1002" t="inlineStr">
        <is>
          <t>物资名称 碳素弹簧钢丝;物资简称 钢丝;牌号 65Mn;直径 Φ0.9;技术标准号 GB/T 4357-1989;抗拉强度 C;加工工艺 ;表面状态 ;特殊要求 h11;规格标准号 GB/T 342-1997</t>
        </is>
      </c>
      <c r="F1002" t="inlineStr">
        <is>
          <t>千克</t>
        </is>
      </c>
    </row>
    <row r="1003">
      <c r="A1003" t="inlineStr">
        <is>
          <t>100501</t>
        </is>
      </c>
      <c r="B1003" t="inlineStr">
        <is>
          <t>钢丝</t>
        </is>
      </c>
      <c r="C1003" t="inlineStr">
        <is>
          <t>602324600</t>
        </is>
      </c>
      <c r="D1003" t="inlineStr">
        <is>
          <t>碳素弹簧钢丝|钢丝|65Mn|Φ1.6|GB/T 4357-1989|C|h11|GB/T 342-1997</t>
        </is>
      </c>
      <c r="E1003" t="inlineStr">
        <is>
          <t>物资名称 碳素弹簧钢丝;物资简称 钢丝;牌号 65Mn;直径 Φ1.6;技术标准号 GB/T 4357-1989;抗拉强度 C;加工工艺 ;表面状态 ;特殊要求 h11;规格标准号 GB/T 342-1997</t>
        </is>
      </c>
      <c r="F1003" t="inlineStr">
        <is>
          <t>千克</t>
        </is>
      </c>
    </row>
    <row r="1004">
      <c r="A1004" t="inlineStr">
        <is>
          <t>100501</t>
        </is>
      </c>
      <c r="B1004" t="inlineStr">
        <is>
          <t>钢丝</t>
        </is>
      </c>
      <c r="C1004" t="inlineStr">
        <is>
          <t>601432400</t>
        </is>
      </c>
      <c r="D1004" t="inlineStr">
        <is>
          <t>一般用途低碳钢丝|镀锌钢丝|Φ1|YB/T 5294-2009</t>
        </is>
      </c>
      <c r="E1004" t="inlineStr">
        <is>
          <t xml:space="preserve">物资名称 一般用途低碳钢丝;物资简称 镀锌钢丝;牌号 ;直径 Φ1;技术标准号 YB/T 5294-2009;抗拉强度 ;加工工艺 ;表面状态 ;特殊要求 ;规格标准号 </t>
        </is>
      </c>
      <c r="F1004" t="inlineStr">
        <is>
          <t>米</t>
        </is>
      </c>
    </row>
    <row r="1005">
      <c r="A1005" t="inlineStr">
        <is>
          <t>100501</t>
        </is>
      </c>
      <c r="B1005" t="inlineStr">
        <is>
          <t>钢丝</t>
        </is>
      </c>
      <c r="C1005" t="inlineStr">
        <is>
          <t>601432300</t>
        </is>
      </c>
      <c r="D1005" t="inlineStr">
        <is>
          <t>碳素弹簧钢丝|钢丝|65Mn|Φ0.8|GB/T 4357-1989|C|h11|GB/T 342-1997</t>
        </is>
      </c>
      <c r="E1005" t="inlineStr">
        <is>
          <t>物资名称 碳素弹簧钢丝;物资简称 钢丝;牌号 65Mn;直径 Φ0.8;技术标准号 GB/T 4357-1989;抗拉强度 C;加工工艺 ;表面状态 ;特殊要求 h11;规格标准号 GB/T 342-1997</t>
        </is>
      </c>
      <c r="F1005" t="inlineStr">
        <is>
          <t>千克</t>
        </is>
      </c>
    </row>
    <row r="1006">
      <c r="A1006" t="inlineStr">
        <is>
          <t>100501</t>
        </is>
      </c>
      <c r="B1006" t="inlineStr">
        <is>
          <t>钢丝</t>
        </is>
      </c>
      <c r="C1006" t="inlineStr">
        <is>
          <t>601417900</t>
        </is>
      </c>
      <c r="D1006" t="inlineStr">
        <is>
          <t>碳素弹簧钢丝C级|钢丝|70-C|Φ1.0-11|GB/T 4357-1989|GB/T 342-1997</t>
        </is>
      </c>
      <c r="E1006" t="inlineStr">
        <is>
          <t>物资名称 碳素弹簧钢丝C级;物资简称 钢丝;牌号 70-C;直径 Φ1.0-11;技术标准号 GB/T 4357-1989;抗拉强度 ;加工工艺 ;表面状态 ;特殊要求 ;规格标准号 GB/T 342-1997</t>
        </is>
      </c>
      <c r="F1006" t="inlineStr">
        <is>
          <t>千克</t>
        </is>
      </c>
    </row>
    <row r="1007">
      <c r="A1007" t="inlineStr">
        <is>
          <t>100501</t>
        </is>
      </c>
      <c r="B1007" t="inlineStr">
        <is>
          <t>钢丝</t>
        </is>
      </c>
      <c r="C1007" t="inlineStr">
        <is>
          <t>601341900</t>
        </is>
      </c>
      <c r="D1007" t="inlineStr">
        <is>
          <t>钢丝|钢丝|0Cr18Ni9|Φ8|空</t>
        </is>
      </c>
      <c r="E1007" t="inlineStr">
        <is>
          <t xml:space="preserve">物资名称 钢丝;物资简称 钢丝;牌号 0Cr18Ni9;直径 Φ8;技术标准号 空;抗拉强度 ;加工工艺 ;表面状态 ;特殊要求 ;规格标准号 </t>
        </is>
      </c>
      <c r="F1007" t="inlineStr">
        <is>
          <t>千克</t>
        </is>
      </c>
    </row>
    <row r="1008">
      <c r="A1008" t="inlineStr">
        <is>
          <t>100501</t>
        </is>
      </c>
      <c r="B1008" t="inlineStr">
        <is>
          <t>钢丝</t>
        </is>
      </c>
      <c r="C1008" t="inlineStr">
        <is>
          <t>601341800</t>
        </is>
      </c>
      <c r="D1008" t="inlineStr">
        <is>
          <t>钢丝|钢丝|10＃|Φ0.5|101/2002-1-4</t>
        </is>
      </c>
      <c r="E1008" t="inlineStr">
        <is>
          <t xml:space="preserve">物资名称 钢丝;物资简称 钢丝;牌号 10＃;直径 Φ0.5;技术标准号 101/2002-1-4;抗拉强度 ;加工工艺 ;表面状态 ;特殊要求 ;规格标准号 </t>
        </is>
      </c>
      <c r="F1008" t="inlineStr">
        <is>
          <t>千克</t>
        </is>
      </c>
    </row>
    <row r="1009">
      <c r="A1009" t="inlineStr">
        <is>
          <t>100501</t>
        </is>
      </c>
      <c r="B1009" t="inlineStr">
        <is>
          <t>钢丝</t>
        </is>
      </c>
      <c r="C1009" t="inlineStr">
        <is>
          <t>601341700</t>
        </is>
      </c>
      <c r="D1009" t="inlineStr">
        <is>
          <t>钢丝|钢丝|1Cr17Ni2|Φ4|503/2002-6-17</t>
        </is>
      </c>
      <c r="E1009" t="inlineStr">
        <is>
          <t xml:space="preserve">物资名称 钢丝;物资简称 钢丝;牌号 1Cr17Ni2;直径 Φ4;技术标准号 503/2002-6-17;抗拉强度 ;加工工艺 ;表面状态 ;特殊要求 ;规格标准号 </t>
        </is>
      </c>
      <c r="F1009" t="inlineStr">
        <is>
          <t>千克</t>
        </is>
      </c>
    </row>
    <row r="1010">
      <c r="A1010" t="inlineStr">
        <is>
          <t>100501</t>
        </is>
      </c>
      <c r="B1010" t="inlineStr">
        <is>
          <t>钢丝</t>
        </is>
      </c>
      <c r="C1010" t="inlineStr">
        <is>
          <t>601341600</t>
        </is>
      </c>
      <c r="D1010" t="inlineStr">
        <is>
          <t>钢丝|钢丝|1Cr17Ni2|Φ5|503/2002-6-18</t>
        </is>
      </c>
      <c r="E1010" t="inlineStr">
        <is>
          <t xml:space="preserve">物资名称 钢丝;物资简称 钢丝;牌号 1Cr17Ni2;直径 Φ5;技术标准号 503/2002-6-18;抗拉强度 ;加工工艺 ;表面状态 ;特殊要求 ;规格标准号 </t>
        </is>
      </c>
      <c r="F1010" t="inlineStr">
        <is>
          <t>千克</t>
        </is>
      </c>
    </row>
    <row r="1011">
      <c r="A1011" t="inlineStr">
        <is>
          <t>100501</t>
        </is>
      </c>
      <c r="B1011" t="inlineStr">
        <is>
          <t>钢丝</t>
        </is>
      </c>
      <c r="C1011" t="inlineStr">
        <is>
          <t>601341500</t>
        </is>
      </c>
      <c r="D1011" t="inlineStr">
        <is>
          <t>钢丝|钢丝|1Cr18Ni9|Φ0.5|空</t>
        </is>
      </c>
      <c r="E1011" t="inlineStr">
        <is>
          <t xml:space="preserve">物资名称 钢丝;物资简称 钢丝;牌号 1Cr18Ni9;直径 Φ0.5;技术标准号 空;抗拉强度 ;加工工艺 ;表面状态 ;特殊要求 ;规格标准号 </t>
        </is>
      </c>
      <c r="F1011" t="inlineStr">
        <is>
          <t>千克</t>
        </is>
      </c>
    </row>
    <row r="1012">
      <c r="A1012" t="inlineStr">
        <is>
          <t>100501</t>
        </is>
      </c>
      <c r="B1012" t="inlineStr">
        <is>
          <t>钢丝</t>
        </is>
      </c>
      <c r="C1012" t="inlineStr">
        <is>
          <t>601341400</t>
        </is>
      </c>
      <c r="D1012" t="inlineStr">
        <is>
          <t>钢丝|钢丝|1Cr18Ni9|Φ3|401/92-6-40</t>
        </is>
      </c>
      <c r="E1012" t="inlineStr">
        <is>
          <t xml:space="preserve">物资名称 钢丝;物资简称 钢丝;牌号 1Cr18Ni9;直径 Φ3;技术标准号 401/92-6-40;抗拉强度 ;加工工艺 ;表面状态 ;特殊要求 ;规格标准号 </t>
        </is>
      </c>
      <c r="F1012" t="inlineStr">
        <is>
          <t>千克</t>
        </is>
      </c>
    </row>
    <row r="1013">
      <c r="A1013" t="inlineStr">
        <is>
          <t>100501</t>
        </is>
      </c>
      <c r="B1013" t="inlineStr">
        <is>
          <t>钢丝</t>
        </is>
      </c>
      <c r="C1013" t="inlineStr">
        <is>
          <t>601341300</t>
        </is>
      </c>
      <c r="D1013" t="inlineStr">
        <is>
          <t>钢丝|钢丝|1Cr18Ni9-A|Φ0.8|506/06-7-189</t>
        </is>
      </c>
      <c r="E1013" t="inlineStr">
        <is>
          <t xml:space="preserve">物资名称 钢丝;物资简称 钢丝;牌号 1Cr18Ni9-A;直径 Φ0.8;技术标准号 506/06-7-189;抗拉强度 ;加工工艺 ;表面状态 ;特殊要求 ;规格标准号 </t>
        </is>
      </c>
      <c r="F1013" t="inlineStr">
        <is>
          <t>千克</t>
        </is>
      </c>
    </row>
    <row r="1014">
      <c r="A1014" t="inlineStr">
        <is>
          <t>100501</t>
        </is>
      </c>
      <c r="B1014" t="inlineStr">
        <is>
          <t>钢丝</t>
        </is>
      </c>
      <c r="C1014" t="inlineStr">
        <is>
          <t>601341200</t>
        </is>
      </c>
      <c r="D1014" t="inlineStr">
        <is>
          <t>钢丝|钢丝|20＃|Φ2.5|104/78-12-134</t>
        </is>
      </c>
      <c r="E1014" t="inlineStr">
        <is>
          <t xml:space="preserve">物资名称 钢丝;物资简称 钢丝;牌号 20＃;直径 Φ2.5;技术标准号 104/78-12-134;抗拉强度 ;加工工艺 ;表面状态 ;特殊要求 ;规格标准号 </t>
        </is>
      </c>
      <c r="F1014" t="inlineStr">
        <is>
          <t>千克</t>
        </is>
      </c>
    </row>
    <row r="1015">
      <c r="A1015" t="inlineStr">
        <is>
          <t>100501</t>
        </is>
      </c>
      <c r="B1015" t="inlineStr">
        <is>
          <t>钢丝</t>
        </is>
      </c>
      <c r="C1015" t="inlineStr">
        <is>
          <t>601341100</t>
        </is>
      </c>
      <c r="D1015" t="inlineStr">
        <is>
          <t>钢丝|钢丝|20＃|Φ2|101/74-11-46</t>
        </is>
      </c>
      <c r="E1015" t="inlineStr">
        <is>
          <t xml:space="preserve">物资名称 钢丝;物资简称 钢丝;牌号 20＃;直径 Φ2;技术标准号 101/74-11-46;抗拉强度 ;加工工艺 ;表面状态 ;特殊要求 ;规格标准号 </t>
        </is>
      </c>
      <c r="F1015" t="inlineStr">
        <is>
          <t>千克</t>
        </is>
      </c>
    </row>
    <row r="1016">
      <c r="A1016" t="inlineStr">
        <is>
          <t>100501</t>
        </is>
      </c>
      <c r="B1016" t="inlineStr">
        <is>
          <t>钢丝</t>
        </is>
      </c>
      <c r="C1016" t="inlineStr">
        <is>
          <t>601341000</t>
        </is>
      </c>
      <c r="D1016" t="inlineStr">
        <is>
          <t>钢丝|钢丝|20＃|Φ3|101/76-11-103</t>
        </is>
      </c>
      <c r="E1016" t="inlineStr">
        <is>
          <t xml:space="preserve">物资名称 钢丝;物资简称 钢丝;牌号 20＃;直径 Φ3;技术标准号 101/76-11-103;抗拉强度 ;加工工艺 ;表面状态 ;特殊要求 ;规格标准号 </t>
        </is>
      </c>
      <c r="F1016" t="inlineStr">
        <is>
          <t>千克</t>
        </is>
      </c>
    </row>
    <row r="1017">
      <c r="A1017" t="inlineStr">
        <is>
          <t>100501</t>
        </is>
      </c>
      <c r="B1017" t="inlineStr">
        <is>
          <t>钢丝</t>
        </is>
      </c>
      <c r="C1017" t="inlineStr">
        <is>
          <t>601340900</t>
        </is>
      </c>
      <c r="D1017" t="inlineStr">
        <is>
          <t>钢丝|钢丝|20＃|Φ5|101/69-12-276</t>
        </is>
      </c>
      <c r="E1017" t="inlineStr">
        <is>
          <t xml:space="preserve">物资名称 钢丝;物资简称 钢丝;牌号 20＃;直径 Φ5;技术标准号 101/69-12-276;抗拉强度 ;加工工艺 ;表面状态 ;特殊要求 ;规格标准号 </t>
        </is>
      </c>
      <c r="F1017" t="inlineStr">
        <is>
          <t>千克</t>
        </is>
      </c>
    </row>
    <row r="1018">
      <c r="A1018" t="inlineStr">
        <is>
          <t>100501</t>
        </is>
      </c>
      <c r="B1018" t="inlineStr">
        <is>
          <t>钢丝</t>
        </is>
      </c>
      <c r="C1018" t="inlineStr">
        <is>
          <t>601340800</t>
        </is>
      </c>
      <c r="D1018" t="inlineStr">
        <is>
          <t>钢丝|钢丝|20＃|Φ5|101/79-10-114</t>
        </is>
      </c>
      <c r="E1018" t="inlineStr">
        <is>
          <t xml:space="preserve">物资名称 钢丝;物资简称 钢丝;牌号 20＃;直径 Φ5;技术标准号 101/79-10-114;抗拉强度 ;加工工艺 ;表面状态 ;特殊要求 ;规格标准号 </t>
        </is>
      </c>
      <c r="F1018" t="inlineStr">
        <is>
          <t>千克</t>
        </is>
      </c>
    </row>
    <row r="1019">
      <c r="A1019" t="inlineStr">
        <is>
          <t>100501</t>
        </is>
      </c>
      <c r="B1019" t="inlineStr">
        <is>
          <t>钢丝</t>
        </is>
      </c>
      <c r="C1019" t="inlineStr">
        <is>
          <t>601340700</t>
        </is>
      </c>
      <c r="D1019" t="inlineStr">
        <is>
          <t>钢丝|钢丝|2Cr13|Φ4|空</t>
        </is>
      </c>
      <c r="E1019" t="inlineStr">
        <is>
          <t xml:space="preserve">物资名称 钢丝;物资简称 钢丝;牌号 2Cr13;直径 Φ4;技术标准号 空;抗拉强度 ;加工工艺 ;表面状态 ;特殊要求 ;规格标准号 </t>
        </is>
      </c>
      <c r="F1019" t="inlineStr">
        <is>
          <t>千克</t>
        </is>
      </c>
    </row>
    <row r="1020">
      <c r="A1020" t="inlineStr">
        <is>
          <t>100501</t>
        </is>
      </c>
      <c r="B1020" t="inlineStr">
        <is>
          <t>钢丝</t>
        </is>
      </c>
      <c r="C1020" t="inlineStr">
        <is>
          <t>601340600</t>
        </is>
      </c>
      <c r="D1020" t="inlineStr">
        <is>
          <t>钢丝|钢丝|2Cr13|Φ5|107/07-8-3</t>
        </is>
      </c>
      <c r="E1020" t="inlineStr">
        <is>
          <t xml:space="preserve">物资名称 钢丝;物资简称 钢丝;牌号 2Cr13;直径 Φ5;技术标准号 107/07-8-3;抗拉强度 ;加工工艺 ;表面状态 ;特殊要求 ;规格标准号 </t>
        </is>
      </c>
      <c r="F1020" t="inlineStr">
        <is>
          <t>千克</t>
        </is>
      </c>
    </row>
    <row r="1021">
      <c r="A1021" t="inlineStr">
        <is>
          <t>100501</t>
        </is>
      </c>
      <c r="B1021" t="inlineStr">
        <is>
          <t>钢丝</t>
        </is>
      </c>
      <c r="C1021" t="inlineStr">
        <is>
          <t>601340500</t>
        </is>
      </c>
      <c r="D1021" t="inlineStr">
        <is>
          <t>钢丝|钢丝|2Cr13|Φ6|101/68-12-215</t>
        </is>
      </c>
      <c r="E1021" t="inlineStr">
        <is>
          <t xml:space="preserve">物资名称 钢丝;物资简称 钢丝;牌号 2Cr13;直径 Φ6;技术标准号 101/68-12-215;抗拉强度 ;加工工艺 ;表面状态 ;特殊要求 ;规格标准号 </t>
        </is>
      </c>
      <c r="F1021" t="inlineStr">
        <is>
          <t>千克</t>
        </is>
      </c>
    </row>
    <row r="1022">
      <c r="A1022" t="inlineStr">
        <is>
          <t>100501</t>
        </is>
      </c>
      <c r="B1022" t="inlineStr">
        <is>
          <t>钢丝</t>
        </is>
      </c>
      <c r="C1022" t="inlineStr">
        <is>
          <t>601340400</t>
        </is>
      </c>
      <c r="D1022" t="inlineStr">
        <is>
          <t>钢丝|钢丝|2Cr13|Φ7|101/67-4-126</t>
        </is>
      </c>
      <c r="E1022" t="inlineStr">
        <is>
          <t xml:space="preserve">物资名称 钢丝;物资简称 钢丝;牌号 2Cr13;直径 Φ7;技术标准号 101/67-4-126;抗拉强度 ;加工工艺 ;表面状态 ;特殊要求 ;规格标准号 </t>
        </is>
      </c>
      <c r="F1022" t="inlineStr">
        <is>
          <t>千克</t>
        </is>
      </c>
    </row>
    <row r="1023">
      <c r="A1023" t="inlineStr">
        <is>
          <t>100501</t>
        </is>
      </c>
      <c r="B1023" t="inlineStr">
        <is>
          <t>钢丝</t>
        </is>
      </c>
      <c r="C1023" t="inlineStr">
        <is>
          <t>601340300</t>
        </is>
      </c>
      <c r="D1023" t="inlineStr">
        <is>
          <t>钢丝|钢丝|2Cr13Ni2|Φ2.5|101/66-11-449</t>
        </is>
      </c>
      <c r="E1023" t="inlineStr">
        <is>
          <t xml:space="preserve">物资名称 钢丝;物资简称 钢丝;牌号 2Cr13Ni2;直径 Φ2.5;技术标准号 101/66-11-449;抗拉强度 ;加工工艺 ;表面状态 ;特殊要求 ;规格标准号 </t>
        </is>
      </c>
      <c r="F1023" t="inlineStr">
        <is>
          <t>千克</t>
        </is>
      </c>
    </row>
    <row r="1024">
      <c r="A1024" t="inlineStr">
        <is>
          <t>100501</t>
        </is>
      </c>
      <c r="B1024" t="inlineStr">
        <is>
          <t>钢丝</t>
        </is>
      </c>
      <c r="C1024" t="inlineStr">
        <is>
          <t>601340200</t>
        </is>
      </c>
      <c r="D1024" t="inlineStr">
        <is>
          <t>钢丝|钢丝|2Cr13Ni2|Φ3|101/66-7-277</t>
        </is>
      </c>
      <c r="E1024" t="inlineStr">
        <is>
          <t xml:space="preserve">物资名称 钢丝;物资简称 钢丝;牌号 2Cr13Ni2;直径 Φ3;技术标准号 101/66-7-277;抗拉强度 ;加工工艺 ;表面状态 ;特殊要求 ;规格标准号 </t>
        </is>
      </c>
      <c r="F1024" t="inlineStr">
        <is>
          <t>千克</t>
        </is>
      </c>
    </row>
    <row r="1025">
      <c r="A1025" t="inlineStr">
        <is>
          <t>100501</t>
        </is>
      </c>
      <c r="B1025" t="inlineStr">
        <is>
          <t>钢丝</t>
        </is>
      </c>
      <c r="C1025" t="inlineStr">
        <is>
          <t>601340100</t>
        </is>
      </c>
      <c r="D1025" t="inlineStr">
        <is>
          <t>钢丝|钢丝|2Cr13Ni2|Φ1.5|101/74-12-63</t>
        </is>
      </c>
      <c r="E1025" t="inlineStr">
        <is>
          <t xml:space="preserve">物资名称 钢丝;物资简称 钢丝;牌号 2Cr13Ni2;直径 Φ1.5;技术标准号 101/74-12-63;抗拉强度 ;加工工艺 ;表面状态 ;特殊要求 ;规格标准号 </t>
        </is>
      </c>
      <c r="F1025" t="inlineStr">
        <is>
          <t>千克</t>
        </is>
      </c>
    </row>
    <row r="1026">
      <c r="A1026" t="inlineStr">
        <is>
          <t>100501</t>
        </is>
      </c>
      <c r="B1026" t="inlineStr">
        <is>
          <t>钢丝</t>
        </is>
      </c>
      <c r="C1026" t="inlineStr">
        <is>
          <t>601340000</t>
        </is>
      </c>
      <c r="D1026" t="inlineStr">
        <is>
          <t>钢丝|钢丝|2Cr13Ni2|Φ6|107/05-12-10</t>
        </is>
      </c>
      <c r="E1026" t="inlineStr">
        <is>
          <t xml:space="preserve">物资名称 钢丝;物资简称 钢丝;牌号 2Cr13Ni2;直径 Φ6;技术标准号 107/05-12-10;抗拉强度 ;加工工艺 ;表面状态 ;特殊要求 ;规格标准号 </t>
        </is>
      </c>
      <c r="F1026" t="inlineStr">
        <is>
          <t>千克</t>
        </is>
      </c>
    </row>
    <row r="1027">
      <c r="A1027" t="inlineStr">
        <is>
          <t>100501</t>
        </is>
      </c>
      <c r="B1027" t="inlineStr">
        <is>
          <t>钢丝</t>
        </is>
      </c>
      <c r="C1027" t="inlineStr">
        <is>
          <t>601339900</t>
        </is>
      </c>
      <c r="D1027" t="inlineStr">
        <is>
          <t>钢丝|钢丝|2Cr13Ni2|Φ7|107/05-12-11</t>
        </is>
      </c>
      <c r="E1027" t="inlineStr">
        <is>
          <t xml:space="preserve">物资名称 钢丝;物资简称 钢丝;牌号 2Cr13Ni2;直径 Φ7;技术标准号 107/05-12-11;抗拉强度 ;加工工艺 ;表面状态 ;特殊要求 ;规格标准号 </t>
        </is>
      </c>
      <c r="F1027" t="inlineStr">
        <is>
          <t>千克</t>
        </is>
      </c>
    </row>
    <row r="1028">
      <c r="A1028" t="inlineStr">
        <is>
          <t>100501</t>
        </is>
      </c>
      <c r="B1028" t="inlineStr">
        <is>
          <t>钢丝</t>
        </is>
      </c>
      <c r="C1028" t="inlineStr">
        <is>
          <t>601339800</t>
        </is>
      </c>
      <c r="D1028" t="inlineStr">
        <is>
          <t>钢丝|钢丝|45#|Φ4|空</t>
        </is>
      </c>
      <c r="E1028" t="inlineStr">
        <is>
          <t xml:space="preserve">物资名称 钢丝;物资简称 钢丝;牌号 45#;直径 Φ4;技术标准号 空;抗拉强度 ;加工工艺 ;表面状态 ;特殊要求 ;规格标准号 </t>
        </is>
      </c>
      <c r="F1028" t="inlineStr">
        <is>
          <t>千克</t>
        </is>
      </c>
    </row>
    <row r="1029">
      <c r="A1029" t="inlineStr">
        <is>
          <t>100501</t>
        </is>
      </c>
      <c r="B1029" t="inlineStr">
        <is>
          <t>钢丝</t>
        </is>
      </c>
      <c r="C1029" t="inlineStr">
        <is>
          <t>601339700</t>
        </is>
      </c>
      <c r="D1029" t="inlineStr">
        <is>
          <t>钢丝|钢丝|45#|Φ5|107/2005-4-5</t>
        </is>
      </c>
      <c r="E1029" t="inlineStr">
        <is>
          <t xml:space="preserve">物资名称 钢丝;物资简称 钢丝;牌号 45#;直径 Φ5;技术标准号 107/2005-4-5;抗拉强度 ;加工工艺 ;表面状态 ;特殊要求 ;规格标准号 </t>
        </is>
      </c>
      <c r="F1029" t="inlineStr">
        <is>
          <t>千克</t>
        </is>
      </c>
    </row>
    <row r="1030">
      <c r="A1030" t="inlineStr">
        <is>
          <t>100501</t>
        </is>
      </c>
      <c r="B1030" t="inlineStr">
        <is>
          <t>钢丝</t>
        </is>
      </c>
      <c r="C1030" t="inlineStr">
        <is>
          <t>601339600</t>
        </is>
      </c>
      <c r="D1030" t="inlineStr">
        <is>
          <t>钢丝|钢丝|45#|Φ6|101/2000-10-93</t>
        </is>
      </c>
      <c r="E1030" t="inlineStr">
        <is>
          <t xml:space="preserve">物资名称 钢丝;物资简称 钢丝;牌号 45#;直径 Φ6;技术标准号 101/2000-10-93;抗拉强度 ;加工工艺 ;表面状态 ;特殊要求 ;规格标准号 </t>
        </is>
      </c>
      <c r="F1030" t="inlineStr">
        <is>
          <t>千克</t>
        </is>
      </c>
    </row>
    <row r="1031">
      <c r="A1031" t="inlineStr">
        <is>
          <t>100501</t>
        </is>
      </c>
      <c r="B1031" t="inlineStr">
        <is>
          <t>钢丝</t>
        </is>
      </c>
      <c r="C1031" t="inlineStr">
        <is>
          <t>601339500</t>
        </is>
      </c>
      <c r="D1031" t="inlineStr">
        <is>
          <t>钢丝|钢丝|45#|Φ6|101/2001-4-16</t>
        </is>
      </c>
      <c r="E1031" t="inlineStr">
        <is>
          <t xml:space="preserve">物资名称 钢丝;物资简称 钢丝;牌号 45#;直径 Φ6;技术标准号 101/2001-4-16;抗拉强度 ;加工工艺 ;表面状态 ;特殊要求 ;规格标准号 </t>
        </is>
      </c>
      <c r="F1031" t="inlineStr">
        <is>
          <t>千克</t>
        </is>
      </c>
    </row>
    <row r="1032">
      <c r="A1032" t="inlineStr">
        <is>
          <t>100501</t>
        </is>
      </c>
      <c r="B1032" t="inlineStr">
        <is>
          <t>钢丝</t>
        </is>
      </c>
      <c r="C1032" t="inlineStr">
        <is>
          <t>601339400</t>
        </is>
      </c>
      <c r="D1032" t="inlineStr">
        <is>
          <t>钢丝|钢丝|45#y|Φ3|942/05-12-200</t>
        </is>
      </c>
      <c r="E1032" t="inlineStr">
        <is>
          <t xml:space="preserve">物资名称 钢丝;物资简称 钢丝;牌号 45#y;直径 Φ3;技术标准号 942/05-12-200;抗拉强度 ;加工工艺 ;表面状态 ;特殊要求 ;规格标准号 </t>
        </is>
      </c>
      <c r="F1032" t="inlineStr">
        <is>
          <t>千克</t>
        </is>
      </c>
    </row>
    <row r="1033">
      <c r="A1033" t="inlineStr">
        <is>
          <t>100501</t>
        </is>
      </c>
      <c r="B1033" t="inlineStr">
        <is>
          <t>钢丝</t>
        </is>
      </c>
      <c r="C1033" t="inlineStr">
        <is>
          <t>601339300</t>
        </is>
      </c>
      <c r="D1033" t="inlineStr">
        <is>
          <t>钢丝|钢丝|50#|Φ2|104/67-8-178</t>
        </is>
      </c>
      <c r="E1033" t="inlineStr">
        <is>
          <t xml:space="preserve">物资名称 钢丝;物资简称 钢丝;牌号 50#;直径 Φ2;技术标准号 104/67-8-178;抗拉强度 ;加工工艺 ;表面状态 ;特殊要求 ;规格标准号 </t>
        </is>
      </c>
      <c r="F1033" t="inlineStr">
        <is>
          <t>千克</t>
        </is>
      </c>
    </row>
    <row r="1034">
      <c r="A1034" t="inlineStr">
        <is>
          <t>100501</t>
        </is>
      </c>
      <c r="B1034" t="inlineStr">
        <is>
          <t>钢丝</t>
        </is>
      </c>
      <c r="C1034" t="inlineStr">
        <is>
          <t>601339200</t>
        </is>
      </c>
      <c r="D1034" t="inlineStr">
        <is>
          <t>钢丝|钢丝|50#|Φ5|101/70-2-23</t>
        </is>
      </c>
      <c r="E1034" t="inlineStr">
        <is>
          <t xml:space="preserve">物资名称 钢丝;物资简称 钢丝;牌号 50#;直径 Φ5;技术标准号 101/70-2-23;抗拉强度 ;加工工艺 ;表面状态 ;特殊要求 ;规格标准号 </t>
        </is>
      </c>
      <c r="F1034" t="inlineStr">
        <is>
          <t>千克</t>
        </is>
      </c>
    </row>
    <row r="1035">
      <c r="A1035" t="inlineStr">
        <is>
          <t>100501</t>
        </is>
      </c>
      <c r="B1035" t="inlineStr">
        <is>
          <t>钢丝</t>
        </is>
      </c>
      <c r="C1035" t="inlineStr">
        <is>
          <t>601339100</t>
        </is>
      </c>
      <c r="D1035" t="inlineStr">
        <is>
          <t>钢丝|钢丝|50#|Φ6|101/69-6-167</t>
        </is>
      </c>
      <c r="E1035" t="inlineStr">
        <is>
          <t xml:space="preserve">物资名称 钢丝;物资简称 钢丝;牌号 50#;直径 Φ6;技术标准号 101/69-6-167;抗拉强度 ;加工工艺 ;表面状态 ;特殊要求 ;规格标准号 </t>
        </is>
      </c>
      <c r="F1035" t="inlineStr">
        <is>
          <t>千克</t>
        </is>
      </c>
    </row>
    <row r="1036">
      <c r="A1036" t="inlineStr">
        <is>
          <t>100501</t>
        </is>
      </c>
      <c r="B1036" t="inlineStr">
        <is>
          <t>钢丝</t>
        </is>
      </c>
      <c r="C1036" t="inlineStr">
        <is>
          <t>601339000</t>
        </is>
      </c>
      <c r="D1036" t="inlineStr">
        <is>
          <t>钢丝|钢丝|50CrVA|Φ1|空</t>
        </is>
      </c>
      <c r="E1036" t="inlineStr">
        <is>
          <t xml:space="preserve">物资名称 钢丝;物资简称 钢丝;牌号 50CrVA;直径 Φ1;技术标准号 空;抗拉强度 ;加工工艺 ;表面状态 ;特殊要求 ;规格标准号 </t>
        </is>
      </c>
      <c r="F1036" t="inlineStr">
        <is>
          <t>千克</t>
        </is>
      </c>
    </row>
    <row r="1037">
      <c r="A1037" t="inlineStr">
        <is>
          <t>100501</t>
        </is>
      </c>
      <c r="B1037" t="inlineStr">
        <is>
          <t>钢丝</t>
        </is>
      </c>
      <c r="C1037" t="inlineStr">
        <is>
          <t>601338900</t>
        </is>
      </c>
      <c r="D1037" t="inlineStr">
        <is>
          <t>钢丝|钢丝|50CrVA|Φ2|空</t>
        </is>
      </c>
      <c r="E1037" t="inlineStr">
        <is>
          <t xml:space="preserve">物资名称 钢丝;物资简称 钢丝;牌号 50CrVA;直径 Φ2;技术标准号 空;抗拉强度 ;加工工艺 ;表面状态 ;特殊要求 ;规格标准号 </t>
        </is>
      </c>
      <c r="F1037" t="inlineStr">
        <is>
          <t>千克</t>
        </is>
      </c>
    </row>
    <row r="1038">
      <c r="A1038" t="inlineStr">
        <is>
          <t>100501</t>
        </is>
      </c>
      <c r="B1038" t="inlineStr">
        <is>
          <t>钢丝</t>
        </is>
      </c>
      <c r="C1038" t="inlineStr">
        <is>
          <t>601338800</t>
        </is>
      </c>
      <c r="D1038" t="inlineStr">
        <is>
          <t>钢丝|钢丝|60Si2MnA|Φ0.8|空</t>
        </is>
      </c>
      <c r="E1038" t="inlineStr">
        <is>
          <t xml:space="preserve">物资名称 钢丝;物资简称 钢丝;牌号 60Si2MnA;直径 Φ0.8;技术标准号 空;抗拉强度 ;加工工艺 ;表面状态 ;特殊要求 ;规格标准号 </t>
        </is>
      </c>
      <c r="F1038" t="inlineStr">
        <is>
          <t>千克</t>
        </is>
      </c>
    </row>
    <row r="1039">
      <c r="A1039" t="inlineStr">
        <is>
          <t>100501</t>
        </is>
      </c>
      <c r="B1039" t="inlineStr">
        <is>
          <t>钢丝</t>
        </is>
      </c>
      <c r="C1039" t="inlineStr">
        <is>
          <t>601338700</t>
        </is>
      </c>
      <c r="D1039" t="inlineStr">
        <is>
          <t>钢丝|钢丝|60Si2MnA|Φ1.2|空</t>
        </is>
      </c>
      <c r="E1039" t="inlineStr">
        <is>
          <t xml:space="preserve">物资名称 钢丝;物资简称 钢丝;牌号 60Si2MnA;直径 Φ1.2;技术标准号 空;抗拉强度 ;加工工艺 ;表面状态 ;特殊要求 ;规格标准号 </t>
        </is>
      </c>
      <c r="F1039" t="inlineStr">
        <is>
          <t>千克</t>
        </is>
      </c>
    </row>
    <row r="1040">
      <c r="A1040" t="inlineStr">
        <is>
          <t>100501</t>
        </is>
      </c>
      <c r="B1040" t="inlineStr">
        <is>
          <t>钢丝</t>
        </is>
      </c>
      <c r="C1040" t="inlineStr">
        <is>
          <t>601338600</t>
        </is>
      </c>
      <c r="D1040" t="inlineStr">
        <is>
          <t>钢丝|钢丝|60Si2MnA|Φ1.6|502/2000-8-80</t>
        </is>
      </c>
      <c r="E1040" t="inlineStr">
        <is>
          <t xml:space="preserve">物资名称 钢丝;物资简称 钢丝;牌号 60Si2MnA;直径 Φ1.6;技术标准号 502/2000-8-80;抗拉强度 ;加工工艺 ;表面状态 ;特殊要求 ;规格标准号 </t>
        </is>
      </c>
      <c r="F1040" t="inlineStr">
        <is>
          <t>千克</t>
        </is>
      </c>
    </row>
    <row r="1041">
      <c r="A1041" t="inlineStr">
        <is>
          <t>100501</t>
        </is>
      </c>
      <c r="B1041" t="inlineStr">
        <is>
          <t>钢丝</t>
        </is>
      </c>
      <c r="C1041" t="inlineStr">
        <is>
          <t>601338500</t>
        </is>
      </c>
      <c r="D1041" t="inlineStr">
        <is>
          <t>钢丝|钢丝|70#B|Φ1.2|空</t>
        </is>
      </c>
      <c r="E1041" t="inlineStr">
        <is>
          <t xml:space="preserve">物资名称 钢丝;物资简称 钢丝;牌号 70#B;直径 Φ1.2;技术标准号 空;抗拉强度 ;加工工艺 ;表面状态 ;特殊要求 ;规格标准号 </t>
        </is>
      </c>
      <c r="F1041" t="inlineStr">
        <is>
          <t>千克</t>
        </is>
      </c>
    </row>
    <row r="1042">
      <c r="A1042" t="inlineStr">
        <is>
          <t>100501</t>
        </is>
      </c>
      <c r="B1042" t="inlineStr">
        <is>
          <t>钢丝</t>
        </is>
      </c>
      <c r="C1042" t="inlineStr">
        <is>
          <t>601338400</t>
        </is>
      </c>
      <c r="D1042" t="inlineStr">
        <is>
          <t>钢丝|钢丝|T10A|Φ1.5|101/65-4-119</t>
        </is>
      </c>
      <c r="E1042" t="inlineStr">
        <is>
          <t xml:space="preserve">物资名称 钢丝;物资简称 钢丝;牌号 T10A;直径 Φ1.5;技术标准号 101/65-4-119;抗拉强度 ;加工工艺 ;表面状态 ;特殊要求 ;规格标准号 </t>
        </is>
      </c>
      <c r="F1042" t="inlineStr">
        <is>
          <t>千克</t>
        </is>
      </c>
    </row>
    <row r="1043">
      <c r="A1043" t="inlineStr">
        <is>
          <t>100501</t>
        </is>
      </c>
      <c r="B1043" t="inlineStr">
        <is>
          <t>钢丝</t>
        </is>
      </c>
      <c r="C1043" t="inlineStr">
        <is>
          <t>601338300</t>
        </is>
      </c>
      <c r="D1043" t="inlineStr">
        <is>
          <t>钢丝|钢丝|T10A|Φ1|101/71-1-3</t>
        </is>
      </c>
      <c r="E1043" t="inlineStr">
        <is>
          <t xml:space="preserve">物资名称 钢丝;物资简称 钢丝;牌号 T10A;直径 Φ1;技术标准号 101/71-1-3;抗拉强度 ;加工工艺 ;表面状态 ;特殊要求 ;规格标准号 </t>
        </is>
      </c>
      <c r="F1043" t="inlineStr">
        <is>
          <t>千克</t>
        </is>
      </c>
    </row>
    <row r="1044">
      <c r="A1044" t="inlineStr">
        <is>
          <t>100501</t>
        </is>
      </c>
      <c r="B1044" t="inlineStr">
        <is>
          <t>钢丝</t>
        </is>
      </c>
      <c r="C1044" t="inlineStr">
        <is>
          <t>601338200</t>
        </is>
      </c>
      <c r="D1044" t="inlineStr">
        <is>
          <t>钢丝|钢丝|T10A|Φ2|101/69-5-106</t>
        </is>
      </c>
      <c r="E1044" t="inlineStr">
        <is>
          <t xml:space="preserve">物资名称 钢丝;物资简称 钢丝;牌号 T10A;直径 Φ2;技术标准号 101/69-5-106;抗拉强度 ;加工工艺 ;表面状态 ;特殊要求 ;规格标准号 </t>
        </is>
      </c>
      <c r="F1044" t="inlineStr">
        <is>
          <t>千克</t>
        </is>
      </c>
    </row>
    <row r="1045">
      <c r="A1045" t="inlineStr">
        <is>
          <t>100501</t>
        </is>
      </c>
      <c r="B1045" t="inlineStr">
        <is>
          <t>钢丝</t>
        </is>
      </c>
      <c r="C1045" t="inlineStr">
        <is>
          <t>601338100</t>
        </is>
      </c>
      <c r="D1045" t="inlineStr">
        <is>
          <t>钢丝|钢丝|T10A|Φ3|101/69-5-107A</t>
        </is>
      </c>
      <c r="E1045" t="inlineStr">
        <is>
          <t xml:space="preserve">物资名称 钢丝;物资简称 钢丝;牌号 T10A;直径 Φ3;技术标准号 101/69-5-107A;抗拉强度 ;加工工艺 ;表面状态 ;特殊要求 ;规格标准号 </t>
        </is>
      </c>
      <c r="F1045" t="inlineStr">
        <is>
          <t>千克</t>
        </is>
      </c>
    </row>
    <row r="1046">
      <c r="A1046" t="inlineStr">
        <is>
          <t>100501</t>
        </is>
      </c>
      <c r="B1046" t="inlineStr">
        <is>
          <t>钢丝</t>
        </is>
      </c>
      <c r="C1046" t="inlineStr">
        <is>
          <t>601338000</t>
        </is>
      </c>
      <c r="D1046" t="inlineStr">
        <is>
          <t>钢丝|钢丝|T10A|Φ4|101/2002-1-2</t>
        </is>
      </c>
      <c r="E1046" t="inlineStr">
        <is>
          <t xml:space="preserve">物资名称 钢丝;物资简称 钢丝;牌号 T10A;直径 Φ4;技术标准号 101/2002-1-2;抗拉强度 ;加工工艺 ;表面状态 ;特殊要求 ;规格标准号 </t>
        </is>
      </c>
      <c r="F1046" t="inlineStr">
        <is>
          <t>千克</t>
        </is>
      </c>
    </row>
    <row r="1047">
      <c r="A1047" t="inlineStr">
        <is>
          <t>100501</t>
        </is>
      </c>
      <c r="B1047" t="inlineStr">
        <is>
          <t>钢丝</t>
        </is>
      </c>
      <c r="C1047" t="inlineStr">
        <is>
          <t>601337900</t>
        </is>
      </c>
      <c r="D1047" t="inlineStr">
        <is>
          <t>钢丝|钢丝|T12A|Φ5|101/2001-2-1</t>
        </is>
      </c>
      <c r="E1047" t="inlineStr">
        <is>
          <t xml:space="preserve">物资名称 钢丝;物资简称 钢丝;牌号 T12A;直径 Φ5;技术标准号 101/2001-2-1;抗拉强度 ;加工工艺 ;表面状态 ;特殊要求 ;规格标准号 </t>
        </is>
      </c>
      <c r="F1047" t="inlineStr">
        <is>
          <t>千克</t>
        </is>
      </c>
    </row>
    <row r="1048">
      <c r="A1048" t="inlineStr">
        <is>
          <t>100501</t>
        </is>
      </c>
      <c r="B1048" t="inlineStr">
        <is>
          <t>钢丝</t>
        </is>
      </c>
      <c r="C1048" t="inlineStr">
        <is>
          <t>601337800</t>
        </is>
      </c>
      <c r="D1048" t="inlineStr">
        <is>
          <t>钢丝|钢丝|T9A-D级|Φ0.8|107/2005-6-7</t>
        </is>
      </c>
      <c r="E1048" t="inlineStr">
        <is>
          <t xml:space="preserve">物资名称 钢丝;物资简称 钢丝;牌号 T9A-D级;直径 Φ0.8;技术标准号 107/2005-6-7;抗拉强度 ;加工工艺 ;表面状态 ;特殊要求 ;规格标准号 </t>
        </is>
      </c>
      <c r="F1048" t="inlineStr">
        <is>
          <t>千克</t>
        </is>
      </c>
    </row>
    <row r="1049">
      <c r="A1049" t="inlineStr">
        <is>
          <t>100501</t>
        </is>
      </c>
      <c r="B1049" t="inlineStr">
        <is>
          <t>钢丝</t>
        </is>
      </c>
      <c r="C1049" t="inlineStr">
        <is>
          <t>601337700</t>
        </is>
      </c>
      <c r="D1049" t="inlineStr">
        <is>
          <t>钢丝|钢丝|60Si2MnA|Φ1.4|空</t>
        </is>
      </c>
      <c r="E1049" t="inlineStr">
        <is>
          <t xml:space="preserve">物资名称 钢丝;物资简称 钢丝;牌号 60Si2MnA;直径 Φ1.4;技术标准号 空;抗拉强度 ;加工工艺 ;表面状态 ;特殊要求 ;规格标准号 </t>
        </is>
      </c>
      <c r="F1049" t="inlineStr">
        <is>
          <t>千克</t>
        </is>
      </c>
    </row>
    <row r="1050">
      <c r="A1050" t="inlineStr">
        <is>
          <t>100501</t>
        </is>
      </c>
      <c r="B1050" t="inlineStr">
        <is>
          <t>钢丝</t>
        </is>
      </c>
      <c r="C1050" t="inlineStr">
        <is>
          <t>601337600</t>
        </is>
      </c>
      <c r="D1050" t="inlineStr">
        <is>
          <t>钢丝|钢丝|Φ0.6|空</t>
        </is>
      </c>
      <c r="E1050" t="inlineStr">
        <is>
          <t xml:space="preserve">物资名称 钢丝;物资简称 钢丝;牌号 ;直径 Φ0.6;技术标准号 空;抗拉强度 ;加工工艺 ;表面状态 ;特殊要求 ;规格标准号 </t>
        </is>
      </c>
      <c r="F1050" t="inlineStr">
        <is>
          <t>千克</t>
        </is>
      </c>
    </row>
    <row r="1051">
      <c r="A1051" t="inlineStr">
        <is>
          <t>100501</t>
        </is>
      </c>
      <c r="B1051" t="inlineStr">
        <is>
          <t>钢丝</t>
        </is>
      </c>
      <c r="C1051" t="inlineStr">
        <is>
          <t>601337500</t>
        </is>
      </c>
      <c r="D1051" t="inlineStr">
        <is>
          <t>冷拉碳素弹簧钢丝|钢丝|65Mn|Φ1.4|GB/T 4357</t>
        </is>
      </c>
      <c r="E1051" t="inlineStr">
        <is>
          <t xml:space="preserve">物资名称 冷拉碳素弹簧钢丝;物资简称 钢丝;牌号 65Mn;直径 Φ1.4;技术标准号 GB/T 4357;抗拉强度 ;加工工艺 ;表面状态 ;特殊要求 ;规格标准号 </t>
        </is>
      </c>
      <c r="F1051" t="inlineStr">
        <is>
          <t>千克</t>
        </is>
      </c>
    </row>
    <row r="1052">
      <c r="A1052" t="inlineStr">
        <is>
          <t>100501</t>
        </is>
      </c>
      <c r="B1052" t="inlineStr">
        <is>
          <t>钢丝</t>
        </is>
      </c>
      <c r="C1052" t="inlineStr">
        <is>
          <t>601337400</t>
        </is>
      </c>
      <c r="D1052" t="inlineStr">
        <is>
          <t>合金弹簧钢丝|钢丝|60Si2Mn|Φ6.5|YB/T 5318？</t>
        </is>
      </c>
      <c r="E1052" t="inlineStr">
        <is>
          <t xml:space="preserve">物资名称 合金弹簧钢丝;物资简称 钢丝;牌号 60Si2Mn;直径 Φ6.5;技术标准号 YB/T 5318？;抗拉强度 ;加工工艺 ;表面状态 ;特殊要求 ;规格标准号 </t>
        </is>
      </c>
      <c r="F1052" t="inlineStr">
        <is>
          <t>千克</t>
        </is>
      </c>
    </row>
    <row r="1053">
      <c r="A1053" t="inlineStr">
        <is>
          <t>100501</t>
        </is>
      </c>
      <c r="B1053" t="inlineStr">
        <is>
          <t>钢丝</t>
        </is>
      </c>
      <c r="C1053" t="inlineStr">
        <is>
          <t>601337300</t>
        </is>
      </c>
      <c r="D1053" t="inlineStr">
        <is>
          <t>合金弹簧钢丝|钢丝|60Si2MnA|Φ6|YB/T 5318-2010</t>
        </is>
      </c>
      <c r="E1053" t="inlineStr">
        <is>
          <t xml:space="preserve">物资名称 合金弹簧钢丝;物资简称 钢丝;牌号 60Si2MnA;直径 Φ6;技术标准号 YB/T 5318-2010;抗拉强度 ;加工工艺 ;表面状态 ;特殊要求 ;规格标准号 </t>
        </is>
      </c>
      <c r="F1053" t="inlineStr">
        <is>
          <t>千克</t>
        </is>
      </c>
    </row>
    <row r="1054">
      <c r="A1054" t="inlineStr">
        <is>
          <t>100501</t>
        </is>
      </c>
      <c r="B1054" t="inlineStr">
        <is>
          <t>钢丝</t>
        </is>
      </c>
      <c r="C1054" t="inlineStr">
        <is>
          <t>601337200</t>
        </is>
      </c>
      <c r="D1054" t="inlineStr">
        <is>
          <t>合金弹簧钢丝|钢丝|30CrMnSiA|Φ2|YB/T 5301</t>
        </is>
      </c>
      <c r="E1054" t="inlineStr">
        <is>
          <t xml:space="preserve">物资名称 合金弹簧钢丝;物资简称 钢丝;牌号 30CrMnSiA;直径 Φ2;技术标准号 YB/T 5301;抗拉强度 ;加工工艺 ;表面状态 ;特殊要求 ;规格标准号 </t>
        </is>
      </c>
      <c r="F1054" t="inlineStr">
        <is>
          <t>千克</t>
        </is>
      </c>
    </row>
    <row r="1055">
      <c r="A1055" t="inlineStr">
        <is>
          <t>100501</t>
        </is>
      </c>
      <c r="B1055" t="inlineStr">
        <is>
          <t>钢丝</t>
        </is>
      </c>
      <c r="C1055" t="inlineStr">
        <is>
          <t>600979400</t>
        </is>
      </c>
      <c r="D1055" t="inlineStr">
        <is>
          <t>重要用途碳素弹簧钢丝|钢丝|65Mn|Φ0.8|GB/T 4358-1995|冷拉|h11,F|GB/T 342-1982</t>
        </is>
      </c>
      <c r="E1055" t="inlineStr">
        <is>
          <t>物资名称 重要用途碳素弹簧钢丝;物资简称 钢丝;牌号 65Mn;直径 Φ0.8;技术标准号 GB/T 4358-1995;抗拉强度 ;加工工艺 冷拉;表面状态 ;特殊要求 h11,F;规格标准号 GB/T 342-1982</t>
        </is>
      </c>
      <c r="F1055" t="inlineStr">
        <is>
          <t>千克</t>
        </is>
      </c>
    </row>
    <row r="1056">
      <c r="A1056" t="inlineStr">
        <is>
          <t>100501</t>
        </is>
      </c>
      <c r="B1056" t="inlineStr">
        <is>
          <t>钢丝</t>
        </is>
      </c>
      <c r="C1056" t="inlineStr">
        <is>
          <t>600979300</t>
        </is>
      </c>
      <c r="D1056" t="inlineStr">
        <is>
          <t>重要用途碳素弹簧钢丝|钢丝|65Mn|Φ1.4|GB/T 4358-1995|冷拉|h11,F|GB/T 342-1982</t>
        </is>
      </c>
      <c r="E1056" t="inlineStr">
        <is>
          <t>物资名称 重要用途碳素弹簧钢丝;物资简称 钢丝;牌号 65Mn;直径 Φ1.4;技术标准号 GB/T 4358-1995;抗拉强度 ;加工工艺 冷拉;表面状态 ;特殊要求 h11,F;规格标准号 GB/T 342-1982</t>
        </is>
      </c>
      <c r="F1056" t="inlineStr">
        <is>
          <t>千克</t>
        </is>
      </c>
    </row>
    <row r="1057">
      <c r="A1057" t="inlineStr">
        <is>
          <t>100501</t>
        </is>
      </c>
      <c r="B1057" t="inlineStr">
        <is>
          <t>钢丝</t>
        </is>
      </c>
      <c r="C1057" t="inlineStr">
        <is>
          <t>600950000</t>
        </is>
      </c>
      <c r="D1057" t="inlineStr">
        <is>
          <t>碳素弹簧钢丝|钢丝|70|Φ0.5-h11|GB/T 4357-1989|GB/T 342-1997</t>
        </is>
      </c>
      <c r="E1057" t="inlineStr">
        <is>
          <t>物资名称 碳素弹簧钢丝;物资简称 钢丝;牌号 70;直径 Φ0.5-h11;技术标准号 GB/T 4357-1989;抗拉强度 ;加工工艺 ;表面状态 ;特殊要求 ;规格标准号 GB/T 342-1997</t>
        </is>
      </c>
      <c r="F1057" t="inlineStr">
        <is>
          <t>千克</t>
        </is>
      </c>
    </row>
    <row r="1058">
      <c r="A1058" t="inlineStr">
        <is>
          <t>100501</t>
        </is>
      </c>
      <c r="B1058" t="inlineStr">
        <is>
          <t>钢丝</t>
        </is>
      </c>
      <c r="C1058" t="inlineStr">
        <is>
          <t>600940800</t>
        </is>
      </c>
      <c r="D1058" t="inlineStr">
        <is>
          <t>钢丝|钢丝|65Mn|Φ1.4-11|GB/T 4357-1989|GB/T 342-1997</t>
        </is>
      </c>
      <c r="E1058" t="inlineStr">
        <is>
          <t>物资名称 钢丝;物资简称 钢丝;牌号 65Mn;直径 Φ1.4-11;技术标准号 GB/T 4357-1989;抗拉强度 ;加工工艺 ;表面状态 ;特殊要求 ;规格标准号 GB/T 342-1997</t>
        </is>
      </c>
      <c r="F1058" t="inlineStr">
        <is>
          <t>千克</t>
        </is>
      </c>
    </row>
    <row r="1059">
      <c r="A1059" t="inlineStr">
        <is>
          <t>100501</t>
        </is>
      </c>
      <c r="B1059" t="inlineStr">
        <is>
          <t>钢丝</t>
        </is>
      </c>
      <c r="C1059" t="inlineStr">
        <is>
          <t>600940700</t>
        </is>
      </c>
      <c r="D1059" t="inlineStr">
        <is>
          <t>电镀锌钢丝|电镀锌钢丝|Φ0.5|GB/T 343-1994</t>
        </is>
      </c>
      <c r="E1059" t="inlineStr">
        <is>
          <t xml:space="preserve">物资名称 电镀锌钢丝;物资简称 电镀锌钢丝;牌号 ;直径 Φ0.5;技术标准号 GB/T 343-1994;抗拉强度 ;加工工艺 ;表面状态 ;特殊要求 ;规格标准号 </t>
        </is>
      </c>
      <c r="F1059" t="inlineStr">
        <is>
          <t>千克</t>
        </is>
      </c>
    </row>
    <row r="1060">
      <c r="A1060" t="inlineStr">
        <is>
          <t>100501</t>
        </is>
      </c>
      <c r="B1060" t="inlineStr">
        <is>
          <t>钢丝</t>
        </is>
      </c>
      <c r="C1060" t="inlineStr">
        <is>
          <t>600918500</t>
        </is>
      </c>
      <c r="D1060" t="inlineStr">
        <is>
          <t>不锈钢丝网|不锈钢丝网|0Cr18Ni9|JB/T 5979-92|320#</t>
        </is>
      </c>
      <c r="E1060" t="inlineStr">
        <is>
          <t xml:space="preserve">物资名称 不锈钢丝网;物资简称 不锈钢丝网;牌号 0Cr18Ni9;直径 Φ;技术标准号 JB/T 5979-92;抗拉强度 ;加工工艺 ;表面状态 ;特殊要求 320#;规格标准号 </t>
        </is>
      </c>
      <c r="F1060" t="inlineStr">
        <is>
          <t>千克</t>
        </is>
      </c>
    </row>
    <row r="1061">
      <c r="A1061" t="inlineStr">
        <is>
          <t>100501</t>
        </is>
      </c>
      <c r="B1061" t="inlineStr">
        <is>
          <t>钢丝</t>
        </is>
      </c>
      <c r="C1061" t="inlineStr">
        <is>
          <t>600862600</t>
        </is>
      </c>
      <c r="D1061" t="inlineStr">
        <is>
          <t>冷顶锻用不锈钢丝|钢丝|ML1Cr17Ni2|GB/T 4232-1993</t>
        </is>
      </c>
      <c r="E1061" t="inlineStr">
        <is>
          <t xml:space="preserve">物资名称 冷顶锻用不锈钢丝;物资简称 钢丝;牌号 ML1Cr17Ni2;直径 Φ;技术标准号 GB/T 4232-1993;抗拉强度 ;加工工艺 ;表面状态 ;特殊要求 ;规格标准号 </t>
        </is>
      </c>
      <c r="F1061" t="inlineStr">
        <is>
          <t>千克</t>
        </is>
      </c>
    </row>
    <row r="1062">
      <c r="A1062" t="inlineStr">
        <is>
          <t>100501</t>
        </is>
      </c>
      <c r="B1062" t="inlineStr">
        <is>
          <t>钢丝</t>
        </is>
      </c>
      <c r="C1062" t="inlineStr">
        <is>
          <t>600861400</t>
        </is>
      </c>
      <c r="D1062" t="inlineStr">
        <is>
          <t>一般用途低碳钢丝|电镀锌钢丝|Φ0.5|YB/T 5294-2006|用作辅料</t>
        </is>
      </c>
      <c r="E1062" t="inlineStr">
        <is>
          <t xml:space="preserve">物资名称 一般用途低碳钢丝;物资简称 电镀锌钢丝;牌号 ;直径 Φ0.5;技术标准号 YB/T 5294-2006;抗拉强度 ;加工工艺 ;表面状态 ;特殊要求 用作辅料;规格标准号 </t>
        </is>
      </c>
      <c r="F1062" t="inlineStr">
        <is>
          <t>千克</t>
        </is>
      </c>
    </row>
    <row r="1063">
      <c r="A1063" t="inlineStr">
        <is>
          <t>100501</t>
        </is>
      </c>
      <c r="B1063" t="inlineStr">
        <is>
          <t>钢丝</t>
        </is>
      </c>
      <c r="C1063" t="inlineStr">
        <is>
          <t>600844400</t>
        </is>
      </c>
      <c r="D1063" t="inlineStr">
        <is>
          <t>冷拉不锈钢丝|钢丝|12Cr18Ni9|Φ0.5|GB/T 4240-2009|冷拉</t>
        </is>
      </c>
      <c r="E1063" t="inlineStr">
        <is>
          <t xml:space="preserve">物资名称 冷拉不锈钢丝;物资简称 钢丝;牌号 12Cr18Ni9;直径 Φ0.5;技术标准号 GB/T 4240-2009;抗拉强度 ;加工工艺 冷拉;表面状态 ;特殊要求 ;规格标准号 </t>
        </is>
      </c>
      <c r="F1063" t="inlineStr">
        <is>
          <t>米</t>
        </is>
      </c>
    </row>
    <row r="1064">
      <c r="A1064" t="inlineStr">
        <is>
          <t>100501</t>
        </is>
      </c>
      <c r="B1064" t="inlineStr">
        <is>
          <t>钢丝</t>
        </is>
      </c>
      <c r="C1064" t="inlineStr">
        <is>
          <t>600843400</t>
        </is>
      </c>
      <c r="D1064" t="inlineStr">
        <is>
          <t>优质碳素结构钢丝|方钢丝|20|□2|GB/T 699-1999|允许偏差级别12|GB/T 342-1997</t>
        </is>
      </c>
      <c r="E1064" t="inlineStr">
        <is>
          <t>物资名称 优质碳素结构钢丝;物资简称 方钢丝;牌号 20;边宽 □2;技术标准号 GB/T 699-1999;抗拉强度 ;加工工艺 ;表面状态 ;特殊要求 允许偏差级别12;规格标准号 GB/T 342-1997</t>
        </is>
      </c>
      <c r="F1064" t="inlineStr">
        <is>
          <t>千克</t>
        </is>
      </c>
    </row>
    <row r="1065">
      <c r="A1065" t="inlineStr">
        <is>
          <t>100501</t>
        </is>
      </c>
      <c r="B1065" t="inlineStr">
        <is>
          <t>钢丝</t>
        </is>
      </c>
      <c r="C1065" t="inlineStr">
        <is>
          <t>600842400</t>
        </is>
      </c>
      <c r="D1065" t="inlineStr">
        <is>
          <t>冷拉不锈钢丝|钢丝|12Cr18Ni9|Φ1|GB/T 4240-2009|冷拉</t>
        </is>
      </c>
      <c r="E1065" t="inlineStr">
        <is>
          <t xml:space="preserve">物资名称 冷拉不锈钢丝;物资简称 钢丝;牌号 12Cr18Ni9;直径 Φ1;技术标准号 GB/T 4240-2009;抗拉强度 ;加工工艺 冷拉;表面状态 ;特殊要求 ;规格标准号 </t>
        </is>
      </c>
      <c r="F1065" t="inlineStr">
        <is>
          <t>米</t>
        </is>
      </c>
    </row>
    <row r="1066">
      <c r="A1066" t="inlineStr">
        <is>
          <t>100501</t>
        </is>
      </c>
      <c r="B1066" t="inlineStr">
        <is>
          <t>钢丝</t>
        </is>
      </c>
      <c r="C1066" t="inlineStr">
        <is>
          <t>600840000</t>
        </is>
      </c>
      <c r="D1066" t="inlineStr">
        <is>
          <t>冷拉弹簧用不锈钢丝|弹簧用不锈钢丝|1Cr18Ni9|Φ0.45|YB(T) 11-1983|B;允许偏差级别11|GB/T 342-1997</t>
        </is>
      </c>
      <c r="E1066" t="inlineStr">
        <is>
          <t>物资名称 冷拉弹簧用不锈钢丝;物资简称 弹簧用不锈钢丝;牌号 1Cr18Ni9;直径 Φ0.45;技术标准号 YB(T) 11-1983;抗拉强度 ;加工工艺 ;表面状态 ;特殊要求 B;允许偏差级别11;规格标准号 GB/T 342-1997</t>
        </is>
      </c>
      <c r="F1066" t="inlineStr">
        <is>
          <t>千克</t>
        </is>
      </c>
    </row>
    <row r="1067">
      <c r="A1067" t="inlineStr">
        <is>
          <t>100501</t>
        </is>
      </c>
      <c r="B1067" t="inlineStr">
        <is>
          <t>钢丝</t>
        </is>
      </c>
      <c r="C1067" t="inlineStr">
        <is>
          <t>600838400</t>
        </is>
      </c>
      <c r="D1067" t="inlineStr">
        <is>
          <t>冷拉弹簧用不锈钢丝|弹簧用不锈钢丝|1Cr18Ni9|Φ0.6|YB(T)11-1983|B;允许偏差级别11|GB/T 342-1997</t>
        </is>
      </c>
      <c r="E1067" t="inlineStr">
        <is>
          <t>物资名称 冷拉弹簧用不锈钢丝;物资简称 弹簧用不锈钢丝;牌号 1Cr18Ni9;直径 Φ0.6;技术标准号 YB(T)11-1983;抗拉强度 ;加工工艺 ;表面状态 ;特殊要求 B;允许偏差级别11;规格标准号 GB/T 342-1997</t>
        </is>
      </c>
      <c r="F1067" t="inlineStr">
        <is>
          <t>千克</t>
        </is>
      </c>
    </row>
    <row r="1068">
      <c r="A1068" t="inlineStr">
        <is>
          <t>100501</t>
        </is>
      </c>
      <c r="B1068" t="inlineStr">
        <is>
          <t>钢丝</t>
        </is>
      </c>
      <c r="C1068" t="inlineStr">
        <is>
          <t>600825800</t>
        </is>
      </c>
      <c r="D1068" t="inlineStr">
        <is>
          <t>一般用途低碳钢丝|镀锌钢丝|Φ0.5|GB 9972-1988</t>
        </is>
      </c>
      <c r="E1068" t="inlineStr">
        <is>
          <t xml:space="preserve">物资名称 一般用途低碳钢丝;物资简称 镀锌钢丝;牌号 ;直径 Φ0.5;技术标准号 GB 9972-1988;抗拉强度 ;加工工艺 ;表面状态 ;特殊要求 ;规格标准号 </t>
        </is>
      </c>
      <c r="F1068" t="inlineStr">
        <is>
          <t>千克</t>
        </is>
      </c>
    </row>
    <row r="1069">
      <c r="A1069" t="inlineStr">
        <is>
          <t>100501</t>
        </is>
      </c>
      <c r="B1069" t="inlineStr">
        <is>
          <t>钢丝</t>
        </is>
      </c>
      <c r="C1069" t="inlineStr">
        <is>
          <t>600767200</t>
        </is>
      </c>
      <c r="D1069" t="inlineStr">
        <is>
          <t>一般用途低碳钢丝|镀锌钢丝|ΦSZ-0.5|YB/T 5294-2009|用作辅料</t>
        </is>
      </c>
      <c r="E1069" t="inlineStr">
        <is>
          <t xml:space="preserve">物资名称 一般用途低碳钢丝;物资简称 镀锌钢丝;牌号 ;直径 ΦSZ-0.5;技术标准号 YB/T 5294-2009;抗拉强度 ;加工工艺 ;表面状态 ;特殊要求 用作辅料;规格标准号 </t>
        </is>
      </c>
      <c r="F1069" t="inlineStr">
        <is>
          <t>千克</t>
        </is>
      </c>
    </row>
    <row r="1070">
      <c r="A1070" t="inlineStr">
        <is>
          <t>100501</t>
        </is>
      </c>
      <c r="B1070" t="inlineStr">
        <is>
          <t>钢丝</t>
        </is>
      </c>
      <c r="C1070" t="inlineStr">
        <is>
          <t>600766600</t>
        </is>
      </c>
      <c r="D1070" t="inlineStr">
        <is>
          <t>一般用途低碳钢丝|镀锌钢丝|ΦSZ-0.5|YB/T 5294-2009</t>
        </is>
      </c>
      <c r="E1070" t="inlineStr">
        <is>
          <t xml:space="preserve">物资名称 一般用途低碳钢丝;物资简称 镀锌钢丝;牌号 ;直径 ΦSZ-0.5;技术标准号 YB/T 5294-2009;抗拉强度 ;加工工艺 ;表面状态 ;特殊要求 ;规格标准号 </t>
        </is>
      </c>
      <c r="F1070" t="inlineStr">
        <is>
          <t>千克</t>
        </is>
      </c>
    </row>
    <row r="1071">
      <c r="A1071" t="inlineStr">
        <is>
          <t>100501</t>
        </is>
      </c>
      <c r="B1071" t="inlineStr">
        <is>
          <t>钢丝</t>
        </is>
      </c>
      <c r="C1071" t="inlineStr">
        <is>
          <t>600634200</t>
        </is>
      </c>
      <c r="D1071" t="inlineStr">
        <is>
          <t>合金工具钢丝|钢丝|Cr12MoV|GB/T 1299-2000|冷拉</t>
        </is>
      </c>
      <c r="E1071" t="inlineStr">
        <is>
          <t xml:space="preserve">物资名称 合金工具钢丝;物资简称 钢丝;牌号 Cr12MoV;直径 Φ;技术标准号 GB/T 1299-2000;抗拉强度 ;加工工艺 冷拉;表面状态 ;特殊要求 ;规格标准号 </t>
        </is>
      </c>
      <c r="F1071" t="inlineStr">
        <is>
          <t>千克</t>
        </is>
      </c>
    </row>
    <row r="1072">
      <c r="A1072" t="inlineStr">
        <is>
          <t>100501</t>
        </is>
      </c>
      <c r="B1072" t="inlineStr">
        <is>
          <t>钢丝</t>
        </is>
      </c>
      <c r="C1072" t="inlineStr">
        <is>
          <t>600634100</t>
        </is>
      </c>
      <c r="D1072" t="inlineStr">
        <is>
          <t>冷拉不锈钢丝|钢丝|1Cr18Ni9Ti|GB/T 4240-1993|冷拉</t>
        </is>
      </c>
      <c r="E1072" t="inlineStr">
        <is>
          <t xml:space="preserve">物资名称 冷拉不锈钢丝;物资简称 钢丝;牌号 1Cr18Ni9Ti;直径 Φ;技术标准号 GB/T 4240-1993;抗拉强度 ;加工工艺 冷拉;表面状态 ;特殊要求 ;规格标准号 </t>
        </is>
      </c>
      <c r="F1072" t="inlineStr">
        <is>
          <t>千克</t>
        </is>
      </c>
    </row>
    <row r="1073">
      <c r="A1073" t="inlineStr">
        <is>
          <t>100501</t>
        </is>
      </c>
      <c r="B1073" t="inlineStr">
        <is>
          <t>钢丝</t>
        </is>
      </c>
      <c r="C1073" t="inlineStr">
        <is>
          <t>600634000</t>
        </is>
      </c>
      <c r="D1073" t="inlineStr">
        <is>
          <t>冷拉不锈钢丝|钢丝|1Cr18Ni9Ti|Φ1|GB/T 4240-1993|冷拉</t>
        </is>
      </c>
      <c r="E1073" t="inlineStr">
        <is>
          <t xml:space="preserve">物资名称 冷拉不锈钢丝;物资简称 钢丝;牌号 1Cr18Ni9Ti;直径 Φ1;技术标准号 GB/T 4240-1993;抗拉强度 ;加工工艺 冷拉;表面状态 ;特殊要求 ;规格标准号 </t>
        </is>
      </c>
      <c r="F1073" t="inlineStr">
        <is>
          <t>千克</t>
        </is>
      </c>
    </row>
    <row r="1074">
      <c r="A1074" t="inlineStr">
        <is>
          <t>100501</t>
        </is>
      </c>
      <c r="B1074" t="inlineStr">
        <is>
          <t>钢丝</t>
        </is>
      </c>
      <c r="C1074" t="inlineStr">
        <is>
          <t>600633900</t>
        </is>
      </c>
      <c r="D1074" t="inlineStr">
        <is>
          <t>冷拉不锈钢丝|钢丝|1Cr18Ni9Ti|Φ3|GB/T 4240-1993|冷拉</t>
        </is>
      </c>
      <c r="E1074" t="inlineStr">
        <is>
          <t xml:space="preserve">物资名称 冷拉不锈钢丝;物资简称 钢丝;牌号 1Cr18Ni9Ti;直径 Φ3;技术标准号 GB/T 4240-1993;抗拉强度 ;加工工艺 冷拉;表面状态 ;特殊要求 ;规格标准号 </t>
        </is>
      </c>
      <c r="F1074" t="inlineStr">
        <is>
          <t>千克</t>
        </is>
      </c>
    </row>
    <row r="1075">
      <c r="A1075" t="inlineStr">
        <is>
          <t>100501</t>
        </is>
      </c>
      <c r="B1075" t="inlineStr">
        <is>
          <t>钢丝</t>
        </is>
      </c>
      <c r="C1075" t="inlineStr">
        <is>
          <t>600633800</t>
        </is>
      </c>
      <c r="D1075" t="inlineStr">
        <is>
          <t>冷拉不锈钢丝|钢丝|1Cr18Ni9Ti|Φ4|GB/T 4240-1993|冷拉</t>
        </is>
      </c>
      <c r="E1075" t="inlineStr">
        <is>
          <t xml:space="preserve">物资名称 冷拉不锈钢丝;物资简称 钢丝;牌号 1Cr18Ni9Ti;直径 Φ4;技术标准号 GB/T 4240-1993;抗拉强度 ;加工工艺 冷拉;表面状态 ;特殊要求 ;规格标准号 </t>
        </is>
      </c>
      <c r="F1075" t="inlineStr">
        <is>
          <t>千克</t>
        </is>
      </c>
    </row>
    <row r="1076">
      <c r="A1076" t="inlineStr">
        <is>
          <t>100501</t>
        </is>
      </c>
      <c r="B1076" t="inlineStr">
        <is>
          <t>钢丝</t>
        </is>
      </c>
      <c r="C1076" t="inlineStr">
        <is>
          <t>600633700</t>
        </is>
      </c>
      <c r="D1076" t="inlineStr">
        <is>
          <t>冷拉不锈钢丝|钢丝|1Cr18Ni9Ti|Φ5|GB/T 4240-1993|冷拉</t>
        </is>
      </c>
      <c r="E1076" t="inlineStr">
        <is>
          <t xml:space="preserve">物资名称 冷拉不锈钢丝;物资简称 钢丝;牌号 1Cr18Ni9Ti;直径 Φ5;技术标准号 GB/T 4240-1993;抗拉强度 ;加工工艺 冷拉;表面状态 ;特殊要求 ;规格标准号 </t>
        </is>
      </c>
      <c r="F1076" t="inlineStr">
        <is>
          <t>千克</t>
        </is>
      </c>
    </row>
    <row r="1077">
      <c r="A1077" t="inlineStr">
        <is>
          <t>100501</t>
        </is>
      </c>
      <c r="B1077" t="inlineStr">
        <is>
          <t>钢丝</t>
        </is>
      </c>
      <c r="C1077" t="inlineStr">
        <is>
          <t>600633600</t>
        </is>
      </c>
      <c r="D1077" t="inlineStr">
        <is>
          <t>冷拉不锈钢丝|钢丝|1Cr18Ni9Ti|Φ6|GB/T 4240-1993|冷拉</t>
        </is>
      </c>
      <c r="E1077" t="inlineStr">
        <is>
          <t xml:space="preserve">物资名称 冷拉不锈钢丝;物资简称 钢丝;牌号 1Cr18Ni9Ti;直径 Φ6;技术标准号 GB/T 4240-1993;抗拉强度 ;加工工艺 冷拉;表面状态 ;特殊要求 ;规格标准号 </t>
        </is>
      </c>
      <c r="F1077" t="inlineStr">
        <is>
          <t>千克</t>
        </is>
      </c>
    </row>
    <row r="1078">
      <c r="A1078" t="inlineStr">
        <is>
          <t>100501</t>
        </is>
      </c>
      <c r="B1078" t="inlineStr">
        <is>
          <t>钢丝</t>
        </is>
      </c>
      <c r="C1078" t="inlineStr">
        <is>
          <t>600633500</t>
        </is>
      </c>
      <c r="D1078" t="inlineStr">
        <is>
          <t>冷拉碳素弹簧钢丝|钢丝|65Mn|GB/T 4357-2009|冷拉</t>
        </is>
      </c>
      <c r="E1078" t="inlineStr">
        <is>
          <t xml:space="preserve">物资名称 冷拉碳素弹簧钢丝;物资简称 钢丝;牌号 65Mn;直径 Φ;技术标准号 GB/T 4357-2009;抗拉强度 ;加工工艺 冷拉;表面状态 ;特殊要求 ;规格标准号 </t>
        </is>
      </c>
      <c r="F1078" t="inlineStr">
        <is>
          <t>千克</t>
        </is>
      </c>
    </row>
    <row r="1079">
      <c r="A1079" t="inlineStr">
        <is>
          <t>100501</t>
        </is>
      </c>
      <c r="B1079" t="inlineStr">
        <is>
          <t>钢丝</t>
        </is>
      </c>
      <c r="C1079" t="inlineStr">
        <is>
          <t>600633400</t>
        </is>
      </c>
      <c r="D1079" t="inlineStr">
        <is>
          <t>冷拉碳素弹簧钢丝|钢丝|65Mn|Φ0.4|GB/T 4357-2009|冷拉</t>
        </is>
      </c>
      <c r="E1079" t="inlineStr">
        <is>
          <t xml:space="preserve">物资名称 冷拉碳素弹簧钢丝;物资简称 钢丝;牌号 65Mn;直径 Φ0.4;技术标准号 GB/T 4357-2009;抗拉强度 ;加工工艺 冷拉;表面状态 ;特殊要求 ;规格标准号 </t>
        </is>
      </c>
      <c r="F1079" t="inlineStr">
        <is>
          <t>千克</t>
        </is>
      </c>
    </row>
    <row r="1080">
      <c r="A1080" t="inlineStr">
        <is>
          <t>100501</t>
        </is>
      </c>
      <c r="B1080" t="inlineStr">
        <is>
          <t>钢丝</t>
        </is>
      </c>
      <c r="C1080" t="inlineStr">
        <is>
          <t>600633300</t>
        </is>
      </c>
      <c r="D1080" t="inlineStr">
        <is>
          <t>冷拉碳素弹簧钢丝|钢丝|65Mn|Φ0.8|GB/T 4357-2009|冷拉</t>
        </is>
      </c>
      <c r="E1080" t="inlineStr">
        <is>
          <t xml:space="preserve">物资名称 冷拉碳素弹簧钢丝;物资简称 钢丝;牌号 65Mn;直径 Φ0.8;技术标准号 GB/T 4357-2009;抗拉强度 ;加工工艺 冷拉;表面状态 ;特殊要求 ;规格标准号 </t>
        </is>
      </c>
      <c r="F1080" t="inlineStr">
        <is>
          <t>千克</t>
        </is>
      </c>
    </row>
    <row r="1081">
      <c r="A1081" t="inlineStr">
        <is>
          <t>100501</t>
        </is>
      </c>
      <c r="B1081" t="inlineStr">
        <is>
          <t>钢丝</t>
        </is>
      </c>
      <c r="C1081" t="inlineStr">
        <is>
          <t>600633200</t>
        </is>
      </c>
      <c r="D1081" t="inlineStr">
        <is>
          <t>冷拉碳素弹簧钢丝|钢丝|70|GB/T 4357-2009|冷拉</t>
        </is>
      </c>
      <c r="E1081" t="inlineStr">
        <is>
          <t xml:space="preserve">物资名称 冷拉碳素弹簧钢丝;物资简称 钢丝;牌号 70;直径 Φ;技术标准号 GB/T 4357-2009;抗拉强度 ;加工工艺 冷拉;表面状态 ;特殊要求 ;规格标准号 </t>
        </is>
      </c>
      <c r="F1081" t="inlineStr">
        <is>
          <t>千克</t>
        </is>
      </c>
    </row>
    <row r="1082">
      <c r="A1082" t="inlineStr">
        <is>
          <t>100501</t>
        </is>
      </c>
      <c r="B1082" t="inlineStr">
        <is>
          <t>钢丝</t>
        </is>
      </c>
      <c r="C1082" t="inlineStr">
        <is>
          <t>600633100</t>
        </is>
      </c>
      <c r="D1082" t="inlineStr">
        <is>
          <t>冷拉碳素弹簧钢丝|钢丝|70|Φ0.3|GB/T 4357-2009|冷拉</t>
        </is>
      </c>
      <c r="E1082" t="inlineStr">
        <is>
          <t xml:space="preserve">物资名称 冷拉碳素弹簧钢丝;物资简称 钢丝;牌号 70;直径 Φ0.3;技术标准号 GB/T 4357-2009;抗拉强度 ;加工工艺 冷拉;表面状态 ;特殊要求 ;规格标准号 </t>
        </is>
      </c>
      <c r="F1082" t="inlineStr">
        <is>
          <t>千克</t>
        </is>
      </c>
    </row>
    <row r="1083">
      <c r="A1083" t="inlineStr">
        <is>
          <t>100501</t>
        </is>
      </c>
      <c r="B1083" t="inlineStr">
        <is>
          <t>钢丝</t>
        </is>
      </c>
      <c r="C1083" t="inlineStr">
        <is>
          <t>600633000</t>
        </is>
      </c>
      <c r="D1083" t="inlineStr">
        <is>
          <t>冷拉碳素弹簧钢丝|钢丝|70|Φ0.4|GB/T 4357-2009|冷拉</t>
        </is>
      </c>
      <c r="E1083" t="inlineStr">
        <is>
          <t xml:space="preserve">物资名称 冷拉碳素弹簧钢丝;物资简称 钢丝;牌号 70;直径 Φ0.4;技术标准号 GB/T 4357-2009;抗拉强度 ;加工工艺 冷拉;表面状态 ;特殊要求 ;规格标准号 </t>
        </is>
      </c>
      <c r="F1083" t="inlineStr">
        <is>
          <t>千克</t>
        </is>
      </c>
    </row>
    <row r="1084">
      <c r="A1084" t="inlineStr">
        <is>
          <t>100501</t>
        </is>
      </c>
      <c r="B1084" t="inlineStr">
        <is>
          <t>钢丝</t>
        </is>
      </c>
      <c r="C1084" t="inlineStr">
        <is>
          <t>600632900</t>
        </is>
      </c>
      <c r="D1084" t="inlineStr">
        <is>
          <t>冷拉碳素弹簧钢丝|钢丝|70|Φ0.5|GB/T 4357-2009|冷拉</t>
        </is>
      </c>
      <c r="E1084" t="inlineStr">
        <is>
          <t xml:space="preserve">物资名称 冷拉碳素弹簧钢丝;物资简称 钢丝;牌号 70;直径 Φ0.5;技术标准号 GB/T 4357-2009;抗拉强度 ;加工工艺 冷拉;表面状态 ;特殊要求 ;规格标准号 </t>
        </is>
      </c>
      <c r="F1084" t="inlineStr">
        <is>
          <t>千克</t>
        </is>
      </c>
    </row>
    <row r="1085">
      <c r="A1085" t="inlineStr">
        <is>
          <t>100501</t>
        </is>
      </c>
      <c r="B1085" t="inlineStr">
        <is>
          <t>钢丝</t>
        </is>
      </c>
      <c r="C1085" t="inlineStr">
        <is>
          <t>600632800</t>
        </is>
      </c>
      <c r="D1085" t="inlineStr">
        <is>
          <t>冷拉碳素弹簧钢丝|钢丝|70|Φ0.6|GB/T 4357-2009|冷拉</t>
        </is>
      </c>
      <c r="E1085" t="inlineStr">
        <is>
          <t xml:space="preserve">物资名称 冷拉碳素弹簧钢丝;物资简称 钢丝;牌号 70;直径 Φ0.6;技术标准号 GB/T 4357-2009;抗拉强度 ;加工工艺 冷拉;表面状态 ;特殊要求 ;规格标准号 </t>
        </is>
      </c>
      <c r="F1085" t="inlineStr">
        <is>
          <t>千克</t>
        </is>
      </c>
    </row>
    <row r="1086">
      <c r="A1086" t="inlineStr">
        <is>
          <t>100501</t>
        </is>
      </c>
      <c r="B1086" t="inlineStr">
        <is>
          <t>钢丝</t>
        </is>
      </c>
      <c r="C1086" t="inlineStr">
        <is>
          <t>600632700</t>
        </is>
      </c>
      <c r="D1086" t="inlineStr">
        <is>
          <t>冷拉碳素弹簧钢丝|钢丝|70|Φ0.7|GB/T 4357-2009|冷拉</t>
        </is>
      </c>
      <c r="E1086" t="inlineStr">
        <is>
          <t xml:space="preserve">物资名称 冷拉碳素弹簧钢丝;物资简称 钢丝;牌号 70;直径 Φ0.7;技术标准号 GB/T 4357-2009;抗拉强度 ;加工工艺 冷拉;表面状态 ;特殊要求 ;规格标准号 </t>
        </is>
      </c>
      <c r="F1086" t="inlineStr">
        <is>
          <t>千克</t>
        </is>
      </c>
    </row>
    <row r="1087">
      <c r="A1087" t="inlineStr">
        <is>
          <t>100501</t>
        </is>
      </c>
      <c r="B1087" t="inlineStr">
        <is>
          <t>钢丝</t>
        </is>
      </c>
      <c r="C1087" t="inlineStr">
        <is>
          <t>600632600</t>
        </is>
      </c>
      <c r="D1087" t="inlineStr">
        <is>
          <t>冷拉碳素弹簧钢丝|钢丝|70|Φ0.8|GB/T 4357-2009|冷拉</t>
        </is>
      </c>
      <c r="E1087" t="inlineStr">
        <is>
          <t xml:space="preserve">物资名称 冷拉碳素弹簧钢丝;物资简称 钢丝;牌号 70;直径 Φ0.8;技术标准号 GB/T 4357-2009;抗拉强度 ;加工工艺 冷拉;表面状态 ;特殊要求 ;规格标准号 </t>
        </is>
      </c>
      <c r="F1087" t="inlineStr">
        <is>
          <t>千克</t>
        </is>
      </c>
    </row>
    <row r="1088">
      <c r="A1088" t="inlineStr">
        <is>
          <t>100501</t>
        </is>
      </c>
      <c r="B1088" t="inlineStr">
        <is>
          <t>钢丝</t>
        </is>
      </c>
      <c r="C1088" t="inlineStr">
        <is>
          <t>600632500</t>
        </is>
      </c>
      <c r="D1088" t="inlineStr">
        <is>
          <t>冷拉碳素弹簧钢丝|钢丝|70|Φ0.9|GB/T 4357-2009|冷拉</t>
        </is>
      </c>
      <c r="E1088" t="inlineStr">
        <is>
          <t xml:space="preserve">物资名称 冷拉碳素弹簧钢丝;物资简称 钢丝;牌号 70;直径 Φ0.9;技术标准号 GB/T 4357-2009;抗拉强度 ;加工工艺 冷拉;表面状态 ;特殊要求 ;规格标准号 </t>
        </is>
      </c>
      <c r="F1088" t="inlineStr">
        <is>
          <t>千克</t>
        </is>
      </c>
    </row>
    <row r="1089">
      <c r="A1089" t="inlineStr">
        <is>
          <t>100501</t>
        </is>
      </c>
      <c r="B1089" t="inlineStr">
        <is>
          <t>钢丝</t>
        </is>
      </c>
      <c r="C1089" t="inlineStr">
        <is>
          <t>600632400</t>
        </is>
      </c>
      <c r="D1089" t="inlineStr">
        <is>
          <t>阀门用铬钒弹簧钢丝|钢丝|45|YB/T 5136-1993|冷拉</t>
        </is>
      </c>
      <c r="E1089" t="inlineStr">
        <is>
          <t xml:space="preserve">物资名称 阀门用铬钒弹簧钢丝;物资简称 钢丝;牌号 45;直径 Φ;技术标准号 YB/T 5136-1993;抗拉强度 ;加工工艺 冷拉;表面状态 ;特殊要求 ;规格标准号 </t>
        </is>
      </c>
      <c r="F1089" t="inlineStr">
        <is>
          <t>千克</t>
        </is>
      </c>
    </row>
    <row r="1090">
      <c r="A1090" t="inlineStr">
        <is>
          <t>100501</t>
        </is>
      </c>
      <c r="B1090" t="inlineStr">
        <is>
          <t>钢丝</t>
        </is>
      </c>
      <c r="C1090" t="inlineStr">
        <is>
          <t>600632300</t>
        </is>
      </c>
      <c r="D1090" t="inlineStr">
        <is>
          <t>优质碳素结构钢丝|钢丝|45|YB/T 5303-2006|冷拉</t>
        </is>
      </c>
      <c r="E1090" t="inlineStr">
        <is>
          <t xml:space="preserve">物资名称 优质碳素结构钢丝;物资简称 钢丝;牌号 45;直径 Φ;技术标准号 YB/T 5303-2006;抗拉强度 ;加工工艺 冷拉;表面状态 ;特殊要求 ;规格标准号 </t>
        </is>
      </c>
      <c r="F1090" t="inlineStr">
        <is>
          <t>千克</t>
        </is>
      </c>
    </row>
    <row r="1091">
      <c r="A1091" t="inlineStr">
        <is>
          <t>100501</t>
        </is>
      </c>
      <c r="B1091" t="inlineStr">
        <is>
          <t>钢丝</t>
        </is>
      </c>
      <c r="C1091" t="inlineStr">
        <is>
          <t>600632200</t>
        </is>
      </c>
      <c r="D1091" t="inlineStr">
        <is>
          <t>磨光优质碳素结构钢丝|钢丝|45|Φ3|YB/T 5303-2006|磨光</t>
        </is>
      </c>
      <c r="E1091" t="inlineStr">
        <is>
          <t xml:space="preserve">物资名称 磨光优质碳素结构钢丝;物资简称 钢丝;牌号 45;直径 Φ3;技术标准号 YB/T 5303-2006;抗拉强度 ;加工工艺 磨光;表面状态 ;特殊要求 ;规格标准号 </t>
        </is>
      </c>
      <c r="F1091" t="inlineStr">
        <is>
          <t>千克</t>
        </is>
      </c>
    </row>
    <row r="1092">
      <c r="A1092" t="inlineStr">
        <is>
          <t>100599</t>
        </is>
      </c>
      <c r="B1092" t="inlineStr">
        <is>
          <t>其他钢制品</t>
        </is>
      </c>
      <c r="C1092" t="inlineStr">
        <is>
          <t>603545000</t>
        </is>
      </c>
      <c r="D1092" t="inlineStr">
        <is>
          <t>低合金超高强度钢|钢|GB/T 38809-2020|40CrNi2Si2MoVA</t>
        </is>
      </c>
      <c r="E1092" t="inlineStr">
        <is>
          <t>物资名称 低合金超高强度钢;物资简称 钢;技术标准号 GB/T 38809-2020;牌号 40CrNi2Si2MoVA;规格 ;特殊要求 ;规格标准号</t>
        </is>
      </c>
      <c r="F1092" t="inlineStr">
        <is>
          <t>千克</t>
        </is>
      </c>
    </row>
    <row r="1093">
      <c r="A1093" t="inlineStr">
        <is>
          <t>100599</t>
        </is>
      </c>
      <c r="B1093" t="inlineStr">
        <is>
          <t>其他钢制品</t>
        </is>
      </c>
      <c r="C1093" t="inlineStr">
        <is>
          <t>603539800</t>
        </is>
      </c>
      <c r="D1093" t="inlineStr">
        <is>
          <t>合金结构钢|钢|GB/T 3077-2015|30CrMnSi</t>
        </is>
      </c>
      <c r="E1093" t="inlineStr">
        <is>
          <t>物资名称 合金结构钢;物资简称 钢;技术标准号 GB/T 3077-2015;牌号 30CrMnSi;规格 ;特殊要求 ;规格标准号</t>
        </is>
      </c>
      <c r="F1093" t="inlineStr">
        <is>
          <t>千克</t>
        </is>
      </c>
    </row>
    <row r="1094">
      <c r="A1094" t="inlineStr">
        <is>
          <t>100599</t>
        </is>
      </c>
      <c r="B1094" t="inlineStr">
        <is>
          <t>其他钢制品</t>
        </is>
      </c>
      <c r="C1094" t="inlineStr">
        <is>
          <t>603152400</t>
        </is>
      </c>
      <c r="D1094" t="inlineStr">
        <is>
          <t>合金结构钢|钢|GB/T 3077-2015|35CrMnSiA</t>
        </is>
      </c>
      <c r="E1094" t="inlineStr">
        <is>
          <t>物资名称 合金结构钢;物资简称 钢;技术标准号 GB/T 3077-2015;牌号 35CrMnSiA;规格 ;特殊要求 ;规格标准号</t>
        </is>
      </c>
      <c r="F1094" t="inlineStr">
        <is>
          <t>千克</t>
        </is>
      </c>
    </row>
    <row r="1095">
      <c r="A1095" t="inlineStr">
        <is>
          <t>100599</t>
        </is>
      </c>
      <c r="B1095" t="inlineStr">
        <is>
          <t>其他钢制品</t>
        </is>
      </c>
      <c r="C1095" t="inlineStr">
        <is>
          <t>603145000</t>
        </is>
      </c>
      <c r="D1095" t="inlineStr">
        <is>
          <t>优质碳素结构钢|钢|GB/T 699-2015|65Mn</t>
        </is>
      </c>
      <c r="E1095" t="inlineStr">
        <is>
          <t>物资名称 优质碳素结构钢;物资简称 钢;技术标准号 GB/T 699-2015;牌号 65Mn;规格 ;特殊要求 ;规格标准号</t>
        </is>
      </c>
      <c r="F1095" t="inlineStr">
        <is>
          <t>千克</t>
        </is>
      </c>
    </row>
    <row r="1096">
      <c r="A1096" t="inlineStr">
        <is>
          <t>100599</t>
        </is>
      </c>
      <c r="B1096" t="inlineStr">
        <is>
          <t>其他钢制品</t>
        </is>
      </c>
      <c r="C1096" t="inlineStr">
        <is>
          <t>602324500</t>
        </is>
      </c>
      <c r="D1096" t="inlineStr">
        <is>
          <t>优质碳素结构钢|钢|GB/T 699-2015|45</t>
        </is>
      </c>
      <c r="E1096" t="inlineStr">
        <is>
          <t xml:space="preserve">物资名称 优质碳素结构钢;物资简称 钢;技术标准号 GB/T 699-2015;牌号 45;规格 ;特殊要求 ;规格标准号 </t>
        </is>
      </c>
      <c r="F1096" t="inlineStr">
        <is>
          <t>千克</t>
        </is>
      </c>
    </row>
    <row r="1097">
      <c r="A1097" t="inlineStr">
        <is>
          <t>100599</t>
        </is>
      </c>
      <c r="B1097" t="inlineStr">
        <is>
          <t>其他钢制品</t>
        </is>
      </c>
      <c r="C1097" t="inlineStr">
        <is>
          <t>602324400</t>
        </is>
      </c>
      <c r="D1097" t="inlineStr">
        <is>
          <t>合金结构钢|钢|GB/T 3077-2015|30CrMnSiA</t>
        </is>
      </c>
      <c r="E1097" t="inlineStr">
        <is>
          <t xml:space="preserve">物资名称 合金结构钢;物资简称 钢;技术标准号 GB/T 3077-2015;牌号 30CrMnSiA;规格 ;特殊要求 ;规格标准号 </t>
        </is>
      </c>
      <c r="F1097" t="inlineStr">
        <is>
          <t>千克</t>
        </is>
      </c>
    </row>
    <row r="1098">
      <c r="A1098" t="inlineStr">
        <is>
          <t>100599</t>
        </is>
      </c>
      <c r="B1098" t="inlineStr">
        <is>
          <t>其他钢制品</t>
        </is>
      </c>
      <c r="C1098" t="inlineStr">
        <is>
          <t>602324300</t>
        </is>
      </c>
      <c r="D1098" t="inlineStr">
        <is>
          <t>合金结构钢|钢|GB/T 3077-2015|40Cr</t>
        </is>
      </c>
      <c r="E1098" t="inlineStr">
        <is>
          <t xml:space="preserve">物资名称 合金结构钢;物资简称 钢;技术标准号 GB/T 3077-2015;牌号 40Cr;规格 ;特殊要求 ;规格标准号 </t>
        </is>
      </c>
      <c r="F1098" t="inlineStr">
        <is>
          <t>千克</t>
        </is>
      </c>
    </row>
    <row r="1099">
      <c r="A1099" t="inlineStr">
        <is>
          <t>100599</t>
        </is>
      </c>
      <c r="B1099" t="inlineStr">
        <is>
          <t>其他钢制品</t>
        </is>
      </c>
      <c r="C1099" t="inlineStr">
        <is>
          <t>602324200</t>
        </is>
      </c>
      <c r="D1099" t="inlineStr">
        <is>
          <t>合金结构钢|钢|GB/T 3077-2015|45CrNiMoVA</t>
        </is>
      </c>
      <c r="E1099" t="inlineStr">
        <is>
          <t xml:space="preserve">物资名称 合金结构钢;物资简称 钢;技术标准号 GB/T 3077-2015;牌号 45CrNiMoVA;规格 ;特殊要求 ;规格标准号 </t>
        </is>
      </c>
      <c r="F1099" t="inlineStr">
        <is>
          <t>千克</t>
        </is>
      </c>
    </row>
    <row r="1100">
      <c r="A1100" t="inlineStr">
        <is>
          <t>100599</t>
        </is>
      </c>
      <c r="B1100" t="inlineStr">
        <is>
          <t>其他钢制品</t>
        </is>
      </c>
      <c r="C1100" t="inlineStr">
        <is>
          <t>601651800</t>
        </is>
      </c>
      <c r="D1100" t="inlineStr">
        <is>
          <t>优质碳素结构钢|钢|GB/T 699-1999|65Mn</t>
        </is>
      </c>
      <c r="E1100" t="inlineStr">
        <is>
          <t xml:space="preserve">物资名称 优质碳素结构钢;物资简称 钢;技术标准号 GB/T 699-1999;牌号 65Mn;规格 ;特殊要求 ;规格标准号 </t>
        </is>
      </c>
      <c r="F1100" t="inlineStr">
        <is>
          <t>千克</t>
        </is>
      </c>
    </row>
    <row r="1101">
      <c r="A1101" t="inlineStr">
        <is>
          <t>100599</t>
        </is>
      </c>
      <c r="B1101" t="inlineStr">
        <is>
          <t>其他钢制品</t>
        </is>
      </c>
      <c r="C1101" t="inlineStr">
        <is>
          <t>601544400</t>
        </is>
      </c>
      <c r="D1101" t="inlineStr">
        <is>
          <t>热轧带肋钢筋|钢|GB/T 14992-2007|GH4169</t>
        </is>
      </c>
      <c r="E1101" t="inlineStr">
        <is>
          <t xml:space="preserve">物资名称 热轧带肋钢筋;物资简称 钢;技术标准号 GB/T 14992-2007;牌号 GH4169;规格 ;特殊要求 ;规格标准号 </t>
        </is>
      </c>
      <c r="F1101" t="inlineStr">
        <is>
          <t>千克</t>
        </is>
      </c>
    </row>
    <row r="1102">
      <c r="A1102" t="inlineStr">
        <is>
          <t>100599</t>
        </is>
      </c>
      <c r="B1102" t="inlineStr">
        <is>
          <t>其他钢制品</t>
        </is>
      </c>
      <c r="C1102" t="inlineStr">
        <is>
          <t>601342200</t>
        </is>
      </c>
      <c r="D1102" t="inlineStr">
        <is>
          <t>不锈钢丝网|不锈钢丝网|空|320×1</t>
        </is>
      </c>
      <c r="E1102" t="inlineStr">
        <is>
          <t xml:space="preserve">物资名称 不锈钢丝网;物资简称 不锈钢丝网;技术标准号 空;牌号 320×1;规格 ;特殊要求 ;规格标准号 </t>
        </is>
      </c>
      <c r="F1102" t="inlineStr">
        <is>
          <t>千克</t>
        </is>
      </c>
    </row>
    <row r="1103">
      <c r="A1103" t="inlineStr">
        <is>
          <t>100599</t>
        </is>
      </c>
      <c r="B1103" t="inlineStr">
        <is>
          <t>其他钢制品</t>
        </is>
      </c>
      <c r="C1103" t="inlineStr">
        <is>
          <t>601342100</t>
        </is>
      </c>
      <c r="D1103" t="inlineStr">
        <is>
          <t>GFW不锈钢丝网|不锈钢丝网|空|100目</t>
        </is>
      </c>
      <c r="E1103" t="inlineStr">
        <is>
          <t xml:space="preserve">物资名称 GFW不锈钢丝网;物资简称 不锈钢丝网;技术标准号 空;牌号 100目;规格 ;特殊要求 ;规格标准号 </t>
        </is>
      </c>
      <c r="F1103" t="inlineStr">
        <is>
          <t>千克</t>
        </is>
      </c>
    </row>
    <row r="1104">
      <c r="A1104" t="inlineStr">
        <is>
          <t>100599</t>
        </is>
      </c>
      <c r="B1104" t="inlineStr">
        <is>
          <t>其他钢制品</t>
        </is>
      </c>
      <c r="C1104" t="inlineStr">
        <is>
          <t>601342000</t>
        </is>
      </c>
      <c r="D1104" t="inlineStr">
        <is>
          <t>GFW不锈钢丝网|不锈钢丝网|空|δ0.4</t>
        </is>
      </c>
      <c r="E1104" t="inlineStr">
        <is>
          <t xml:space="preserve">物资名称 GFW不锈钢丝网;物资简称 不锈钢丝网;技术标准号 空;牌号 ;规格 δ0.4;特殊要求 ;规格标准号 </t>
        </is>
      </c>
      <c r="F1104" t="inlineStr">
        <is>
          <t>千克</t>
        </is>
      </c>
    </row>
    <row r="1105">
      <c r="A1105" t="inlineStr">
        <is>
          <t>100599</t>
        </is>
      </c>
      <c r="B1105" t="inlineStr">
        <is>
          <t>其他钢制品</t>
        </is>
      </c>
      <c r="C1105" t="inlineStr">
        <is>
          <t>600909800</t>
        </is>
      </c>
      <c r="D1105" t="inlineStr">
        <is>
          <t>GFW钢板|钢板|GB/T 3077-1999|40Cr</t>
        </is>
      </c>
      <c r="E1105" t="inlineStr">
        <is>
          <t xml:space="preserve">物资名称 GFW钢板;物资简称 钢板;技术标准号 GB/T 3077-1999;牌号 40Cr;规格 ;特殊要求 ;规格标准号 </t>
        </is>
      </c>
      <c r="F1105" t="inlineStr">
        <is>
          <t>千克</t>
        </is>
      </c>
    </row>
    <row r="1106">
      <c r="A1106" t="inlineStr">
        <is>
          <t>100599</t>
        </is>
      </c>
      <c r="B1106" t="inlineStr">
        <is>
          <t>其他钢制品</t>
        </is>
      </c>
      <c r="C1106" t="inlineStr">
        <is>
          <t>600909700</t>
        </is>
      </c>
      <c r="D1106" t="inlineStr">
        <is>
          <t>GFW钢板|钢板|GB/T 11251-1999|40Cr</t>
        </is>
      </c>
      <c r="E1106" t="inlineStr">
        <is>
          <t xml:space="preserve">物资名称 GFW钢板;物资简称 钢板;技术标准号 GB/T 11251-1999;牌号 40Cr;规格 ;特殊要求 ;规格标准号 </t>
        </is>
      </c>
      <c r="F1106" t="inlineStr">
        <is>
          <t>千克</t>
        </is>
      </c>
    </row>
    <row r="1107">
      <c r="A1107" t="inlineStr">
        <is>
          <t>100599</t>
        </is>
      </c>
      <c r="B1107" t="inlineStr">
        <is>
          <t>其他钢制品</t>
        </is>
      </c>
      <c r="C1107" t="inlineStr">
        <is>
          <t>600848800</t>
        </is>
      </c>
      <c r="D1107" t="inlineStr">
        <is>
          <t>GFW工业用金属筛网和金属丝编织方孔筛网|GFW丝网|GB/T 5330-2003|1Cr18Ni9Ti|0.15/0.1(平纹)|冷拉| GB 1220-1992</t>
        </is>
      </c>
      <c r="E1107" t="inlineStr">
        <is>
          <t>物资名称 GFW工业用金属筛网和金属丝编织方孔筛网;物资简称 GFW丝网;技术标准号 GB/T 5330-2003;牌号 1Cr18Ni9Ti;规格 0.15/0.1(平纹);特殊要求 冷拉;规格标准号  GB 1220-1992</t>
        </is>
      </c>
      <c r="F1107" t="inlineStr">
        <is>
          <t>平方米</t>
        </is>
      </c>
    </row>
    <row r="1108">
      <c r="A1108" t="inlineStr">
        <is>
          <t>100599</t>
        </is>
      </c>
      <c r="B1108" t="inlineStr">
        <is>
          <t>其他钢制品</t>
        </is>
      </c>
      <c r="C1108" t="inlineStr">
        <is>
          <t>600774500</t>
        </is>
      </c>
      <c r="D1108" t="inlineStr">
        <is>
          <t>高碳铬轴承钢|钢|GB/T 18254-2002|GCr15</t>
        </is>
      </c>
      <c r="E1108" t="inlineStr">
        <is>
          <t xml:space="preserve">物资名称 高碳铬轴承钢;物资简称 钢;技术标准号 GB/T 18254-2002;牌号 GCr15;规格 ;特殊要求 ;规格标准号 </t>
        </is>
      </c>
      <c r="F1108" t="inlineStr">
        <is>
          <t>千克</t>
        </is>
      </c>
    </row>
    <row r="1109">
      <c r="A1109" t="inlineStr">
        <is>
          <t>100599</t>
        </is>
      </c>
      <c r="B1109" t="inlineStr">
        <is>
          <t>其他钢制品</t>
        </is>
      </c>
      <c r="C1109" t="inlineStr">
        <is>
          <t>600636500</t>
        </is>
      </c>
      <c r="D1109" t="inlineStr">
        <is>
          <t>GFW工业用金属筛网和金属丝编织方孔筛网|钢丝|GB/T 5330-2003|10.00/2.00|冷拉</t>
        </is>
      </c>
      <c r="E1109" t="inlineStr">
        <is>
          <t xml:space="preserve">物资名称 GFW工业用金属筛网和金属丝编织方孔筛网;物资简称 钢丝;技术标准号 GB/T 5330-2003;牌号 ;规格 10.00/2.00;特殊要求 冷拉;规格标准号 </t>
        </is>
      </c>
      <c r="F1109" t="inlineStr">
        <is>
          <t>千克</t>
        </is>
      </c>
    </row>
    <row r="1110">
      <c r="A1110" t="inlineStr">
        <is>
          <t>100599</t>
        </is>
      </c>
      <c r="B1110" t="inlineStr">
        <is>
          <t>其他钢制品</t>
        </is>
      </c>
      <c r="C1110" t="inlineStr">
        <is>
          <t>600636400</t>
        </is>
      </c>
      <c r="D1110" t="inlineStr">
        <is>
          <t>GFW工业用金属筛网和金属丝编织方孔筛网|钢丝|GB/T 5330-2003|0.15/0.1|冷拉</t>
        </is>
      </c>
      <c r="E1110" t="inlineStr">
        <is>
          <t xml:space="preserve">物资名称 GFW工业用金属筛网和金属丝编织方孔筛网;物资简称 钢丝;技术标准号 GB/T 5330-2003;牌号 ;规格 0.15/0.1;特殊要求 冷拉;规格标准号 </t>
        </is>
      </c>
      <c r="F1110" t="inlineStr">
        <is>
          <t>千克</t>
        </is>
      </c>
    </row>
    <row r="1111">
      <c r="A1111" t="inlineStr">
        <is>
          <t>100599</t>
        </is>
      </c>
      <c r="B1111" t="inlineStr">
        <is>
          <t>其他钢制品</t>
        </is>
      </c>
      <c r="C1111" t="inlineStr">
        <is>
          <t>600636300</t>
        </is>
      </c>
      <c r="D1111" t="inlineStr">
        <is>
          <t>优质碳素结构钢|钢|GB/T 699-1999|10</t>
        </is>
      </c>
      <c r="E1111" t="inlineStr">
        <is>
          <t xml:space="preserve">物资名称 优质碳素结构钢;物资简称 钢;技术标准号 GB/T 699-1999;牌号 10;规格 ;特殊要求 ;规格标准号 </t>
        </is>
      </c>
      <c r="F1111" t="inlineStr">
        <is>
          <t>千克</t>
        </is>
      </c>
    </row>
    <row r="1112">
      <c r="A1112" t="inlineStr">
        <is>
          <t>100599</t>
        </is>
      </c>
      <c r="B1112" t="inlineStr">
        <is>
          <t>其他钢制品</t>
        </is>
      </c>
      <c r="C1112" t="inlineStr">
        <is>
          <t>600636200</t>
        </is>
      </c>
      <c r="D1112" t="inlineStr">
        <is>
          <t>优质碳素结构钢|钢|GB/T 699-1999|20</t>
        </is>
      </c>
      <c r="E1112" t="inlineStr">
        <is>
          <t xml:space="preserve">物资名称 优质碳素结构钢;物资简称 钢;技术标准号 GB/T 699-1999;牌号 20;规格 ;特殊要求 ;规格标准号 </t>
        </is>
      </c>
      <c r="F1112" t="inlineStr">
        <is>
          <t>千克</t>
        </is>
      </c>
    </row>
    <row r="1113">
      <c r="A1113" t="inlineStr">
        <is>
          <t>100599</t>
        </is>
      </c>
      <c r="B1113" t="inlineStr">
        <is>
          <t>其他钢制品</t>
        </is>
      </c>
      <c r="C1113" t="inlineStr">
        <is>
          <t>600636100</t>
        </is>
      </c>
      <c r="D1113" t="inlineStr">
        <is>
          <t>优质碳素结构钢|钢|GB/T 699-1999|45</t>
        </is>
      </c>
      <c r="E1113" t="inlineStr">
        <is>
          <t xml:space="preserve">物资名称 优质碳素结构钢;物资简称 钢;技术标准号 GB/T 699-1999;牌号 45;规格 ;特殊要求 ;规格标准号 </t>
        </is>
      </c>
      <c r="F1113" t="inlineStr">
        <is>
          <t>千克</t>
        </is>
      </c>
    </row>
    <row r="1114">
      <c r="A1114" t="inlineStr">
        <is>
          <t>100599</t>
        </is>
      </c>
      <c r="B1114" t="inlineStr">
        <is>
          <t>其他钢制品</t>
        </is>
      </c>
      <c r="C1114" t="inlineStr">
        <is>
          <t>600636000</t>
        </is>
      </c>
      <c r="D1114" t="inlineStr">
        <is>
          <t>碳素结构钢|钢|GB/T 700-2006|Q235</t>
        </is>
      </c>
      <c r="E1114" t="inlineStr">
        <is>
          <t xml:space="preserve">物资名称 碳素结构钢;物资简称 钢;技术标准号 GB/T 700-2006;牌号 Q235;规格 ;特殊要求 ;规格标准号 </t>
        </is>
      </c>
      <c r="F1114" t="inlineStr">
        <is>
          <t>千克</t>
        </is>
      </c>
    </row>
    <row r="1115">
      <c r="A1115" t="inlineStr">
        <is>
          <t>100599</t>
        </is>
      </c>
      <c r="B1115" t="inlineStr">
        <is>
          <t>其他钢制品</t>
        </is>
      </c>
      <c r="C1115" t="inlineStr">
        <is>
          <t>600635900</t>
        </is>
      </c>
      <c r="D1115" t="inlineStr">
        <is>
          <t>弹簧钢|钢|GB/T 1222-2007|65Mn</t>
        </is>
      </c>
      <c r="E1115" t="inlineStr">
        <is>
          <t xml:space="preserve">物资名称 弹簧钢;物资简称 钢;技术标准号 GB/T 1222-2007;牌号 65Mn;规格 ;特殊要求 ;规格标准号 </t>
        </is>
      </c>
      <c r="F1115" t="inlineStr">
        <is>
          <t>千克</t>
        </is>
      </c>
    </row>
    <row r="1116">
      <c r="A1116" t="inlineStr">
        <is>
          <t>100599</t>
        </is>
      </c>
      <c r="B1116" t="inlineStr">
        <is>
          <t>其他钢制品</t>
        </is>
      </c>
      <c r="C1116" t="inlineStr">
        <is>
          <t>600635800</t>
        </is>
      </c>
      <c r="D1116" t="inlineStr">
        <is>
          <t>弹簧钢|钢|GB/T 1222-2007|60Si2MnA</t>
        </is>
      </c>
      <c r="E1116" t="inlineStr">
        <is>
          <t xml:space="preserve">物资名称 弹簧钢;物资简称 钢;技术标准号 GB/T 1222-2007;牌号 60Si2MnA;规格 ;特殊要求 ;规格标准号 </t>
        </is>
      </c>
      <c r="F1116" t="inlineStr">
        <is>
          <t>千克</t>
        </is>
      </c>
    </row>
    <row r="1117">
      <c r="A1117" t="inlineStr">
        <is>
          <t>100599</t>
        </is>
      </c>
      <c r="B1117" t="inlineStr">
        <is>
          <t>其他钢制品</t>
        </is>
      </c>
      <c r="C1117" t="inlineStr">
        <is>
          <t>600635700</t>
        </is>
      </c>
      <c r="D1117" t="inlineStr">
        <is>
          <t>合金工具钢|钢|GB/T 1299-2000|Cr12MoV</t>
        </is>
      </c>
      <c r="E1117" t="inlineStr">
        <is>
          <t xml:space="preserve">物资名称 合金工具钢;物资简称 钢;技术标准号 GB/T 1299-2000;牌号 Cr12MoV;规格 ;特殊要求 ;规格标准号 </t>
        </is>
      </c>
      <c r="F1117" t="inlineStr">
        <is>
          <t>千克</t>
        </is>
      </c>
    </row>
    <row r="1118">
      <c r="A1118" t="inlineStr">
        <is>
          <t>100599</t>
        </is>
      </c>
      <c r="B1118" t="inlineStr">
        <is>
          <t>其他钢制品</t>
        </is>
      </c>
      <c r="C1118" t="inlineStr">
        <is>
          <t>600635600</t>
        </is>
      </c>
      <c r="D1118" t="inlineStr">
        <is>
          <t>合金结构钢|钢|GB/T 3077-1999|40Cr</t>
        </is>
      </c>
      <c r="E1118" t="inlineStr">
        <is>
          <t xml:space="preserve">物资名称 合金结构钢;物资简称 钢;技术标准号 GB/T 3077-1999;牌号 40Cr;规格 ;特殊要求 ;规格标准号 </t>
        </is>
      </c>
      <c r="F1118" t="inlineStr">
        <is>
          <t>千克</t>
        </is>
      </c>
    </row>
    <row r="1119">
      <c r="A1119" t="inlineStr">
        <is>
          <t>100599</t>
        </is>
      </c>
      <c r="B1119" t="inlineStr">
        <is>
          <t>其他钢制品</t>
        </is>
      </c>
      <c r="C1119" t="inlineStr">
        <is>
          <t>600635500</t>
        </is>
      </c>
      <c r="D1119" t="inlineStr">
        <is>
          <t>合金结构钢|钢|GB/T 3077-1999|30CrMnSiA</t>
        </is>
      </c>
      <c r="E1119" t="inlineStr">
        <is>
          <t xml:space="preserve">物资名称 合金结构钢;物资简称 钢;技术标准号 GB/T 3077-1999;牌号 30CrMnSiA;规格 ;特殊要求 ;规格标准号 </t>
        </is>
      </c>
      <c r="F1119" t="inlineStr">
        <is>
          <t>千克</t>
        </is>
      </c>
    </row>
    <row r="1120">
      <c r="A1120" t="inlineStr">
        <is>
          <t>100599</t>
        </is>
      </c>
      <c r="B1120" t="inlineStr">
        <is>
          <t>其他钢制品</t>
        </is>
      </c>
      <c r="C1120" t="inlineStr">
        <is>
          <t>600635400</t>
        </is>
      </c>
      <c r="D1120" t="inlineStr">
        <is>
          <t>合金结构钢|钢|GB/T 3077-1999|38CrMoAl</t>
        </is>
      </c>
      <c r="E1120" t="inlineStr">
        <is>
          <t xml:space="preserve">物资名称 合金结构钢;物资简称 钢;技术标准号 GB/T 3077-1999;牌号 38CrMoAl;规格 ;特殊要求 ;规格标准号 </t>
        </is>
      </c>
      <c r="F1120" t="inlineStr">
        <is>
          <t>千克</t>
        </is>
      </c>
    </row>
    <row r="1121">
      <c r="A1121" t="inlineStr">
        <is>
          <t>100599</t>
        </is>
      </c>
      <c r="B1121" t="inlineStr">
        <is>
          <t>其他钢制品</t>
        </is>
      </c>
      <c r="C1121" t="inlineStr">
        <is>
          <t>600635300</t>
        </is>
      </c>
      <c r="D1121" t="inlineStr">
        <is>
          <t>合金结构钢|钢|GB/T 3077-1999|12CrNi2</t>
        </is>
      </c>
      <c r="E1121" t="inlineStr">
        <is>
          <t xml:space="preserve">物资名称 合金结构钢;物资简称 钢;技术标准号 GB/T 3077-1999;牌号 12CrNi2;规格 ;特殊要求 ;规格标准号 </t>
        </is>
      </c>
      <c r="F1121" t="inlineStr">
        <is>
          <t>千克</t>
        </is>
      </c>
    </row>
    <row r="1122">
      <c r="A1122" t="inlineStr">
        <is>
          <t>100599</t>
        </is>
      </c>
      <c r="B1122" t="inlineStr">
        <is>
          <t>其他钢制品</t>
        </is>
      </c>
      <c r="C1122" t="inlineStr">
        <is>
          <t>600635200</t>
        </is>
      </c>
      <c r="D1122" t="inlineStr">
        <is>
          <t>合金结构钢|钢|GB/T 3077-1999|30CrNi3</t>
        </is>
      </c>
      <c r="E1122" t="inlineStr">
        <is>
          <t xml:space="preserve">物资名称 合金结构钢;物资简称 钢;技术标准号 GB/T 3077-1999;牌号 30CrNi3;规格 ;特殊要求 ;规格标准号 </t>
        </is>
      </c>
      <c r="F1122" t="inlineStr">
        <is>
          <t>千克</t>
        </is>
      </c>
    </row>
    <row r="1123">
      <c r="A1123" t="inlineStr">
        <is>
          <t>100599</t>
        </is>
      </c>
      <c r="B1123" t="inlineStr">
        <is>
          <t>其他钢制品</t>
        </is>
      </c>
      <c r="C1123" t="inlineStr">
        <is>
          <t>600635100</t>
        </is>
      </c>
      <c r="D1123" t="inlineStr">
        <is>
          <t>合金结构钢|钢|GB/T 3077-1999|35CrMnSiA</t>
        </is>
      </c>
      <c r="E1123" t="inlineStr">
        <is>
          <t xml:space="preserve">物资名称 合金结构钢;物资简称 钢;技术标准号 GB/T 3077-1999;牌号 35CrMnSiA;规格 ;特殊要求 ;规格标准号 </t>
        </is>
      </c>
      <c r="F1123" t="inlineStr">
        <is>
          <t>千克</t>
        </is>
      </c>
    </row>
    <row r="1124">
      <c r="A1124" t="inlineStr">
        <is>
          <t>100599</t>
        </is>
      </c>
      <c r="B1124" t="inlineStr">
        <is>
          <t>其他钢制品</t>
        </is>
      </c>
      <c r="C1124" t="inlineStr">
        <is>
          <t>600635000</t>
        </is>
      </c>
      <c r="D1124" t="inlineStr">
        <is>
          <t>易切削结构钢|钢|GB/T 8731-2008|Y20</t>
        </is>
      </c>
      <c r="E1124" t="inlineStr">
        <is>
          <t xml:space="preserve">物资名称 易切削结构钢;物资简称 钢;技术标准号 GB/T 8731-2008;牌号 Y20;规格 ;特殊要求 ;规格标准号 </t>
        </is>
      </c>
      <c r="F1124" t="inlineStr">
        <is>
          <t>千克</t>
        </is>
      </c>
    </row>
    <row r="1125">
      <c r="A1125" t="inlineStr">
        <is>
          <t>100599</t>
        </is>
      </c>
      <c r="B1125" t="inlineStr">
        <is>
          <t>其他钢制品</t>
        </is>
      </c>
      <c r="C1125" t="inlineStr">
        <is>
          <t>600634900</t>
        </is>
      </c>
      <c r="D1125" t="inlineStr">
        <is>
          <t>高碳铬轴承钢|钢|GB/T 18257-2002|GCr15</t>
        </is>
      </c>
      <c r="E1125" t="inlineStr">
        <is>
          <t xml:space="preserve">物资名称 高碳铬轴承钢;物资简称 钢;技术标准号 GB/T 18257-2002;牌号 GCr15;规格 ;特殊要求 ;规格标准号 </t>
        </is>
      </c>
      <c r="F1125" t="inlineStr">
        <is>
          <t>千克</t>
        </is>
      </c>
    </row>
    <row r="1126">
      <c r="A1126" t="inlineStr">
        <is>
          <t>100599</t>
        </is>
      </c>
      <c r="B1126" t="inlineStr">
        <is>
          <t>其他钢制品</t>
        </is>
      </c>
      <c r="C1126" t="inlineStr">
        <is>
          <t>600634800</t>
        </is>
      </c>
      <c r="D1126" t="inlineStr">
        <is>
          <t>不锈钢和耐热钢|钢|GB/T 20878-2007|12Cr13</t>
        </is>
      </c>
      <c r="E1126" t="inlineStr">
        <is>
          <t xml:space="preserve">物资名称 不锈钢和耐热钢;物资简称 钢;技术标准号 GB/T 20878-2007;牌号 12Cr13;规格 ;特殊要求 ;规格标准号 </t>
        </is>
      </c>
      <c r="F1126" t="inlineStr">
        <is>
          <t>千克</t>
        </is>
      </c>
    </row>
    <row r="1127">
      <c r="A1127" t="inlineStr">
        <is>
          <t>100599</t>
        </is>
      </c>
      <c r="B1127" t="inlineStr">
        <is>
          <t>其他钢制品</t>
        </is>
      </c>
      <c r="C1127" t="inlineStr">
        <is>
          <t>600634700</t>
        </is>
      </c>
      <c r="D1127" t="inlineStr">
        <is>
          <t>不锈钢和耐热钢|钢|GB/T 20878-2007|20Cr13</t>
        </is>
      </c>
      <c r="E1127" t="inlineStr">
        <is>
          <t xml:space="preserve">物资名称 不锈钢和耐热钢;物资简称 钢;技术标准号 GB/T 20878-2007;牌号 20Cr13;规格 ;特殊要求 ;规格标准号 </t>
        </is>
      </c>
      <c r="F1127" t="inlineStr">
        <is>
          <t>千克</t>
        </is>
      </c>
    </row>
    <row r="1128">
      <c r="A1128" t="inlineStr">
        <is>
          <t>100599</t>
        </is>
      </c>
      <c r="B1128" t="inlineStr">
        <is>
          <t>其他钢制品</t>
        </is>
      </c>
      <c r="C1128" t="inlineStr">
        <is>
          <t>600634600</t>
        </is>
      </c>
      <c r="D1128" t="inlineStr">
        <is>
          <t>不锈钢和耐热钢|钢|GB/T 20878-2007|40Cr13</t>
        </is>
      </c>
      <c r="E1128" t="inlineStr">
        <is>
          <t xml:space="preserve">物资名称 不锈钢和耐热钢;物资简称 钢;技术标准号 GB/T 20878-2007;牌号 40Cr13;规格 ;特殊要求 ;规格标准号 </t>
        </is>
      </c>
      <c r="F1128" t="inlineStr">
        <is>
          <t>千克</t>
        </is>
      </c>
    </row>
    <row r="1129">
      <c r="A1129" t="inlineStr">
        <is>
          <t>100599</t>
        </is>
      </c>
      <c r="B1129" t="inlineStr">
        <is>
          <t>其他钢制品</t>
        </is>
      </c>
      <c r="C1129" t="inlineStr">
        <is>
          <t>600634500</t>
        </is>
      </c>
      <c r="D1129" t="inlineStr">
        <is>
          <t>不锈钢和耐热钢|钢|GB/T 20878-2007|06Cr19Ni10</t>
        </is>
      </c>
      <c r="E1129" t="inlineStr">
        <is>
          <t xml:space="preserve">物资名称 不锈钢和耐热钢;物资简称 钢;技术标准号 GB/T 20878-2007;牌号 06Cr19Ni10;规格 ;特殊要求 ;规格标准号 </t>
        </is>
      </c>
      <c r="F1129" t="inlineStr">
        <is>
          <t>千克</t>
        </is>
      </c>
    </row>
    <row r="1130">
      <c r="A1130" t="inlineStr">
        <is>
          <t>100599</t>
        </is>
      </c>
      <c r="B1130" t="inlineStr">
        <is>
          <t>其他钢制品</t>
        </is>
      </c>
      <c r="C1130" t="inlineStr">
        <is>
          <t>600634400</t>
        </is>
      </c>
      <c r="D1130" t="inlineStr">
        <is>
          <t>不锈钢和耐热钢|钢|GB/T 20878-2007|12Cr18Ni9</t>
        </is>
      </c>
      <c r="E1130" t="inlineStr">
        <is>
          <t xml:space="preserve">物资名称 不锈钢和耐热钢;物资简称 钢;技术标准号 GB/T 20878-2007;牌号 12Cr18Ni9;规格 ;特殊要求 ;规格标准号 </t>
        </is>
      </c>
      <c r="F1130" t="inlineStr">
        <is>
          <t>千克</t>
        </is>
      </c>
    </row>
    <row r="1131">
      <c r="A1131" t="inlineStr">
        <is>
          <t>100599</t>
        </is>
      </c>
      <c r="B1131" t="inlineStr">
        <is>
          <t>其他钢制品</t>
        </is>
      </c>
      <c r="C1131" t="inlineStr">
        <is>
          <t>600634300</t>
        </is>
      </c>
      <c r="D1131" t="inlineStr">
        <is>
          <t>合金结构圆钢|钢|GB/T 3077-1999|30CrMnSi</t>
        </is>
      </c>
      <c r="E1131" t="inlineStr">
        <is>
          <t xml:space="preserve">物资名称 合金结构圆钢;物资简称 钢;技术标准号 GB/T 3077-1999;牌号 30CrMnSi;规格 ;特殊要求 ;规格标准号 </t>
        </is>
      </c>
      <c r="F1131" t="inlineStr">
        <is>
          <t>千克</t>
        </is>
      </c>
    </row>
    <row r="1132">
      <c r="A1132" t="inlineStr">
        <is>
          <t>100603</t>
        </is>
      </c>
      <c r="B1132" t="inlineStr">
        <is>
          <t>铁合金</t>
        </is>
      </c>
      <c r="C1132" t="inlineStr">
        <is>
          <t>603575500</t>
        </is>
      </c>
      <c r="D1132" t="inlineStr">
        <is>
          <t>电磁纯铁|电工纯铁|DT2|δ15|34|47|YB200-1975</t>
        </is>
      </c>
      <c r="E1132" t="inlineStr">
        <is>
          <t>物资名称 电磁纯铁;物资简称 电工纯铁;牌号 DT2;厚度 δ15;宽 34;长 47;技术标准号 YB200-1975;特殊要求 ;规格标准号</t>
        </is>
      </c>
      <c r="F1132" t="inlineStr">
        <is>
          <t>千克</t>
        </is>
      </c>
    </row>
    <row r="1133">
      <c r="A1133" t="inlineStr">
        <is>
          <t>100603</t>
        </is>
      </c>
      <c r="B1133" t="inlineStr">
        <is>
          <t>铁合金</t>
        </is>
      </c>
      <c r="C1133" t="inlineStr">
        <is>
          <t>603573400</t>
        </is>
      </c>
      <c r="D1133" t="inlineStr">
        <is>
          <t>电磁纯铁|电工纯铁|DT2|δ15|500|500|YB200-1975</t>
        </is>
      </c>
      <c r="E1133" t="inlineStr">
        <is>
          <t>物资名称 电磁纯铁;物资简称 电工纯铁;牌号 DT2;厚度 δ15;宽 500;长 500;技术标准号 YB200-1975;特殊要求 ;规格标准号</t>
        </is>
      </c>
      <c r="F1133" t="inlineStr">
        <is>
          <t>千克</t>
        </is>
      </c>
    </row>
    <row r="1134">
      <c r="A1134" t="inlineStr">
        <is>
          <t>100603</t>
        </is>
      </c>
      <c r="B1134" t="inlineStr">
        <is>
          <t>铁合金</t>
        </is>
      </c>
      <c r="C1134" t="inlineStr">
        <is>
          <t>603573300</t>
        </is>
      </c>
      <c r="D1134" t="inlineStr">
        <is>
          <t>电磁纯铁|电工纯铁|DT2|δ2.5|YB200-1975</t>
        </is>
      </c>
      <c r="E1134" t="inlineStr">
        <is>
          <t>物资名称 电磁纯铁;物资简称 电工纯铁;牌号 DT2;厚度 δ2.5;宽 ;长 ;技术标准号 YB200-1975;特殊要求 ;规格标准号</t>
        </is>
      </c>
      <c r="F1134" t="inlineStr">
        <is>
          <t>千克</t>
        </is>
      </c>
    </row>
    <row r="1135">
      <c r="A1135" t="inlineStr">
        <is>
          <t>100603</t>
        </is>
      </c>
      <c r="B1135" t="inlineStr">
        <is>
          <t>铁合金</t>
        </is>
      </c>
      <c r="C1135" t="inlineStr">
        <is>
          <t>603572000</t>
        </is>
      </c>
      <c r="D1135" t="inlineStr">
        <is>
          <t>电工纯铁|电工纯铁|DT2|Φ26|YB200-75|GB/T 702-1986</t>
        </is>
      </c>
      <c r="E1135" t="inlineStr">
        <is>
          <t>物资名称 电工纯铁;物资简称 电工纯铁;牌号 DT2;直径 Φ26;技术标准号 YB200-75;特殊要求 ;规格标准号 GB/T 702-1986</t>
        </is>
      </c>
      <c r="F1135" t="inlineStr">
        <is>
          <t>千克</t>
        </is>
      </c>
    </row>
    <row r="1136">
      <c r="A1136" t="inlineStr">
        <is>
          <t>100603</t>
        </is>
      </c>
      <c r="B1136" t="inlineStr">
        <is>
          <t>铁合金</t>
        </is>
      </c>
      <c r="C1136" t="inlineStr">
        <is>
          <t>601418000</t>
        </is>
      </c>
      <c r="D1136" t="inlineStr">
        <is>
          <t>电工纯铁|电工纯铁|DT4|GB/T 6983-1986|60-2|GB/T 702-1986</t>
        </is>
      </c>
      <c r="E1136" t="inlineStr">
        <is>
          <t>物资名称 电工纯铁;物资简称 电工纯铁;牌号 DT4;直径 Φ;技术标准号 GB/T 6983-1986;特殊要求 60-2;规格标准号 GB/T 702-1986</t>
        </is>
      </c>
      <c r="F1136" t="inlineStr">
        <is>
          <t>千克</t>
        </is>
      </c>
    </row>
    <row r="1137">
      <c r="A1137" t="inlineStr">
        <is>
          <t>100603</t>
        </is>
      </c>
      <c r="B1137" t="inlineStr">
        <is>
          <t>铁合金</t>
        </is>
      </c>
      <c r="C1137" t="inlineStr">
        <is>
          <t>601342900</t>
        </is>
      </c>
      <c r="D1137" t="inlineStr">
        <is>
          <t>电磁纯铁棒|电磁纯铁棒|DT4A|Φ110|GB/T 6983-2008</t>
        </is>
      </c>
      <c r="E1137" t="inlineStr">
        <is>
          <t xml:space="preserve">物资名称 电磁纯铁棒;物资简称 电磁纯铁棒;牌号 DT4A;直径 Φ110;技术标准号 GB/T 6983-2008;特殊要求 ;规格标准号 </t>
        </is>
      </c>
      <c r="F1137" t="inlineStr">
        <is>
          <t>千克</t>
        </is>
      </c>
    </row>
    <row r="1138">
      <c r="A1138" t="inlineStr">
        <is>
          <t>100603</t>
        </is>
      </c>
      <c r="B1138" t="inlineStr">
        <is>
          <t>铁合金</t>
        </is>
      </c>
      <c r="C1138" t="inlineStr">
        <is>
          <t>601342800</t>
        </is>
      </c>
      <c r="D1138" t="inlineStr">
        <is>
          <t>电磁纯铁板|电磁纯铁板|DT4|Φ3.9|GB/T 6983-2008</t>
        </is>
      </c>
      <c r="E1138" t="inlineStr">
        <is>
          <t xml:space="preserve">物资名称 电磁纯铁板;物资简称 电磁纯铁板;牌号 DT4;直径 Φ3.9;技术标准号 GB/T 6983-2008;特殊要求 ;规格标准号 </t>
        </is>
      </c>
      <c r="F1138" t="inlineStr">
        <is>
          <t>千克</t>
        </is>
      </c>
    </row>
    <row r="1139">
      <c r="A1139" t="inlineStr">
        <is>
          <t>100603</t>
        </is>
      </c>
      <c r="B1139" t="inlineStr">
        <is>
          <t>铁合金</t>
        </is>
      </c>
      <c r="C1139" t="inlineStr">
        <is>
          <t>601342700</t>
        </is>
      </c>
      <c r="D1139" t="inlineStr">
        <is>
          <t>电磁纯铁板|电磁纯铁板|DT4E|Φ16|GB/T 6983-2008</t>
        </is>
      </c>
      <c r="E1139" t="inlineStr">
        <is>
          <t xml:space="preserve">物资名称 电磁纯铁板;物资简称 电磁纯铁板;牌号 DT4E;直径 Φ16;技术标准号 GB/T 6983-2008;特殊要求 ;规格标准号 </t>
        </is>
      </c>
      <c r="F1139" t="inlineStr">
        <is>
          <t>千克</t>
        </is>
      </c>
    </row>
    <row r="1140">
      <c r="A1140" t="inlineStr">
        <is>
          <t>100603</t>
        </is>
      </c>
      <c r="B1140" t="inlineStr">
        <is>
          <t>铁合金</t>
        </is>
      </c>
      <c r="C1140" t="inlineStr">
        <is>
          <t>601342600</t>
        </is>
      </c>
      <c r="D1140" t="inlineStr">
        <is>
          <t>电磁纯铁板|电磁纯铁板|DT4E|Φ2.5|GB/T 6983-2008</t>
        </is>
      </c>
      <c r="E1140" t="inlineStr">
        <is>
          <t xml:space="preserve">物资名称 电磁纯铁板;物资简称 电磁纯铁板;牌号 DT4E;直径 Φ2.5;技术标准号 GB/T 6983-2008;特殊要求 ;规格标准号 </t>
        </is>
      </c>
      <c r="F1140" t="inlineStr">
        <is>
          <t>千克</t>
        </is>
      </c>
    </row>
    <row r="1141">
      <c r="A1141" t="inlineStr">
        <is>
          <t>100603</t>
        </is>
      </c>
      <c r="B1141" t="inlineStr">
        <is>
          <t>铁合金</t>
        </is>
      </c>
      <c r="C1141" t="inlineStr">
        <is>
          <t>601342500</t>
        </is>
      </c>
      <c r="D1141" t="inlineStr">
        <is>
          <t>电磁纯铁棒|电磁纯铁棒|DT4A|Φ12|GB/T 6983-2008</t>
        </is>
      </c>
      <c r="E1141" t="inlineStr">
        <is>
          <t xml:space="preserve">物资名称 电磁纯铁棒;物资简称 电磁纯铁棒;牌号 DT4A;直径 Φ12;技术标准号 GB/T 6983-2008;特殊要求 ;规格标准号 </t>
        </is>
      </c>
      <c r="F1141" t="inlineStr">
        <is>
          <t>千克</t>
        </is>
      </c>
    </row>
    <row r="1142">
      <c r="A1142" t="inlineStr">
        <is>
          <t>100603</t>
        </is>
      </c>
      <c r="B1142" t="inlineStr">
        <is>
          <t>铁合金</t>
        </is>
      </c>
      <c r="C1142" t="inlineStr">
        <is>
          <t>601342400</t>
        </is>
      </c>
      <c r="D1142" t="inlineStr">
        <is>
          <t>电磁纯铁棒|电磁纯铁棒|DT4A|Φ28|GB/T 6983-2008</t>
        </is>
      </c>
      <c r="E1142" t="inlineStr">
        <is>
          <t xml:space="preserve">物资名称 电磁纯铁棒;物资简称 电磁纯铁棒;牌号 DT4A;直径 Φ28;技术标准号 GB/T 6983-2008;特殊要求 ;规格标准号 </t>
        </is>
      </c>
      <c r="F1142" t="inlineStr">
        <is>
          <t>千克</t>
        </is>
      </c>
    </row>
    <row r="1143">
      <c r="A1143" t="inlineStr">
        <is>
          <t>100603</t>
        </is>
      </c>
      <c r="B1143" t="inlineStr">
        <is>
          <t>铁合金</t>
        </is>
      </c>
      <c r="C1143" t="inlineStr">
        <is>
          <t>601342300</t>
        </is>
      </c>
      <c r="D1143" t="inlineStr">
        <is>
          <t>电磁纯铁棒|电磁纯铁棒|DT4C|Φ75|GB/T 6983-2008</t>
        </is>
      </c>
      <c r="E1143" t="inlineStr">
        <is>
          <t xml:space="preserve">物资名称 电磁纯铁棒;物资简称 电磁纯铁棒;牌号 DT4C;直径 Φ75;技术标准号 GB/T 6983-2008;特殊要求 ;规格标准号 </t>
        </is>
      </c>
      <c r="F1143" t="inlineStr">
        <is>
          <t>千克</t>
        </is>
      </c>
    </row>
    <row r="1144">
      <c r="A1144" t="inlineStr">
        <is>
          <t>100603</t>
        </is>
      </c>
      <c r="B1144" t="inlineStr">
        <is>
          <t>铁合金</t>
        </is>
      </c>
      <c r="C1144" t="inlineStr">
        <is>
          <t>600985600</t>
        </is>
      </c>
      <c r="D1144" t="inlineStr">
        <is>
          <t>纯铁|铁合金|DT4C|Φ60|GB/T 6983-1986</t>
        </is>
      </c>
      <c r="E1144" t="inlineStr">
        <is>
          <t xml:space="preserve">物资名称 纯铁;物资简称 铁合金;牌号 DT4C;直径 Φ60;技术标准号 GB/T 6983-1986;特殊要求 ;规格标准号 </t>
        </is>
      </c>
      <c r="F1144" t="inlineStr">
        <is>
          <t>千克</t>
        </is>
      </c>
    </row>
    <row r="1145">
      <c r="A1145" t="inlineStr">
        <is>
          <t>100603</t>
        </is>
      </c>
      <c r="B1145" t="inlineStr">
        <is>
          <t>铁合金</t>
        </is>
      </c>
      <c r="C1145" t="inlineStr">
        <is>
          <t>600909300</t>
        </is>
      </c>
      <c r="D1145" t="inlineStr">
        <is>
          <t>纯铁棒|DT4C|GB/T 6983-1986</t>
        </is>
      </c>
      <c r="E1145" t="inlineStr">
        <is>
          <t xml:space="preserve">物资名称 纯铁棒;牌号 DT4C;技术标准号 GB/T 6983-1986;特殊要求 ;规格标准号 </t>
        </is>
      </c>
      <c r="F1145" t="inlineStr">
        <is>
          <t>千克</t>
        </is>
      </c>
    </row>
    <row r="1146">
      <c r="A1146" t="inlineStr">
        <is>
          <t>100603</t>
        </is>
      </c>
      <c r="B1146" t="inlineStr">
        <is>
          <t>铁合金</t>
        </is>
      </c>
      <c r="C1146" t="inlineStr">
        <is>
          <t>600881400</t>
        </is>
      </c>
      <c r="D1146" t="inlineStr">
        <is>
          <t>电磁纯铁|电工纯铁|DT4C|δ2.5|GB 6985-1996|A Ⅱ</t>
        </is>
      </c>
      <c r="E1146" t="inlineStr">
        <is>
          <t xml:space="preserve">物资名称 电磁纯铁;物资简称 电工纯铁;牌号 DT4C;厚度 δ2.5;宽 ;长 ;技术标准号 GB 6985-1996;特殊要求 A Ⅱ;规格标准号 </t>
        </is>
      </c>
      <c r="F1146" t="inlineStr">
        <is>
          <t>千克</t>
        </is>
      </c>
    </row>
    <row r="1147">
      <c r="A1147" t="inlineStr">
        <is>
          <t>100603</t>
        </is>
      </c>
      <c r="B1147" t="inlineStr">
        <is>
          <t>铁合金</t>
        </is>
      </c>
      <c r="C1147" t="inlineStr">
        <is>
          <t>600636900</t>
        </is>
      </c>
      <c r="D1147" t="inlineStr">
        <is>
          <t>铁镍合金|4J36|YB/T 5241-2005</t>
        </is>
      </c>
      <c r="E1147" t="inlineStr">
        <is>
          <t xml:space="preserve">物资名称 铁镍合金;牌号 4J36;技术标准号 YB/T 5241-2005;特殊要求 ;规格标准号 </t>
        </is>
      </c>
      <c r="F1147" t="inlineStr">
        <is>
          <t>千克</t>
        </is>
      </c>
    </row>
    <row r="1148">
      <c r="A1148" t="inlineStr">
        <is>
          <t>100603</t>
        </is>
      </c>
      <c r="B1148" t="inlineStr">
        <is>
          <t>铁合金</t>
        </is>
      </c>
      <c r="C1148" t="inlineStr">
        <is>
          <t>600636800</t>
        </is>
      </c>
      <c r="D1148" t="inlineStr">
        <is>
          <t>电磁纯铁|DT4|GB/T 6983-2008</t>
        </is>
      </c>
      <c r="E1148" t="inlineStr">
        <is>
          <t xml:space="preserve">物资名称 电磁纯铁;牌号 DT4;技术标准号 GB/T 6983-2008;特殊要求 ;规格标准号 </t>
        </is>
      </c>
      <c r="F1148" t="inlineStr">
        <is>
          <t>千克</t>
        </is>
      </c>
    </row>
    <row r="1149">
      <c r="A1149" t="inlineStr">
        <is>
          <t>100603</t>
        </is>
      </c>
      <c r="B1149" t="inlineStr">
        <is>
          <t>铁合金</t>
        </is>
      </c>
      <c r="C1149" t="inlineStr">
        <is>
          <t>600636700</t>
        </is>
      </c>
      <c r="D1149" t="inlineStr">
        <is>
          <t>电磁纯铁|DT4A|GB/T 6983-2008</t>
        </is>
      </c>
      <c r="E1149" t="inlineStr">
        <is>
          <t xml:space="preserve">物资名称 电磁纯铁;牌号 DT4A;技术标准号 GB/T 6983-2008;特殊要求 ;规格标准号 </t>
        </is>
      </c>
      <c r="F1149" t="inlineStr">
        <is>
          <t>千克</t>
        </is>
      </c>
    </row>
    <row r="1150">
      <c r="A1150" t="inlineStr">
        <is>
          <t>100603</t>
        </is>
      </c>
      <c r="B1150" t="inlineStr">
        <is>
          <t>铁合金</t>
        </is>
      </c>
      <c r="C1150" t="inlineStr">
        <is>
          <t>600636600</t>
        </is>
      </c>
      <c r="D1150" t="inlineStr">
        <is>
          <t>电磁纯铁|DT4C|GB/T 6983-2008</t>
        </is>
      </c>
      <c r="E1150" t="inlineStr">
        <is>
          <t xml:space="preserve">物资名称 电磁纯铁;牌号 DT4C;技术标准号 GB/T 6983-2008;特殊要求 ;规格标准号 </t>
        </is>
      </c>
      <c r="F1150" t="inlineStr">
        <is>
          <t>千克</t>
        </is>
      </c>
    </row>
    <row r="1151">
      <c r="A1151" t="inlineStr">
        <is>
          <t>109904</t>
        </is>
      </c>
      <c r="B1151" t="inlineStr">
        <is>
          <t>铸钢件</t>
        </is>
      </c>
      <c r="C1151" t="inlineStr">
        <is>
          <t>601010200</t>
        </is>
      </c>
      <c r="D1151" t="inlineStr">
        <is>
          <t>铸钢|铸钢|ZG40Cr|WJ649-95</t>
        </is>
      </c>
      <c r="E1151" t="inlineStr">
        <is>
          <t xml:space="preserve">物资名称 铸钢;物资简称 铸钢;牌号 ZG40Cr;规格 ;技术标准号 WJ649-95;加工工艺 ;热处理工艺 ;特殊要求 ;规格标准号 </t>
        </is>
      </c>
      <c r="F1151" t="inlineStr">
        <is>
          <t>千克</t>
        </is>
      </c>
    </row>
    <row r="1152">
      <c r="A1152" t="inlineStr">
        <is>
          <t>109904</t>
        </is>
      </c>
      <c r="B1152" t="inlineStr">
        <is>
          <t>铸钢件</t>
        </is>
      </c>
      <c r="C1152" t="inlineStr">
        <is>
          <t>600909600</t>
        </is>
      </c>
      <c r="D1152" t="inlineStr">
        <is>
          <t>铸钢|铸钢|ZG2Cr13|GB/T 2100-1980</t>
        </is>
      </c>
      <c r="E1152" t="inlineStr">
        <is>
          <t xml:space="preserve">物资名称 铸钢;物资简称 铸钢;牌号 ZG2Cr13;规格 ;技术标准号 GB/T 2100-1980;加工工艺 ;热处理工艺 ;特殊要求 ;规格标准号 </t>
        </is>
      </c>
      <c r="F1152" t="inlineStr">
        <is>
          <t>千克</t>
        </is>
      </c>
    </row>
    <row r="1153">
      <c r="A1153" t="inlineStr">
        <is>
          <t>109904</t>
        </is>
      </c>
      <c r="B1153" t="inlineStr">
        <is>
          <t>铸钢件</t>
        </is>
      </c>
      <c r="C1153" t="inlineStr">
        <is>
          <t>600637000</t>
        </is>
      </c>
      <c r="D1153" t="inlineStr">
        <is>
          <t>一般用途耐蚀钢铸件|铸钢|ZG20Cr13|GB/T 2100-2002</t>
        </is>
      </c>
      <c r="E1153" t="inlineStr">
        <is>
          <t xml:space="preserve">物资名称 一般用途耐蚀钢铸件;物资简称 铸钢;牌号 ZG20Cr13;规格 ;技术标准号 GB/T 2100-2002;加工工艺 ;热处理工艺 ;特殊要求 ;规格标准号 </t>
        </is>
      </c>
      <c r="F1153" t="inlineStr">
        <is>
          <t>千克</t>
        </is>
      </c>
    </row>
    <row r="1154">
      <c r="A1154" t="inlineStr">
        <is>
          <t>109988</t>
        </is>
      </c>
      <c r="B1154" t="inlineStr">
        <is>
          <t>不确定小类</t>
        </is>
      </c>
      <c r="C1154" t="inlineStr">
        <is>
          <t>601439200</t>
        </is>
      </c>
      <c r="D1154" t="inlineStr">
        <is>
          <t>不锈板|1Cr18Ni9Ti|T=10</t>
        </is>
      </c>
      <c r="E1154" t="inlineStr">
        <is>
          <t>物资名称 不锈板;型号规格 1Cr18Ni9Ti|T=10</t>
        </is>
      </c>
      <c r="F1154" t="inlineStr">
        <is>
          <t>千克</t>
        </is>
      </c>
    </row>
    <row r="1155">
      <c r="A1155" t="inlineStr">
        <is>
          <t>109988</t>
        </is>
      </c>
      <c r="B1155" t="inlineStr">
        <is>
          <t>不确定小类</t>
        </is>
      </c>
      <c r="C1155" t="inlineStr">
        <is>
          <t>601439100</t>
        </is>
      </c>
      <c r="D1155" t="inlineStr">
        <is>
          <t>不锈板|1Cr18Ni9Ti|T=6</t>
        </is>
      </c>
      <c r="E1155" t="inlineStr">
        <is>
          <t>物资名称 不锈板;型号规格 1Cr18Ni9Ti|T=6</t>
        </is>
      </c>
      <c r="F1155" t="inlineStr">
        <is>
          <t>千克</t>
        </is>
      </c>
    </row>
    <row r="1156">
      <c r="A1156" t="inlineStr">
        <is>
          <t>109988</t>
        </is>
      </c>
      <c r="B1156" t="inlineStr">
        <is>
          <t>不确定小类</t>
        </is>
      </c>
      <c r="C1156" t="inlineStr">
        <is>
          <t>601312600</t>
        </is>
      </c>
      <c r="D1156" t="inlineStr">
        <is>
          <t>不锈板|0Cr18Ni9_t=1_泰恒润丰</t>
        </is>
      </c>
      <c r="E1156" t="inlineStr">
        <is>
          <t>物资名称 不锈板;型号规格 0Cr18Ni9_t=1_泰恒润丰</t>
        </is>
      </c>
      <c r="F1156" t="inlineStr">
        <is>
          <t>千克</t>
        </is>
      </c>
    </row>
    <row r="1157">
      <c r="A1157" t="inlineStr">
        <is>
          <t>109988</t>
        </is>
      </c>
      <c r="B1157" t="inlineStr">
        <is>
          <t>不确定小类</t>
        </is>
      </c>
      <c r="C1157" t="inlineStr">
        <is>
          <t>601312500</t>
        </is>
      </c>
      <c r="D1157" t="inlineStr">
        <is>
          <t>不锈板|0Cr18Ni9_T=2.5</t>
        </is>
      </c>
      <c r="E1157" t="inlineStr">
        <is>
          <t>物资名称 不锈板;型号规格 0Cr18Ni9_T=2.5</t>
        </is>
      </c>
      <c r="F1157" t="inlineStr">
        <is>
          <t>千克</t>
        </is>
      </c>
    </row>
    <row r="1158">
      <c r="A1158" t="inlineStr">
        <is>
          <t>109988</t>
        </is>
      </c>
      <c r="B1158" t="inlineStr">
        <is>
          <t>不确定小类</t>
        </is>
      </c>
      <c r="C1158" t="inlineStr">
        <is>
          <t>601312400</t>
        </is>
      </c>
      <c r="D1158" t="inlineStr">
        <is>
          <t>不锈板|0Cr18Ni9_T=2</t>
        </is>
      </c>
      <c r="E1158" t="inlineStr">
        <is>
          <t>物资名称 不锈板;型号规格 0Cr18Ni9_T=2</t>
        </is>
      </c>
      <c r="F1158" t="inlineStr">
        <is>
          <t>千克</t>
        </is>
      </c>
    </row>
    <row r="1159">
      <c r="A1159" t="inlineStr">
        <is>
          <t>109988</t>
        </is>
      </c>
      <c r="B1159" t="inlineStr">
        <is>
          <t>不确定小类</t>
        </is>
      </c>
      <c r="C1159" t="inlineStr">
        <is>
          <t>601312300</t>
        </is>
      </c>
      <c r="D1159" t="inlineStr">
        <is>
          <t>不锈板|0Cr18Ni9_T=4</t>
        </is>
      </c>
      <c r="E1159" t="inlineStr">
        <is>
          <t>物资名称 不锈板;型号规格 0Cr18Ni9_T=4</t>
        </is>
      </c>
      <c r="F1159" t="inlineStr">
        <is>
          <t>千克</t>
        </is>
      </c>
    </row>
    <row r="1160">
      <c r="A1160" t="inlineStr">
        <is>
          <t>109988</t>
        </is>
      </c>
      <c r="B1160" t="inlineStr">
        <is>
          <t>不确定小类</t>
        </is>
      </c>
      <c r="C1160" t="inlineStr">
        <is>
          <t>601312200</t>
        </is>
      </c>
      <c r="D1160" t="inlineStr">
        <is>
          <t>不锈板|0Cr18Ni9_T=5*1.5*384</t>
        </is>
      </c>
      <c r="E1160" t="inlineStr">
        <is>
          <t>物资名称 不锈板;型号规格 0Cr18Ni9_T=5*1.5*384</t>
        </is>
      </c>
      <c r="F1160" t="inlineStr">
        <is>
          <t>千克</t>
        </is>
      </c>
    </row>
    <row r="1161">
      <c r="A1161" t="inlineStr">
        <is>
          <t>109988</t>
        </is>
      </c>
      <c r="B1161" t="inlineStr">
        <is>
          <t>不确定小类</t>
        </is>
      </c>
      <c r="C1161" t="inlineStr">
        <is>
          <t>601312100</t>
        </is>
      </c>
      <c r="D1161" t="inlineStr">
        <is>
          <t>不锈板|12Cr18Ni9_T=3</t>
        </is>
      </c>
      <c r="E1161" t="inlineStr">
        <is>
          <t>物资名称 不锈板;型号规格 12Cr18Ni9_T=3</t>
        </is>
      </c>
      <c r="F1161" t="inlineStr">
        <is>
          <t>千克</t>
        </is>
      </c>
    </row>
    <row r="1162">
      <c r="A1162" t="inlineStr">
        <is>
          <t>109988</t>
        </is>
      </c>
      <c r="B1162" t="inlineStr">
        <is>
          <t>不确定小类</t>
        </is>
      </c>
      <c r="C1162" t="inlineStr">
        <is>
          <t>601312000</t>
        </is>
      </c>
      <c r="D1162" t="inlineStr">
        <is>
          <t>不锈板|1Cr13_t=2</t>
        </is>
      </c>
      <c r="E1162" t="inlineStr">
        <is>
          <t>物资名称 不锈板;型号规格 1Cr13_t=2</t>
        </is>
      </c>
      <c r="F1162" t="inlineStr">
        <is>
          <t>千克</t>
        </is>
      </c>
    </row>
    <row r="1163">
      <c r="A1163" t="inlineStr">
        <is>
          <t>109988</t>
        </is>
      </c>
      <c r="B1163" t="inlineStr">
        <is>
          <t>不确定小类</t>
        </is>
      </c>
      <c r="C1163" t="inlineStr">
        <is>
          <t>601311900</t>
        </is>
      </c>
      <c r="D1163" t="inlineStr">
        <is>
          <t>不锈板|1Cr18Ni9Ti_T=25</t>
        </is>
      </c>
      <c r="E1163" t="inlineStr">
        <is>
          <t>物资名称 不锈板;型号规格 1Cr18Ni9Ti_T=25</t>
        </is>
      </c>
      <c r="F1163" t="inlineStr">
        <is>
          <t>千克</t>
        </is>
      </c>
    </row>
    <row r="1164">
      <c r="A1164" t="inlineStr">
        <is>
          <t>109988</t>
        </is>
      </c>
      <c r="B1164" t="inlineStr">
        <is>
          <t>不确定小类</t>
        </is>
      </c>
      <c r="C1164" t="inlineStr">
        <is>
          <t>601311800</t>
        </is>
      </c>
      <c r="D1164" t="inlineStr">
        <is>
          <t>不锈板|1Cr18Ni9Ti_T=8*200</t>
        </is>
      </c>
      <c r="E1164" t="inlineStr">
        <is>
          <t>物资名称 不锈板;型号规格 1Cr18Ni9Ti_T=8*200</t>
        </is>
      </c>
      <c r="F1164" t="inlineStr">
        <is>
          <t>千克</t>
        </is>
      </c>
    </row>
    <row r="1165">
      <c r="A1165" t="inlineStr">
        <is>
          <t>109988</t>
        </is>
      </c>
      <c r="B1165" t="inlineStr">
        <is>
          <t>不确定小类</t>
        </is>
      </c>
      <c r="C1165" t="inlineStr">
        <is>
          <t>601311700</t>
        </is>
      </c>
      <c r="D1165" t="inlineStr">
        <is>
          <t>不锈板|2Cr13A-Ⅱ_t=1.5</t>
        </is>
      </c>
      <c r="E1165" t="inlineStr">
        <is>
          <t>物资名称 不锈板;型号规格 2Cr13A-Ⅱ_t=1.5</t>
        </is>
      </c>
      <c r="F1165" t="inlineStr">
        <is>
          <t>千克</t>
        </is>
      </c>
    </row>
    <row r="1166">
      <c r="A1166" t="inlineStr">
        <is>
          <t>109988</t>
        </is>
      </c>
      <c r="B1166" t="inlineStr">
        <is>
          <t>不确定小类</t>
        </is>
      </c>
      <c r="C1166" t="inlineStr">
        <is>
          <t>601311600</t>
        </is>
      </c>
      <c r="D1166" t="inlineStr">
        <is>
          <t>不锈板|2Cr13_t=2.5</t>
        </is>
      </c>
      <c r="E1166" t="inlineStr">
        <is>
          <t>物资名称 不锈板;型号规格 2Cr13_t=2.5</t>
        </is>
      </c>
      <c r="F1166" t="inlineStr">
        <is>
          <t>千克</t>
        </is>
      </c>
    </row>
    <row r="1167">
      <c r="A1167" t="inlineStr">
        <is>
          <t>109988</t>
        </is>
      </c>
      <c r="B1167" t="inlineStr">
        <is>
          <t>不确定小类</t>
        </is>
      </c>
      <c r="C1167" t="inlineStr">
        <is>
          <t>601311500</t>
        </is>
      </c>
      <c r="D1167" t="inlineStr">
        <is>
          <t>不锈板|2Cr13_t=2</t>
        </is>
      </c>
      <c r="E1167" t="inlineStr">
        <is>
          <t>物资名称 不锈板;型号规格 2Cr13_t=2</t>
        </is>
      </c>
      <c r="F1167" t="inlineStr">
        <is>
          <t>千克</t>
        </is>
      </c>
    </row>
    <row r="1168">
      <c r="A1168" t="inlineStr">
        <is>
          <t>109988</t>
        </is>
      </c>
      <c r="B1168" t="inlineStr">
        <is>
          <t>不确定小类</t>
        </is>
      </c>
      <c r="C1168" t="inlineStr">
        <is>
          <t>601311400</t>
        </is>
      </c>
      <c r="D1168" t="inlineStr">
        <is>
          <t>不锈板|2Cr13_t=4*1.05*1.82_泰恒润丰</t>
        </is>
      </c>
      <c r="E1168" t="inlineStr">
        <is>
          <t>物资名称 不锈板;型号规格 2Cr13_t=4*1.05*1.82_泰恒润丰</t>
        </is>
      </c>
      <c r="F1168" t="inlineStr">
        <is>
          <t>千克</t>
        </is>
      </c>
    </row>
    <row r="1169">
      <c r="A1169" t="inlineStr">
        <is>
          <t>109988</t>
        </is>
      </c>
      <c r="B1169" t="inlineStr">
        <is>
          <t>不确定小类</t>
        </is>
      </c>
      <c r="C1169" t="inlineStr">
        <is>
          <t>601311300</t>
        </is>
      </c>
      <c r="D1169" t="inlineStr">
        <is>
          <t>不锈板|2Cr13-A-Ⅱ_t=2</t>
        </is>
      </c>
      <c r="E1169" t="inlineStr">
        <is>
          <t>物资名称 不锈板;型号规格 2Cr13-A-Ⅱ_t=2</t>
        </is>
      </c>
      <c r="F1169" t="inlineStr">
        <is>
          <t>千克</t>
        </is>
      </c>
    </row>
    <row r="1170">
      <c r="A1170" t="inlineStr">
        <is>
          <t>109988</t>
        </is>
      </c>
      <c r="B1170" t="inlineStr">
        <is>
          <t>不确定小类</t>
        </is>
      </c>
      <c r="C1170" t="inlineStr">
        <is>
          <t>601311200</t>
        </is>
      </c>
      <c r="D1170" t="inlineStr">
        <is>
          <t>不锈板|0Cr25Ni20_T=1_北京晶天宝不锈钢有限公司</t>
        </is>
      </c>
      <c r="E1170" t="inlineStr">
        <is>
          <t>物资名称 不锈板;型号规格 0Cr25Ni20_T=1_北京晶天宝不锈钢有限公司</t>
        </is>
      </c>
      <c r="F1170" t="inlineStr">
        <is>
          <t>千克</t>
        </is>
      </c>
    </row>
    <row r="1171">
      <c r="A1171" t="inlineStr">
        <is>
          <t>109988</t>
        </is>
      </c>
      <c r="B1171" t="inlineStr">
        <is>
          <t>不确定小类</t>
        </is>
      </c>
      <c r="C1171" t="inlineStr">
        <is>
          <t>601311100</t>
        </is>
      </c>
      <c r="D1171" t="inlineStr">
        <is>
          <t>钢板|20#_T=10*1500</t>
        </is>
      </c>
      <c r="E1171" t="inlineStr">
        <is>
          <t>物资名称 钢板;型号规格 20#_T=10*1500</t>
        </is>
      </c>
      <c r="F1171" t="inlineStr">
        <is>
          <t>千克</t>
        </is>
      </c>
    </row>
    <row r="1172">
      <c r="A1172" t="inlineStr">
        <is>
          <t>109988</t>
        </is>
      </c>
      <c r="B1172" t="inlineStr">
        <is>
          <t>不确定小类</t>
        </is>
      </c>
      <c r="C1172" t="inlineStr">
        <is>
          <t>601311000</t>
        </is>
      </c>
      <c r="D1172" t="inlineStr">
        <is>
          <t>钢板|20#_T=12</t>
        </is>
      </c>
      <c r="E1172" t="inlineStr">
        <is>
          <t>物资名称 钢板;型号规格 20#_T=12</t>
        </is>
      </c>
      <c r="F1172" t="inlineStr">
        <is>
          <t>千克</t>
        </is>
      </c>
    </row>
    <row r="1173">
      <c r="A1173" t="inlineStr">
        <is>
          <t>109988</t>
        </is>
      </c>
      <c r="B1173" t="inlineStr">
        <is>
          <t>不确定小类</t>
        </is>
      </c>
      <c r="C1173" t="inlineStr">
        <is>
          <t>601310900</t>
        </is>
      </c>
      <c r="D1173" t="inlineStr">
        <is>
          <t>钢板|４０＃_t=2．5</t>
        </is>
      </c>
      <c r="E1173" t="inlineStr">
        <is>
          <t>物资名称 钢板;型号规格 ４０＃_t=2．5</t>
        </is>
      </c>
      <c r="F1173" t="inlineStr">
        <is>
          <t>千克</t>
        </is>
      </c>
    </row>
    <row r="1174">
      <c r="A1174" t="inlineStr">
        <is>
          <t>109988</t>
        </is>
      </c>
      <c r="B1174" t="inlineStr">
        <is>
          <t>不确定小类</t>
        </is>
      </c>
      <c r="C1174" t="inlineStr">
        <is>
          <t>601310800</t>
        </is>
      </c>
      <c r="D1174" t="inlineStr">
        <is>
          <t>钢板|４５＃_t=１．５</t>
        </is>
      </c>
      <c r="E1174" t="inlineStr">
        <is>
          <t>物资名称 钢板;型号规格 ４５＃_t=１．５</t>
        </is>
      </c>
      <c r="F1174" t="inlineStr">
        <is>
          <t>千克</t>
        </is>
      </c>
    </row>
    <row r="1175">
      <c r="A1175" t="inlineStr">
        <is>
          <t>109988</t>
        </is>
      </c>
      <c r="B1175" t="inlineStr">
        <is>
          <t>不确定小类</t>
        </is>
      </c>
      <c r="C1175" t="inlineStr">
        <is>
          <t>601310700</t>
        </is>
      </c>
      <c r="D1175" t="inlineStr">
        <is>
          <t>钢板|45#_t=1</t>
        </is>
      </c>
      <c r="E1175" t="inlineStr">
        <is>
          <t>物资名称 钢板;型号规格 45#_t=1</t>
        </is>
      </c>
      <c r="F1175" t="inlineStr">
        <is>
          <t>千克</t>
        </is>
      </c>
    </row>
    <row r="1176">
      <c r="A1176" t="inlineStr">
        <is>
          <t>109988</t>
        </is>
      </c>
      <c r="B1176" t="inlineStr">
        <is>
          <t>不确定小类</t>
        </is>
      </c>
      <c r="C1176" t="inlineStr">
        <is>
          <t>601310600</t>
        </is>
      </c>
      <c r="D1176" t="inlineStr">
        <is>
          <t>钢板|45#_T=22</t>
        </is>
      </c>
      <c r="E1176" t="inlineStr">
        <is>
          <t>物资名称 钢板;型号规格 45#_T=22</t>
        </is>
      </c>
      <c r="F1176" t="inlineStr">
        <is>
          <t>千克</t>
        </is>
      </c>
    </row>
    <row r="1177">
      <c r="A1177" t="inlineStr">
        <is>
          <t>109988</t>
        </is>
      </c>
      <c r="B1177" t="inlineStr">
        <is>
          <t>不确定小类</t>
        </is>
      </c>
      <c r="C1177" t="inlineStr">
        <is>
          <t>601310500</t>
        </is>
      </c>
      <c r="D1177" t="inlineStr">
        <is>
          <t>钢板|65Mn-P-Ⅱ-Q-T_T=1*180</t>
        </is>
      </c>
      <c r="E1177" t="inlineStr">
        <is>
          <t>物资名称 钢板;型号规格 65Mn-P-Ⅱ-Q-T_T=1*180</t>
        </is>
      </c>
      <c r="F1177" t="inlineStr">
        <is>
          <t>千克</t>
        </is>
      </c>
    </row>
    <row r="1178">
      <c r="A1178" t="inlineStr">
        <is>
          <t>109988</t>
        </is>
      </c>
      <c r="B1178" t="inlineStr">
        <is>
          <t>不确定小类</t>
        </is>
      </c>
      <c r="C1178" t="inlineStr">
        <is>
          <t>601310400</t>
        </is>
      </c>
      <c r="D1178" t="inlineStr">
        <is>
          <t>钢板|S４５C_t=1.2</t>
        </is>
      </c>
      <c r="E1178" t="inlineStr">
        <is>
          <t>物资名称 钢板;型号规格 S４５C_t=1.2</t>
        </is>
      </c>
      <c r="F1178" t="inlineStr">
        <is>
          <t>千克</t>
        </is>
      </c>
    </row>
    <row r="1179">
      <c r="A1179" t="inlineStr">
        <is>
          <t>109988</t>
        </is>
      </c>
      <c r="B1179" t="inlineStr">
        <is>
          <t>不确定小类</t>
        </is>
      </c>
      <c r="C1179" t="inlineStr">
        <is>
          <t>601310300</t>
        </is>
      </c>
      <c r="D1179" t="inlineStr">
        <is>
          <t>合结钢|45CrNiMo1VA_T=25_GJB5063-2001</t>
        </is>
      </c>
      <c r="E1179" t="inlineStr">
        <is>
          <t>物资名称 合结钢;型号规格 45CrNiMo1VA_T=25_GJB5063-2001</t>
        </is>
      </c>
      <c r="F1179" t="inlineStr">
        <is>
          <t>千克</t>
        </is>
      </c>
    </row>
    <row r="1180">
      <c r="A1180" t="inlineStr">
        <is>
          <t>109988</t>
        </is>
      </c>
      <c r="B1180" t="inlineStr">
        <is>
          <t>不确定小类</t>
        </is>
      </c>
      <c r="C1180" t="inlineStr">
        <is>
          <t>601310200</t>
        </is>
      </c>
      <c r="D1180" t="inlineStr">
        <is>
          <t>不锈板|304_T=10</t>
        </is>
      </c>
      <c r="E1180" t="inlineStr">
        <is>
          <t>物资名称 不锈板;型号规格 304_T=10</t>
        </is>
      </c>
      <c r="F1180" t="inlineStr">
        <is>
          <t>千克</t>
        </is>
      </c>
    </row>
    <row r="1181">
      <c r="A1181" t="inlineStr">
        <is>
          <t>109988</t>
        </is>
      </c>
      <c r="B1181" t="inlineStr">
        <is>
          <t>不确定小类</t>
        </is>
      </c>
      <c r="C1181" t="inlineStr">
        <is>
          <t>601310100</t>
        </is>
      </c>
      <c r="D1181" t="inlineStr">
        <is>
          <t>不锈板|304_T=62</t>
        </is>
      </c>
      <c r="E1181" t="inlineStr">
        <is>
          <t>物资名称 不锈板;型号规格 304_T=62</t>
        </is>
      </c>
      <c r="F1181" t="inlineStr">
        <is>
          <t>千克</t>
        </is>
      </c>
    </row>
    <row r="1182">
      <c r="A1182" t="inlineStr">
        <is>
          <t>109988</t>
        </is>
      </c>
      <c r="B1182" t="inlineStr">
        <is>
          <t>不确定小类</t>
        </is>
      </c>
      <c r="C1182" t="inlineStr">
        <is>
          <t>601310000</t>
        </is>
      </c>
      <c r="D1182" t="inlineStr">
        <is>
          <t>不锈板|304_T=18</t>
        </is>
      </c>
      <c r="E1182" t="inlineStr">
        <is>
          <t>物资名称 不锈板;型号规格 304_T=18</t>
        </is>
      </c>
      <c r="F1182" t="inlineStr">
        <is>
          <t>千克</t>
        </is>
      </c>
    </row>
    <row r="1183">
      <c r="A1183" t="inlineStr">
        <is>
          <t>109988</t>
        </is>
      </c>
      <c r="B1183" t="inlineStr">
        <is>
          <t>不确定小类</t>
        </is>
      </c>
      <c r="C1183" t="inlineStr">
        <is>
          <t>601309900</t>
        </is>
      </c>
      <c r="D1183" t="inlineStr">
        <is>
          <t>不锈板|304_T=95</t>
        </is>
      </c>
      <c r="E1183" t="inlineStr">
        <is>
          <t>物资名称 不锈板;型号规格 304_T=95</t>
        </is>
      </c>
      <c r="F1183" t="inlineStr">
        <is>
          <t>千克</t>
        </is>
      </c>
    </row>
    <row r="1184">
      <c r="A1184" t="inlineStr">
        <is>
          <t>109999</t>
        </is>
      </c>
      <c r="B1184" t="inlineStr">
        <is>
          <t>各种其他黑色金属材料</t>
        </is>
      </c>
      <c r="C1184" t="inlineStr">
        <is>
          <t>601343400</t>
        </is>
      </c>
      <c r="D1184" t="inlineStr">
        <is>
          <t>不锈槽钢|0Cr18Ni9|60*30*3</t>
        </is>
      </c>
      <c r="E1184" t="inlineStr">
        <is>
          <t xml:space="preserve">物资名称 不锈槽钢;牌号 0Cr18Ni9;规格 60*30*3;技术标准号 ;加工工艺 ;热处理工艺 ;特殊要求 ;规格标准号 </t>
        </is>
      </c>
      <c r="F1184" t="inlineStr">
        <is>
          <t>千克</t>
        </is>
      </c>
    </row>
    <row r="1185">
      <c r="A1185" t="inlineStr">
        <is>
          <t>109999</t>
        </is>
      </c>
      <c r="B1185" t="inlineStr">
        <is>
          <t>各种其他黑色金属材料</t>
        </is>
      </c>
      <c r="C1185" t="inlineStr">
        <is>
          <t>601343300</t>
        </is>
      </c>
      <c r="D1185" t="inlineStr">
        <is>
          <t>方钢管|0Cr18Ni9|40*40*4</t>
        </is>
      </c>
      <c r="E1185" t="inlineStr">
        <is>
          <t xml:space="preserve">物资名称 方钢管;牌号 0Cr18Ni9;规格 40*40*4;技术标准号 ;加工工艺 ;热处理工艺 ;特殊要求 ;规格标准号 </t>
        </is>
      </c>
      <c r="F1185" t="inlineStr">
        <is>
          <t>千克</t>
        </is>
      </c>
    </row>
    <row r="1186">
      <c r="A1186" t="inlineStr">
        <is>
          <t>109999</t>
        </is>
      </c>
      <c r="B1186" t="inlineStr">
        <is>
          <t>各种其他黑色金属材料</t>
        </is>
      </c>
      <c r="C1186" t="inlineStr">
        <is>
          <t>601343200</t>
        </is>
      </c>
      <c r="D1186" t="inlineStr">
        <is>
          <t>方管|Q235|20*20*2</t>
        </is>
      </c>
      <c r="E1186" t="inlineStr">
        <is>
          <t xml:space="preserve">物资名称 方管;牌号 Q235;规格 20*20*2;技术标准号 ;加工工艺 ;热处理工艺 ;特殊要求 ;规格标准号 </t>
        </is>
      </c>
      <c r="F1186" t="inlineStr">
        <is>
          <t>千克</t>
        </is>
      </c>
    </row>
    <row r="1187">
      <c r="A1187" t="inlineStr">
        <is>
          <t>109999</t>
        </is>
      </c>
      <c r="B1187" t="inlineStr">
        <is>
          <t>各种其他黑色金属材料</t>
        </is>
      </c>
      <c r="C1187" t="inlineStr">
        <is>
          <t>601343100</t>
        </is>
      </c>
      <c r="D1187" t="inlineStr">
        <is>
          <t>钢板|200＃|t=0.5</t>
        </is>
      </c>
      <c r="E1187" t="inlineStr">
        <is>
          <t xml:space="preserve">物资名称 钢板;牌号 200＃;规格 t=0.5;技术标准号 ;加工工艺 ;热处理工艺 ;特殊要求 ;规格标准号 </t>
        </is>
      </c>
      <c r="F1187" t="inlineStr">
        <is>
          <t>千克</t>
        </is>
      </c>
    </row>
    <row r="1188">
      <c r="A1188" t="inlineStr">
        <is>
          <t>109999</t>
        </is>
      </c>
      <c r="B1188" t="inlineStr">
        <is>
          <t>各种其他黑色金属材料</t>
        </is>
      </c>
      <c r="C1188" t="inlineStr">
        <is>
          <t>601343000</t>
        </is>
      </c>
      <c r="D1188" t="inlineStr">
        <is>
          <t>钢板|200＃|t=1.5*1250*2500</t>
        </is>
      </c>
      <c r="E1188" t="inlineStr">
        <is>
          <t xml:space="preserve">物资名称 钢板;牌号 200＃;规格 t=1.5*1250*2500;技术标准号 ;加工工艺 ;热处理工艺 ;特殊要求 ;规格标准号 </t>
        </is>
      </c>
      <c r="F1188" t="inlineStr">
        <is>
          <t>千克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规格标准号</t>
        </is>
      </c>
      <c r="N1" t="inlineStr">
        <is>
          <t>加工工艺</t>
        </is>
      </c>
      <c r="O1" t="inlineStr">
        <is>
          <t>热处理工艺</t>
        </is>
      </c>
      <c r="P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  <c r="P3" t="inlineStr">
        <is>
          <t>〇</t>
        </is>
      </c>
    </row>
    <row r="4">
      <c r="A4" t="inlineStr">
        <is>
          <t>100401</t>
        </is>
      </c>
      <c r="B4" t="inlineStr">
        <is>
          <t>钢带</t>
        </is>
      </c>
      <c r="C4" t="inlineStr">
        <is>
          <t>603573200</t>
        </is>
      </c>
      <c r="D4" t="inlineStr">
        <is>
          <t>冷轧不锈钢带|钢带|45-P-G-Q-I|δ1×30|YB207-1965|冷轧|H1/4|N|GB/T 708-2006</t>
        </is>
      </c>
      <c r="E4" t="inlineStr">
        <is>
          <t>物资名称 冷轧不锈钢带;物资简称 钢带;牌号 45-P-G-Q-I;厚度 δ1;宽 30;技术标准号 YB207-1965;加工工艺 冷轧;热处理工艺 H1/4;特殊要求 N;规格标准号 GB/T 708-2006</t>
        </is>
      </c>
      <c r="F4" t="inlineStr">
        <is>
          <t>千克</t>
        </is>
      </c>
      <c r="G4">
        <f>LEFT(D4,FIND("|",D4,1)-1)</f>
        <v/>
      </c>
      <c r="H4">
        <f>MID(D4,FIND("|",D4,FIND("|",D4,1))+1,FIND("|",D4,FIND("|",D4,1)+1)-FIND("|",D4,FIND("|",D4,1))-1)</f>
        <v/>
      </c>
      <c r="J4">
        <f>MID(D4,FIND(",",SUBSTITUTE(D4,"|",REPT(",",LEN(D4)),2))+1,FIND(",",SUBSTITUTE(D4,"|",REPT(",",LEN(D4)),3))-FIND(",",SUBSTITUTE(D4,"|",REPT(",",LEN(D4)),2))-1)</f>
        <v/>
      </c>
      <c r="K4">
        <f>MID(D4,FIND(",",SUBSTITUTE(D4,"|",REPT(",",LEN(D4)),3))+1,FIND(",",SUBSTITUTE(D4,"|",REPT(",",LEN(D4)),4))-FIND(",",SUBSTITUTE(D4,"|",REPT(",",LEN(D4)),3))-1)</f>
        <v/>
      </c>
      <c r="L4">
        <f>MID(D4,FIND(";",SUBSTITUTE(D4,"|",REPT(";",LEN(D4)),4))+1,FIND(";",SUBSTITUTE(D4,"|",REPT(";",LEN(D4)),5))-FIND(";",SUBSTITUTE(D4,"|",REPT(";",LEN(D4)),4))-1)</f>
        <v/>
      </c>
      <c r="M4">
        <f>MID(D4,FIND(";",SUBSTITUTE(D4,"|",REPT(";",LEN(D4)),8))+1,LEN(D4))</f>
        <v/>
      </c>
      <c r="N4">
        <f>MID(D4,FIND(";",SUBSTITUTE(D4,"|",REPT(";",LEN(D4)),5))+1,FIND(";",SUBSTITUTE(D4,"|",REPT(";",LEN(D4)),6))-FIND(";",SUBSTITUTE(D4,"|",REPT(";",LEN(D4)),5))-1)</f>
        <v/>
      </c>
      <c r="O4">
        <f>MID(D4,FIND(";",SUBSTITUTE(D4,"|",REPT(";",LEN(D4)),6))+1,FIND(";",SUBSTITUTE(D4,"|",REPT(";",LEN(D4)),7))-FIND(";",SUBSTITUTE(D4,"|",REPT(";",LEN(D4)),6))-1)</f>
        <v/>
      </c>
      <c r="P4">
        <f>MID(D4,FIND(";",SUBSTITUTE(D4,"|",REPT(";",LEN(D4)),7))+1,FIND(";",SUBSTITUTE(D4,"|",REPT(";",LEN(D4)),8))-FIND(";",SUBSTITUTE(D4,"|",REPT(";",LEN(D4)),7))-1)</f>
        <v/>
      </c>
    </row>
    <row r="5">
      <c r="A5" t="inlineStr">
        <is>
          <t>100401</t>
        </is>
      </c>
      <c r="B5" t="inlineStr">
        <is>
          <t>钢带</t>
        </is>
      </c>
      <c r="C5" t="inlineStr">
        <is>
          <t>603540500</t>
        </is>
      </c>
      <c r="D5" t="inlineStr">
        <is>
          <t>冷轧不锈钢带|钢带|12Cr18Ni9|δ1.2|GB/T 3280-2015|冷轧|H1/4|N|GB/T 708-2006</t>
        </is>
      </c>
      <c r="E5" t="inlineStr">
        <is>
          <t>物资名称 冷轧不锈钢带;物资简称 钢带;牌号 12Cr18Ni9;厚度 δ1.2;宽 ;技术标准号 GB/T 3280-2015;加工工艺 冷轧;热处理工艺 H1/4;特殊要求 N;规格标准号 GB/T 708-2006</t>
        </is>
      </c>
      <c r="F5" t="inlineStr">
        <is>
          <t>千克</t>
        </is>
      </c>
      <c r="G5">
        <f>LEFT(D5,FIND("|",D5,1)-1)</f>
        <v/>
      </c>
      <c r="H5">
        <f>MID(D5,FIND("|",D5,FIND("|",D5,1))+1,FIND("|",D5,FIND("|",D5,1)+1)-FIND("|",D5,FIND("|",D5,1))-1)</f>
        <v/>
      </c>
      <c r="J5">
        <f>MID(D5,FIND(",",SUBSTITUTE(D5,"|",REPT(",",LEN(D5)),2))+1,FIND(",",SUBSTITUTE(D5,"|",REPT(",",LEN(D5)),3))-FIND(",",SUBSTITUTE(D5,"|",REPT(",",LEN(D5)),2))-1)</f>
        <v/>
      </c>
      <c r="K5">
        <f>MID(D5,FIND(",",SUBSTITUTE(D5,"|",REPT(",",LEN(D5)),3))+1,FIND(",",SUBSTITUTE(D5,"|",REPT(",",LEN(D5)),4))-FIND(",",SUBSTITUTE(D5,"|",REPT(",",LEN(D5)),3))-1)</f>
        <v/>
      </c>
      <c r="L5">
        <f>MID(D5,FIND(";",SUBSTITUTE(D5,"|",REPT(";",LEN(D5)),4))+1,FIND(";",SUBSTITUTE(D5,"|",REPT(";",LEN(D5)),5))-FIND(";",SUBSTITUTE(D5,"|",REPT(";",LEN(D5)),4))-1)</f>
        <v/>
      </c>
      <c r="M5">
        <f>MID(D5,FIND(";",SUBSTITUTE(D5,"|",REPT(";",LEN(D5)),8))+1,LEN(D5))</f>
        <v/>
      </c>
      <c r="N5">
        <f>MID(D5,FIND(";",SUBSTITUTE(D5,"|",REPT(";",LEN(D5)),5))+1,FIND(";",SUBSTITUTE(D5,"|",REPT(";",LEN(D5)),6))-FIND(";",SUBSTITUTE(D5,"|",REPT(";",LEN(D5)),5))-1)</f>
        <v/>
      </c>
      <c r="O5">
        <f>MID(D5,FIND(";",SUBSTITUTE(D5,"|",REPT(";",LEN(D5)),6))+1,FIND(";",SUBSTITUTE(D5,"|",REPT(";",LEN(D5)),7))-FIND(";",SUBSTITUTE(D5,"|",REPT(";",LEN(D5)),6))-1)</f>
        <v/>
      </c>
      <c r="P5">
        <f>MID(D5,FIND(";",SUBSTITUTE(D5,"|",REPT(";",LEN(D5)),7))+1,FIND(";",SUBSTITUTE(D5,"|",REPT(";",LEN(D5)),8))-FIND(";",SUBSTITUTE(D5,"|",REPT(";",LEN(D5)),7))-1)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规格标准号</t>
        </is>
      </c>
      <c r="N1" t="inlineStr">
        <is>
          <t>加工工艺</t>
        </is>
      </c>
      <c r="O1" t="inlineStr">
        <is>
          <t>热处理工艺</t>
        </is>
      </c>
      <c r="P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  <c r="P3" t="inlineStr">
        <is>
          <t>〇</t>
        </is>
      </c>
    </row>
    <row r="4">
      <c r="A4" t="inlineStr">
        <is>
          <t>100101</t>
        </is>
      </c>
      <c r="B4" t="inlineStr">
        <is>
          <t>冷轧板材</t>
        </is>
      </c>
      <c r="C4" t="inlineStr">
        <is>
          <t>603548700</t>
        </is>
      </c>
      <c r="D4" t="inlineStr">
        <is>
          <t>冷轧不锈钢板|钢板|06Cr19Ni10|GB/T 3280-2015|冷轧|GB/T 708-2019</t>
        </is>
      </c>
      <c r="E4" t="inlineStr">
        <is>
          <t>物资名称 冷轧不锈钢板;物资简称 钢板;牌号 06Cr19Ni10;厚度 δ;宽 ;长 ;技术标准号 GB/T 3280-2015;加工工艺 冷轧;热处理工艺 ;特殊要求 ;规格标准号 GB/T 708-2019</t>
        </is>
      </c>
      <c r="F4" t="inlineStr">
        <is>
          <t>千克</t>
        </is>
      </c>
      <c r="G4">
        <f>LEFT(D4,FIND("|",D4,1)-1)</f>
        <v/>
      </c>
      <c r="H4">
        <f>MID(D4,FIND("|",D4,FIND("|",D4,1))+1,FIND("|",D4,FIND("|",D4,1)+1)-FIND("|",D4,FIND("|",D4,1))-1)</f>
        <v/>
      </c>
      <c r="J4">
        <f>MID(D4,FIND(",",SUBSTITUTE(D4,"|",REPT(",",LEN(D4)),2))+1,FIND(",",SUBSTITUTE(D4,"|",REPT(",",LEN(D4)),3))-FIND(",",SUBSTITUTE(D4,"|",REPT(",",LEN(D4)),2))-1)</f>
        <v/>
      </c>
      <c r="L4">
        <f>MID(D4,FIND(",",SUBSTITUTE(D4,"|",REPT(",",LEN(D4)),3))+1,FIND(",",SUBSTITUTE(D4,"|",REPT(",",LEN(D4)),4))-FIND(",",SUBSTITUTE(D4,"|",REPT(",",LEN(D4)),3))-1)</f>
        <v/>
      </c>
      <c r="M4">
        <f>MID(D4,FIND(",",SUBSTITUTE(D4,"|",REPT(",",LEN(D4)),5))+1,LEN(D4))</f>
        <v/>
      </c>
      <c r="N4">
        <f>MID(D4,FIND(",",SUBSTITUTE(D4,"|",REPT(",",LEN(D4)),4))+1,FIND(",",SUBSTITUTE(D4,"|",REPT(",",LEN(D4)),5))-FIND(",",SUBSTITUTE(D4,"|",REPT(",",LEN(D4)),4))-1)</f>
        <v/>
      </c>
    </row>
    <row r="5">
      <c r="A5" t="inlineStr">
        <is>
          <t>100101</t>
        </is>
      </c>
      <c r="B5" t="inlineStr">
        <is>
          <t>冷轧板材</t>
        </is>
      </c>
      <c r="C5" t="inlineStr">
        <is>
          <t>603548400</t>
        </is>
      </c>
      <c r="D5" t="inlineStr">
        <is>
          <t>冷轧优质碳素结构钢板|钢板|20|δ0.5|GB/T 13237-2013|冷轧|FB,PT.A|GB/T 708-2019</t>
        </is>
      </c>
      <c r="E5" t="inlineStr">
        <is>
          <t>物资名称 冷轧优质碳素结构钢板;物资简称 钢板;牌号 20;厚度 δ0.5;宽 ;长 ;技术标准号 GB/T 13237-2013;加工工艺 冷轧;热处理工艺 ;特殊要求 FB,PT.A;规格标准号 GB/T 708-2019</t>
        </is>
      </c>
      <c r="F5" t="inlineStr">
        <is>
          <t>千克</t>
        </is>
      </c>
      <c r="G5">
        <f>LEFT(D5,FIND("|",D5,1)-1)</f>
        <v/>
      </c>
      <c r="H5">
        <f>MID(D5,FIND("|",D5,FIND("|",D5,1))+1,FIND("|",D5,FIND("|",D5,1)+1)-FIND("|",D5,FIND("|",D5,1))-1)</f>
        <v/>
      </c>
      <c r="J5">
        <f>MID(D5,FIND(",",SUBSTITUTE(D5,"|",REPT(",",LEN(D5)),2))+1,FIND(",",SUBSTITUTE(D5,"|",REPT(",",LEN(D5)),3))-FIND(",",SUBSTITUTE(D5,"|",REPT(",",LEN(D5)),2))-1)</f>
        <v/>
      </c>
      <c r="K5">
        <f>MID(D5,FIND(",",SUBSTITUTE(D5,"|",REPT(",",LEN(D5)),3))+1,FIND(",",SUBSTITUTE(D5,"|",REPT(",",LEN(D5)),4))-FIND(",",SUBSTITUTE(D5,"|",REPT(",",LEN(D5)),3))-1)</f>
        <v/>
      </c>
      <c r="L5">
        <f>MID(D5,FIND(",",SUBSTITUTE(D5,"|",REPT(",",LEN(D5)),4))+1,FIND(",",SUBSTITUTE(D5,"|",REPT(",",LEN(D5)),5))-FIND(",",SUBSTITUTE(D5,"|",REPT(",",LEN(D5)),4))-1)</f>
        <v/>
      </c>
      <c r="M5">
        <f>MID(D5,FIND(";",SUBSTITUTE(D5,"|",REPT(";",LEN(D5)),7))+1,LEN(D5))</f>
        <v/>
      </c>
      <c r="N5">
        <f>MID(D5,FIND(",",SUBSTITUTE(D5,"|",REPT(",",LEN(D5)),5))+1,FIND(",",SUBSTITUTE(D5,"|",REPT(",",LEN(D5)),6))-FIND(",",SUBSTITUTE(D5,"|",REPT(",",LEN(D5)),5))-1)</f>
        <v/>
      </c>
      <c r="P5">
        <f>MID(D5,FIND(";",SUBSTITUTE(D5,"|",REPT(";",LEN(D5)),6))+1,FIND(";",SUBSTITUTE(D5,"|",REPT(";",LEN(D5)),7))-FIND(";",SUBSTITUTE(D5,"|",REPT(";",LEN(D5)),6))-1)</f>
        <v/>
      </c>
    </row>
    <row r="6">
      <c r="A6" t="inlineStr">
        <is>
          <t>100101</t>
        </is>
      </c>
      <c r="B6" t="inlineStr">
        <is>
          <t>冷轧板材</t>
        </is>
      </c>
      <c r="C6" t="inlineStr">
        <is>
          <t>603545100</t>
        </is>
      </c>
      <c r="D6" t="inlineStr">
        <is>
          <t>冷轧优质碳素结构钢板|钢板|20|δ3.5|GB/T 13237-2013|冷轧|FB,PT.A|GB/T 708-2019</t>
        </is>
      </c>
      <c r="E6" t="inlineStr">
        <is>
          <t>物资名称 冷轧优质碳素结构钢板;物资简称 钢板;牌号 20;厚度 δ3.5;宽 ;长 ;技术标准号 GB/T 13237-2013;加工工艺 冷轧;热处理工艺 ;特殊要求 FB,PT.A;规格标准号 GB/T 708-2019</t>
        </is>
      </c>
      <c r="F6" t="inlineStr">
        <is>
          <t>千克</t>
        </is>
      </c>
      <c r="G6">
        <f>LEFT(D6,FIND("|",D6,1)-1)</f>
        <v/>
      </c>
      <c r="H6">
        <f>MID(D6,FIND("|",D6,FIND("|",D6,1))+1,FIND("|",D6,FIND("|",D6,1)+1)-FIND("|",D6,FIND("|",D6,1))-1)</f>
        <v/>
      </c>
      <c r="J6">
        <f>MID(D6,FIND(",",SUBSTITUTE(D6,"|",REPT(",",LEN(D6)),2))+1,FIND(",",SUBSTITUTE(D6,"|",REPT(",",LEN(D6)),3))-FIND(",",SUBSTITUTE(D6,"|",REPT(",",LEN(D6)),2))-1)</f>
        <v/>
      </c>
      <c r="K6">
        <f>MID(D6,FIND(",",SUBSTITUTE(D6,"|",REPT(",",LEN(D6)),3))+1,FIND(",",SUBSTITUTE(D6,"|",REPT(",",LEN(D6)),4))-FIND(",",SUBSTITUTE(D6,"|",REPT(",",LEN(D6)),3))-1)</f>
        <v/>
      </c>
      <c r="L6">
        <f>MID(D6,FIND(",",SUBSTITUTE(D6,"|",REPT(",",LEN(D6)),4))+1,FIND(",",SUBSTITUTE(D6,"|",REPT(",",LEN(D6)),5))-FIND(",",SUBSTITUTE(D6,"|",REPT(",",LEN(D6)),4))-1)</f>
        <v/>
      </c>
      <c r="M6">
        <f>MID(D6,FIND(";",SUBSTITUTE(D6,"|",REPT(";",LEN(D6)),7))+1,LEN(D6))</f>
        <v/>
      </c>
      <c r="N6">
        <f>MID(D6,FIND(",",SUBSTITUTE(D6,"|",REPT(",",LEN(D6)),5))+1,FIND(",",SUBSTITUTE(D6,"|",REPT(",",LEN(D6)),6))-FIND(",",SUBSTITUTE(D6,"|",REPT(",",LEN(D6)),5))-1)</f>
        <v/>
      </c>
      <c r="P6">
        <f>MID(D6,FIND(";",SUBSTITUTE(D6,"|",REPT(";",LEN(D6)),6))+1,FIND(";",SUBSTITUTE(D6,"|",REPT(";",LEN(D6)),7))-FIND(";",SUBSTITUTE(D6,"|",REPT(";",LEN(D6)),6))-1)</f>
        <v/>
      </c>
    </row>
    <row r="7">
      <c r="A7" t="inlineStr">
        <is>
          <t>100101</t>
        </is>
      </c>
      <c r="B7" t="inlineStr">
        <is>
          <t>冷轧板材</t>
        </is>
      </c>
      <c r="C7" t="inlineStr">
        <is>
          <t>603538800</t>
        </is>
      </c>
      <c r="D7" t="inlineStr">
        <is>
          <t>冷轧不锈钢板|钢板|20Cr13|GB/T 3280-2015|冷轧|GB/T708-2019</t>
        </is>
      </c>
      <c r="E7" t="inlineStr">
        <is>
          <t>物资名称 冷轧不锈钢板;物资简称 钢板;牌号 2Cr13;厚度 δ;宽 ;长 ;技术标准号 GB/T 3280-2015;加工工艺 冷轧;热处理工艺 ;特殊要求 ;规格标准号 GB/T 1220-2007</t>
        </is>
      </c>
      <c r="F7" t="inlineStr">
        <is>
          <t>千克</t>
        </is>
      </c>
      <c r="G7">
        <f>LEFT(D7,FIND("|",D7,1)-1)</f>
        <v/>
      </c>
      <c r="H7">
        <f>MID(D7,FIND("|",D7,FIND("|",D7,1))+1,FIND("|",D7,FIND("|",D7,1)+1)-FIND("|",D7,FIND("|",D7,1))-1)</f>
        <v/>
      </c>
      <c r="J7">
        <f>MID(D7,FIND(",",SUBSTITUTE(D7,"|",REPT(",",LEN(D7)),2))+1,FIND(",",SUBSTITUTE(D7,"|",REPT(",",LEN(D7)),3))-FIND(",",SUBSTITUTE(D7,"|",REPT(",",LEN(D7)),2))-1)</f>
        <v/>
      </c>
      <c r="L7">
        <f>MID(D7,FIND(",",SUBSTITUTE(D7,"|",REPT(",",LEN(D7)),3))+1,FIND(",",SUBSTITUTE(D7,"|",REPT(",",LEN(D7)),4))-FIND(",",SUBSTITUTE(D7,"|",REPT(",",LEN(D7)),3))-1)</f>
        <v/>
      </c>
      <c r="M7">
        <f>MID(D7,FIND(",",SUBSTITUTE(D7,"|",REPT(",",LEN(D7)),5))+1,LEN(D7))</f>
        <v/>
      </c>
      <c r="N7">
        <f>MID(D7,FIND(",",SUBSTITUTE(D7,"|",REPT(",",LEN(D7)),4))+1,FIND(",",SUBSTITUTE(D7,"|",REPT(",",LEN(D7)),5))-FIND(",",SUBSTITUTE(D7,"|",REPT(",",LEN(D7)),4))-1)</f>
        <v/>
      </c>
    </row>
    <row r="8">
      <c r="A8" t="inlineStr">
        <is>
          <t>100101</t>
        </is>
      </c>
      <c r="B8" t="inlineStr">
        <is>
          <t>冷轧板材</t>
        </is>
      </c>
      <c r="C8" t="inlineStr">
        <is>
          <t>603519300</t>
        </is>
      </c>
      <c r="D8" t="inlineStr">
        <is>
          <t>冷轧不锈钢板|钢板|06Cr19Ni10|δ1|GB/T 3280-2015|冷轧|GB/T 708-2019</t>
        </is>
      </c>
      <c r="E8" t="inlineStr">
        <is>
          <t>物资名称 冷轧不锈钢板;物资简称 钢板;牌号 06Cr19Ni10;厚度 δ1;宽 ;长 ;技术标准号 GB/T 3280-2015;加工工艺 冷轧;热处理工艺 ;特殊要求 ;规格标准号 GB/T 708-2019</t>
        </is>
      </c>
      <c r="F8" t="inlineStr">
        <is>
          <t>千克</t>
        </is>
      </c>
      <c r="G8">
        <f>LEFT(D8,FIND("|",D8,1)-1)</f>
        <v/>
      </c>
      <c r="H8">
        <f>MID(D8,FIND("|",D8,FIND("|",D8,1))+1,FIND("|",D8,FIND("|",D8,1)+1)-FIND("|",D8,FIND("|",D8,1))-1)</f>
        <v/>
      </c>
      <c r="J8">
        <f>MID(D8,FIND(",",SUBSTITUTE(D8,"|",REPT(",",LEN(D8)),2))+1,FIND(",",SUBSTITUTE(D8,"|",REPT(",",LEN(D8)),3))-FIND(",",SUBSTITUTE(D8,"|",REPT(",",LEN(D8)),2))-1)</f>
        <v/>
      </c>
      <c r="K8">
        <f>MID(D8,FIND(",",SUBSTITUTE(D8,"|",REPT(",",LEN(D8)),3))+1,FIND(",",SUBSTITUTE(D8,"|",REPT(",",LEN(D8)),4))-FIND(",",SUBSTITUTE(D8,"|",REPT(",",LEN(D8)),3))-1)</f>
        <v/>
      </c>
      <c r="L8">
        <f>MID(D8,FIND(",",SUBSTITUTE(D8,"|",REPT(",",LEN(D8)),4))+1,FIND(",",SUBSTITUTE(D8,"|",REPT(",",LEN(D8)),5))-FIND(",",SUBSTITUTE(D8,"|",REPT(",",LEN(D8)),4))-1)</f>
        <v/>
      </c>
      <c r="M8">
        <f>MID(D8,FIND(",",SUBSTITUTE(D8,"|",REPT(",",LEN(D8)),6))+1,LEN(D8))</f>
        <v/>
      </c>
      <c r="N8">
        <f>MID(D8,FIND(";",SUBSTITUTE(D8,"|",REPT(";",LEN(D8)),5))+1,FIND(";",SUBSTITUTE(D8,"|",REPT(";",LEN(D8)),6))-FIND(";",SUBSTITUTE(D8,"|",REPT(";",LEN(D8)),5))-1)</f>
        <v/>
      </c>
    </row>
    <row r="9">
      <c r="A9" t="inlineStr">
        <is>
          <t>100101</t>
        </is>
      </c>
      <c r="B9" t="inlineStr">
        <is>
          <t>冷轧板材</t>
        </is>
      </c>
      <c r="C9" t="inlineStr">
        <is>
          <t>603519200</t>
        </is>
      </c>
      <c r="D9" t="inlineStr">
        <is>
          <t>冷轧不锈钢板|钢板|06Cr19Ni10|δ2.5|GB/T 3280-2015|冷轧|GB/T 708-2019</t>
        </is>
      </c>
      <c r="E9" t="inlineStr">
        <is>
          <t>物资名称 冷轧不锈钢板;物资简称 钢板;牌号 06Cr19Ni10;厚度 δ2.5;宽 ;长 ;技术标准号 GB/T 3280-2015;加工工艺 冷轧;热处理工艺 ;特殊要求 ;规格标准号 GB/T 708-2019</t>
        </is>
      </c>
      <c r="F9" t="inlineStr">
        <is>
          <t>千克</t>
        </is>
      </c>
      <c r="G9">
        <f>LEFT(D9,FIND("|",D9,1)-1)</f>
        <v/>
      </c>
      <c r="H9">
        <f>MID(D9,FIND("|",D9,FIND("|",D9,1))+1,FIND("|",D9,FIND("|",D9,1)+1)-FIND("|",D9,FIND("|",D9,1))-1)</f>
        <v/>
      </c>
      <c r="J9">
        <f>MID(D9,FIND(",",SUBSTITUTE(D9,"|",REPT(",",LEN(D9)),2))+1,FIND(",",SUBSTITUTE(D9,"|",REPT(",",LEN(D9)),3))-FIND(",",SUBSTITUTE(D9,"|",REPT(",",LEN(D9)),2))-1)</f>
        <v/>
      </c>
      <c r="K9">
        <f>MID(D9,FIND(",",SUBSTITUTE(D9,"|",REPT(",",LEN(D9)),3))+1,FIND(",",SUBSTITUTE(D9,"|",REPT(",",LEN(D9)),4))-FIND(",",SUBSTITUTE(D9,"|",REPT(",",LEN(D9)),3))-1)</f>
        <v/>
      </c>
      <c r="L9">
        <f>MID(D9,FIND(",",SUBSTITUTE(D9,"|",REPT(",",LEN(D9)),4))+1,FIND(",",SUBSTITUTE(D9,"|",REPT(",",LEN(D9)),5))-FIND(",",SUBSTITUTE(D9,"|",REPT(",",LEN(D9)),4))-1)</f>
        <v/>
      </c>
      <c r="M9">
        <f>MID(D9,FIND(",",SUBSTITUTE(D9,"|",REPT(",",LEN(D9)),6))+1,LEN(D9))</f>
        <v/>
      </c>
      <c r="N9">
        <f>MID(D9,FIND(";",SUBSTITUTE(D9,"|",REPT(";",LEN(D9)),5))+1,FIND(";",SUBSTITUTE(D9,"|",REPT(";",LEN(D9)),6))-FIND(";",SUBSTITUTE(D9,"|",REPT(";",LEN(D9)),5))-1)</f>
        <v/>
      </c>
    </row>
    <row r="10">
      <c r="A10" t="inlineStr">
        <is>
          <t>100101</t>
        </is>
      </c>
      <c r="B10" t="inlineStr">
        <is>
          <t>冷轧板材</t>
        </is>
      </c>
      <c r="C10" t="inlineStr">
        <is>
          <t>603519100</t>
        </is>
      </c>
      <c r="D10" t="inlineStr">
        <is>
          <t>冷轧不锈钢板|钢板|06Cr19Ni10|δ3|GB/T 3280-2015|冷轧|GB/T 708-2019</t>
        </is>
      </c>
      <c r="E10" t="inlineStr">
        <is>
          <t>物资名称 冷轧不锈钢板;物资简称 钢板;牌号 06Cr19Ni10;厚度 δ3;宽 ;长 ;技术标准号 GB/T 3280-2015;加工工艺 冷轧;热处理工艺 ;特殊要求 ;规格标准号 GB/T 708-2019</t>
        </is>
      </c>
      <c r="F10" t="inlineStr">
        <is>
          <t>千克</t>
        </is>
      </c>
      <c r="G10">
        <f>LEFT(D10,FIND("|",D10,1)-1)</f>
        <v/>
      </c>
      <c r="H10">
        <f>MID(D10,FIND("|",D10,FIND("|",D10,1))+1,FIND("|",D10,FIND("|",D10,1)+1)-FIND("|",D10,FIND("|",D10,1))-1)</f>
        <v/>
      </c>
      <c r="J10">
        <f>MID(D10,FIND(",",SUBSTITUTE(D10,"|",REPT(",",LEN(D10)),2))+1,FIND(",",SUBSTITUTE(D10,"|",REPT(",",LEN(D10)),3))-FIND(",",SUBSTITUTE(D10,"|",REPT(",",LEN(D10)),2))-1)</f>
        <v/>
      </c>
      <c r="K10">
        <f>MID(D10,FIND(",",SUBSTITUTE(D10,"|",REPT(",",LEN(D10)),3))+1,FIND(",",SUBSTITUTE(D10,"|",REPT(",",LEN(D10)),4))-FIND(",",SUBSTITUTE(D10,"|",REPT(",",LEN(D10)),3))-1)</f>
        <v/>
      </c>
      <c r="L10">
        <f>MID(D10,FIND(",",SUBSTITUTE(D10,"|",REPT(",",LEN(D10)),4))+1,FIND(",",SUBSTITUTE(D10,"|",REPT(",",LEN(D10)),5))-FIND(",",SUBSTITUTE(D10,"|",REPT(",",LEN(D10)),4))-1)</f>
        <v/>
      </c>
      <c r="M10">
        <f>MID(D10,FIND(",",SUBSTITUTE(D10,"|",REPT(",",LEN(D10)),6))+1,LEN(D10))</f>
        <v/>
      </c>
      <c r="N10">
        <f>MID(D10,FIND(";",SUBSTITUTE(D10,"|",REPT(";",LEN(D10)),5))+1,FIND(";",SUBSTITUTE(D10,"|",REPT(";",LEN(D10)),6))-FIND(";",SUBSTITUTE(D10,"|",REPT(";",LEN(D10)),5))-1)</f>
        <v/>
      </c>
    </row>
    <row r="11">
      <c r="A11" t="inlineStr">
        <is>
          <t>100101</t>
        </is>
      </c>
      <c r="B11" t="inlineStr">
        <is>
          <t>冷轧板材</t>
        </is>
      </c>
      <c r="C11" t="inlineStr">
        <is>
          <t>603128700</t>
        </is>
      </c>
      <c r="D11" t="inlineStr">
        <is>
          <t>冷轧优质碳素结构钢板|钢板|20|δ0.8|GB/T 13237-1991|Ⅱ,P|GB/T 708-2006</t>
        </is>
      </c>
      <c r="E11" t="inlineStr">
        <is>
          <t>物资名称 冷轧优质碳素结构钢板;物资简称 钢板;牌号 20;厚度 δ0.8;宽 ;长 ;技术标准号 GB/T 13237-1991;加工工艺 ;热处理工艺 ;特殊要求 Ⅱ,P;规格标准号 GB/T 708-2006</t>
        </is>
      </c>
      <c r="F11" t="inlineStr">
        <is>
          <t>千克</t>
        </is>
      </c>
      <c r="G11">
        <f>LEFT(D11,FIND("|",D11,1)-1)</f>
        <v/>
      </c>
      <c r="H11">
        <f>MID(D11,FIND("|",D11,FIND("|",D11,1))+1,FIND("|",D11,FIND("|",D11,1)+1)-FIND("|",D11,FIND("|",D11,1))-1)</f>
        <v/>
      </c>
      <c r="J11">
        <f>MID(D11,FIND(",",SUBSTITUTE(D11,"|",REPT(",",LEN(D11)),2))+1,FIND(",",SUBSTITUTE(D11,"|",REPT(",",LEN(D11)),3))-FIND(",",SUBSTITUTE(D11,"|",REPT(",",LEN(D11)),2))-1)</f>
        <v/>
      </c>
      <c r="K11">
        <f>MID(D11,FIND(",",SUBSTITUTE(D11,"|",REPT(",",LEN(D11)),3))+1,FIND(",",SUBSTITUTE(D11,"|",REPT(",",LEN(D11)),4))-FIND(",",SUBSTITUTE(D11,"|",REPT(",",LEN(D11)),3))-1)</f>
        <v/>
      </c>
      <c r="L11">
        <f>MID(D11,FIND(",",SUBSTITUTE(D11,"|",REPT(",",LEN(D11)),4))+1,FIND(",",SUBSTITUTE(D11,"|",REPT(",",LEN(D11)),5))-FIND(",",SUBSTITUTE(D11,"|",REPT(",",LEN(D11)),4))-1)</f>
        <v/>
      </c>
      <c r="M11">
        <f>MID(D11,FIND(";",SUBSTITUTE(D11,"|",REPT(";",LEN(D11)),6))+1,LEN(D11))</f>
        <v/>
      </c>
      <c r="P11">
        <f>MID(D11,FIND(";",SUBSTITUTE(D11,"|",REPT(";",LEN(D11)),5))+1,FIND(";",SUBSTITUTE(D11,"|",REPT(";",LEN(D11)),6))-FIND(";",SUBSTITUTE(D11,"|",REPT(";",LEN(D11)),5))-1)</f>
        <v/>
      </c>
    </row>
    <row r="12">
      <c r="A12" t="inlineStr">
        <is>
          <t>100101</t>
        </is>
      </c>
      <c r="B12" t="inlineStr">
        <is>
          <t>冷轧板材</t>
        </is>
      </c>
      <c r="C12" t="inlineStr">
        <is>
          <t>603114300</t>
        </is>
      </c>
      <c r="D12" t="inlineStr">
        <is>
          <t>航空用不锈钢薄板|不锈钢板|1Cr18Ni9Ti|δ7|GJB 2295-1995|冷轧|GB/T 708-2006</t>
        </is>
      </c>
      <c r="E12" t="inlineStr">
        <is>
          <t>物资名称 航空用不锈钢薄板;物资简称 不锈钢板;牌号 1Cr18Ni9Ti;厚度 δ7;宽 ;长 ;技术标准号 GJB 2295-1995;加工工艺 ;热处理工艺 冷轧;特殊要求 ;规格标准号 GB/T 708-2006</t>
        </is>
      </c>
      <c r="F12" t="inlineStr">
        <is>
          <t>千克</t>
        </is>
      </c>
      <c r="G12">
        <f>LEFT(D12,FIND("|",D12,1)-1)</f>
        <v/>
      </c>
      <c r="H12">
        <f>MID(D12,FIND("|",D12,FIND("|",D12,1))+1,FIND("|",D12,FIND("|",D12,1)+1)-FIND("|",D12,FIND("|",D12,1))-1)</f>
        <v/>
      </c>
      <c r="J12">
        <f>MID(D12,FIND(",",SUBSTITUTE(D12,"|",REPT(",",LEN(D12)),2))+1,FIND(",",SUBSTITUTE(D12,"|",REPT(",",LEN(D12)),3))-FIND(",",SUBSTITUTE(D12,"|",REPT(",",LEN(D12)),2))-1)</f>
        <v/>
      </c>
      <c r="K12">
        <f>MID(D12,FIND(",",SUBSTITUTE(D12,"|",REPT(",",LEN(D12)),3))+1,FIND(",",SUBSTITUTE(D12,"|",REPT(",",LEN(D12)),4))-FIND(",",SUBSTITUTE(D12,"|",REPT(",",LEN(D12)),3))-1)</f>
        <v/>
      </c>
      <c r="L12">
        <f>MID(D12,FIND(",",SUBSTITUTE(D12,"|",REPT(",",LEN(D12)),4))+1,FIND(",",SUBSTITUTE(D12,"|",REPT(",",LEN(D12)),5))-FIND(",",SUBSTITUTE(D12,"|",REPT(",",LEN(D12)),4))-1)</f>
        <v/>
      </c>
      <c r="M12">
        <f>MID(D12,FIND(";",SUBSTITUTE(D12,"|",REPT(";",LEN(D12)),6))+1,LEN(D12))</f>
        <v/>
      </c>
      <c r="N12">
        <f>MID(D12,FIND(";",SUBSTITUTE(D12,"|",REPT(";",LEN(D12)),5))+1,FIND(";",SUBSTITUTE(D12,"|",REPT(";",LEN(D12)),6))-FIND(";",SUBSTITUTE(D12,"|",REPT(";",LEN(D12)),5))-1)</f>
        <v/>
      </c>
    </row>
    <row r="13">
      <c r="A13" t="inlineStr">
        <is>
          <t>100101</t>
        </is>
      </c>
      <c r="B13" t="inlineStr">
        <is>
          <t>冷轧板材</t>
        </is>
      </c>
      <c r="C13" t="inlineStr">
        <is>
          <t>602640100</t>
        </is>
      </c>
      <c r="D13" t="inlineStr">
        <is>
          <t>冷轧航空用不锈钢薄板|不锈钢板|1Cr18Ni9Ti|δ0.5|GJB 2295-1995|冷轧|GB/T 708-2006</t>
        </is>
      </c>
      <c r="E13" t="inlineStr">
        <is>
          <t>物资名称 冷轧航空用不锈钢薄板;物资简称 不锈钢板;牌号 1Cr18Ni9Ti;厚度 δ0.5;宽 ;长 ;技术标准号 GJB 2295-1995;加工工艺 ;热处理工艺 冷轧;特殊要求 ;规格标准号 GB/T 708-2006</t>
        </is>
      </c>
      <c r="F13" t="inlineStr">
        <is>
          <t>千克</t>
        </is>
      </c>
      <c r="G13">
        <f>LEFT(D13,FIND("|",D13,1)-1)</f>
        <v/>
      </c>
      <c r="H13">
        <f>MID(D13,FIND("|",D13,FIND("|",D13,1))+1,FIND("|",D13,FIND("|",D13,1)+1)-FIND("|",D13,FIND("|",D13,1))-1)</f>
        <v/>
      </c>
      <c r="J13">
        <f>MID(D13,FIND(",",SUBSTITUTE(D13,"|",REPT(",",LEN(D13)),2))+1,FIND(",",SUBSTITUTE(D13,"|",REPT(",",LEN(D13)),3))-FIND(",",SUBSTITUTE(D13,"|",REPT(",",LEN(D13)),2))-1)</f>
        <v/>
      </c>
      <c r="K13">
        <f>MID(D13,FIND(",",SUBSTITUTE(D13,"|",REPT(",",LEN(D13)),3))+1,FIND(",",SUBSTITUTE(D13,"|",REPT(",",LEN(D13)),4))-FIND(",",SUBSTITUTE(D13,"|",REPT(",",LEN(D13)),3))-1)</f>
        <v/>
      </c>
      <c r="L13">
        <f>MID(D13,FIND(",",SUBSTITUTE(D13,"|",REPT(",",LEN(D13)),4))+1,FIND(",",SUBSTITUTE(D13,"|",REPT(",",LEN(D13)),5))-FIND(",",SUBSTITUTE(D13,"|",REPT(",",LEN(D13)),4))-1)</f>
        <v/>
      </c>
      <c r="M13">
        <f>MID(D13,FIND(";",SUBSTITUTE(D13,"|",REPT(";",LEN(D13)),6))+1,LEN(D13))</f>
        <v/>
      </c>
      <c r="N13">
        <f>MID(D13,FIND(";",SUBSTITUTE(D13,"|",REPT(";",LEN(D13)),5))+1,FIND(";",SUBSTITUTE(D13,"|",REPT(";",LEN(D13)),6))-FIND(";",SUBSTITUTE(D13,"|",REPT(";",LEN(D13)),5))-1)</f>
        <v/>
      </c>
    </row>
    <row r="14">
      <c r="A14" t="inlineStr">
        <is>
          <t>100101</t>
        </is>
      </c>
      <c r="B14" t="inlineStr">
        <is>
          <t>冷轧板材</t>
        </is>
      </c>
      <c r="C14" t="inlineStr">
        <is>
          <t>602484200</t>
        </is>
      </c>
      <c r="D14" t="inlineStr">
        <is>
          <t>冷轧不锈钢板|钢板|12Cr18Ni9|δ2.5|GB/T 3280-2015|冷轧</t>
        </is>
      </c>
      <c r="E14" t="inlineStr">
        <is>
          <t xml:space="preserve">物资名称 冷轧不锈钢板;物资简称 钢板;牌号 12Cr18Ni9;厚度 δ2.5;宽 ;长 ;技术标准号 GB/T 3280-2015;加工工艺 冷轧;热处理工艺 ;特殊要求 ;规格标准号 </t>
        </is>
      </c>
      <c r="F14" t="inlineStr">
        <is>
          <t>千克</t>
        </is>
      </c>
      <c r="G14">
        <f>LEFT(D14,FIND("|",D14,1)-1)</f>
        <v/>
      </c>
      <c r="H14">
        <f>MID(D14,FIND("|",D14,FIND("|",D14,1))+1,FIND("|",D14,FIND("|",D14,1)+1)-FIND("|",D14,FIND("|",D14,1))-1)</f>
        <v/>
      </c>
      <c r="J14">
        <f>MID(D14,FIND(",",SUBSTITUTE(D14,"|",REPT(",",LEN(D14)),2))+1,FIND(",",SUBSTITUTE(D14,"|",REPT(",",LEN(D14)),3))-FIND(",",SUBSTITUTE(D14,"|",REPT(",",LEN(D14)),2))-1)</f>
        <v/>
      </c>
      <c r="K14">
        <f>MID(D14,FIND(",",SUBSTITUTE(D14,"|",REPT(",",LEN(D14)),3))+1,FIND(",",SUBSTITUTE(D14,"|",REPT(",",LEN(D14)),4))-FIND(",",SUBSTITUTE(D14,"|",REPT(",",LEN(D14)),3))-1)</f>
        <v/>
      </c>
      <c r="L14">
        <f>MID(D14,FIND(",",SUBSTITUTE(D14,"|",REPT(",",LEN(D14)),4))+1,FIND(",",SUBSTITUTE(D14,"|",REPT(",",LEN(D14)),5))-FIND(",",SUBSTITUTE(D14,"|",REPT(",",LEN(D14)),4))-1)</f>
        <v/>
      </c>
      <c r="N14">
        <f>MID(D14,FIND(";",SUBSTITUTE(D14,"|",REPT(";",LEN(D14)),5))+1,LEN(D14))</f>
        <v/>
      </c>
    </row>
    <row r="15">
      <c r="A15" t="inlineStr">
        <is>
          <t>100101</t>
        </is>
      </c>
      <c r="B15" t="inlineStr">
        <is>
          <t>冷轧板材</t>
        </is>
      </c>
      <c r="C15" t="inlineStr">
        <is>
          <t>602371700</t>
        </is>
      </c>
      <c r="D15" t="inlineStr">
        <is>
          <t>冷轧优质碳素结构钢板|钢板|20|δ1|GB/T 13237-2013|冷轧|FB,PT.A|GB/T 708-2006</t>
        </is>
      </c>
      <c r="E15" t="inlineStr">
        <is>
          <t>物资名称 冷轧优质碳素结构钢板;物资简称 钢板;牌号 20;厚度 δ1;宽 ;长 ;技术标准号 GB/T 13237-2013;加工工艺 冷轧;热处理工艺 ;特殊要求 FB,PT.A;规格标准号 GB/T 708-2006</t>
        </is>
      </c>
      <c r="F15" t="inlineStr">
        <is>
          <t>千克</t>
        </is>
      </c>
      <c r="G15">
        <f>LEFT(D15,FIND("|",D15,1)-1)</f>
        <v/>
      </c>
      <c r="H15">
        <f>MID(D15,FIND("|",D15,FIND("|",D15,1))+1,FIND("|",D15,FIND("|",D15,1)+1)-FIND("|",D15,FIND("|",D15,1))-1)</f>
        <v/>
      </c>
      <c r="J15">
        <f>MID(D15,FIND(",",SUBSTITUTE(D15,"|",REPT(",",LEN(D15)),2))+1,FIND(",",SUBSTITUTE(D15,"|",REPT(",",LEN(D15)),3))-FIND(",",SUBSTITUTE(D15,"|",REPT(",",LEN(D15)),2))-1)</f>
        <v/>
      </c>
      <c r="K15">
        <f>MID(D15,FIND(",",SUBSTITUTE(D15,"|",REPT(",",LEN(D15)),3))+1,FIND(",",SUBSTITUTE(D15,"|",REPT(",",LEN(D15)),4))-FIND(",",SUBSTITUTE(D15,"|",REPT(",",LEN(D15)),3))-1)</f>
        <v/>
      </c>
      <c r="L15">
        <f>MID(D15,FIND(",",SUBSTITUTE(D15,"|",REPT(",",LEN(D15)),4))+1,FIND(",",SUBSTITUTE(D15,"|",REPT(",",LEN(D15)),5))-FIND(",",SUBSTITUTE(D15,"|",REPT(",",LEN(D15)),4))-1)</f>
        <v/>
      </c>
      <c r="M15">
        <f>MID(D15,FIND(";",SUBSTITUTE(D15,"|",REPT(";",LEN(D15)),7))+1,LEN(D15))</f>
        <v/>
      </c>
      <c r="N15">
        <f>MID(D15,FIND(";",SUBSTITUTE(D15,"|",REPT(";",LEN(D15)),5))+1,FIND(";",SUBSTITUTE(D15,"|",REPT(";",LEN(D15)),6))-FIND(";",SUBSTITUTE(D15,"|",REPT(";",LEN(D15)),5))-1)</f>
        <v/>
      </c>
      <c r="P15">
        <f>MID(D15,FIND(";",SUBSTITUTE(D15,"|",REPT(";",LEN(D15)),6))+1,FIND(";",SUBSTITUTE(D15,"|",REPT(";",LEN(D15)),7))-FIND(";",SUBSTITUTE(D15,"|",REPT(";",LEN(D15)),6))-1)</f>
        <v/>
      </c>
    </row>
    <row r="16">
      <c r="A16" t="inlineStr">
        <is>
          <t>100101</t>
        </is>
      </c>
      <c r="B16" t="inlineStr">
        <is>
          <t>冷轧板材</t>
        </is>
      </c>
      <c r="C16" t="inlineStr">
        <is>
          <t>602355200</t>
        </is>
      </c>
      <c r="D16" t="inlineStr">
        <is>
          <t>冷轧不锈钢板|钢板|1Cr18Ni9Ti|δ6|GB 3280-1992|冷轧|GB/T 708-2006</t>
        </is>
      </c>
      <c r="E16" t="inlineStr">
        <is>
          <t>物资名称 冷轧不锈钢板;物资简称 钢板;牌号 1Cr18Ni9Ti;厚度 δ6;宽 ;长 ;技术标准号 GB 3280-1992;加工工艺 冷轧;热处理工艺 ;特殊要求 ;规格标准号 GB/T 708-2006</t>
        </is>
      </c>
      <c r="F16" t="inlineStr">
        <is>
          <t>千克</t>
        </is>
      </c>
      <c r="G16">
        <f>LEFT(D16,FIND("|",D16,1)-1)</f>
        <v/>
      </c>
      <c r="H16">
        <f>MID(D16,FIND("|",D16,FIND("|",D16,1))+1,FIND("|",D16,FIND("|",D16,1)+1)-FIND("|",D16,FIND("|",D16,1))-1)</f>
        <v/>
      </c>
      <c r="J16">
        <f>MID(D16,FIND(",",SUBSTITUTE(D16,"|",REPT(",",LEN(D16)),2))+1,FIND(",",SUBSTITUTE(D16,"|",REPT(",",LEN(D16)),3))-FIND(",",SUBSTITUTE(D16,"|",REPT(",",LEN(D16)),2))-1)</f>
        <v/>
      </c>
      <c r="K16">
        <f>MID(D16,FIND(",",SUBSTITUTE(D16,"|",REPT(",",LEN(D16)),3))+1,FIND(",",SUBSTITUTE(D16,"|",REPT(",",LEN(D16)),4))-FIND(",",SUBSTITUTE(D16,"|",REPT(",",LEN(D16)),3))-1)</f>
        <v/>
      </c>
      <c r="L16">
        <f>MID(D16,FIND(",",SUBSTITUTE(D16,"|",REPT(",",LEN(D16)),4))+1,FIND(",",SUBSTITUTE(D16,"|",REPT(",",LEN(D16)),5))-FIND(",",SUBSTITUTE(D16,"|",REPT(",",LEN(D16)),4))-1)</f>
        <v/>
      </c>
      <c r="M16">
        <f>MID(D16,FIND(";",SUBSTITUTE(D16,"|",REPT(";",LEN(D16)),6))+1,LEN(D16))</f>
        <v/>
      </c>
      <c r="N16">
        <f>MID(D16,FIND(";",SUBSTITUTE(D16,"|",REPT(";",LEN(D16)),5))+1,FIND(";",SUBSTITUTE(D16,"|",REPT(";",LEN(D16)),6))-FIND(";",SUBSTITUTE(D16,"|",REPT(";",LEN(D16)),5))-1)</f>
        <v/>
      </c>
    </row>
    <row r="17">
      <c r="A17" t="inlineStr">
        <is>
          <t>100101</t>
        </is>
      </c>
      <c r="B17" t="inlineStr">
        <is>
          <t>冷轧板材</t>
        </is>
      </c>
      <c r="C17" t="inlineStr">
        <is>
          <t>602352900</t>
        </is>
      </c>
      <c r="D17" t="inlineStr">
        <is>
          <t>冷轧优质碳素结构钢板|钢板|20|δ1.2|GB/T 13237-2013|冷轧|FB,PT.A|GB/T 708-2006</t>
        </is>
      </c>
      <c r="E17" t="inlineStr">
        <is>
          <t>物资名称 冷轧优质碳素结构钢板;物资简称 钢板;牌号 20;厚度 δ1.2;宽 ;长 ;技术标准号 GB/T 13237-2013;加工工艺 冷轧;热处理工艺 ;特殊要求 FB,PT.A;规格标准号 GB/T 708-2006</t>
        </is>
      </c>
      <c r="F17" t="inlineStr">
        <is>
          <t>千克</t>
        </is>
      </c>
      <c r="G17">
        <f>LEFT(D17,FIND("|",D17,1)-1)</f>
        <v/>
      </c>
      <c r="H17">
        <f>MID(D17,FIND("|",D17,FIND("|",D17,1))+1,FIND("|",D17,FIND("|",D17,1)+1)-FIND("|",D17,FIND("|",D17,1))-1)</f>
        <v/>
      </c>
      <c r="J17">
        <f>MID(D17,FIND(",",SUBSTITUTE(D17,"|",REPT(",",LEN(D17)),2))+1,FIND(",",SUBSTITUTE(D17,"|",REPT(",",LEN(D17)),3))-FIND(",",SUBSTITUTE(D17,"|",REPT(",",LEN(D17)),2))-1)</f>
        <v/>
      </c>
      <c r="K17">
        <f>MID(D17,FIND(",",SUBSTITUTE(D17,"|",REPT(",",LEN(D17)),3))+1,FIND(",",SUBSTITUTE(D17,"|",REPT(",",LEN(D17)),4))-FIND(",",SUBSTITUTE(D17,"|",REPT(",",LEN(D17)),3))-1)</f>
        <v/>
      </c>
      <c r="L17">
        <f>MID(D17,FIND(",",SUBSTITUTE(D17,"|",REPT(",",LEN(D17)),4))+1,FIND(",",SUBSTITUTE(D17,"|",REPT(",",LEN(D17)),5))-FIND(",",SUBSTITUTE(D17,"|",REPT(",",LEN(D17)),4))-1)</f>
        <v/>
      </c>
      <c r="M17">
        <f>MID(D17,FIND(";",SUBSTITUTE(D17,"|",REPT(";",LEN(D17)),7))+1,LEN(D17))</f>
        <v/>
      </c>
      <c r="N17">
        <f>MID(D17,FIND(";",SUBSTITUTE(D17,"|",REPT(";",LEN(D17)),5))+1,FIND(";",SUBSTITUTE(D17,"|",REPT(";",LEN(D17)),6))-FIND(";",SUBSTITUTE(D17,"|",REPT(";",LEN(D17)),5))-1)</f>
        <v/>
      </c>
      <c r="P17">
        <f>MID(D17,FIND(";",SUBSTITUTE(D17,"|",REPT(";",LEN(D17)),6))+1,FIND(";",SUBSTITUTE(D17,"|",REPT(";",LEN(D17)),7))-FIND(";",SUBSTITUTE(D17,"|",REPT(";",LEN(D17)),6))-1)</f>
        <v/>
      </c>
    </row>
    <row r="18">
      <c r="A18" t="inlineStr">
        <is>
          <t>100101</t>
        </is>
      </c>
      <c r="B18" t="inlineStr">
        <is>
          <t>冷轧板材</t>
        </is>
      </c>
      <c r="C18" t="inlineStr">
        <is>
          <t>602352800</t>
        </is>
      </c>
      <c r="D18" t="inlineStr">
        <is>
          <t>冷轧优质碳素结构钢板|钢板|20|δ0.8|GB/T 13237-2013|冷轧|FB,PT.A|GB/T 708-2006</t>
        </is>
      </c>
      <c r="E18" t="inlineStr">
        <is>
          <t>物资名称 冷轧优质碳素结构钢板;物资简称 钢板;牌号 20;厚度 δ0.8;宽 ;长 ;技术标准号 GB/T 13237-2013;加工工艺 冷轧;热处理工艺 ;特殊要求 FB,PT.A;规格标准号 GB/T 708-2006</t>
        </is>
      </c>
      <c r="F18" t="inlineStr">
        <is>
          <t>千克</t>
        </is>
      </c>
      <c r="G18">
        <f>LEFT(D18,FIND("|",D18,1)-1)</f>
        <v/>
      </c>
      <c r="H18">
        <f>MID(D18,FIND("|",D18,FIND("|",D18,1))+1,FIND("|",D18,FIND("|",D18,1)+1)-FIND("|",D18,FIND("|",D18,1))-1)</f>
        <v/>
      </c>
      <c r="J18">
        <f>MID(D18,FIND(",",SUBSTITUTE(D18,"|",REPT(",",LEN(D18)),2))+1,FIND(",",SUBSTITUTE(D18,"|",REPT(",",LEN(D18)),3))-FIND(",",SUBSTITUTE(D18,"|",REPT(",",LEN(D18)),2))-1)</f>
        <v/>
      </c>
      <c r="K18">
        <f>MID(D18,FIND(",",SUBSTITUTE(D18,"|",REPT(",",LEN(D18)),3))+1,FIND(",",SUBSTITUTE(D18,"|",REPT(",",LEN(D18)),4))-FIND(",",SUBSTITUTE(D18,"|",REPT(",",LEN(D18)),3))-1)</f>
        <v/>
      </c>
      <c r="L18">
        <f>MID(D18,FIND(",",SUBSTITUTE(D18,"|",REPT(",",LEN(D18)),4))+1,FIND(",",SUBSTITUTE(D18,"|",REPT(",",LEN(D18)),5))-FIND(",",SUBSTITUTE(D18,"|",REPT(",",LEN(D18)),4))-1)</f>
        <v/>
      </c>
      <c r="M18">
        <f>MID(D18,FIND(";",SUBSTITUTE(D18,"|",REPT(";",LEN(D18)),7))+1,LEN(D18))</f>
        <v/>
      </c>
      <c r="N18">
        <f>MID(D18,FIND(";",SUBSTITUTE(D18,"|",REPT(";",LEN(D18)),5))+1,FIND(";",SUBSTITUTE(D18,"|",REPT(";",LEN(D18)),6))-FIND(";",SUBSTITUTE(D18,"|",REPT(";",LEN(D18)),5))-1)</f>
        <v/>
      </c>
      <c r="P18">
        <f>MID(D18,FIND(";",SUBSTITUTE(D18,"|",REPT(";",LEN(D18)),6))+1,FIND(";",SUBSTITUTE(D18,"|",REPT(";",LEN(D18)),7))-FIND(";",SUBSTITUTE(D18,"|",REPT(";",LEN(D18)),6))-1)</f>
        <v/>
      </c>
    </row>
    <row r="19">
      <c r="A19" t="inlineStr">
        <is>
          <t>100101</t>
        </is>
      </c>
      <c r="B19" t="inlineStr">
        <is>
          <t>冷轧板材</t>
        </is>
      </c>
      <c r="C19" t="inlineStr">
        <is>
          <t>602289300</t>
        </is>
      </c>
      <c r="D19" t="inlineStr">
        <is>
          <t>冷轧不锈钢板|钢板|1Cr18Ni9Ti|GB 3280-2015|冷轧</t>
        </is>
      </c>
      <c r="E19" t="inlineStr">
        <is>
          <t xml:space="preserve">物资名称 冷轧不锈钢板;物资简称 钢板;牌号 1Cr18Ni9Ti;厚度 δ;宽 ;长 ;技术标准号 GB 3280-2015;加工工艺 冷轧;热处理工艺 ;特殊要求 ;规格标准号 </t>
        </is>
      </c>
      <c r="F19" t="inlineStr">
        <is>
          <t>千克</t>
        </is>
      </c>
      <c r="G19">
        <f>LEFT(D19,FIND("|",D19,1)-1)</f>
        <v/>
      </c>
      <c r="H19">
        <f>MID(D19,FIND("|",D19,FIND("|",D19,1))+1,FIND("|",D19,FIND("|",D19,1)+1)-FIND("|",D19,FIND("|",D19,1))-1)</f>
        <v/>
      </c>
      <c r="J19">
        <f>MID(D19,FIND(",",SUBSTITUTE(D19,"|",REPT(",",LEN(D19)),2))+1,FIND(",",SUBSTITUTE(D19,"|",REPT(",",LEN(D19)),3))-FIND(",",SUBSTITUTE(D19,"|",REPT(",",LEN(D19)),2))-1)</f>
        <v/>
      </c>
      <c r="L19">
        <f>MID(D19,FIND(",",SUBSTITUTE(D19,"|",REPT(",",LEN(D19)),3))+1,FIND(",",SUBSTITUTE(D19,"|",REPT(",",LEN(D19)),4))-FIND(",",SUBSTITUTE(D19,"|",REPT(",",LEN(D19)),3))-1)</f>
        <v/>
      </c>
      <c r="N19">
        <f>MID(D19,FIND(";",SUBSTITUTE(D19,"|",REPT(";",LEN(D19)),4))+1,LEN(D19))</f>
        <v/>
      </c>
    </row>
    <row r="20">
      <c r="A20" t="inlineStr">
        <is>
          <t>100101</t>
        </is>
      </c>
      <c r="B20" t="inlineStr">
        <is>
          <t>冷轧板材</t>
        </is>
      </c>
      <c r="C20" t="inlineStr">
        <is>
          <t>602183500</t>
        </is>
      </c>
      <c r="D20" t="inlineStr">
        <is>
          <t>冷轧不锈钢板|钢板|06Cr19Ni10|δ2.5|GB/T 3280-2015|冷轧|GB/T 708-2006</t>
        </is>
      </c>
      <c r="E20" t="inlineStr">
        <is>
          <t>物资名称 冷轧不锈钢板;物资简称 钢板;牌号 06Cr19Ni10;厚度 δ2.5;宽 ;长 ;技术标准号 GB/T 3280-2015;加工工艺 冷轧;热处理工艺 ;特殊要求 ;规格标准号 GB/T 708-2006</t>
        </is>
      </c>
      <c r="F20" t="inlineStr">
        <is>
          <t>千克</t>
        </is>
      </c>
      <c r="G20">
        <f>LEFT(D20,FIND("|",D20,1)-1)</f>
        <v/>
      </c>
      <c r="H20">
        <f>MID(D20,FIND("|",D20,FIND("|",D20,1))+1,FIND("|",D20,FIND("|",D20,1)+1)-FIND("|",D20,FIND("|",D20,1))-1)</f>
        <v/>
      </c>
      <c r="J20">
        <f>MID(D20,FIND(",",SUBSTITUTE(D20,"|",REPT(",",LEN(D20)),2))+1,FIND(",",SUBSTITUTE(D20,"|",REPT(",",LEN(D20)),3))-FIND(",",SUBSTITUTE(D20,"|",REPT(",",LEN(D20)),2))-1)</f>
        <v/>
      </c>
      <c r="K20">
        <f>MID(D20,FIND(",",SUBSTITUTE(D20,"|",REPT(",",LEN(D20)),3))+1,FIND(",",SUBSTITUTE(D20,"|",REPT(",",LEN(D20)),4))-FIND(",",SUBSTITUTE(D20,"|",REPT(",",LEN(D20)),3))-1)</f>
        <v/>
      </c>
      <c r="L20">
        <f>MID(D20,FIND(",",SUBSTITUTE(D20,"|",REPT(",",LEN(D20)),4))+1,FIND(",",SUBSTITUTE(D20,"|",REPT(",",LEN(D20)),5))-FIND(",",SUBSTITUTE(D20,"|",REPT(",",LEN(D20)),4))-1)</f>
        <v/>
      </c>
      <c r="M20">
        <f>MID(D20,FIND(";",SUBSTITUTE(D20,"|",REPT(";",LEN(D20)),6))+1,LEN(D20))</f>
        <v/>
      </c>
      <c r="N20">
        <f>MID(D20,FIND(";",SUBSTITUTE(D20,"|",REPT(";",LEN(D20)),5))+1,FIND(";",SUBSTITUTE(D20,"|",REPT(";",LEN(D20)),6))-FIND(";",SUBSTITUTE(D20,"|",REPT(";",LEN(D20)),5))-1)</f>
        <v/>
      </c>
    </row>
    <row r="21">
      <c r="A21" t="inlineStr">
        <is>
          <t>100101</t>
        </is>
      </c>
      <c r="B21" t="inlineStr">
        <is>
          <t>冷轧板材</t>
        </is>
      </c>
      <c r="C21" t="inlineStr">
        <is>
          <t>602183400</t>
        </is>
      </c>
      <c r="D21" t="inlineStr">
        <is>
          <t>冷轧不锈钢板|钢板|06Cr19Ni10|δ5|GB/T 3280-2015|冷轧|GB/T 708-2006</t>
        </is>
      </c>
      <c r="E21" t="inlineStr">
        <is>
          <t>物资名称 冷轧不锈钢板;物资简称 钢板;牌号 06Cr19Ni10;厚度 δ5;宽 ;长 ;技术标准号 GB/T 3280-2015;加工工艺 冷轧;热处理工艺 ;特殊要求 ;规格标准号 GB/T 708-2006</t>
        </is>
      </c>
      <c r="F21" t="inlineStr">
        <is>
          <t>千克</t>
        </is>
      </c>
      <c r="G21">
        <f>LEFT(D21,FIND("|",D21,1)-1)</f>
        <v/>
      </c>
      <c r="H21">
        <f>MID(D21,FIND("|",D21,FIND("|",D21,1))+1,FIND("|",D21,FIND("|",D21,1)+1)-FIND("|",D21,FIND("|",D21,1))-1)</f>
        <v/>
      </c>
      <c r="J21">
        <f>MID(D21,FIND(",",SUBSTITUTE(D21,"|",REPT(",",LEN(D21)),2))+1,FIND(",",SUBSTITUTE(D21,"|",REPT(",",LEN(D21)),3))-FIND(",",SUBSTITUTE(D21,"|",REPT(",",LEN(D21)),2))-1)</f>
        <v/>
      </c>
      <c r="K21">
        <f>MID(D21,FIND(",",SUBSTITUTE(D21,"|",REPT(",",LEN(D21)),3))+1,FIND(",",SUBSTITUTE(D21,"|",REPT(",",LEN(D21)),4))-FIND(",",SUBSTITUTE(D21,"|",REPT(",",LEN(D21)),3))-1)</f>
        <v/>
      </c>
      <c r="L21">
        <f>MID(D21,FIND(",",SUBSTITUTE(D21,"|",REPT(",",LEN(D21)),4))+1,FIND(",",SUBSTITUTE(D21,"|",REPT(",",LEN(D21)),5))-FIND(",",SUBSTITUTE(D21,"|",REPT(",",LEN(D21)),4))-1)</f>
        <v/>
      </c>
      <c r="M21">
        <f>MID(D21,FIND(";",SUBSTITUTE(D21,"|",REPT(";",LEN(D21)),6))+1,LEN(D21))</f>
        <v/>
      </c>
      <c r="N21">
        <f>MID(D21,FIND(";",SUBSTITUTE(D21,"|",REPT(";",LEN(D21)),5))+1,FIND(";",SUBSTITUTE(D21,"|",REPT(";",LEN(D21)),6))-FIND(";",SUBSTITUTE(D21,"|",REPT(";",LEN(D21)),5))-1)</f>
        <v/>
      </c>
    </row>
    <row r="22">
      <c r="A22" t="inlineStr">
        <is>
          <t>100101</t>
        </is>
      </c>
      <c r="B22" t="inlineStr">
        <is>
          <t>冷轧板材</t>
        </is>
      </c>
      <c r="C22" t="inlineStr">
        <is>
          <t>602183300</t>
        </is>
      </c>
      <c r="D22" t="inlineStr">
        <is>
          <t>冷轧不锈钢板|钢板|06Cr19Ni10|δ3|GB/T 3280-2015|冷轧|GB/T 708-2006</t>
        </is>
      </c>
      <c r="E22" t="inlineStr">
        <is>
          <t>物资名称 冷轧不锈钢板;物资简称 钢板;牌号 06Cr19Ni10;厚度 δ3;宽 ;长 ;技术标准号 GB/T 3280-2015;加工工艺 冷轧;热处理工艺 ;特殊要求 ;规格标准号 GB/T 708-2006</t>
        </is>
      </c>
      <c r="F22" t="inlineStr">
        <is>
          <t>千克</t>
        </is>
      </c>
      <c r="G22">
        <f>LEFT(D22,FIND("|",D22,1)-1)</f>
        <v/>
      </c>
      <c r="H22">
        <f>MID(D22,FIND("|",D22,FIND("|",D22,1))+1,FIND("|",D22,FIND("|",D22,1)+1)-FIND("|",D22,FIND("|",D22,1))-1)</f>
        <v/>
      </c>
      <c r="J22">
        <f>MID(D22,FIND(",",SUBSTITUTE(D22,"|",REPT(",",LEN(D22)),2))+1,FIND(",",SUBSTITUTE(D22,"|",REPT(",",LEN(D22)),3))-FIND(",",SUBSTITUTE(D22,"|",REPT(",",LEN(D22)),2))-1)</f>
        <v/>
      </c>
      <c r="K22">
        <f>MID(D22,FIND(",",SUBSTITUTE(D22,"|",REPT(",",LEN(D22)),3))+1,FIND(",",SUBSTITUTE(D22,"|",REPT(",",LEN(D22)),4))-FIND(",",SUBSTITUTE(D22,"|",REPT(",",LEN(D22)),3))-1)</f>
        <v/>
      </c>
      <c r="L22">
        <f>MID(D22,FIND(",",SUBSTITUTE(D22,"|",REPT(",",LEN(D22)),4))+1,FIND(",",SUBSTITUTE(D22,"|",REPT(",",LEN(D22)),5))-FIND(",",SUBSTITUTE(D22,"|",REPT(",",LEN(D22)),4))-1)</f>
        <v/>
      </c>
      <c r="M22">
        <f>MID(D22,FIND(";",SUBSTITUTE(D22,"|",REPT(";",LEN(D22)),6))+1,LEN(D22))</f>
        <v/>
      </c>
      <c r="N22">
        <f>MID(D22,FIND(";",SUBSTITUTE(D22,"|",REPT(";",LEN(D22)),5))+1,FIND(";",SUBSTITUTE(D22,"|",REPT(";",LEN(D22)),6))-FIND(";",SUBSTITUTE(D22,"|",REPT(";",LEN(D22)),5))-1)</f>
        <v/>
      </c>
    </row>
    <row r="23">
      <c r="A23" t="inlineStr">
        <is>
          <t>100101</t>
        </is>
      </c>
      <c r="B23" t="inlineStr">
        <is>
          <t>冷轧板材</t>
        </is>
      </c>
      <c r="C23" t="inlineStr">
        <is>
          <t>602148600</t>
        </is>
      </c>
      <c r="D23" t="inlineStr">
        <is>
          <t>冷轧不锈钢板|钢板|12Cr18Ni9|δ3|GB/T 3280-2015|冷轧</t>
        </is>
      </c>
      <c r="E23" t="inlineStr">
        <is>
          <t xml:space="preserve">物资名称 冷轧不锈钢板;物资简称 钢板;牌号 12Cr18Ni9;厚度 δ3;宽 ;长 ;技术标准号 GB/T 3280-2015;加工工艺 冷轧;热处理工艺 ;特殊要求 ;规格标准号 </t>
        </is>
      </c>
      <c r="F23" t="inlineStr">
        <is>
          <t>千克</t>
        </is>
      </c>
      <c r="G23">
        <f>LEFT(D23,FIND("|",D23,1)-1)</f>
        <v/>
      </c>
      <c r="H23">
        <f>MID(D23,FIND("|",D23,FIND("|",D23,1))+1,FIND("|",D23,FIND("|",D23,1)+1)-FIND("|",D23,FIND("|",D23,1))-1)</f>
        <v/>
      </c>
      <c r="J23">
        <f>MID(D23,FIND(",",SUBSTITUTE(D23,"|",REPT(",",LEN(D23)),2))+1,FIND(",",SUBSTITUTE(D23,"|",REPT(",",LEN(D23)),3))-FIND(",",SUBSTITUTE(D23,"|",REPT(",",LEN(D23)),2))-1)</f>
        <v/>
      </c>
      <c r="K23">
        <f>MID(D23,FIND(",",SUBSTITUTE(D23,"|",REPT(",",LEN(D23)),3))+1,FIND(",",SUBSTITUTE(D23,"|",REPT(",",LEN(D23)),4))-FIND(",",SUBSTITUTE(D23,"|",REPT(",",LEN(D23)),3))-1)</f>
        <v/>
      </c>
      <c r="L23">
        <f>MID(D23,FIND(",",SUBSTITUTE(D23,"|",REPT(",",LEN(D23)),4))+1,FIND(",",SUBSTITUTE(D23,"|",REPT(",",LEN(D23)),5))-FIND(",",SUBSTITUTE(D23,"|",REPT(",",LEN(D23)),4))-1)</f>
        <v/>
      </c>
      <c r="N23">
        <f>MID(D23,FIND(";",SUBSTITUTE(D23,"|",REPT(";",LEN(D23)),5))+1,LEN(D23))</f>
        <v/>
      </c>
    </row>
    <row r="24">
      <c r="A24" t="inlineStr">
        <is>
          <t>100101</t>
        </is>
      </c>
      <c r="B24" t="inlineStr">
        <is>
          <t>冷轧板材</t>
        </is>
      </c>
      <c r="C24" t="inlineStr">
        <is>
          <t>602148500</t>
        </is>
      </c>
      <c r="D24" t="inlineStr">
        <is>
          <t>冷轧不锈钢板|钢板|12Cr18Ni9|δ1.5|GB/T 3280-2015|冷轧</t>
        </is>
      </c>
      <c r="E24" t="inlineStr">
        <is>
          <t xml:space="preserve">物资名称 冷轧不锈钢板;物资简称 钢板;牌号 12Cr18Ni9;厚度 δ1.5;宽 ;长 ;技术标准号 GB/T 3280-2015;加工工艺 冷轧;热处理工艺 ;特殊要求 ;规格标准号 </t>
        </is>
      </c>
      <c r="F24" t="inlineStr">
        <is>
          <t>千克</t>
        </is>
      </c>
      <c r="G24">
        <f>LEFT(D24,FIND("|",D24,1)-1)</f>
        <v/>
      </c>
      <c r="H24">
        <f>MID(D24,FIND("|",D24,FIND("|",D24,1))+1,FIND("|",D24,FIND("|",D24,1)+1)-FIND("|",D24,FIND("|",D24,1))-1)</f>
        <v/>
      </c>
      <c r="J24">
        <f>MID(D24,FIND(",",SUBSTITUTE(D24,"|",REPT(",",LEN(D24)),2))+1,FIND(",",SUBSTITUTE(D24,"|",REPT(",",LEN(D24)),3))-FIND(",",SUBSTITUTE(D24,"|",REPT(",",LEN(D24)),2))-1)</f>
        <v/>
      </c>
      <c r="K24">
        <f>MID(D24,FIND(",",SUBSTITUTE(D24,"|",REPT(",",LEN(D24)),3))+1,FIND(",",SUBSTITUTE(D24,"|",REPT(",",LEN(D24)),4))-FIND(",",SUBSTITUTE(D24,"|",REPT(",",LEN(D24)),3))-1)</f>
        <v/>
      </c>
      <c r="L24">
        <f>MID(D24,FIND(",",SUBSTITUTE(D24,"|",REPT(",",LEN(D24)),4))+1,FIND(",",SUBSTITUTE(D24,"|",REPT(",",LEN(D24)),5))-FIND(",",SUBSTITUTE(D24,"|",REPT(",",LEN(D24)),4))-1)</f>
        <v/>
      </c>
      <c r="N24">
        <f>MID(D24,FIND(";",SUBSTITUTE(D24,"|",REPT(";",LEN(D24)),5))+1,LEN(D24))</f>
        <v/>
      </c>
    </row>
    <row r="25">
      <c r="A25" t="inlineStr">
        <is>
          <t>100101</t>
        </is>
      </c>
      <c r="B25" t="inlineStr">
        <is>
          <t>冷轧板材</t>
        </is>
      </c>
      <c r="C25" t="inlineStr">
        <is>
          <t>601944300</t>
        </is>
      </c>
      <c r="D25" t="inlineStr">
        <is>
          <t>冷轧航空用不锈钢薄板|不锈钢板|1Cr18Ni9Ti|δ2×1000×2000|GJB 2295-1995|冷轧|GB/T 708-2006</t>
        </is>
      </c>
      <c r="E25" t="inlineStr">
        <is>
          <t>物资名称 冷轧航空用不锈钢薄板;物资简称 不锈钢板;牌号 1Cr18Ni9Ti;厚度 δ2;宽 1000;长 2000;技术标准号 GJB 2295-1995;加工工艺 ;热处理工艺 冷轧;特殊要求 ;规格标准号 GB/T 708-2006</t>
        </is>
      </c>
      <c r="F25" t="inlineStr">
        <is>
          <t>千克</t>
        </is>
      </c>
      <c r="G25">
        <f>LEFT(D25,FIND("|",D25,1)-1)</f>
        <v/>
      </c>
      <c r="H25">
        <f>MID(D25,FIND("|",D25,FIND("|",D25,1))+1,FIND("|",D25,FIND("|",D25,1)+1)-FIND("|",D25,FIND("|",D25,1))-1)</f>
        <v/>
      </c>
      <c r="J25">
        <f>MID(D25,FIND(",",SUBSTITUTE(D25,"|",REPT(",",LEN(D25)),2))+1,FIND(",",SUBSTITUTE(D25,"|",REPT(",",LEN(D25)),3))-FIND(",",SUBSTITUTE(D25,"|",REPT(",",LEN(D25)),2))-1)</f>
        <v/>
      </c>
      <c r="K25">
        <f>MID(D25,FIND(",",SUBSTITUTE(D25,"|",REPT(",",LEN(D25)),3))+1,FIND(",",SUBSTITUTE(D25,"|",REPT(",",LEN(D25)),4))-FIND(",",SUBSTITUTE(D25,"|",REPT(",",LEN(D25)),3))-1)</f>
        <v/>
      </c>
      <c r="L25">
        <f>MID(D25,FIND(",",SUBSTITUTE(D25,"|",REPT(",",LEN(D25)),4))+1,FIND(",",SUBSTITUTE(D25,"|",REPT(",",LEN(D25)),5))-FIND(",",SUBSTITUTE(D25,"|",REPT(",",LEN(D25)),4))-1)</f>
        <v/>
      </c>
      <c r="M25">
        <f>MID(D25,FIND(";",SUBSTITUTE(D25,"|",REPT(";",LEN(D25)),6))+1,LEN(D25))</f>
        <v/>
      </c>
      <c r="N25">
        <f>MID(D25,FIND(";",SUBSTITUTE(D25,"|",REPT(";",LEN(D25)),5))+1,FIND(";",SUBSTITUTE(D25,"|",REPT(";",LEN(D25)),6))-FIND(";",SUBSTITUTE(D25,"|",REPT(";",LEN(D25)),5))-1)</f>
        <v/>
      </c>
    </row>
    <row r="26">
      <c r="A26" t="inlineStr">
        <is>
          <t>100101</t>
        </is>
      </c>
      <c r="B26" t="inlineStr">
        <is>
          <t>冷轧板材</t>
        </is>
      </c>
      <c r="C26" t="inlineStr">
        <is>
          <t>601792100</t>
        </is>
      </c>
      <c r="D26" t="inlineStr">
        <is>
          <t>冷轧优质碳素结构钢板|钢板|20|δ2|GB/T 13237-2013|冷轧|GB/T 708-2019</t>
        </is>
      </c>
      <c r="E26" t="inlineStr">
        <is>
          <t>物资名称 冷轧优质碳素结构钢板;物资简称 钢板;牌号 20;厚度 δ2;宽 ;长 ;技术标准号 GB/T 13237-2013;加工工艺 冷轧;热处理工艺 ;特殊要求 ;规格标准号 GB/T 708-2019</t>
        </is>
      </c>
      <c r="F26" t="inlineStr">
        <is>
          <t>千克</t>
        </is>
      </c>
      <c r="G26">
        <f>LEFT(D26,FIND("|",D26,1)-1)</f>
        <v/>
      </c>
      <c r="H26">
        <f>MID(D26,FIND("|",D26,FIND("|",D26,1))+1,FIND("|",D26,FIND("|",D26,1)+1)-FIND("|",D26,FIND("|",D26,1))-1)</f>
        <v/>
      </c>
      <c r="J26">
        <f>MID(D26,FIND(",",SUBSTITUTE(D26,"|",REPT(",",LEN(D26)),2))+1,FIND(",",SUBSTITUTE(D26,"|",REPT(",",LEN(D26)),3))-FIND(",",SUBSTITUTE(D26,"|",REPT(",",LEN(D26)),2))-1)</f>
        <v/>
      </c>
      <c r="K26">
        <f>MID(D26,FIND(",",SUBSTITUTE(D26,"|",REPT(",",LEN(D26)),3))+1,FIND(",",SUBSTITUTE(D26,"|",REPT(",",LEN(D26)),4))-FIND(",",SUBSTITUTE(D26,"|",REPT(",",LEN(D26)),3))-1)</f>
        <v/>
      </c>
      <c r="L26">
        <f>MID(D26,FIND(",",SUBSTITUTE(D26,"|",REPT(",",LEN(D26)),4))+1,FIND(",",SUBSTITUTE(D26,"|",REPT(",",LEN(D26)),5))-FIND(",",SUBSTITUTE(D26,"|",REPT(",",LEN(D26)),4))-1)</f>
        <v/>
      </c>
      <c r="M26">
        <f>MID(D26,FIND(";",SUBSTITUTE(D26,"|",REPT(";",LEN(D26)),6))+1,LEN(D26))</f>
        <v/>
      </c>
      <c r="N26">
        <f>MID(D26,FIND(";",SUBSTITUTE(D26,"|",REPT(";",LEN(D26)),5))+1,FIND(";",SUBSTITUTE(D26,"|",REPT(";",LEN(D26)),6))-FIND(";",SUBSTITUTE(D26,"|",REPT(";",LEN(D26)),5))-1)</f>
        <v/>
      </c>
    </row>
    <row r="27">
      <c r="A27" t="inlineStr">
        <is>
          <t>100101</t>
        </is>
      </c>
      <c r="B27" t="inlineStr">
        <is>
          <t>冷轧板材</t>
        </is>
      </c>
      <c r="C27" t="inlineStr">
        <is>
          <t>601748900</t>
        </is>
      </c>
      <c r="D27" t="inlineStr">
        <is>
          <t>冷轧优质碳素结构钢板|钢板|20|δ1|GB/T 13237-2013|GB/T 708-2019</t>
        </is>
      </c>
      <c r="E27" t="inlineStr">
        <is>
          <t>物资名称 冷轧优质碳素结构钢板;物资简称 钢板;牌号 20;厚度 δ1;宽 ;长 ;技术标准号 GB/T 13237-2013;加工工艺 ;热处理工艺 ;特殊要求 ;规格标准号 GB/T 708-2019</t>
        </is>
      </c>
      <c r="F27" t="inlineStr">
        <is>
          <t>千克</t>
        </is>
      </c>
      <c r="G27">
        <f>LEFT(D27,FIND("|",D27,1)-1)</f>
        <v/>
      </c>
      <c r="H27">
        <f>MID(D27,FIND("|",D27,FIND("|",D27,1))+1,FIND("|",D27,FIND("|",D27,1)+1)-FIND("|",D27,FIND("|",D27,1))-1)</f>
        <v/>
      </c>
      <c r="J27">
        <f>MID(D27,FIND(",",SUBSTITUTE(D27,"|",REPT(",",LEN(D27)),2))+1,FIND(",",SUBSTITUTE(D27,"|",REPT(",",LEN(D27)),3))-FIND(",",SUBSTITUTE(D27,"|",REPT(",",LEN(D27)),2))-1)</f>
        <v/>
      </c>
      <c r="K27">
        <f>MID(D27,FIND(",",SUBSTITUTE(D27,"|",REPT(",",LEN(D27)),3))+1,FIND(",",SUBSTITUTE(D27,"|",REPT(",",LEN(D27)),4))-FIND(",",SUBSTITUTE(D27,"|",REPT(",",LEN(D27)),3))-1)</f>
        <v/>
      </c>
      <c r="L27">
        <f>MID(D27,FIND(",",SUBSTITUTE(D27,"|",REPT(",",LEN(D27)),4))+1,FIND(",",SUBSTITUTE(D27,"|",REPT(",",LEN(D27)),5))-FIND(",",SUBSTITUTE(D27,"|",REPT(",",LEN(D27)),4))-1)</f>
        <v/>
      </c>
      <c r="M27">
        <f>MID(D27,FIND(";",SUBSTITUTE(D27,"|",REPT(";",LEN(D27)),5))+1,LEN(D27))</f>
        <v/>
      </c>
    </row>
    <row r="28">
      <c r="A28" t="inlineStr">
        <is>
          <t>100101</t>
        </is>
      </c>
      <c r="B28" t="inlineStr">
        <is>
          <t>冷轧板材</t>
        </is>
      </c>
      <c r="C28" t="inlineStr">
        <is>
          <t>601692000</t>
        </is>
      </c>
      <c r="D28" t="inlineStr">
        <is>
          <t>钢板|钢板|35CrMnSiA|δ28</t>
        </is>
      </c>
      <c r="E28" t="inlineStr">
        <is>
          <t xml:space="preserve">物资名称 钢板;物资简称 钢板;牌号 35CrMnSiA;厚度 δ28;宽 ;长 ;技术标准号 ;加工工艺 ;热处理工艺 ;特殊要求 ;规格标准号 </t>
        </is>
      </c>
      <c r="F28" t="inlineStr">
        <is>
          <t>千克</t>
        </is>
      </c>
      <c r="G28">
        <f>LEFT(D28,FIND("|",D28,1)-1)</f>
        <v/>
      </c>
      <c r="H28">
        <f>MID(D28,FIND("|",D28,FIND("|",D28,1))+1,FIND("|",D28,FIND("|",D28,1)+1)-FIND("|",D28,FIND("|",D28,1))-1)</f>
        <v/>
      </c>
      <c r="J28">
        <f>MID(D28,FIND(",",SUBSTITUTE(D28,"|",REPT(",",LEN(D28)),2))+1,FIND(",",SUBSTITUTE(D28,"|",REPT(",",LEN(D28)),3))-FIND(",",SUBSTITUTE(D28,"|",REPT(",",LEN(D28)),2))-1)</f>
        <v/>
      </c>
      <c r="K28">
        <f>MID(D28,FIND(";",SUBSTITUTE(D28,"|",REPT(";",LEN(D28)),3))+1,LEN(D28))</f>
        <v/>
      </c>
    </row>
    <row r="29">
      <c r="A29" t="inlineStr">
        <is>
          <t>100101</t>
        </is>
      </c>
      <c r="B29" t="inlineStr">
        <is>
          <t>冷轧板材</t>
        </is>
      </c>
      <c r="C29" t="inlineStr">
        <is>
          <t>601498300</t>
        </is>
      </c>
      <c r="D29" t="inlineStr">
        <is>
          <t>冷轧航空用不锈钢薄板|不锈钢板|1Cr18Ni9Ti|δ0.5×8|GJB 2295-1995</t>
        </is>
      </c>
      <c r="E29" t="inlineStr">
        <is>
          <t xml:space="preserve">物资名称 冷轧航空用不锈钢薄板;物资简称 不锈钢板;牌号 1Cr18Ni9Ti;厚度 δ0.5;宽 8;长 ;技术标准号 GJB 2295-1995;加工工艺 ;热处理工艺 ;特殊要求 ;规格标准号 </t>
        </is>
      </c>
      <c r="F29" t="inlineStr">
        <is>
          <t>千克</t>
        </is>
      </c>
      <c r="G29">
        <f>LEFT(D29,FIND("|",D29,1)-1)</f>
        <v/>
      </c>
      <c r="H29">
        <f>MID(D29,FIND("|",D29,FIND("|",D29,1))+1,FIND("|",D29,FIND("|",D29,1)+1)-FIND("|",D29,FIND("|",D29,1))-1)</f>
        <v/>
      </c>
      <c r="J29">
        <f>MID(D29,FIND(",",SUBSTITUTE(D29,"|",REPT(",",LEN(D29)),2))+1,FIND(",",SUBSTITUTE(D29,"|",REPT(",",LEN(D29)),3))-FIND(",",SUBSTITUTE(D29,"|",REPT(",",LEN(D29)),2))-1)</f>
        <v/>
      </c>
      <c r="K29">
        <f>MID(D29,FIND(",",SUBSTITUTE(D29,"|",REPT(",",LEN(D29)),3))+1,FIND(",",SUBSTITUTE(D29,"|",REPT(",",LEN(D29)),4))-FIND(",",SUBSTITUTE(D29,"|",REPT(",",LEN(D29)),3))-1)</f>
        <v/>
      </c>
      <c r="L29">
        <f>MID(D29,FIND(";",SUBSTITUTE(D29,"|",REPT(";",LEN(D29)),4))+1,LEN(D29))</f>
        <v/>
      </c>
    </row>
    <row r="30">
      <c r="A30" t="inlineStr">
        <is>
          <t>100101</t>
        </is>
      </c>
      <c r="B30" t="inlineStr">
        <is>
          <t>冷轧板材</t>
        </is>
      </c>
      <c r="C30" t="inlineStr">
        <is>
          <t>601498200</t>
        </is>
      </c>
      <c r="D30" t="inlineStr">
        <is>
          <t>冷轧优质碳素结构钢板|钢板|45|δ3×100×100|GB/T 13237-1991</t>
        </is>
      </c>
      <c r="E30" t="inlineStr">
        <is>
          <t xml:space="preserve">物资名称 冷轧优质碳素结构钢板;物资简称 钢板;牌号 45;厚度 δ3;宽 100;长 100;技术标准号 GB/T 13237-1991;加工工艺 ;热处理工艺 ;特殊要求 ;规格标准号 </t>
        </is>
      </c>
      <c r="F30" t="inlineStr">
        <is>
          <t>千克</t>
        </is>
      </c>
      <c r="G30">
        <f>LEFT(D30,FIND("|",D30,1)-1)</f>
        <v/>
      </c>
      <c r="H30">
        <f>MID(D30,FIND("|",D30,FIND("|",D30,1))+1,FIND("|",D30,FIND("|",D30,1)+1)-FIND("|",D30,FIND("|",D30,1))-1)</f>
        <v/>
      </c>
      <c r="J30">
        <f>MID(D30,FIND(",",SUBSTITUTE(D30,"|",REPT(",",LEN(D30)),2))+1,FIND(",",SUBSTITUTE(D30,"|",REPT(",",LEN(D30)),3))-FIND(",",SUBSTITUTE(D30,"|",REPT(",",LEN(D30)),2))-1)</f>
        <v/>
      </c>
      <c r="K30">
        <f>MID(D30,FIND(",",SUBSTITUTE(D30,"|",REPT(",",LEN(D30)),3))+1,FIND(",",SUBSTITUTE(D30,"|",REPT(",",LEN(D30)),4))-FIND(",",SUBSTITUTE(D30,"|",REPT(",",LEN(D30)),3))-1)</f>
        <v/>
      </c>
      <c r="L30">
        <f>MID(D30,FIND(";",SUBSTITUTE(D30,"|",REPT(";",LEN(D30)),4))+1,LEN(D30))</f>
        <v/>
      </c>
    </row>
    <row r="31">
      <c r="A31" t="inlineStr">
        <is>
          <t>100101</t>
        </is>
      </c>
      <c r="B31" t="inlineStr">
        <is>
          <t>冷轧板材</t>
        </is>
      </c>
      <c r="C31" t="inlineStr">
        <is>
          <t>601496200</t>
        </is>
      </c>
      <c r="D31" t="inlineStr">
        <is>
          <t>冷轧航空用不锈钢薄板|不锈钢板|1Cr18Ni9Ti|δ3|GJB 2295-1995|冷轧</t>
        </is>
      </c>
      <c r="E31" t="inlineStr">
        <is>
          <t xml:space="preserve">物资名称 冷轧航空用不锈钢薄板;物资简称 不锈钢板;牌号 1Cr18Ni9Ti;厚度 δ3;宽 ;长 ;技术标准号 GJB 2295-1995;加工工艺 冷轧;热处理工艺 ;特殊要求 ;规格标准号 </t>
        </is>
      </c>
      <c r="F31" t="inlineStr">
        <is>
          <t>千克</t>
        </is>
      </c>
      <c r="G31">
        <f>LEFT(D31,FIND("|",D31,1)-1)</f>
        <v/>
      </c>
      <c r="H31">
        <f>MID(D31,FIND("|",D31,FIND("|",D31,1))+1,FIND("|",D31,FIND("|",D31,1)+1)-FIND("|",D31,FIND("|",D31,1))-1)</f>
        <v/>
      </c>
      <c r="J31">
        <f>MID(D31,FIND(",",SUBSTITUTE(D31,"|",REPT(",",LEN(D31)),2))+1,FIND(",",SUBSTITUTE(D31,"|",REPT(",",LEN(D31)),3))-FIND(",",SUBSTITUTE(D31,"|",REPT(",",LEN(D31)),2))-1)</f>
        <v/>
      </c>
      <c r="K31">
        <f>MID(D31,FIND(",",SUBSTITUTE(D31,"|",REPT(",",LEN(D31)),3))+1,FIND(",",SUBSTITUTE(D31,"|",REPT(",",LEN(D31)),4))-FIND(",",SUBSTITUTE(D31,"|",REPT(",",LEN(D31)),3))-1)</f>
        <v/>
      </c>
      <c r="L31">
        <f>MID(D31,FIND(",",SUBSTITUTE(D31,"|",REPT(",",LEN(D31)),4))+1,FIND(",",SUBSTITUTE(D31,"|",REPT(",",LEN(D31)),5))-FIND(",",SUBSTITUTE(D31,"|",REPT(",",LEN(D31)),4))-1)</f>
        <v/>
      </c>
      <c r="N31">
        <f>MID(D31,FIND(";",SUBSTITUTE(D31,"|",REPT(";",LEN(D31)),5))+1,LEN(D31))</f>
        <v/>
      </c>
    </row>
    <row r="32">
      <c r="A32" t="inlineStr">
        <is>
          <t>100101</t>
        </is>
      </c>
      <c r="B32" t="inlineStr">
        <is>
          <t>冷轧板材</t>
        </is>
      </c>
      <c r="C32" t="inlineStr">
        <is>
          <t>601496100</t>
        </is>
      </c>
      <c r="D32" t="inlineStr">
        <is>
          <t>冷轧航空用不锈钢薄板|不锈钢板|1Cr18Ni9Ti|δ1.5|GJB 2295-1995|冷轧</t>
        </is>
      </c>
      <c r="E32" t="inlineStr">
        <is>
          <t xml:space="preserve">物资名称 冷轧航空用不锈钢薄板;物资简称 不锈钢板;牌号 1Cr18Ni9Ti;厚度 δ1.5;宽 ;长 ;技术标准号 GJB 2295-1995;加工工艺 冷轧;热处理工艺 ;特殊要求 ;规格标准号 </t>
        </is>
      </c>
      <c r="F32" t="inlineStr">
        <is>
          <t>千克</t>
        </is>
      </c>
      <c r="G32">
        <f>LEFT(D32,FIND("|",D32,1)-1)</f>
        <v/>
      </c>
      <c r="H32">
        <f>MID(D32,FIND("|",D32,FIND("|",D32,1))+1,FIND("|",D32,FIND("|",D32,1)+1)-FIND("|",D32,FIND("|",D32,1))-1)</f>
        <v/>
      </c>
      <c r="J32">
        <f>MID(D32,FIND(",",SUBSTITUTE(D32,"|",REPT(",",LEN(D32)),2))+1,FIND(",",SUBSTITUTE(D32,"|",REPT(",",LEN(D32)),3))-FIND(",",SUBSTITUTE(D32,"|",REPT(",",LEN(D32)),2))-1)</f>
        <v/>
      </c>
      <c r="K32">
        <f>MID(D32,FIND(",",SUBSTITUTE(D32,"|",REPT(",",LEN(D32)),3))+1,FIND(",",SUBSTITUTE(D32,"|",REPT(",",LEN(D32)),4))-FIND(",",SUBSTITUTE(D32,"|",REPT(",",LEN(D32)),3))-1)</f>
        <v/>
      </c>
      <c r="L32">
        <f>MID(D32,FIND(",",SUBSTITUTE(D32,"|",REPT(",",LEN(D32)),4))+1,FIND(",",SUBSTITUTE(D32,"|",REPT(",",LEN(D32)),5))-FIND(",",SUBSTITUTE(D32,"|",REPT(",",LEN(D32)),4))-1)</f>
        <v/>
      </c>
      <c r="N32">
        <f>MID(D32,FIND(";",SUBSTITUTE(D32,"|",REPT(";",LEN(D32)),5))+1,LEN(D32))</f>
        <v/>
      </c>
    </row>
    <row r="33">
      <c r="A33" t="inlineStr">
        <is>
          <t>100101</t>
        </is>
      </c>
      <c r="B33" t="inlineStr">
        <is>
          <t>冷轧板材</t>
        </is>
      </c>
      <c r="C33" t="inlineStr">
        <is>
          <t>601454300</t>
        </is>
      </c>
      <c r="D33" t="inlineStr">
        <is>
          <t>冷轧航空用不锈钢薄板|钢板|1Cr18Ni9Ti|δ1.5|GJB 2295-1995|冷轧|GB/T 708-2006</t>
        </is>
      </c>
      <c r="E33" t="inlineStr">
        <is>
          <t>物资名称 冷轧航空用不锈钢薄板;物资简称 钢板;牌号 1Cr18Ni9Ti;厚度 δ1.5;宽 ;长 ;技术标准号 GJB 2295-1995;加工工艺 冷轧;热处理工艺 ;特殊要求 ;规格标准号 GB/T 708-2006</t>
        </is>
      </c>
      <c r="F33" t="inlineStr">
        <is>
          <t>千克</t>
        </is>
      </c>
      <c r="G33">
        <f>LEFT(D33,FIND("|",D33,1)-1)</f>
        <v/>
      </c>
      <c r="H33">
        <f>MID(D33,FIND("|",D33,FIND("|",D33,1))+1,FIND("|",D33,FIND("|",D33,1)+1)-FIND("|",D33,FIND("|",D33,1))-1)</f>
        <v/>
      </c>
      <c r="J33">
        <f>MID(D33,FIND(",",SUBSTITUTE(D33,"|",REPT(",",LEN(D33)),2))+1,FIND(",",SUBSTITUTE(D33,"|",REPT(",",LEN(D33)),3))-FIND(",",SUBSTITUTE(D33,"|",REPT(",",LEN(D33)),2))-1)</f>
        <v/>
      </c>
      <c r="K33">
        <f>MID(D33,FIND(",",SUBSTITUTE(D33,"|",REPT(",",LEN(D33)),3))+1,FIND(",",SUBSTITUTE(D33,"|",REPT(",",LEN(D33)),4))-FIND(",",SUBSTITUTE(D33,"|",REPT(",",LEN(D33)),3))-1)</f>
        <v/>
      </c>
      <c r="L33">
        <f>MID(D33,FIND(",",SUBSTITUTE(D33,"|",REPT(",",LEN(D33)),4))+1,FIND(",",SUBSTITUTE(D33,"|",REPT(",",LEN(D33)),5))-FIND(",",SUBSTITUTE(D33,"|",REPT(",",LEN(D33)),4))-1)</f>
        <v/>
      </c>
      <c r="M33">
        <f>MID(D33,FIND(";",SUBSTITUTE(D33,"|",REPT(";",LEN(D33)),6))+1,LEN(D33))</f>
        <v/>
      </c>
      <c r="N33">
        <f>MID(D33,FIND(",",SUBSTITUTE(D33,"|",REPT(",",LEN(D33)),5))+1,FIND(",",SUBSTITUTE(D33,"|",REPT(",",LEN(D33)),6))-FIND(",",SUBSTITUTE(D33,"|",REPT(",",LEN(D33)),5))-1)</f>
        <v/>
      </c>
    </row>
    <row r="34">
      <c r="A34" t="inlineStr">
        <is>
          <t>100101</t>
        </is>
      </c>
      <c r="B34" t="inlineStr">
        <is>
          <t>冷轧板材</t>
        </is>
      </c>
      <c r="C34" t="inlineStr">
        <is>
          <t>601454200</t>
        </is>
      </c>
      <c r="D34" t="inlineStr">
        <is>
          <t>冷轧航空用不锈钢薄板|钢板|1Cr18Ni9Ti|δ3|GJB 2295-1995|冷轧|GB/T 708-2006</t>
        </is>
      </c>
      <c r="E34" t="inlineStr">
        <is>
          <t>物资名称 冷轧航空用不锈钢薄板;物资简称 钢板;牌号 1Cr18Ni9Ti;厚度 δ3;宽 ;长 ;技术标准号 GJB 2295-1995;加工工艺 冷轧;热处理工艺 ;特殊要求 ;规格标准号 GB/T 708-2006</t>
        </is>
      </c>
      <c r="F34" t="inlineStr">
        <is>
          <t>千克</t>
        </is>
      </c>
      <c r="G34">
        <f>LEFT(D34,FIND("|",D34,1)-1)</f>
        <v/>
      </c>
      <c r="H34">
        <f>MID(D34,FIND("|",D34,FIND("|",D34,1))+1,FIND("|",D34,FIND("|",D34,1)+1)-FIND("|",D34,FIND("|",D34,1))-1)</f>
        <v/>
      </c>
      <c r="J34">
        <f>MID(D34,FIND(",",SUBSTITUTE(D34,"|",REPT(",",LEN(D34)),2))+1,FIND(",",SUBSTITUTE(D34,"|",REPT(",",LEN(D34)),3))-FIND(",",SUBSTITUTE(D34,"|",REPT(",",LEN(D34)),2))-1)</f>
        <v/>
      </c>
      <c r="K34">
        <f>MID(D34,FIND(",",SUBSTITUTE(D34,"|",REPT(",",LEN(D34)),3))+1,FIND(",",SUBSTITUTE(D34,"|",REPT(",",LEN(D34)),4))-FIND(",",SUBSTITUTE(D34,"|",REPT(",",LEN(D34)),3))-1)</f>
        <v/>
      </c>
      <c r="L34">
        <f>MID(D34,FIND(",",SUBSTITUTE(D34,"|",REPT(",",LEN(D34)),4))+1,FIND(",",SUBSTITUTE(D34,"|",REPT(",",LEN(D34)),5))-FIND(",",SUBSTITUTE(D34,"|",REPT(",",LEN(D34)),4))-1)</f>
        <v/>
      </c>
      <c r="M34">
        <f>MID(D34,FIND(";",SUBSTITUTE(D34,"|",REPT(";",LEN(D34)),6))+1,LEN(D34))</f>
        <v/>
      </c>
      <c r="N34">
        <f>MID(D34,FIND(",",SUBSTITUTE(D34,"|",REPT(",",LEN(D34)),5))+1,FIND(",",SUBSTITUTE(D34,"|",REPT(",",LEN(D34)),6))-FIND(",",SUBSTITUTE(D34,"|",REPT(",",LEN(D34)),5))-1)</f>
        <v/>
      </c>
    </row>
    <row r="35">
      <c r="A35" t="inlineStr">
        <is>
          <t>100101</t>
        </is>
      </c>
      <c r="B35" t="inlineStr">
        <is>
          <t>冷轧板材</t>
        </is>
      </c>
      <c r="C35" t="inlineStr">
        <is>
          <t>601445200</t>
        </is>
      </c>
      <c r="D35" t="inlineStr">
        <is>
          <t>冷轧不锈钢板|钢板|06Cr19Ni10|δ1|GB/T 3280-2007|冷轧|GB/T708-2006</t>
        </is>
      </c>
      <c r="E35" t="inlineStr">
        <is>
          <t>物资名称 冷轧不锈钢板;物资简称 钢板;牌号 06Cr19Ni10;厚度 δ1;宽 ;长 ;技术标准号 GB/T 3280-2007;加工工艺 冷轧;热处理工艺 ;特殊要求 ;规格标准号 GB/T708-2006</t>
        </is>
      </c>
      <c r="F35" t="inlineStr">
        <is>
          <t>千克</t>
        </is>
      </c>
      <c r="G35">
        <f>LEFT(D35,FIND("|",D35,1)-1)</f>
        <v/>
      </c>
      <c r="H35">
        <f>MID(D35,FIND("|",D35,FIND("|",D35,1))+1,FIND("|",D35,FIND("|",D35,1)+1)-FIND("|",D35,FIND("|",D35,1))-1)</f>
        <v/>
      </c>
      <c r="J35">
        <f>MID(D35,FIND(",",SUBSTITUTE(D35,"|",REPT(",",LEN(D35)),2))+1,FIND(",",SUBSTITUTE(D35,"|",REPT(",",LEN(D35)),3))-FIND(",",SUBSTITUTE(D35,"|",REPT(",",LEN(D35)),2))-1)</f>
        <v/>
      </c>
      <c r="K35">
        <f>MID(D35,FIND(",",SUBSTITUTE(D35,"|",REPT(",",LEN(D35)),3))+1,FIND(",",SUBSTITUTE(D35,"|",REPT(",",LEN(D35)),4))-FIND(",",SUBSTITUTE(D35,"|",REPT(",",LEN(D35)),3))-1)</f>
        <v/>
      </c>
      <c r="L35">
        <f>MID(D35,FIND(",",SUBSTITUTE(D35,"|",REPT(",",LEN(D35)),4))+1,FIND(",",SUBSTITUTE(D35,"|",REPT(",",LEN(D35)),5))-FIND(",",SUBSTITUTE(D35,"|",REPT(",",LEN(D35)),4))-1)</f>
        <v/>
      </c>
      <c r="M35">
        <f>MID(D35,FIND(";",SUBSTITUTE(D35,"|",REPT(";",LEN(D35)),6))+1,LEN(D35))</f>
        <v/>
      </c>
      <c r="N35">
        <f>MID(D35,FIND(",",SUBSTITUTE(D35,"|",REPT(",",LEN(D35)),5))+1,FIND(",",SUBSTITUTE(D35,"|",REPT(",",LEN(D35)),6))-FIND(",",SUBSTITUTE(D35,"|",REPT(",",LEN(D35)),5))-1)</f>
        <v/>
      </c>
    </row>
    <row r="36">
      <c r="A36" t="inlineStr">
        <is>
          <t>100101</t>
        </is>
      </c>
      <c r="B36" t="inlineStr">
        <is>
          <t>冷轧板材</t>
        </is>
      </c>
      <c r="C36" t="inlineStr">
        <is>
          <t>601437700</t>
        </is>
      </c>
      <c r="D36" t="inlineStr">
        <is>
          <t>冷轧航空用不锈钢板|优质钢板|1Cr18Ni9Ti|δ2.5×1000×2000|GJB 2295A-2006|冷轧|GB/T 708-1988</t>
        </is>
      </c>
      <c r="E36" t="inlineStr">
        <is>
          <t>物资名称 冷轧航空用不锈钢板;物资简称 优质钢板;牌号 1Cr18Ni9Ti;厚度 δ2.5;宽 1000;长 2000;技术标准号 GJB 2295A-2006;加工工艺 冷轧;热处理工艺 ;特殊要求 ;规格标准号 GB/T 708-1988</t>
        </is>
      </c>
      <c r="F36" t="inlineStr">
        <is>
          <t>千克</t>
        </is>
      </c>
      <c r="G36">
        <f>LEFT(D36,FIND("|",D36,1)-1)</f>
        <v/>
      </c>
      <c r="H36">
        <f>MID(D36,FIND("|",D36,FIND("|",D36,1))+1,FIND("|",D36,FIND("|",D36,1)+1)-FIND("|",D36,FIND("|",D36,1))-1)</f>
        <v/>
      </c>
      <c r="J36">
        <f>MID(D36,FIND(",",SUBSTITUTE(D36,"|",REPT(",",LEN(D36)),2))+1,FIND(",",SUBSTITUTE(D36,"|",REPT(",",LEN(D36)),3))-FIND(",",SUBSTITUTE(D36,"|",REPT(",",LEN(D36)),2))-1)</f>
        <v/>
      </c>
      <c r="K36">
        <f>MID(D36,FIND(",",SUBSTITUTE(D36,"|",REPT(",",LEN(D36)),3))+1,FIND(",",SUBSTITUTE(D36,"|",REPT(",",LEN(D36)),4))-FIND(",",SUBSTITUTE(D36,"|",REPT(",",LEN(D36)),3))-1)</f>
        <v/>
      </c>
      <c r="L36">
        <f>MID(D36,FIND(",",SUBSTITUTE(D36,"|",REPT(",",LEN(D36)),4))+1,FIND(",",SUBSTITUTE(D36,"|",REPT(",",LEN(D36)),5))-FIND(",",SUBSTITUTE(D36,"|",REPT(",",LEN(D36)),4))-1)</f>
        <v/>
      </c>
      <c r="M36">
        <f>MID(D36,FIND(";",SUBSTITUTE(D36,"|",REPT(";",LEN(D36)),6))+1,LEN(D36))</f>
        <v/>
      </c>
      <c r="N36">
        <f>MID(D36,FIND(",",SUBSTITUTE(D36,"|",REPT(",",LEN(D36)),5))+1,FIND(",",SUBSTITUTE(D36,"|",REPT(",",LEN(D36)),6))-FIND(",",SUBSTITUTE(D36,"|",REPT(",",LEN(D36)),5))-1)</f>
        <v/>
      </c>
    </row>
    <row r="37">
      <c r="A37" t="inlineStr">
        <is>
          <t>100101</t>
        </is>
      </c>
      <c r="B37" t="inlineStr">
        <is>
          <t>冷轧板材</t>
        </is>
      </c>
      <c r="C37" t="inlineStr">
        <is>
          <t>601432100</t>
        </is>
      </c>
      <c r="D37" t="inlineStr">
        <is>
          <t>冷轧优质碳素结构钢板|钢板|20|δ1.5|GB/T 13237-1991|冷轧|B,Ⅱ,P|GB/T 708-2006</t>
        </is>
      </c>
      <c r="E37" t="inlineStr">
        <is>
          <t>物资名称 冷轧优质碳素结构钢板;物资简称 钢板;牌号 20;厚度 δ1.5;宽 ;长 ;技术标准号 GB/T 13237-1991;加工工艺 冷轧;热处理工艺 ;特殊要求 B,Ⅱ,P;规格标准号 GB/T 708-2006</t>
        </is>
      </c>
      <c r="F37" t="inlineStr">
        <is>
          <t>千克</t>
        </is>
      </c>
      <c r="G37">
        <f>LEFT(D37,FIND("|",D37,1)-1)</f>
        <v/>
      </c>
      <c r="H37">
        <f>MID(D37,FIND("|",D37,FIND("|",D37,1))+1,FIND("|",D37,FIND("|",D37,1)+1)-FIND("|",D37,FIND("|",D37,1))-1)</f>
        <v/>
      </c>
      <c r="J37">
        <f>MID(D37,FIND(",",SUBSTITUTE(D37,"|",REPT(",",LEN(D37)),2))+1,FIND(",",SUBSTITUTE(D37,"|",REPT(",",LEN(D37)),3))-FIND(",",SUBSTITUTE(D37,"|",REPT(",",LEN(D37)),2))-1)</f>
        <v/>
      </c>
      <c r="K37">
        <f>MID(D37,FIND(",",SUBSTITUTE(D37,"|",REPT(",",LEN(D37)),3))+1,FIND(",",SUBSTITUTE(D37,"|",REPT(",",LEN(D37)),4))-FIND(",",SUBSTITUTE(D37,"|",REPT(",",LEN(D37)),3))-1)</f>
        <v/>
      </c>
      <c r="L37">
        <f>MID(D37,FIND(",",SUBSTITUTE(D37,"|",REPT(",",LEN(D37)),4))+1,FIND(",",SUBSTITUTE(D37,"|",REPT(",",LEN(D37)),5))-FIND(",",SUBSTITUTE(D37,"|",REPT(",",LEN(D37)),4))-1)</f>
        <v/>
      </c>
      <c r="M37">
        <f>MID(D37,FIND(";",SUBSTITUTE(D37,"|",REPT(";",LEN(D37)),7))+1,LEN(D37))</f>
        <v/>
      </c>
      <c r="N37">
        <f>MID(D37,FIND(",",SUBSTITUTE(D37,"|",REPT(",",LEN(D37)),5))+1,FIND(",",SUBSTITUTE(D37,"|",REPT(",",LEN(D37)),6))-FIND(",",SUBSTITUTE(D37,"|",REPT(",",LEN(D37)),5))-1)</f>
        <v/>
      </c>
      <c r="P37">
        <f>MID(D37,FIND(";",SUBSTITUTE(D37,"|",REPT(";",LEN(D37)),6))+1,FIND(";",SUBSTITUTE(D37,"|",REPT(";",LEN(D37)),7))-FIND(";",SUBSTITUTE(D37,"|",REPT(";",LEN(D37)),6))-1)</f>
        <v/>
      </c>
    </row>
    <row r="38">
      <c r="A38" t="inlineStr">
        <is>
          <t>100101</t>
        </is>
      </c>
      <c r="B38" t="inlineStr">
        <is>
          <t>冷轧板材</t>
        </is>
      </c>
      <c r="C38" t="inlineStr">
        <is>
          <t>601417700</t>
        </is>
      </c>
      <c r="D38" t="inlineStr">
        <is>
          <t>冷轧钢板|钢板|Q235|δ0.8|GB/T700-1988|冷轧</t>
        </is>
      </c>
      <c r="E38" t="inlineStr">
        <is>
          <t xml:space="preserve">物资名称 冷轧钢板;物资简称 钢板;牌号 Q235;厚度 δ0.8;宽 ;长 ;技术标准号 GB/T700-1988;加工工艺 冷轧;热处理工艺 ;特殊要求 ;规格标准号 </t>
        </is>
      </c>
      <c r="F38" t="inlineStr">
        <is>
          <t>千克</t>
        </is>
      </c>
      <c r="G38">
        <f>LEFT(D38,FIND("|",D38,1)-1)</f>
        <v/>
      </c>
      <c r="H38">
        <f>MID(D38,FIND("|",D38,FIND("|",D38,1))+1,FIND("|",D38,FIND("|",D38,1)+1)-FIND("|",D38,FIND("|",D38,1))-1)</f>
        <v/>
      </c>
      <c r="J38">
        <f>MID(D38,FIND(",",SUBSTITUTE(D38,"|",REPT(",",LEN(D38)),2))+1,FIND(",",SUBSTITUTE(D38,"|",REPT(",",LEN(D38)),3))-FIND(",",SUBSTITUTE(D38,"|",REPT(",",LEN(D38)),2))-1)</f>
        <v/>
      </c>
      <c r="K38">
        <f>MID(D38,FIND(",",SUBSTITUTE(D38,"|",REPT(",",LEN(D38)),3))+1,FIND(",",SUBSTITUTE(D38,"|",REPT(",",LEN(D38)),4))-FIND(",",SUBSTITUTE(D38,"|",REPT(",",LEN(D38)),3))-1)</f>
        <v/>
      </c>
      <c r="L38">
        <f>MID(D38,FIND(",",SUBSTITUTE(D38,"|",REPT(",",LEN(D38)),4))+1,FIND(",",SUBSTITUTE(D38,"|",REPT(",",LEN(D38)),5))-FIND(",",SUBSTITUTE(D38,"|",REPT(",",LEN(D38)),4))-1)</f>
        <v/>
      </c>
      <c r="N38">
        <f>MID(D38,FIND(";",SUBSTITUTE(D38,"|",REPT(";",LEN(D38)),5))+1,LEN(D38))</f>
        <v/>
      </c>
    </row>
    <row r="39">
      <c r="A39" t="inlineStr">
        <is>
          <t>100101</t>
        </is>
      </c>
      <c r="B39" t="inlineStr">
        <is>
          <t>冷轧板材</t>
        </is>
      </c>
      <c r="C39" t="inlineStr">
        <is>
          <t>601315800</t>
        </is>
      </c>
      <c r="D39" t="inlineStr">
        <is>
          <t>冷轧优质碳素结构钢板|钢板|10F|δ1.2|GB/T 13237-1991|冷轧|B,Ⅱ,S|GB/T 708-1988</t>
        </is>
      </c>
      <c r="E39" t="inlineStr">
        <is>
          <t>物资名称 冷轧优质碳素结构钢板;物资简称 钢板;牌号 10F;厚度 δ1.2;宽 ;长 ;技术标准号 GB/T 13237-1991;加工工艺 冷轧;热处理工艺 ;特殊要求 B,Ⅱ,S;规格标准号 GB/T 708-1988</t>
        </is>
      </c>
      <c r="F39" t="inlineStr">
        <is>
          <t>千克</t>
        </is>
      </c>
      <c r="G39">
        <f>LEFT(D39,FIND("|",D39,1)-1)</f>
        <v/>
      </c>
      <c r="H39">
        <f>MID(D39,FIND("|",D39,FIND("|",D39,1))+1,FIND("|",D39,FIND("|",D39,1)+1)-FIND("|",D39,FIND("|",D39,1))-1)</f>
        <v/>
      </c>
      <c r="J39">
        <f>MID(D39,FIND(",",SUBSTITUTE(D39,"|",REPT(",",LEN(D39)),2))+1,FIND(",",SUBSTITUTE(D39,"|",REPT(",",LEN(D39)),3))-FIND(",",SUBSTITUTE(D39,"|",REPT(",",LEN(D39)),2))-1)</f>
        <v/>
      </c>
      <c r="K39">
        <f>MID(D39,FIND(",",SUBSTITUTE(D39,"|",REPT(",",LEN(D39)),3))+1,FIND(",",SUBSTITUTE(D39,"|",REPT(",",LEN(D39)),4))-FIND(",",SUBSTITUTE(D39,"|",REPT(",",LEN(D39)),3))-1)</f>
        <v/>
      </c>
      <c r="L39">
        <f>MID(D39,FIND(",",SUBSTITUTE(D39,"|",REPT(",",LEN(D39)),4))+1,FIND(",",SUBSTITUTE(D39,"|",REPT(",",LEN(D39)),5))-FIND(",",SUBSTITUTE(D39,"|",REPT(",",LEN(D39)),4))-1)</f>
        <v/>
      </c>
      <c r="M39">
        <f>MID(D39,FIND(";",SUBSTITUTE(D39,"|",REPT(";",LEN(D39)),7))+1,LEN(D39))</f>
        <v/>
      </c>
      <c r="N39">
        <f>MID(D39,FIND(",",SUBSTITUTE(D39,"|",REPT(",",LEN(D39)),5))+1,FIND(",",SUBSTITUTE(D39,"|",REPT(",",LEN(D39)),6))-FIND(",",SUBSTITUTE(D39,"|",REPT(",",LEN(D39)),5))-1)</f>
        <v/>
      </c>
      <c r="P39">
        <f>MID(D39,FIND(";",SUBSTITUTE(D39,"|",REPT(";",LEN(D39)),6))+1,FIND(";",SUBSTITUTE(D39,"|",REPT(";",LEN(D39)),7))-FIND(";",SUBSTITUTE(D39,"|",REPT(";",LEN(D39)),6))-1)</f>
        <v/>
      </c>
    </row>
    <row r="40">
      <c r="A40" t="inlineStr">
        <is>
          <t>100101</t>
        </is>
      </c>
      <c r="B40" t="inlineStr">
        <is>
          <t>冷轧板材</t>
        </is>
      </c>
      <c r="C40" t="inlineStr">
        <is>
          <t>601315700</t>
        </is>
      </c>
      <c r="D40" t="inlineStr">
        <is>
          <t>冷轧优质碳素结构钢板|钢板|20|δ5×1300×2010|冷轧</t>
        </is>
      </c>
      <c r="E40" t="inlineStr">
        <is>
          <t xml:space="preserve">物资名称 冷轧优质碳素结构钢板;物资简称 钢板;牌号 20;厚度 δ5;宽 1300;长 2010;技术标准号 ;加工工艺 冷轧;热处理工艺 ;特殊要求 ;规格标准号 </t>
        </is>
      </c>
      <c r="F40" t="inlineStr">
        <is>
          <t>千克</t>
        </is>
      </c>
      <c r="G40">
        <f>LEFT(D40,FIND("|",D40,1)-1)</f>
        <v/>
      </c>
      <c r="H40">
        <f>MID(D40,FIND("|",D40,FIND("|",D40,1))+1,FIND("|",D40,FIND("|",D40,1)+1)-FIND("|",D40,FIND("|",D40,1))-1)</f>
        <v/>
      </c>
      <c r="J40">
        <f>MID(D40,FIND(",",SUBSTITUTE(D40,"|",REPT(",",LEN(D40)),2))+1,FIND(",",SUBSTITUTE(D40,"|",REPT(",",LEN(D40)),3))-FIND(",",SUBSTITUTE(D40,"|",REPT(",",LEN(D40)),2))-1)</f>
        <v/>
      </c>
      <c r="K40">
        <f>MID(D40,FIND(",",SUBSTITUTE(D40,"|",REPT(",",LEN(D40)),3))+1,FIND(",",SUBSTITUTE(D40,"|",REPT(",",LEN(D40)),4))-FIND(",",SUBSTITUTE(D40,"|",REPT(",",LEN(D40)),3))-1)</f>
        <v/>
      </c>
      <c r="N40">
        <f>MID(D40,FIND(";",SUBSTITUTE(D40,"|",REPT(";",LEN(D40)),4))+1,LEN(D40))</f>
        <v/>
      </c>
    </row>
    <row r="41">
      <c r="A41" t="inlineStr">
        <is>
          <t>100101</t>
        </is>
      </c>
      <c r="B41" t="inlineStr">
        <is>
          <t>冷轧板材</t>
        </is>
      </c>
      <c r="C41" t="inlineStr">
        <is>
          <t>601315600</t>
        </is>
      </c>
      <c r="D41" t="inlineStr">
        <is>
          <t>冷轧优质碳素结构钢板|钢板|Q235A|δ6|冷轧</t>
        </is>
      </c>
      <c r="E41" t="inlineStr">
        <is>
          <t xml:space="preserve">物资名称 冷轧优质碳素结构钢板;物资简称 钢板;牌号 Q235A;厚度 δ6;宽 ;长 ;技术标准号 ;加工工艺 冷轧;热处理工艺 ;特殊要求 ;规格标准号 </t>
        </is>
      </c>
      <c r="F41" t="inlineStr">
        <is>
          <t>千克</t>
        </is>
      </c>
      <c r="G41">
        <f>LEFT(D41,FIND("|",D41,1)-1)</f>
        <v/>
      </c>
      <c r="H41">
        <f>MID(D41,FIND("|",D41,FIND("|",D41,1))+1,FIND("|",D41,FIND("|",D41,1)+1)-FIND("|",D41,FIND("|",D41,1))-1)</f>
        <v/>
      </c>
      <c r="J41">
        <f>MID(D41,FIND(",",SUBSTITUTE(D41,"|",REPT(",",LEN(D41)),2))+1,FIND(",",SUBSTITUTE(D41,"|",REPT(",",LEN(D41)),3))-FIND(",",SUBSTITUTE(D41,"|",REPT(",",LEN(D41)),2))-1)</f>
        <v/>
      </c>
      <c r="K41">
        <f>MID(D41,FIND(",",SUBSTITUTE(D41,"|",REPT(",",LEN(D41)),3))+1,FIND(",",SUBSTITUTE(D41,"|",REPT(",",LEN(D41)),4))-FIND(",",SUBSTITUTE(D41,"|",REPT(",",LEN(D41)),3))-1)</f>
        <v/>
      </c>
      <c r="N41">
        <f>MID(D41,FIND(";",SUBSTITUTE(D41,"|",REPT(";",LEN(D41)),4))+1,LEN(D41))</f>
        <v/>
      </c>
    </row>
    <row r="42">
      <c r="A42" t="inlineStr">
        <is>
          <t>100101</t>
        </is>
      </c>
      <c r="B42" t="inlineStr">
        <is>
          <t>冷轧板材</t>
        </is>
      </c>
      <c r="C42" t="inlineStr">
        <is>
          <t>601315500</t>
        </is>
      </c>
      <c r="D42" t="inlineStr">
        <is>
          <t>钢板|钢板|ST12|δ1</t>
        </is>
      </c>
      <c r="E42" t="inlineStr">
        <is>
          <t xml:space="preserve">物资名称 钢板;物资简称 钢板;牌号 ST12;厚度 δ1;宽 ;长 ;技术标准号 ;加工工艺 ;热处理工艺 ;特殊要求 ;规格标准号 </t>
        </is>
      </c>
      <c r="F42" t="inlineStr">
        <is>
          <t>千克</t>
        </is>
      </c>
      <c r="G42">
        <f>LEFT(D42,FIND("|",D42,1)-1)</f>
        <v/>
      </c>
      <c r="H42">
        <f>MID(D42,FIND("|",D42,FIND("|",D42,1))+1,FIND("|",D42,FIND("|",D42,1)+1)-FIND("|",D42,FIND("|",D42,1))-1)</f>
        <v/>
      </c>
      <c r="J42">
        <f>MID(D42,FIND(",",SUBSTITUTE(D42,"|",REPT(",",LEN(D42)),2))+1,FIND(",",SUBSTITUTE(D42,"|",REPT(",",LEN(D42)),3))-FIND(",",SUBSTITUTE(D42,"|",REPT(",",LEN(D42)),2))-1)</f>
        <v/>
      </c>
      <c r="K42">
        <f>MID(D42,FIND(";",SUBSTITUTE(D42,"|",REPT(";",LEN(D42)),3))+1,LEN(D42))</f>
        <v/>
      </c>
    </row>
    <row r="43">
      <c r="A43" t="inlineStr">
        <is>
          <t>100101</t>
        </is>
      </c>
      <c r="B43" t="inlineStr">
        <is>
          <t>冷轧板材</t>
        </is>
      </c>
      <c r="C43" t="inlineStr">
        <is>
          <t>601003200</t>
        </is>
      </c>
      <c r="D43" t="inlineStr">
        <is>
          <t>冷轧航空用不锈钢薄板|不锈钢板|1Cr18Ni9Ti|δ2|GJB 2295-1995|冷轧|GB/T 708-2006</t>
        </is>
      </c>
      <c r="E43" t="inlineStr">
        <is>
          <t>物资名称 冷轧航空用不锈钢薄板;物资简称 不锈钢板;牌号 1Cr18Ni9Ti;厚度 δ2;宽 ;长 ;技术标准号 GJB 2295-1995;加工工艺 冷轧;热处理工艺 ;特殊要求 ;规格标准号 GB/T 708-2006</t>
        </is>
      </c>
      <c r="F43" t="inlineStr">
        <is>
          <t>千克</t>
        </is>
      </c>
      <c r="G43">
        <f>LEFT(D43,FIND("|",D43,1)-1)</f>
        <v/>
      </c>
      <c r="H43">
        <f>MID(D43,FIND("|",D43,FIND("|",D43,1))+1,FIND("|",D43,FIND("|",D43,1)+1)-FIND("|",D43,FIND("|",D43,1))-1)</f>
        <v/>
      </c>
      <c r="J43">
        <f>MID(D43,FIND(",",SUBSTITUTE(D43,"|",REPT(",",LEN(D43)),2))+1,FIND(",",SUBSTITUTE(D43,"|",REPT(",",LEN(D43)),3))-FIND(",",SUBSTITUTE(D43,"|",REPT(",",LEN(D43)),2))-1)</f>
        <v/>
      </c>
      <c r="K43">
        <f>MID(D43,FIND(",",SUBSTITUTE(D43,"|",REPT(",",LEN(D43)),3))+1,FIND(",",SUBSTITUTE(D43,"|",REPT(",",LEN(D43)),4))-FIND(",",SUBSTITUTE(D43,"|",REPT(",",LEN(D43)),3))-1)</f>
        <v/>
      </c>
      <c r="L43">
        <f>MID(D43,FIND(",",SUBSTITUTE(D43,"|",REPT(",",LEN(D43)),4))+1,FIND(",",SUBSTITUTE(D43,"|",REPT(",",LEN(D43)),5))-FIND(",",SUBSTITUTE(D43,"|",REPT(",",LEN(D43)),4))-1)</f>
        <v/>
      </c>
      <c r="M43">
        <f>MID(D43,FIND(";",SUBSTITUTE(D43,"|",REPT(";",LEN(D43)),6))+1,LEN(D43))</f>
        <v/>
      </c>
      <c r="N43">
        <f>MID(D43,FIND(",",SUBSTITUTE(D43,"|",REPT(",",LEN(D43)),5))+1,FIND(",",SUBSTITUTE(D43,"|",REPT(",",LEN(D43)),6))-FIND(",",SUBSTITUTE(D43,"|",REPT(",",LEN(D43)),5))-1)</f>
        <v/>
      </c>
    </row>
    <row r="44">
      <c r="A44" t="inlineStr">
        <is>
          <t>100101</t>
        </is>
      </c>
      <c r="B44" t="inlineStr">
        <is>
          <t>冷轧板材</t>
        </is>
      </c>
      <c r="C44" t="inlineStr">
        <is>
          <t>600999200</t>
        </is>
      </c>
      <c r="D44" t="inlineStr">
        <is>
          <t>冷轧不锈钢板|钢板|1Cr18Ni9Ti|δ10|GB 3280-1992|冷轧|GB/T 708-2006</t>
        </is>
      </c>
      <c r="E44" t="inlineStr">
        <is>
          <t>物资名称 冷轧不锈钢板;物资简称 钢板;牌号 1Cr18Ni9Ti;厚度 δ10;宽 ;长 ;技术标准号 GB 3280-1992;加工工艺 冷轧;热处理工艺 ;特殊要求 ;规格标准号 GB/T 708-2006</t>
        </is>
      </c>
      <c r="F44" t="inlineStr">
        <is>
          <t>千克</t>
        </is>
      </c>
      <c r="G44">
        <f>LEFT(D44,FIND("|",D44,1)-1)</f>
        <v/>
      </c>
      <c r="H44">
        <f>MID(D44,FIND("|",D44,FIND("|",D44,1))+1,FIND("|",D44,FIND("|",D44,1)+1)-FIND("|",D44,FIND("|",D44,1))-1)</f>
        <v/>
      </c>
      <c r="J44">
        <f>MID(D44,FIND(",",SUBSTITUTE(D44,"|",REPT(",",LEN(D44)),2))+1,FIND(",",SUBSTITUTE(D44,"|",REPT(",",LEN(D44)),3))-FIND(",",SUBSTITUTE(D44,"|",REPT(",",LEN(D44)),2))-1)</f>
        <v/>
      </c>
      <c r="K44">
        <f>MID(D44,FIND(",",SUBSTITUTE(D44,"|",REPT(",",LEN(D44)),3))+1,FIND(",",SUBSTITUTE(D44,"|",REPT(",",LEN(D44)),4))-FIND(",",SUBSTITUTE(D44,"|",REPT(",",LEN(D44)),3))-1)</f>
        <v/>
      </c>
      <c r="L44">
        <f>MID(D44,FIND(",",SUBSTITUTE(D44,"|",REPT(",",LEN(D44)),4))+1,FIND(",",SUBSTITUTE(D44,"|",REPT(",",LEN(D44)),5))-FIND(",",SUBSTITUTE(D44,"|",REPT(",",LEN(D44)),4))-1)</f>
        <v/>
      </c>
      <c r="M44">
        <f>MID(D44,FIND(";",SUBSTITUTE(D44,"|",REPT(";",LEN(D44)),6))+1,LEN(D44))</f>
        <v/>
      </c>
      <c r="N44">
        <f>MID(D44,FIND(",",SUBSTITUTE(D44,"|",REPT(",",LEN(D44)),5))+1,FIND(",",SUBSTITUTE(D44,"|",REPT(",",LEN(D44)),6))-FIND(",",SUBSTITUTE(D44,"|",REPT(",",LEN(D44)),5))-1)</f>
        <v/>
      </c>
    </row>
    <row r="45">
      <c r="A45" t="inlineStr">
        <is>
          <t>100101</t>
        </is>
      </c>
      <c r="B45" t="inlineStr">
        <is>
          <t>冷轧板材</t>
        </is>
      </c>
      <c r="C45" t="inlineStr">
        <is>
          <t>600999100</t>
        </is>
      </c>
      <c r="D45" t="inlineStr">
        <is>
          <t>冷轧不锈钢板|钢板|12Cr18Ni9|δ0.15|GB/T 3280-2007|冷轧|GB/T 708-2006</t>
        </is>
      </c>
      <c r="E45" t="inlineStr">
        <is>
          <t>物资名称 冷轧不锈钢板;物资简称 钢板;牌号 12Cr18Ni9;厚度 δ0.15;宽 ;长 ;技术标准号 GB/T 3280-2007;加工工艺 冷轧;热处理工艺 ;特殊要求 ;规格标准号 GB/T 708-2006</t>
        </is>
      </c>
      <c r="F45" t="inlineStr">
        <is>
          <t>千克</t>
        </is>
      </c>
      <c r="G45">
        <f>LEFT(D45,FIND("|",D45,1)-1)</f>
        <v/>
      </c>
      <c r="H45">
        <f>MID(D45,FIND("|",D45,FIND("|",D45,1))+1,FIND("|",D45,FIND("|",D45,1)+1)-FIND("|",D45,FIND("|",D45,1))-1)</f>
        <v/>
      </c>
      <c r="J45">
        <f>MID(D45,FIND(",",SUBSTITUTE(D45,"|",REPT(",",LEN(D45)),2))+1,FIND(",",SUBSTITUTE(D45,"|",REPT(",",LEN(D45)),3))-FIND(",",SUBSTITUTE(D45,"|",REPT(",",LEN(D45)),2))-1)</f>
        <v/>
      </c>
      <c r="K45">
        <f>MID(D45,FIND(",",SUBSTITUTE(D45,"|",REPT(",",LEN(D45)),3))+1,FIND(",",SUBSTITUTE(D45,"|",REPT(",",LEN(D45)),4))-FIND(",",SUBSTITUTE(D45,"|",REPT(",",LEN(D45)),3))-1)</f>
        <v/>
      </c>
      <c r="L45">
        <f>MID(D45,FIND(",",SUBSTITUTE(D45,"|",REPT(",",LEN(D45)),4))+1,FIND(",",SUBSTITUTE(D45,"|",REPT(",",LEN(D45)),5))-FIND(",",SUBSTITUTE(D45,"|",REPT(",",LEN(D45)),4))-1)</f>
        <v/>
      </c>
      <c r="M45">
        <f>MID(D45,FIND(";",SUBSTITUTE(D45,"|",REPT(";",LEN(D45)),6))+1,LEN(D45))</f>
        <v/>
      </c>
      <c r="N45">
        <f>MID(D45,FIND(",",SUBSTITUTE(D45,"|",REPT(",",LEN(D45)),5))+1,FIND(",",SUBSTITUTE(D45,"|",REPT(",",LEN(D45)),6))-FIND(",",SUBSTITUTE(D45,"|",REPT(",",LEN(D45)),5))-1)</f>
        <v/>
      </c>
    </row>
    <row r="46">
      <c r="A46" t="inlineStr">
        <is>
          <t>100101</t>
        </is>
      </c>
      <c r="B46" t="inlineStr">
        <is>
          <t>冷轧板材</t>
        </is>
      </c>
      <c r="C46" t="inlineStr">
        <is>
          <t>600999000</t>
        </is>
      </c>
      <c r="D46" t="inlineStr">
        <is>
          <t>冷轧不锈钢板|钢板|12Cr18Ni9|δ0.25|GB/T 3280-2007|冷轧|GB/T 708-2006</t>
        </is>
      </c>
      <c r="E46" t="inlineStr">
        <is>
          <t>物资名称 冷轧不锈钢板;物资简称 钢板;牌号 12Cr18Ni9;厚度 δ0.25;宽 ;长 ;技术标准号 GB/T 3280-2007;加工工艺 冷轧;热处理工艺 ;特殊要求 ;规格标准号 GB/T 708-2006</t>
        </is>
      </c>
      <c r="F46" t="inlineStr">
        <is>
          <t>千克</t>
        </is>
      </c>
      <c r="G46">
        <f>LEFT(D46,FIND("|",D46,1)-1)</f>
        <v/>
      </c>
      <c r="H46">
        <f>MID(D46,FIND("|",D46,FIND("|",D46,1))+1,FIND("|",D46,FIND("|",D46,1)+1)-FIND("|",D46,FIND("|",D46,1))-1)</f>
        <v/>
      </c>
      <c r="J46">
        <f>MID(D46,FIND(",",SUBSTITUTE(D46,"|",REPT(",",LEN(D46)),2))+1,FIND(",",SUBSTITUTE(D46,"|",REPT(",",LEN(D46)),3))-FIND(",",SUBSTITUTE(D46,"|",REPT(",",LEN(D46)),2))-1)</f>
        <v/>
      </c>
      <c r="K46">
        <f>MID(D46,FIND(",",SUBSTITUTE(D46,"|",REPT(",",LEN(D46)),3))+1,FIND(",",SUBSTITUTE(D46,"|",REPT(",",LEN(D46)),4))-FIND(",",SUBSTITUTE(D46,"|",REPT(",",LEN(D46)),3))-1)</f>
        <v/>
      </c>
      <c r="L46">
        <f>MID(D46,FIND(",",SUBSTITUTE(D46,"|",REPT(",",LEN(D46)),4))+1,FIND(",",SUBSTITUTE(D46,"|",REPT(",",LEN(D46)),5))-FIND(",",SUBSTITUTE(D46,"|",REPT(",",LEN(D46)),4))-1)</f>
        <v/>
      </c>
      <c r="M46">
        <f>MID(D46,FIND(";",SUBSTITUTE(D46,"|",REPT(";",LEN(D46)),6))+1,LEN(D46))</f>
        <v/>
      </c>
      <c r="N46">
        <f>MID(D46,FIND(",",SUBSTITUTE(D46,"|",REPT(",",LEN(D46)),5))+1,FIND(",",SUBSTITUTE(D46,"|",REPT(",",LEN(D46)),6))-FIND(",",SUBSTITUTE(D46,"|",REPT(",",LEN(D46)),5))-1)</f>
        <v/>
      </c>
    </row>
    <row r="47">
      <c r="A47" t="inlineStr">
        <is>
          <t>100101</t>
        </is>
      </c>
      <c r="B47" t="inlineStr">
        <is>
          <t>冷轧板材</t>
        </is>
      </c>
      <c r="C47" t="inlineStr">
        <is>
          <t>600994500</t>
        </is>
      </c>
      <c r="D47" t="inlineStr">
        <is>
          <t>冷轧不锈钢板|钢板|12Cr18Ni9|δ0.7|GB/T 3280-2007|冷轧|GB/T 708-2006</t>
        </is>
      </c>
      <c r="E47" t="inlineStr">
        <is>
          <t>物资名称 冷轧不锈钢板;物资简称 钢板;牌号 12Cr18Ni9;厚度 δ0.7;宽 ;长 ;技术标准号 GB/T 3280-2007;加工工艺 冷轧;热处理工艺 ;特殊要求 ;规格标准号 GB/T 708-2006</t>
        </is>
      </c>
      <c r="F47" t="inlineStr">
        <is>
          <t>千克</t>
        </is>
      </c>
      <c r="G47">
        <f>LEFT(D47,FIND("|",D47,1)-1)</f>
        <v/>
      </c>
      <c r="H47">
        <f>MID(D47,FIND("|",D47,FIND("|",D47,1))+1,FIND("|",D47,FIND("|",D47,1)+1)-FIND("|",D47,FIND("|",D47,1))-1)</f>
        <v/>
      </c>
      <c r="J47">
        <f>MID(D47,FIND(",",SUBSTITUTE(D47,"|",REPT(",",LEN(D47)),2))+1,FIND(",",SUBSTITUTE(D47,"|",REPT(",",LEN(D47)),3))-FIND(",",SUBSTITUTE(D47,"|",REPT(",",LEN(D47)),2))-1)</f>
        <v/>
      </c>
      <c r="K47">
        <f>MID(D47,FIND(",",SUBSTITUTE(D47,"|",REPT(",",LEN(D47)),3))+1,FIND(",",SUBSTITUTE(D47,"|",REPT(",",LEN(D47)),4))-FIND(",",SUBSTITUTE(D47,"|",REPT(",",LEN(D47)),3))-1)</f>
        <v/>
      </c>
      <c r="L47">
        <f>MID(D47,FIND(",",SUBSTITUTE(D47,"|",REPT(",",LEN(D47)),4))+1,FIND(",",SUBSTITUTE(D47,"|",REPT(",",LEN(D47)),5))-FIND(",",SUBSTITUTE(D47,"|",REPT(",",LEN(D47)),4))-1)</f>
        <v/>
      </c>
      <c r="M47">
        <f>MID(D47,FIND(";",SUBSTITUTE(D47,"|",REPT(";",LEN(D47)),6))+1,LEN(D47))</f>
        <v/>
      </c>
      <c r="N47">
        <f>MID(D47,FIND(",",SUBSTITUTE(D47,"|",REPT(",",LEN(D47)),5))+1,FIND(",",SUBSTITUTE(D47,"|",REPT(",",LEN(D47)),6))-FIND(",",SUBSTITUTE(D47,"|",REPT(",",LEN(D47)),5))-1)</f>
        <v/>
      </c>
    </row>
    <row r="48">
      <c r="A48" t="inlineStr">
        <is>
          <t>100101</t>
        </is>
      </c>
      <c r="B48" t="inlineStr">
        <is>
          <t>冷轧板材</t>
        </is>
      </c>
      <c r="C48" t="inlineStr">
        <is>
          <t>600994400</t>
        </is>
      </c>
      <c r="D48" t="inlineStr">
        <is>
          <t>冷轧不锈钢板|钢板|12Cr18Ni9|δ1|GB/T 3280-2007|冷轧|GB/T 708-2006</t>
        </is>
      </c>
      <c r="E48" t="inlineStr">
        <is>
          <t>物资名称 冷轧不锈钢板;物资简称 钢板;牌号 12Cr18Ni9;厚度 δ1;宽 ;长 ;技术标准号 GB/T 3280-2007;加工工艺 冷轧;热处理工艺 ;特殊要求 ;规格标准号 GB/T 708-2006</t>
        </is>
      </c>
      <c r="F48" t="inlineStr">
        <is>
          <t>千克</t>
        </is>
      </c>
      <c r="G48">
        <f>LEFT(D48,FIND("|",D48,1)-1)</f>
        <v/>
      </c>
      <c r="H48">
        <f>MID(D48,FIND("|",D48,FIND("|",D48,1))+1,FIND("|",D48,FIND("|",D48,1)+1)-FIND("|",D48,FIND("|",D48,1))-1)</f>
        <v/>
      </c>
      <c r="J48">
        <f>MID(D48,FIND(",",SUBSTITUTE(D48,"|",REPT(",",LEN(D48)),2))+1,FIND(",",SUBSTITUTE(D48,"|",REPT(",",LEN(D48)),3))-FIND(",",SUBSTITUTE(D48,"|",REPT(",",LEN(D48)),2))-1)</f>
        <v/>
      </c>
      <c r="K48">
        <f>MID(D48,FIND(",",SUBSTITUTE(D48,"|",REPT(",",LEN(D48)),3))+1,FIND(",",SUBSTITUTE(D48,"|",REPT(",",LEN(D48)),4))-FIND(",",SUBSTITUTE(D48,"|",REPT(",",LEN(D48)),3))-1)</f>
        <v/>
      </c>
      <c r="L48">
        <f>MID(D48,FIND(",",SUBSTITUTE(D48,"|",REPT(",",LEN(D48)),4))+1,FIND(",",SUBSTITUTE(D48,"|",REPT(",",LEN(D48)),5))-FIND(",",SUBSTITUTE(D48,"|",REPT(",",LEN(D48)),4))-1)</f>
        <v/>
      </c>
      <c r="M48">
        <f>MID(D48,FIND(";",SUBSTITUTE(D48,"|",REPT(";",LEN(D48)),6))+1,LEN(D48))</f>
        <v/>
      </c>
      <c r="N48">
        <f>MID(D48,FIND(",",SUBSTITUTE(D48,"|",REPT(",",LEN(D48)),5))+1,FIND(",",SUBSTITUTE(D48,"|",REPT(",",LEN(D48)),6))-FIND(",",SUBSTITUTE(D48,"|",REPT(",",LEN(D48)),5))-1)</f>
        <v/>
      </c>
    </row>
    <row r="49">
      <c r="A49" t="inlineStr">
        <is>
          <t>100101</t>
        </is>
      </c>
      <c r="B49" t="inlineStr">
        <is>
          <t>冷轧板材</t>
        </is>
      </c>
      <c r="C49" t="inlineStr">
        <is>
          <t>600994300</t>
        </is>
      </c>
      <c r="D49" t="inlineStr">
        <is>
          <t>冷轧不锈钢板|钢板|12Cr18Ni9|δ2|GB/T 3280-2007|冷轧|GB/T 708-2006</t>
        </is>
      </c>
      <c r="E49" t="inlineStr">
        <is>
          <t>物资名称 冷轧不锈钢板;物资简称 钢板;牌号 12Cr18Ni9;厚度 δ2;宽 ;长 ;技术标准号 GB/T 3280-2007;加工工艺 冷轧;热处理工艺 ;特殊要求 ;规格标准号 GB/T 708-2006</t>
        </is>
      </c>
      <c r="F49" t="inlineStr">
        <is>
          <t>千克</t>
        </is>
      </c>
      <c r="G49">
        <f>LEFT(D49,FIND("|",D49,1)-1)</f>
        <v/>
      </c>
      <c r="H49">
        <f>MID(D49,FIND("|",D49,FIND("|",D49,1))+1,FIND("|",D49,FIND("|",D49,1)+1)-FIND("|",D49,FIND("|",D49,1))-1)</f>
        <v/>
      </c>
      <c r="J49">
        <f>MID(D49,FIND(",",SUBSTITUTE(D49,"|",REPT(",",LEN(D49)),2))+1,FIND(",",SUBSTITUTE(D49,"|",REPT(",",LEN(D49)),3))-FIND(",",SUBSTITUTE(D49,"|",REPT(",",LEN(D49)),2))-1)</f>
        <v/>
      </c>
      <c r="K49">
        <f>MID(D49,FIND(",",SUBSTITUTE(D49,"|",REPT(",",LEN(D49)),3))+1,FIND(",",SUBSTITUTE(D49,"|",REPT(",",LEN(D49)),4))-FIND(",",SUBSTITUTE(D49,"|",REPT(",",LEN(D49)),3))-1)</f>
        <v/>
      </c>
      <c r="L49">
        <f>MID(D49,FIND(",",SUBSTITUTE(D49,"|",REPT(",",LEN(D49)),4))+1,FIND(",",SUBSTITUTE(D49,"|",REPT(",",LEN(D49)),5))-FIND(",",SUBSTITUTE(D49,"|",REPT(",",LEN(D49)),4))-1)</f>
        <v/>
      </c>
      <c r="M49">
        <f>MID(D49,FIND(";",SUBSTITUTE(D49,"|",REPT(";",LEN(D49)),6))+1,LEN(D49))</f>
        <v/>
      </c>
      <c r="N49">
        <f>MID(D49,FIND(",",SUBSTITUTE(D49,"|",REPT(",",LEN(D49)),5))+1,FIND(",",SUBSTITUTE(D49,"|",REPT(",",LEN(D49)),6))-FIND(",",SUBSTITUTE(D49,"|",REPT(",",LEN(D49)),5))-1)</f>
        <v/>
      </c>
    </row>
    <row r="50">
      <c r="A50" t="inlineStr">
        <is>
          <t>100101</t>
        </is>
      </c>
      <c r="B50" t="inlineStr">
        <is>
          <t>冷轧板材</t>
        </is>
      </c>
      <c r="C50" t="inlineStr">
        <is>
          <t>600994200</t>
        </is>
      </c>
      <c r="D50" t="inlineStr">
        <is>
          <t>冷轧不锈钢板|钢板|12Cr18Ni9|δ10|GB/T 3280-2007|冷轧|GB/T 708-2006</t>
        </is>
      </c>
      <c r="E50" t="inlineStr">
        <is>
          <t>物资名称 冷轧不锈钢板;物资简称 钢板;牌号 12Cr18Ni9;厚度 δ10;宽 ;长 ;技术标准号 GB/T 3280-2007;加工工艺 冷轧;热处理工艺 ;特殊要求 ;规格标准号 GB/T 708-2006</t>
        </is>
      </c>
      <c r="F50" t="inlineStr">
        <is>
          <t>千克</t>
        </is>
      </c>
      <c r="G50">
        <f>LEFT(D50,FIND("|",D50,1)-1)</f>
        <v/>
      </c>
      <c r="H50">
        <f>MID(D50,FIND("|",D50,FIND("|",D50,1))+1,FIND("|",D50,FIND("|",D50,1)+1)-FIND("|",D50,FIND("|",D50,1))-1)</f>
        <v/>
      </c>
      <c r="J50">
        <f>MID(D50,FIND(",",SUBSTITUTE(D50,"|",REPT(",",LEN(D50)),2))+1,FIND(",",SUBSTITUTE(D50,"|",REPT(",",LEN(D50)),3))-FIND(",",SUBSTITUTE(D50,"|",REPT(",",LEN(D50)),2))-1)</f>
        <v/>
      </c>
      <c r="K50">
        <f>MID(D50,FIND(",",SUBSTITUTE(D50,"|",REPT(",",LEN(D50)),3))+1,FIND(",",SUBSTITUTE(D50,"|",REPT(",",LEN(D50)),4))-FIND(",",SUBSTITUTE(D50,"|",REPT(",",LEN(D50)),3))-1)</f>
        <v/>
      </c>
      <c r="L50">
        <f>MID(D50,FIND(",",SUBSTITUTE(D50,"|",REPT(",",LEN(D50)),4))+1,FIND(",",SUBSTITUTE(D50,"|",REPT(",",LEN(D50)),5))-FIND(",",SUBSTITUTE(D50,"|",REPT(",",LEN(D50)),4))-1)</f>
        <v/>
      </c>
      <c r="M50">
        <f>MID(D50,FIND(";",SUBSTITUTE(D50,"|",REPT(";",LEN(D50)),6))+1,LEN(D50))</f>
        <v/>
      </c>
      <c r="N50">
        <f>MID(D50,FIND(",",SUBSTITUTE(D50,"|",REPT(",",LEN(D50)),5))+1,FIND(",",SUBSTITUTE(D50,"|",REPT(",",LEN(D50)),6))-FIND(",",SUBSTITUTE(D50,"|",REPT(",",LEN(D50)),5))-1)</f>
        <v/>
      </c>
    </row>
    <row r="51">
      <c r="A51" t="inlineStr">
        <is>
          <t>100101</t>
        </is>
      </c>
      <c r="B51" t="inlineStr">
        <is>
          <t>冷轧板材</t>
        </is>
      </c>
      <c r="C51" t="inlineStr">
        <is>
          <t>600983800</t>
        </is>
      </c>
      <c r="D51" t="inlineStr">
        <is>
          <t>冷轧优质碳素结构钢板|钢板|20|δ3|GB/T 11253-1989|B,Ⅱ,P|GB/T 708-1988</t>
        </is>
      </c>
      <c r="E51" t="inlineStr">
        <is>
          <t>物资名称 冷轧优质碳素结构钢板;物资简称 钢板;牌号 20;厚度 δ3;宽 ;长 ;技术标准号 GB/T 11253-1989;加工工艺 ;热处理工艺 ;特殊要求 B,Ⅱ,P;规格标准号 GB/T 708-1988</t>
        </is>
      </c>
      <c r="F51" t="inlineStr">
        <is>
          <t>千克</t>
        </is>
      </c>
      <c r="G51">
        <f>LEFT(D51,FIND("|",D51,1)-1)</f>
        <v/>
      </c>
      <c r="H51">
        <f>MID(D51,FIND("|",D51,FIND("|",D51,1))+1,FIND("|",D51,FIND("|",D51,1)+1)-FIND("|",D51,FIND("|",D51,1))-1)</f>
        <v/>
      </c>
      <c r="J51">
        <f>MID(D51,FIND(",",SUBSTITUTE(D51,"|",REPT(",",LEN(D51)),2))+1,FIND(",",SUBSTITUTE(D51,"|",REPT(",",LEN(D51)),3))-FIND(",",SUBSTITUTE(D51,"|",REPT(",",LEN(D51)),2))-1)</f>
        <v/>
      </c>
      <c r="K51">
        <f>MID(D51,FIND(",",SUBSTITUTE(D51,"|",REPT(",",LEN(D51)),3))+1,FIND(",",SUBSTITUTE(D51,"|",REPT(",",LEN(D51)),4))-FIND(",",SUBSTITUTE(D51,"|",REPT(",",LEN(D51)),3))-1)</f>
        <v/>
      </c>
      <c r="L51">
        <f>MID(D51,FIND(",",SUBSTITUTE(D51,"|",REPT(",",LEN(D51)),4))+1,FIND(",",SUBSTITUTE(D51,"|",REPT(",",LEN(D51)),5))-FIND(",",SUBSTITUTE(D51,"|",REPT(",",LEN(D51)),4))-1)</f>
        <v/>
      </c>
      <c r="M51">
        <f>MID(D51,FIND(";",SUBSTITUTE(D51,"|",REPT(";",LEN(D51)),6))+1,LEN(D51))</f>
        <v/>
      </c>
      <c r="P51">
        <f>MID(D51,FIND(";",SUBSTITUTE(D51,"|",REPT(";",LEN(D51)),5))+1,FIND(";",SUBSTITUTE(D51,"|",REPT(";",LEN(D51)),6))-FIND(";",SUBSTITUTE(D51,"|",REPT(";",LEN(D51)),5))-1)</f>
        <v/>
      </c>
    </row>
    <row r="52">
      <c r="A52" t="inlineStr">
        <is>
          <t>100101</t>
        </is>
      </c>
      <c r="B52" t="inlineStr">
        <is>
          <t>冷轧板材</t>
        </is>
      </c>
      <c r="C52" t="inlineStr">
        <is>
          <t>600979200</t>
        </is>
      </c>
      <c r="D52" t="inlineStr">
        <is>
          <t>冷轧优质碳素结构钢板|钢板|20|δ1.2|GB/T 13237-1991|Ⅱ,P|GB/T 708-2006</t>
        </is>
      </c>
      <c r="E52" t="inlineStr">
        <is>
          <t>物资名称 冷轧优质碳素结构钢板;物资简称 钢板;牌号 20;厚度 δ1.2;宽 ;长 ;技术标准号 GB/T 13237-1991;加工工艺 ;热处理工艺 ;特殊要求 Ⅱ,P;规格标准号 GB/T 708-2006</t>
        </is>
      </c>
      <c r="F52" t="inlineStr">
        <is>
          <t>千克</t>
        </is>
      </c>
      <c r="G52">
        <f>LEFT(D52,FIND("|",D52,1)-1)</f>
        <v/>
      </c>
      <c r="H52">
        <f>MID(D52,FIND("|",D52,FIND("|",D52,1))+1,FIND("|",D52,FIND("|",D52,1)+1)-FIND("|",D52,FIND("|",D52,1))-1)</f>
        <v/>
      </c>
      <c r="J52">
        <f>MID(D52,FIND(",",SUBSTITUTE(D52,"|",REPT(",",LEN(D52)),2))+1,FIND(",",SUBSTITUTE(D52,"|",REPT(",",LEN(D52)),3))-FIND(",",SUBSTITUTE(D52,"|",REPT(",",LEN(D52)),2))-1)</f>
        <v/>
      </c>
      <c r="K52">
        <f>MID(D52,FIND(",",SUBSTITUTE(D52,"|",REPT(",",LEN(D52)),3))+1,FIND(",",SUBSTITUTE(D52,"|",REPT(",",LEN(D52)),4))-FIND(",",SUBSTITUTE(D52,"|",REPT(",",LEN(D52)),3))-1)</f>
        <v/>
      </c>
      <c r="L52">
        <f>MID(D52,FIND(",",SUBSTITUTE(D52,"|",REPT(",",LEN(D52)),4))+1,FIND(",",SUBSTITUTE(D52,"|",REPT(",",LEN(D52)),5))-FIND(",",SUBSTITUTE(D52,"|",REPT(",",LEN(D52)),4))-1)</f>
        <v/>
      </c>
      <c r="M52">
        <f>MID(D52,FIND(";",SUBSTITUTE(D52,"|",REPT(";",LEN(D52)),6))+1,LEN(D52))</f>
        <v/>
      </c>
      <c r="P52">
        <f>MID(D52,FIND(";",SUBSTITUTE(D52,"|",REPT(";",LEN(D52)),5))+1,FIND(";",SUBSTITUTE(D52,"|",REPT(";",LEN(D52)),6))-FIND(";",SUBSTITUTE(D52,"|",REPT(";",LEN(D52)),5))-1)</f>
        <v/>
      </c>
    </row>
    <row r="53">
      <c r="A53" t="inlineStr">
        <is>
          <t>100101</t>
        </is>
      </c>
      <c r="B53" t="inlineStr">
        <is>
          <t>冷轧板材</t>
        </is>
      </c>
      <c r="C53" t="inlineStr">
        <is>
          <t>600978400</t>
        </is>
      </c>
      <c r="D53" t="inlineStr">
        <is>
          <t>冷轧优质碳素结构钢板|钢板|20|δ1.2|GB/T 13237-1991|冷轧</t>
        </is>
      </c>
      <c r="E53" t="inlineStr">
        <is>
          <t xml:space="preserve">物资名称 冷轧优质碳素结构钢板;物资简称 钢板;牌号 20;厚度 δ1.2;宽 ;长 ;技术标准号 GB/T 13237-1991;加工工艺 冷轧;热处理工艺 ;特殊要求 ;规格标准号 </t>
        </is>
      </c>
      <c r="F53" t="inlineStr">
        <is>
          <t>千克</t>
        </is>
      </c>
      <c r="G53">
        <f>LEFT(D53,FIND("|",D53,1)-1)</f>
        <v/>
      </c>
      <c r="H53">
        <f>MID(D53,FIND("|",D53,FIND("|",D53,1))+1,FIND("|",D53,FIND("|",D53,1)+1)-FIND("|",D53,FIND("|",D53,1))-1)</f>
        <v/>
      </c>
      <c r="J53">
        <f>MID(D53,FIND(",",SUBSTITUTE(D53,"|",REPT(",",LEN(D53)),2))+1,FIND(",",SUBSTITUTE(D53,"|",REPT(",",LEN(D53)),3))-FIND(",",SUBSTITUTE(D53,"|",REPT(",",LEN(D53)),2))-1)</f>
        <v/>
      </c>
      <c r="K53">
        <f>MID(D53,FIND(",",SUBSTITUTE(D53,"|",REPT(",",LEN(D53)),3))+1,FIND(",",SUBSTITUTE(D53,"|",REPT(",",LEN(D53)),4))-FIND(",",SUBSTITUTE(D53,"|",REPT(",",LEN(D53)),3))-1)</f>
        <v/>
      </c>
      <c r="L53">
        <f>MID(D53,FIND(",",SUBSTITUTE(D53,"|",REPT(",",LEN(D53)),4))+1,FIND(",",SUBSTITUTE(D53,"|",REPT(",",LEN(D53)),5))-FIND(",",SUBSTITUTE(D53,"|",REPT(",",LEN(D53)),4))-1)</f>
        <v/>
      </c>
      <c r="N53">
        <f>MID(D53,FIND(";",SUBSTITUTE(D53,"|",REPT(";",LEN(D53)),5))+1,LEN(D53))</f>
        <v/>
      </c>
    </row>
    <row r="54">
      <c r="A54" t="inlineStr">
        <is>
          <t>100101</t>
        </is>
      </c>
      <c r="B54" t="inlineStr">
        <is>
          <t>冷轧板材</t>
        </is>
      </c>
      <c r="C54" t="inlineStr">
        <is>
          <t>600977300</t>
        </is>
      </c>
      <c r="D54" t="inlineStr">
        <is>
          <t>冷轧优质碳素结构钢板|钢板|20|δ1|GB/T 13237-1991|B,Ⅱ,P|GB/T 708-1988</t>
        </is>
      </c>
      <c r="E54" t="inlineStr">
        <is>
          <t>物资名称 冷轧优质碳素结构钢板;物资简称 钢板;牌号 20;厚度 δ1;宽 ;长 ;技术标准号 GB/T 13237-1991;加工工艺 ;热处理工艺 ;特殊要求 B,Ⅱ,P;规格标准号 GB/T 708-1988</t>
        </is>
      </c>
      <c r="F54" t="inlineStr">
        <is>
          <t>千克</t>
        </is>
      </c>
      <c r="G54">
        <f>LEFT(D54,FIND("|",D54,1)-1)</f>
        <v/>
      </c>
      <c r="H54">
        <f>MID(D54,FIND("|",D54,FIND("|",D54,1))+1,FIND("|",D54,FIND("|",D54,1)+1)-FIND("|",D54,FIND("|",D54,1))-1)</f>
        <v/>
      </c>
      <c r="J54">
        <f>MID(D54,FIND(",",SUBSTITUTE(D54,"|",REPT(",",LEN(D54)),2))+1,FIND(",",SUBSTITUTE(D54,"|",REPT(",",LEN(D54)),3))-FIND(",",SUBSTITUTE(D54,"|",REPT(",",LEN(D54)),2))-1)</f>
        <v/>
      </c>
      <c r="K54">
        <f>MID(D54,FIND(",",SUBSTITUTE(D54,"|",REPT(",",LEN(D54)),3))+1,FIND(",",SUBSTITUTE(D54,"|",REPT(",",LEN(D54)),4))-FIND(",",SUBSTITUTE(D54,"|",REPT(",",LEN(D54)),3))-1)</f>
        <v/>
      </c>
      <c r="L54">
        <f>MID(D54,FIND(",",SUBSTITUTE(D54,"|",REPT(",",LEN(D54)),4))+1,FIND(",",SUBSTITUTE(D54,"|",REPT(",",LEN(D54)),5))-FIND(",",SUBSTITUTE(D54,"|",REPT(",",LEN(D54)),4))-1)</f>
        <v/>
      </c>
      <c r="M54">
        <f>MID(D54,FIND(";",SUBSTITUTE(D54,"|",REPT(";",LEN(D54)),6))+1,LEN(D54))</f>
        <v/>
      </c>
      <c r="P54">
        <f>MID(D54,FIND(";",SUBSTITUTE(D54,"|",REPT(";",LEN(D54)),5))+1,FIND(";",SUBSTITUTE(D54,"|",REPT(";",LEN(D54)),6))-FIND(";",SUBSTITUTE(D54,"|",REPT(";",LEN(D54)),5))-1)</f>
        <v/>
      </c>
    </row>
    <row r="55">
      <c r="A55" t="inlineStr">
        <is>
          <t>100101</t>
        </is>
      </c>
      <c r="B55" t="inlineStr">
        <is>
          <t>冷轧板材</t>
        </is>
      </c>
      <c r="C55" t="inlineStr">
        <is>
          <t>600977200</t>
        </is>
      </c>
      <c r="D55" t="inlineStr">
        <is>
          <t>冷轧优质碳素结构钢板|钢板|20|δ2|GB/T 13237-1991|B,Ⅱ,P|GB/T 708-1988</t>
        </is>
      </c>
      <c r="E55" t="inlineStr">
        <is>
          <t>物资名称 冷轧优质碳素结构钢板;物资简称 钢板;牌号 20;厚度 δ2;宽 ;长 ;技术标准号 GB/T 13237-1991;加工工艺 ;热处理工艺 ;特殊要求 B,Ⅱ,P;规格标准号 GB/T 708-1988</t>
        </is>
      </c>
      <c r="F55" t="inlineStr">
        <is>
          <t>千克</t>
        </is>
      </c>
      <c r="G55">
        <f>LEFT(D55,FIND("|",D55,1)-1)</f>
        <v/>
      </c>
      <c r="H55">
        <f>MID(D55,FIND("|",D55,FIND("|",D55,1))+1,FIND("|",D55,FIND("|",D55,1)+1)-FIND("|",D55,FIND("|",D55,1))-1)</f>
        <v/>
      </c>
      <c r="J55">
        <f>MID(D55,FIND(",",SUBSTITUTE(D55,"|",REPT(",",LEN(D55)),2))+1,FIND(",",SUBSTITUTE(D55,"|",REPT(",",LEN(D55)),3))-FIND(",",SUBSTITUTE(D55,"|",REPT(",",LEN(D55)),2))-1)</f>
        <v/>
      </c>
      <c r="K55">
        <f>MID(D55,FIND(",",SUBSTITUTE(D55,"|",REPT(",",LEN(D55)),3))+1,FIND(",",SUBSTITUTE(D55,"|",REPT(",",LEN(D55)),4))-FIND(",",SUBSTITUTE(D55,"|",REPT(",",LEN(D55)),3))-1)</f>
        <v/>
      </c>
      <c r="L55">
        <f>MID(D55,FIND(",",SUBSTITUTE(D55,"|",REPT(",",LEN(D55)),4))+1,FIND(",",SUBSTITUTE(D55,"|",REPT(",",LEN(D55)),5))-FIND(",",SUBSTITUTE(D55,"|",REPT(",",LEN(D55)),4))-1)</f>
        <v/>
      </c>
      <c r="M55">
        <f>MID(D55,FIND(";",SUBSTITUTE(D55,"|",REPT(";",LEN(D55)),6))+1,LEN(D55))</f>
        <v/>
      </c>
      <c r="P55">
        <f>MID(D55,FIND(";",SUBSTITUTE(D55,"|",REPT(";",LEN(D55)),5))+1,FIND(";",SUBSTITUTE(D55,"|",REPT(";",LEN(D55)),6))-FIND(";",SUBSTITUTE(D55,"|",REPT(";",LEN(D55)),5))-1)</f>
        <v/>
      </c>
    </row>
    <row r="56">
      <c r="A56" t="inlineStr">
        <is>
          <t>100101</t>
        </is>
      </c>
      <c r="B56" t="inlineStr">
        <is>
          <t>冷轧板材</t>
        </is>
      </c>
      <c r="C56" t="inlineStr">
        <is>
          <t>600969000</t>
        </is>
      </c>
      <c r="D56" t="inlineStr">
        <is>
          <t>钢板|钢板|08F-Ⅱ-P|δB-1.5|GB/T 710-1991|GB/T 708-1988</t>
        </is>
      </c>
      <c r="E56" t="inlineStr">
        <is>
          <t>物资名称 钢板;物资简称 钢板;牌号 08F-Ⅱ-P;厚度 δB-1.5;宽 ;长 ;技术标准号 GB/T 710-1991;加工工艺 ;热处理工艺 ;特殊要求 ;规格标准号 GB/T 708-1988</t>
        </is>
      </c>
      <c r="F56" t="inlineStr">
        <is>
          <t>千克</t>
        </is>
      </c>
      <c r="G56">
        <f>LEFT(D56,FIND("|",D56,1)-1)</f>
        <v/>
      </c>
      <c r="H56">
        <f>MID(D56,FIND("|",D56,FIND("|",D56,1))+1,FIND("|",D56,FIND("|",D56,1)+1)-FIND("|",D56,FIND("|",D56,1))-1)</f>
        <v/>
      </c>
      <c r="J56">
        <f>MID(D56,FIND(",",SUBSTITUTE(D56,"|",REPT(",",LEN(D56)),2))+1,FIND(",",SUBSTITUTE(D56,"|",REPT(",",LEN(D56)),3))-FIND(",",SUBSTITUTE(D56,"|",REPT(",",LEN(D56)),2))-1)</f>
        <v/>
      </c>
      <c r="K56">
        <f>MID(D56,FIND(",",SUBSTITUTE(D56,"|",REPT(",",LEN(D56)),3))+1,FIND(",",SUBSTITUTE(D56,"|",REPT(",",LEN(D56)),4))-FIND(",",SUBSTITUTE(D56,"|",REPT(",",LEN(D56)),3))-1)</f>
        <v/>
      </c>
      <c r="L56">
        <f>MID(D56,FIND(",",SUBSTITUTE(D56,"|",REPT(",",LEN(D56)),4))+1,FIND(",",SUBSTITUTE(D56,"|",REPT(",",LEN(D56)),5))-FIND(",",SUBSTITUTE(D56,"|",REPT(",",LEN(D56)),4))-1)</f>
        <v/>
      </c>
      <c r="M56">
        <f>MID(D56,FIND(";",SUBSTITUTE(D56,"|",REPT(";",LEN(D56)),5))+1,LEN(D56))</f>
        <v/>
      </c>
    </row>
    <row r="57">
      <c r="A57" t="inlineStr">
        <is>
          <t>100101</t>
        </is>
      </c>
      <c r="B57" t="inlineStr">
        <is>
          <t>冷轧板材</t>
        </is>
      </c>
      <c r="C57" t="inlineStr">
        <is>
          <t>600950500</t>
        </is>
      </c>
      <c r="D57" t="inlineStr">
        <is>
          <t>钢板|钢板|45\C|δ1.0|GB/T 13237-1991|GB/T 708-88</t>
        </is>
      </c>
      <c r="E57" t="inlineStr">
        <is>
          <t>物资名称 钢板;物资简称 钢板;牌号 45\C;厚度 δ1.0;宽 ;长 ;技术标准号 GB/T 13237-1991;加工工艺 ;热处理工艺 ;特殊要求 ;规格标准号 GB/T 708-88</t>
        </is>
      </c>
      <c r="F57" t="inlineStr">
        <is>
          <t>千克</t>
        </is>
      </c>
      <c r="G57">
        <f>LEFT(D57,FIND("|",D57,1)-1)</f>
        <v/>
      </c>
      <c r="H57">
        <f>MID(D57,FIND("|",D57,FIND("|",D57,1))+1,FIND("|",D57,FIND("|",D57,1)+1)-FIND("|",D57,FIND("|",D57,1))-1)</f>
        <v/>
      </c>
      <c r="J57">
        <f>MID(D57,FIND(",",SUBSTITUTE(D57,"|",REPT(",",LEN(D57)),2))+1,FIND(",",SUBSTITUTE(D57,"|",REPT(",",LEN(D57)),3))-FIND(",",SUBSTITUTE(D57,"|",REPT(",",LEN(D57)),2))-1)</f>
        <v/>
      </c>
      <c r="K57">
        <f>MID(D57,FIND(",",SUBSTITUTE(D57,"|",REPT(",",LEN(D57)),3))+1,FIND(",",SUBSTITUTE(D57,"|",REPT(",",LEN(D57)),4))-FIND(",",SUBSTITUTE(D57,"|",REPT(",",LEN(D57)),3))-1)</f>
        <v/>
      </c>
      <c r="L57">
        <f>MID(D57,FIND(",",SUBSTITUTE(D57,"|",REPT(",",LEN(D57)),4))+1,FIND(",",SUBSTITUTE(D57,"|",REPT(",",LEN(D57)),5))-FIND(",",SUBSTITUTE(D57,"|",REPT(",",LEN(D57)),4))-1)</f>
        <v/>
      </c>
      <c r="M57">
        <f>MID(D57,FIND(";",SUBSTITUTE(D57,"|",REPT(";",LEN(D57)),5))+1,LEN(D57))</f>
        <v/>
      </c>
    </row>
    <row r="58">
      <c r="A58" t="inlineStr">
        <is>
          <t>100101</t>
        </is>
      </c>
      <c r="B58" t="inlineStr">
        <is>
          <t>冷轧板材</t>
        </is>
      </c>
      <c r="C58" t="inlineStr">
        <is>
          <t>600947000</t>
        </is>
      </c>
      <c r="D58" t="inlineStr">
        <is>
          <t>冷轧优质碳素结构钢板|钢板|20|δ2|GB/T 13237-2013|冷轧|FB|GB/T 708-2006</t>
        </is>
      </c>
      <c r="E58" t="inlineStr">
        <is>
          <t>物资名称 冷轧优质碳素结构钢板;物资简称 钢板;牌号 20;厚度 δ2;宽 ;长 ;技术标准号 GB/T 13237-2013;加工工艺 冷轧;热处理工艺 ;特殊要求 FB;规格标准号 GB/T 708-2006</t>
        </is>
      </c>
      <c r="F58" t="inlineStr">
        <is>
          <t>千克</t>
        </is>
      </c>
      <c r="G58">
        <f>LEFT(D58,FIND("|",D58,1)-1)</f>
        <v/>
      </c>
      <c r="H58">
        <f>MID(D58,FIND("|",D58,FIND("|",D58,1))+1,FIND("|",D58,FIND("|",D58,1)+1)-FIND("|",D58,FIND("|",D58,1))-1)</f>
        <v/>
      </c>
      <c r="J58">
        <f>MID(D58,FIND(",",SUBSTITUTE(D58,"|",REPT(",",LEN(D58)),2))+1,FIND(",",SUBSTITUTE(D58,"|",REPT(",",LEN(D58)),3))-FIND(",",SUBSTITUTE(D58,"|",REPT(",",LEN(D58)),2))-1)</f>
        <v/>
      </c>
      <c r="K58">
        <f>MID(D58,FIND(",",SUBSTITUTE(D58,"|",REPT(",",LEN(D58)),3))+1,FIND(",",SUBSTITUTE(D58,"|",REPT(",",LEN(D58)),4))-FIND(",",SUBSTITUTE(D58,"|",REPT(",",LEN(D58)),3))-1)</f>
        <v/>
      </c>
      <c r="L58">
        <f>MID(D58,FIND(",",SUBSTITUTE(D58,"|",REPT(",",LEN(D58)),4))+1,FIND(",",SUBSTITUTE(D58,"|",REPT(",",LEN(D58)),5))-FIND(",",SUBSTITUTE(D58,"|",REPT(",",LEN(D58)),4))-1)</f>
        <v/>
      </c>
      <c r="M58">
        <f>MID(D58,FIND(";",SUBSTITUTE(D58,"|",REPT(";",LEN(D58)),7))+1,LEN(D58))</f>
        <v/>
      </c>
      <c r="N58">
        <f>MID(D58,FIND(";",SUBSTITUTE(D58,"|",REPT(";",LEN(D58)),5))+1,FIND(";",SUBSTITUTE(D58,"|",REPT(";",LEN(D58)),6))-FIND(";",SUBSTITUTE(D58,"|",REPT(";",LEN(D58)),5))-1)</f>
        <v/>
      </c>
      <c r="P58">
        <f>MID(D58,FIND(";",SUBSTITUTE(D58,"|",REPT(";",LEN(D58)),6))+1,FIND(";",SUBSTITUTE(D58,"|",REPT(";",LEN(D58)),7))-FIND(";",SUBSTITUTE(D58,"|",REPT(";",LEN(D58)),6))-1)</f>
        <v/>
      </c>
    </row>
    <row r="59">
      <c r="A59" t="inlineStr">
        <is>
          <t>100101</t>
        </is>
      </c>
      <c r="B59" t="inlineStr">
        <is>
          <t>冷轧板材</t>
        </is>
      </c>
      <c r="C59" t="inlineStr">
        <is>
          <t>600939700</t>
        </is>
      </c>
      <c r="D59" t="inlineStr">
        <is>
          <t>钢板|钢板|20-Ⅱ-P|δB-3|GB/T 13237-1991|GB/T 708-1988</t>
        </is>
      </c>
      <c r="E59" t="inlineStr">
        <is>
          <t>物资名称 钢板;物资简称 钢板;牌号 20-Ⅱ-P;厚度 δB-3;宽 ;长 ;技术标准号 GB/T 13237-1991;加工工艺 ;热处理工艺 ;特殊要求 ;规格标准号 GB/T 708-1988</t>
        </is>
      </c>
      <c r="F59" t="inlineStr">
        <is>
          <t>千克</t>
        </is>
      </c>
      <c r="G59">
        <f>LEFT(D59,FIND("|",D59,1)-1)</f>
        <v/>
      </c>
      <c r="H59">
        <f>MID(D59,FIND("|",D59,FIND("|",D59,1))+1,FIND("|",D59,FIND("|",D59,1)+1)-FIND("|",D59,FIND("|",D59,1))-1)</f>
        <v/>
      </c>
      <c r="J59">
        <f>MID(D59,FIND(",",SUBSTITUTE(D59,"|",REPT(",",LEN(D59)),2))+1,FIND(",",SUBSTITUTE(D59,"|",REPT(",",LEN(D59)),3))-FIND(",",SUBSTITUTE(D59,"|",REPT(",",LEN(D59)),2))-1)</f>
        <v/>
      </c>
      <c r="K59">
        <f>MID(D59,FIND(",",SUBSTITUTE(D59,"|",REPT(",",LEN(D59)),3))+1,FIND(",",SUBSTITUTE(D59,"|",REPT(",",LEN(D59)),4))-FIND(",",SUBSTITUTE(D59,"|",REPT(",",LEN(D59)),3))-1)</f>
        <v/>
      </c>
      <c r="L59">
        <f>MID(D59,FIND(",",SUBSTITUTE(D59,"|",REPT(",",LEN(D59)),4))+1,FIND(",",SUBSTITUTE(D59,"|",REPT(",",LEN(D59)),5))-FIND(",",SUBSTITUTE(D59,"|",REPT(",",LEN(D59)),4))-1)</f>
        <v/>
      </c>
      <c r="M59">
        <f>MID(D59,FIND(";",SUBSTITUTE(D59,"|",REPT(";",LEN(D59)),5))+1,LEN(D59))</f>
        <v/>
      </c>
    </row>
    <row r="60">
      <c r="A60" t="inlineStr">
        <is>
          <t>100101</t>
        </is>
      </c>
      <c r="B60" t="inlineStr">
        <is>
          <t>冷轧板材</t>
        </is>
      </c>
      <c r="C60" t="inlineStr">
        <is>
          <t>600939600</t>
        </is>
      </c>
      <c r="D60" t="inlineStr">
        <is>
          <t>钢板|钢板|20-Ⅱ-P|δB-1.5|GB/T 13237-1991|GB/T 708-1988</t>
        </is>
      </c>
      <c r="E60" t="inlineStr">
        <is>
          <t>物资名称 钢板;物资简称 钢板;牌号 20-Ⅱ-P;厚度 δB-1.5;宽 ;长 ;技术标准号 GB/T 13237-1991;加工工艺 ;热处理工艺 ;特殊要求 ;规格标准号 GB/T 708-1988</t>
        </is>
      </c>
      <c r="F60" t="inlineStr">
        <is>
          <t>千克</t>
        </is>
      </c>
      <c r="G60">
        <f>LEFT(D60,FIND("|",D60,1)-1)</f>
        <v/>
      </c>
      <c r="H60">
        <f>MID(D60,FIND("|",D60,FIND("|",D60,1))+1,FIND("|",D60,FIND("|",D60,1)+1)-FIND("|",D60,FIND("|",D60,1))-1)</f>
        <v/>
      </c>
      <c r="J60">
        <f>MID(D60,FIND(",",SUBSTITUTE(D60,"|",REPT(",",LEN(D60)),2))+1,FIND(",",SUBSTITUTE(D60,"|",REPT(",",LEN(D60)),3))-FIND(",",SUBSTITUTE(D60,"|",REPT(",",LEN(D60)),2))-1)</f>
        <v/>
      </c>
      <c r="K60">
        <f>MID(D60,FIND(",",SUBSTITUTE(D60,"|",REPT(",",LEN(D60)),3))+1,FIND(",",SUBSTITUTE(D60,"|",REPT(",",LEN(D60)),4))-FIND(",",SUBSTITUTE(D60,"|",REPT(",",LEN(D60)),3))-1)</f>
        <v/>
      </c>
      <c r="L60">
        <f>MID(D60,FIND(",",SUBSTITUTE(D60,"|",REPT(",",LEN(D60)),4))+1,FIND(",",SUBSTITUTE(D60,"|",REPT(",",LEN(D60)),5))-FIND(",",SUBSTITUTE(D60,"|",REPT(",",LEN(D60)),4))-1)</f>
        <v/>
      </c>
      <c r="M60">
        <f>MID(D60,FIND(";",SUBSTITUTE(D60,"|",REPT(";",LEN(D60)),5))+1,LEN(D60))</f>
        <v/>
      </c>
    </row>
    <row r="61">
      <c r="A61" t="inlineStr">
        <is>
          <t>100101</t>
        </is>
      </c>
      <c r="B61" t="inlineStr">
        <is>
          <t>冷轧板材</t>
        </is>
      </c>
      <c r="C61" t="inlineStr">
        <is>
          <t>600939500</t>
        </is>
      </c>
      <c r="D61" t="inlineStr">
        <is>
          <t>钢板|钢板|20-Ⅱ-P|δB-1|GB/T 13237-1991|GB/T 708-1988</t>
        </is>
      </c>
      <c r="E61" t="inlineStr">
        <is>
          <t>物资名称 钢板;物资简称 钢板;牌号 20-Ⅱ-P;厚度 δB-1;宽 ;长 ;技术标准号 GB/T 13237-1991;加工工艺 ;热处理工艺 ;特殊要求 ;规格标准号 GB/T 708-1988</t>
        </is>
      </c>
      <c r="F61" t="inlineStr">
        <is>
          <t>千克</t>
        </is>
      </c>
      <c r="G61">
        <f>LEFT(D61,FIND("|",D61,1)-1)</f>
        <v/>
      </c>
      <c r="H61">
        <f>MID(D61,FIND("|",D61,FIND("|",D61,1))+1,FIND("|",D61,FIND("|",D61,1)+1)-FIND("|",D61,FIND("|",D61,1))-1)</f>
        <v/>
      </c>
      <c r="J61">
        <f>MID(D61,FIND(",",SUBSTITUTE(D61,"|",REPT(",",LEN(D61)),2))+1,FIND(",",SUBSTITUTE(D61,"|",REPT(",",LEN(D61)),3))-FIND(",",SUBSTITUTE(D61,"|",REPT(",",LEN(D61)),2))-1)</f>
        <v/>
      </c>
      <c r="K61">
        <f>MID(D61,FIND(",",SUBSTITUTE(D61,"|",REPT(",",LEN(D61)),3))+1,FIND(",",SUBSTITUTE(D61,"|",REPT(",",LEN(D61)),4))-FIND(",",SUBSTITUTE(D61,"|",REPT(",",LEN(D61)),3))-1)</f>
        <v/>
      </c>
      <c r="L61">
        <f>MID(D61,FIND(",",SUBSTITUTE(D61,"|",REPT(",",LEN(D61)),4))+1,FIND(",",SUBSTITUTE(D61,"|",REPT(",",LEN(D61)),5))-FIND(",",SUBSTITUTE(D61,"|",REPT(",",LEN(D61)),4))-1)</f>
        <v/>
      </c>
      <c r="M61">
        <f>MID(D61,FIND(";",SUBSTITUTE(D61,"|",REPT(";",LEN(D61)),5))+1,LEN(D61))</f>
        <v/>
      </c>
    </row>
    <row r="62">
      <c r="A62" t="inlineStr">
        <is>
          <t>100101</t>
        </is>
      </c>
      <c r="B62" t="inlineStr">
        <is>
          <t>冷轧板材</t>
        </is>
      </c>
      <c r="C62" t="inlineStr">
        <is>
          <t>600939400</t>
        </is>
      </c>
      <c r="D62" t="inlineStr">
        <is>
          <t>钢板|钢板|1Cr18Ni9Ti|δ0.2|GB/T 3280-1992|GB/T 708-1988</t>
        </is>
      </c>
      <c r="E62" t="inlineStr">
        <is>
          <t>物资名称 钢板;物资简称 钢板;牌号 1Cr18Ni9Ti;厚度 δ0.2;宽 ;长 ;技术标准号 GB/T 3280-1992;加工工艺 ;热处理工艺 ;特殊要求 ;规格标准号 GB/T 708-1988</t>
        </is>
      </c>
      <c r="F62" t="inlineStr">
        <is>
          <t>千克</t>
        </is>
      </c>
      <c r="G62">
        <f>LEFT(D62,FIND("|",D62,1)-1)</f>
        <v/>
      </c>
      <c r="H62">
        <f>MID(D62,FIND("|",D62,FIND("|",D62,1))+1,FIND("|",D62,FIND("|",D62,1)+1)-FIND("|",D62,FIND("|",D62,1))-1)</f>
        <v/>
      </c>
      <c r="J62">
        <f>MID(D62,FIND(",",SUBSTITUTE(D62,"|",REPT(",",LEN(D62)),2))+1,FIND(",",SUBSTITUTE(D62,"|",REPT(",",LEN(D62)),3))-FIND(",",SUBSTITUTE(D62,"|",REPT(",",LEN(D62)),2))-1)</f>
        <v/>
      </c>
      <c r="K62">
        <f>MID(D62,FIND(",",SUBSTITUTE(D62,"|",REPT(",",LEN(D62)),3))+1,FIND(",",SUBSTITUTE(D62,"|",REPT(",",LEN(D62)),4))-FIND(",",SUBSTITUTE(D62,"|",REPT(",",LEN(D62)),3))-1)</f>
        <v/>
      </c>
      <c r="L62">
        <f>MID(D62,FIND(",",SUBSTITUTE(D62,"|",REPT(",",LEN(D62)),4))+1,FIND(",",SUBSTITUTE(D62,"|",REPT(",",LEN(D62)),5))-FIND(",",SUBSTITUTE(D62,"|",REPT(",",LEN(D62)),4))-1)</f>
        <v/>
      </c>
      <c r="M62">
        <f>MID(D62,FIND(";",SUBSTITUTE(D62,"|",REPT(";",LEN(D62)),5))+1,LEN(D62))</f>
        <v/>
      </c>
    </row>
    <row r="63">
      <c r="A63" t="inlineStr">
        <is>
          <t>100101</t>
        </is>
      </c>
      <c r="B63" t="inlineStr">
        <is>
          <t>冷轧板材</t>
        </is>
      </c>
      <c r="C63" t="inlineStr">
        <is>
          <t>600939300</t>
        </is>
      </c>
      <c r="D63" t="inlineStr">
        <is>
          <t>钢板|钢板|0Cr18Ni9|δ0.5|GB/T 3280-1992|GB/T 708-1988</t>
        </is>
      </c>
      <c r="E63" t="inlineStr">
        <is>
          <t>物资名称 钢板;物资简称 钢板;牌号 0Cr18Ni9;厚度 δ0.5;宽 ;长 ;技术标准号 GB/T 3280-1992;加工工艺 ;热处理工艺 ;特殊要求 ;规格标准号 GB/T 708-1988</t>
        </is>
      </c>
      <c r="F63" t="inlineStr">
        <is>
          <t>千克</t>
        </is>
      </c>
      <c r="G63">
        <f>LEFT(D63,FIND("|",D63,1)-1)</f>
        <v/>
      </c>
      <c r="H63">
        <f>MID(D63,FIND("|",D63,FIND("|",D63,1))+1,FIND("|",D63,FIND("|",D63,1)+1)-FIND("|",D63,FIND("|",D63,1))-1)</f>
        <v/>
      </c>
      <c r="J63">
        <f>MID(D63,FIND(",",SUBSTITUTE(D63,"|",REPT(",",LEN(D63)),2))+1,FIND(",",SUBSTITUTE(D63,"|",REPT(",",LEN(D63)),3))-FIND(",",SUBSTITUTE(D63,"|",REPT(",",LEN(D63)),2))-1)</f>
        <v/>
      </c>
      <c r="K63">
        <f>MID(D63,FIND(",",SUBSTITUTE(D63,"|",REPT(",",LEN(D63)),3))+1,FIND(",",SUBSTITUTE(D63,"|",REPT(",",LEN(D63)),4))-FIND(",",SUBSTITUTE(D63,"|",REPT(",",LEN(D63)),3))-1)</f>
        <v/>
      </c>
      <c r="L63">
        <f>MID(D63,FIND(",",SUBSTITUTE(D63,"|",REPT(",",LEN(D63)),4))+1,FIND(",",SUBSTITUTE(D63,"|",REPT(",",LEN(D63)),5))-FIND(",",SUBSTITUTE(D63,"|",REPT(",",LEN(D63)),4))-1)</f>
        <v/>
      </c>
      <c r="M63">
        <f>MID(D63,FIND(";",SUBSTITUTE(D63,"|",REPT(";",LEN(D63)),5))+1,LEN(D63))</f>
        <v/>
      </c>
    </row>
    <row r="64">
      <c r="A64" t="inlineStr">
        <is>
          <t>100101</t>
        </is>
      </c>
      <c r="B64" t="inlineStr">
        <is>
          <t>冷轧板材</t>
        </is>
      </c>
      <c r="C64" t="inlineStr">
        <is>
          <t>600933500</t>
        </is>
      </c>
      <c r="D64" t="inlineStr">
        <is>
          <t>钢板|钢板|08F-Ⅱ-P|δB-1.5|GB 710-1991|GB/T 708-1988</t>
        </is>
      </c>
      <c r="E64" t="inlineStr">
        <is>
          <t>物资名称 钢板;物资简称 钢板;牌号 08F-Ⅱ-P;厚度 δB-1.5;宽 ;长 ;技术标准号 GB 710-1991;加工工艺 ;热处理工艺 ;特殊要求 ;规格标准号 GB/T 708-1988</t>
        </is>
      </c>
      <c r="F64" t="inlineStr">
        <is>
          <t>千克</t>
        </is>
      </c>
      <c r="G64">
        <f>LEFT(D64,FIND("|",D64,1)-1)</f>
        <v/>
      </c>
      <c r="H64">
        <f>MID(D64,FIND("|",D64,FIND("|",D64,1))+1,FIND("|",D64,FIND("|",D64,1)+1)-FIND("|",D64,FIND("|",D64,1))-1)</f>
        <v/>
      </c>
      <c r="J64">
        <f>MID(D64,FIND(",",SUBSTITUTE(D64,"|",REPT(",",LEN(D64)),2))+1,FIND(",",SUBSTITUTE(D64,"|",REPT(",",LEN(D64)),3))-FIND(",",SUBSTITUTE(D64,"|",REPT(",",LEN(D64)),2))-1)</f>
        <v/>
      </c>
      <c r="K64">
        <f>MID(D64,FIND(",",SUBSTITUTE(D64,"|",REPT(",",LEN(D64)),3))+1,FIND(",",SUBSTITUTE(D64,"|",REPT(",",LEN(D64)),4))-FIND(",",SUBSTITUTE(D64,"|",REPT(",",LEN(D64)),3))-1)</f>
        <v/>
      </c>
      <c r="L64">
        <f>MID(D64,FIND(",",SUBSTITUTE(D64,"|",REPT(",",LEN(D64)),4))+1,FIND(",",SUBSTITUTE(D64,"|",REPT(",",LEN(D64)),5))-FIND(",",SUBSTITUTE(D64,"|",REPT(",",LEN(D64)),4))-1)</f>
        <v/>
      </c>
      <c r="M64">
        <f>MID(D64,FIND(";",SUBSTITUTE(D64,"|",REPT(";",LEN(D64)),5))+1,LEN(D64))</f>
        <v/>
      </c>
    </row>
    <row r="65">
      <c r="A65" t="inlineStr">
        <is>
          <t>100101</t>
        </is>
      </c>
      <c r="B65" t="inlineStr">
        <is>
          <t>冷轧板材</t>
        </is>
      </c>
      <c r="C65" t="inlineStr">
        <is>
          <t>600933400</t>
        </is>
      </c>
      <c r="D65" t="inlineStr">
        <is>
          <t>钢板|钢板|20-Ⅱ-P|δB-1|GB 710-1991|GB/T 708-1988</t>
        </is>
      </c>
      <c r="E65" t="inlineStr">
        <is>
          <t>物资名称 钢板;物资简称 钢板;牌号 20-Ⅱ-P;厚度 δB-1;宽 ;长 ;技术标准号 GB 710-1991;加工工艺 ;热处理工艺 ;特殊要求 ;规格标准号 GB/T 708-1988</t>
        </is>
      </c>
      <c r="F65" t="inlineStr">
        <is>
          <t>千克</t>
        </is>
      </c>
      <c r="G65">
        <f>LEFT(D65,FIND("|",D65,1)-1)</f>
        <v/>
      </c>
      <c r="H65">
        <f>MID(D65,FIND("|",D65,FIND("|",D65,1))+1,FIND("|",D65,FIND("|",D65,1)+1)-FIND("|",D65,FIND("|",D65,1))-1)</f>
        <v/>
      </c>
      <c r="J65">
        <f>MID(D65,FIND(",",SUBSTITUTE(D65,"|",REPT(",",LEN(D65)),2))+1,FIND(",",SUBSTITUTE(D65,"|",REPT(",",LEN(D65)),3))-FIND(",",SUBSTITUTE(D65,"|",REPT(",",LEN(D65)),2))-1)</f>
        <v/>
      </c>
      <c r="K65">
        <f>MID(D65,FIND(",",SUBSTITUTE(D65,"|",REPT(",",LEN(D65)),3))+1,FIND(",",SUBSTITUTE(D65,"|",REPT(",",LEN(D65)),4))-FIND(",",SUBSTITUTE(D65,"|",REPT(",",LEN(D65)),3))-1)</f>
        <v/>
      </c>
      <c r="L65">
        <f>MID(D65,FIND(",",SUBSTITUTE(D65,"|",REPT(",",LEN(D65)),4))+1,FIND(",",SUBSTITUTE(D65,"|",REPT(",",LEN(D65)),5))-FIND(",",SUBSTITUTE(D65,"|",REPT(",",LEN(D65)),4))-1)</f>
        <v/>
      </c>
      <c r="M65">
        <f>MID(D65,FIND(";",SUBSTITUTE(D65,"|",REPT(";",LEN(D65)),5))+1,LEN(D65))</f>
        <v/>
      </c>
    </row>
    <row r="66">
      <c r="A66" t="inlineStr">
        <is>
          <t>100101</t>
        </is>
      </c>
      <c r="B66" t="inlineStr">
        <is>
          <t>冷轧板材</t>
        </is>
      </c>
      <c r="C66" t="inlineStr">
        <is>
          <t>600846200</t>
        </is>
      </c>
      <c r="D66" t="inlineStr">
        <is>
          <t>冷轧不锈钢板|钢板|1Cr18Ni9Ti|δ1.0|GB 3280-1992|GB/T 708-2006</t>
        </is>
      </c>
      <c r="E66" t="inlineStr">
        <is>
          <t>物资名称 冷轧不锈钢板;物资简称 钢板;牌号 1Cr18Ni9Ti;厚度 δ1.0;宽 ;长 ;技术标准号 GB 3280-1992;加工工艺 ;热处理工艺 ;特殊要求 ;规格标准号 GB/T 708-2006</t>
        </is>
      </c>
      <c r="F66" t="inlineStr">
        <is>
          <t>千克</t>
        </is>
      </c>
      <c r="G66">
        <f>LEFT(D66,FIND("|",D66,1)-1)</f>
        <v/>
      </c>
      <c r="H66">
        <f>MID(D66,FIND("|",D66,FIND("|",D66,1))+1,FIND("|",D66,FIND("|",D66,1)+1)-FIND("|",D66,FIND("|",D66,1))-1)</f>
        <v/>
      </c>
      <c r="J66">
        <f>MID(D66,FIND(",",SUBSTITUTE(D66,"|",REPT(",",LEN(D66)),2))+1,FIND(",",SUBSTITUTE(D66,"|",REPT(",",LEN(D66)),3))-FIND(",",SUBSTITUTE(D66,"|",REPT(",",LEN(D66)),2))-1)</f>
        <v/>
      </c>
      <c r="K66">
        <f>MID(D66,FIND(",",SUBSTITUTE(D66,"|",REPT(",",LEN(D66)),3))+1,FIND(",",SUBSTITUTE(D66,"|",REPT(",",LEN(D66)),4))-FIND(",",SUBSTITUTE(D66,"|",REPT(",",LEN(D66)),3))-1)</f>
        <v/>
      </c>
      <c r="L66">
        <f>MID(D66,FIND(",",SUBSTITUTE(D66,"|",REPT(",",LEN(D66)),4))+1,FIND(",",SUBSTITUTE(D66,"|",REPT(",",LEN(D66)),5))-FIND(",",SUBSTITUTE(D66,"|",REPT(",",LEN(D66)),4))-1)</f>
        <v/>
      </c>
      <c r="M66">
        <f>MID(D66,FIND(";",SUBSTITUTE(D66,"|",REPT(";",LEN(D66)),5))+1,LEN(D66))</f>
        <v/>
      </c>
    </row>
    <row r="67">
      <c r="A67" t="inlineStr">
        <is>
          <t>100101</t>
        </is>
      </c>
      <c r="B67" t="inlineStr">
        <is>
          <t>冷轧板材</t>
        </is>
      </c>
      <c r="C67" t="inlineStr">
        <is>
          <t>600842800</t>
        </is>
      </c>
      <c r="D67" t="inlineStr">
        <is>
          <t>冷轧不锈钢板|钢板|12Cr18Ni9|δ1.5|GB/T 3280-2007|GB/T 708-2006</t>
        </is>
      </c>
      <c r="E67" t="inlineStr">
        <is>
          <t>物资名称 冷轧不锈钢板;物资简称 钢板;牌号 12Cr18Ni9;厚度 δ1.5;宽 ;长 ;技术标准号 GB/T 3280-2007;加工工艺 ;热处理工艺 ;特殊要求 ;规格标准号 GB/T 708-2006</t>
        </is>
      </c>
      <c r="F67" t="inlineStr">
        <is>
          <t>千克</t>
        </is>
      </c>
      <c r="G67">
        <f>LEFT(D67,FIND("|",D67,1)-1)</f>
        <v/>
      </c>
      <c r="H67">
        <f>MID(D67,FIND("|",D67,FIND("|",D67,1))+1,FIND("|",D67,FIND("|",D67,1)+1)-FIND("|",D67,FIND("|",D67,1))-1)</f>
        <v/>
      </c>
      <c r="J67">
        <f>MID(D67,FIND(",",SUBSTITUTE(D67,"|",REPT(",",LEN(D67)),2))+1,FIND(",",SUBSTITUTE(D67,"|",REPT(",",LEN(D67)),3))-FIND(",",SUBSTITUTE(D67,"|",REPT(",",LEN(D67)),2))-1)</f>
        <v/>
      </c>
      <c r="K67">
        <f>MID(D67,FIND(",",SUBSTITUTE(D67,"|",REPT(",",LEN(D67)),3))+1,FIND(",",SUBSTITUTE(D67,"|",REPT(",",LEN(D67)),4))-FIND(",",SUBSTITUTE(D67,"|",REPT(",",LEN(D67)),3))-1)</f>
        <v/>
      </c>
      <c r="L67">
        <f>MID(D67,FIND(",",SUBSTITUTE(D67,"|",REPT(",",LEN(D67)),4))+1,FIND(",",SUBSTITUTE(D67,"|",REPT(",",LEN(D67)),5))-FIND(",",SUBSTITUTE(D67,"|",REPT(",",LEN(D67)),4))-1)</f>
        <v/>
      </c>
      <c r="M67">
        <f>MID(D67,FIND(";",SUBSTITUTE(D67,"|",REPT(";",LEN(D67)),5))+1,LEN(D67))</f>
        <v/>
      </c>
    </row>
    <row r="68">
      <c r="A68" t="inlineStr">
        <is>
          <t>100101</t>
        </is>
      </c>
      <c r="B68" t="inlineStr">
        <is>
          <t>冷轧板材</t>
        </is>
      </c>
      <c r="C68" t="inlineStr">
        <is>
          <t>600842200</t>
        </is>
      </c>
      <c r="D68" t="inlineStr">
        <is>
          <t>冷轧航空用不锈钢薄板|不锈钢板|1Cr18Ni9Ti|δ0.4|GJB 2295-1995|冷轧</t>
        </is>
      </c>
      <c r="E68" t="inlineStr">
        <is>
          <t xml:space="preserve">物资名称 冷轧航空用不锈钢薄板;物资简称 不锈钢板;牌号 1Cr18Ni9Ti;厚度 δ0.4;宽 ;长 ;技术标准号 GJB 2295-1995;加工工艺 冷轧;热处理工艺 ;特殊要求 ;规格标准号 </t>
        </is>
      </c>
      <c r="F68" t="inlineStr">
        <is>
          <t>千克</t>
        </is>
      </c>
      <c r="G68">
        <f>LEFT(D68,FIND("|",D68,1)-1)</f>
        <v/>
      </c>
      <c r="H68">
        <f>MID(D68,FIND("|",D68,FIND("|",D68,1))+1,FIND("|",D68,FIND("|",D68,1)+1)-FIND("|",D68,FIND("|",D68,1))-1)</f>
        <v/>
      </c>
      <c r="J68">
        <f>MID(D68,FIND(",",SUBSTITUTE(D68,"|",REPT(",",LEN(D68)),2))+1,FIND(",",SUBSTITUTE(D68,"|",REPT(",",LEN(D68)),3))-FIND(",",SUBSTITUTE(D68,"|",REPT(",",LEN(D68)),2))-1)</f>
        <v/>
      </c>
      <c r="K68">
        <f>MID(D68,FIND(",",SUBSTITUTE(D68,"|",REPT(",",LEN(D68)),3))+1,FIND(",",SUBSTITUTE(D68,"|",REPT(",",LEN(D68)),4))-FIND(",",SUBSTITUTE(D68,"|",REPT(",",LEN(D68)),3))-1)</f>
        <v/>
      </c>
      <c r="L68">
        <f>MID(D68,FIND(",",SUBSTITUTE(D68,"|",REPT(",",LEN(D68)),4))+1,FIND(",",SUBSTITUTE(D68,"|",REPT(",",LEN(D68)),5))-FIND(",",SUBSTITUTE(D68,"|",REPT(",",LEN(D68)),4))-1)</f>
        <v/>
      </c>
      <c r="N68">
        <f>MID(D68,FIND(";",SUBSTITUTE(D68,"|",REPT(";",LEN(D68)),5))+1,LEN(D68))</f>
        <v/>
      </c>
    </row>
    <row r="69">
      <c r="A69" t="inlineStr">
        <is>
          <t>100101</t>
        </is>
      </c>
      <c r="B69" t="inlineStr">
        <is>
          <t>冷轧板材</t>
        </is>
      </c>
      <c r="C69" t="inlineStr">
        <is>
          <t>600842100</t>
        </is>
      </c>
      <c r="D69" t="inlineStr">
        <is>
          <t>冷轧航空用不锈钢薄板|不锈钢板|1Cr18Ni9Ti|δ2.5|GJB 2295-1995|GB/T 708-2006</t>
        </is>
      </c>
      <c r="E69" t="inlineStr">
        <is>
          <t>物资名称 冷轧航空用不锈钢薄板;物资简称 不锈钢板;牌号 1Cr18Ni9Ti;厚度 δ2.5;宽 ;长 ;技术标准号 GJB 2295-1995;加工工艺 ;热处理工艺 ;特殊要求 ;规格标准号 GB/T 708-2006</t>
        </is>
      </c>
      <c r="F69" t="inlineStr">
        <is>
          <t>千克</t>
        </is>
      </c>
      <c r="G69">
        <f>LEFT(D69,FIND("|",D69,1)-1)</f>
        <v/>
      </c>
      <c r="H69">
        <f>MID(D69,FIND("|",D69,FIND("|",D69,1))+1,FIND("|",D69,FIND("|",D69,1)+1)-FIND("|",D69,FIND("|",D69,1))-1)</f>
        <v/>
      </c>
      <c r="J69">
        <f>MID(D69,FIND(",",SUBSTITUTE(D69,"|",REPT(",",LEN(D69)),2))+1,FIND(",",SUBSTITUTE(D69,"|",REPT(",",LEN(D69)),3))-FIND(",",SUBSTITUTE(D69,"|",REPT(",",LEN(D69)),2))-1)</f>
        <v/>
      </c>
      <c r="K69">
        <f>MID(D69,FIND(",",SUBSTITUTE(D69,"|",REPT(",",LEN(D69)),3))+1,FIND(",",SUBSTITUTE(D69,"|",REPT(",",LEN(D69)),4))-FIND(",",SUBSTITUTE(D69,"|",REPT(",",LEN(D69)),3))-1)</f>
        <v/>
      </c>
      <c r="L69">
        <f>MID(D69,FIND(",",SUBSTITUTE(D69,"|",REPT(",",LEN(D69)),4))+1,FIND(",",SUBSTITUTE(D69,"|",REPT(",",LEN(D69)),5))-FIND(",",SUBSTITUTE(D69,"|",REPT(",",LEN(D69)),4))-1)</f>
        <v/>
      </c>
      <c r="M69">
        <f>MID(D69,FIND(";",SUBSTITUTE(D69,"|",REPT(";",LEN(D69)),5))+1,LEN(D69))</f>
        <v/>
      </c>
    </row>
    <row r="70">
      <c r="A70" t="inlineStr">
        <is>
          <t>100101</t>
        </is>
      </c>
      <c r="B70" t="inlineStr">
        <is>
          <t>冷轧板材</t>
        </is>
      </c>
      <c r="C70" t="inlineStr">
        <is>
          <t>600839100</t>
        </is>
      </c>
      <c r="D70" t="inlineStr">
        <is>
          <t>冷轧航空用不锈钢薄板|不锈钢板|1Cr18Ni9Ti|GJB 2295-1995|GB/T 708-2006</t>
        </is>
      </c>
      <c r="E70" t="inlineStr">
        <is>
          <t>物资名称 冷轧航空用不锈钢薄板;物资简称 不锈钢板;牌号 1Cr18Ni9Ti;厚度 δ;宽 ;长 ;技术标准号 GJB 2295-1995;加工工艺 ;热处理工艺 ;特殊要求 ;规格标准号 GB/T 708-2006</t>
        </is>
      </c>
      <c r="F70" t="inlineStr">
        <is>
          <t>千克</t>
        </is>
      </c>
      <c r="G70">
        <f>LEFT(D70,FIND("|",D70,1)-1)</f>
        <v/>
      </c>
      <c r="H70">
        <f>MID(D70,FIND("|",D70,FIND("|",D70,1))+1,FIND("|",D70,FIND("|",D70,1)+1)-FIND("|",D70,FIND("|",D70,1))-1)</f>
        <v/>
      </c>
      <c r="J70">
        <f>MID(D70,FIND(",",SUBSTITUTE(D70,"|",REPT(",",LEN(D70)),2))+1,FIND(",",SUBSTITUTE(D70,"|",REPT(",",LEN(D70)),3))-FIND(",",SUBSTITUTE(D70,"|",REPT(",",LEN(D70)),2))-1)</f>
        <v/>
      </c>
      <c r="L70">
        <f>MID(D70,FIND(",",SUBSTITUTE(D70,"|",REPT(",",LEN(D70)),3))+1,FIND(",",SUBSTITUTE(D70,"|",REPT(",",LEN(D70)),4))-FIND(",",SUBSTITUTE(D70,"|",REPT(",",LEN(D70)),3))-1)</f>
        <v/>
      </c>
      <c r="M70">
        <f>MID(D70,FIND(";",SUBSTITUTE(D70,"|",REPT(";",LEN(D70)),4))+1,LEN(D70))</f>
        <v/>
      </c>
    </row>
    <row r="71">
      <c r="A71" t="inlineStr">
        <is>
          <t>100101</t>
        </is>
      </c>
      <c r="B71" t="inlineStr">
        <is>
          <t>冷轧板材</t>
        </is>
      </c>
      <c r="C71" t="inlineStr">
        <is>
          <t>600759500</t>
        </is>
      </c>
      <c r="D71" t="inlineStr">
        <is>
          <t>冷轧钢板|钢板|Q195|δ1|GB/T 11253-2007|冷轧|试接口|GB/T 708-2006</t>
        </is>
      </c>
      <c r="E71" t="inlineStr">
        <is>
          <t>物资名称 冷轧钢板;物资简称 钢板;牌号 Q195;厚度 δ1;宽 ;长 ;技术标准号 GB/T 11253-2007;加工工艺 冷轧;热处理工艺 ;规格标准号 GB/T 708-2006</t>
        </is>
      </c>
      <c r="F71" t="inlineStr">
        <is>
          <t>千克</t>
        </is>
      </c>
      <c r="G71">
        <f>LEFT(D71,FIND("|",D71,1)-1)</f>
        <v/>
      </c>
      <c r="H71">
        <f>MID(D71,FIND("|",D71,FIND("|",D71,1))+1,FIND("|",D71,FIND("|",D71,1)+1)-FIND("|",D71,FIND("|",D71,1))-1)</f>
        <v/>
      </c>
      <c r="J71">
        <f>MID(D71,FIND(",",SUBSTITUTE(D71,"|",REPT(",",LEN(D71)),2))+1,FIND(",",SUBSTITUTE(D71,"|",REPT(",",LEN(D71)),3))-FIND(",",SUBSTITUTE(D71,"|",REPT(",",LEN(D71)),2))-1)</f>
        <v/>
      </c>
      <c r="K71">
        <f>MID(D71,FIND(",",SUBSTITUTE(D71,"|",REPT(",",LEN(D71)),3))+1,FIND(",",SUBSTITUTE(D71,"|",REPT(",",LEN(D71)),4))-FIND(",",SUBSTITUTE(D71,"|",REPT(",",LEN(D71)),3))-1)</f>
        <v/>
      </c>
      <c r="L71">
        <f>MID(D71,FIND(",",SUBSTITUTE(D71,"|",REPT(",",LEN(D71)),4))+1,FIND(",",SUBSTITUTE(D71,"|",REPT(",",LEN(D71)),5))-FIND(",",SUBSTITUTE(D71,"|",REPT(",",LEN(D71)),4))-1)</f>
        <v/>
      </c>
      <c r="M71">
        <f>MID(D71,FIND(";",SUBSTITUTE(D71,"|",REPT(";",LEN(D71)),7))+1,LEN(D71))</f>
        <v/>
      </c>
      <c r="N71">
        <f>MID(D71,FIND(";",SUBSTITUTE(D71,"|",REPT(";",LEN(D71)),5))+1,FIND(";",SUBSTITUTE(D71,"|",REPT(";",LEN(D71)),6))-FIND(";",SUBSTITUTE(D71,"|",REPT(";",LEN(D71)),5))-1)</f>
        <v/>
      </c>
      <c r="P71">
        <f>MID(D71,FIND(";",SUBSTITUTE(D71,"|",REPT(";",LEN(D71)),6))+1,FIND(";",SUBSTITUTE(D71,"|",REPT(";",LEN(D71)),7))-FIND(";",SUBSTITUTE(D71,"|",REPT(";",LEN(D71)),6))-1)</f>
        <v/>
      </c>
    </row>
    <row r="72">
      <c r="A72" t="inlineStr">
        <is>
          <t>100101</t>
        </is>
      </c>
      <c r="B72" t="inlineStr">
        <is>
          <t>冷轧板材</t>
        </is>
      </c>
      <c r="C72" t="inlineStr">
        <is>
          <t>600597000</t>
        </is>
      </c>
      <c r="D72" t="inlineStr">
        <is>
          <t>冷轧钢板|钢板|Q195|δ1|GB/T 11253-2007|冷轧|GB/T 708-2006</t>
        </is>
      </c>
      <c r="E72" t="inlineStr">
        <is>
          <t>物资名称 冷轧钢板;物资简称 钢板;牌号 Q195;厚度 δ1;宽 ;长 ;技术标准号 GB/T 11253-2007;加工工艺 冷轧;热处理工艺 ;特殊要求 ;规格标准号 GB/T 708-2006</t>
        </is>
      </c>
      <c r="F72" t="inlineStr">
        <is>
          <t>千克</t>
        </is>
      </c>
      <c r="G72">
        <f>LEFT(D72,FIND("|",D72,1)-1)</f>
        <v/>
      </c>
      <c r="H72">
        <f>MID(D72,FIND("|",D72,FIND("|",D72,1))+1,FIND("|",D72,FIND("|",D72,1)+1)-FIND("|",D72,FIND("|",D72,1))-1)</f>
        <v/>
      </c>
      <c r="J72">
        <f>MID(D72,FIND(",",SUBSTITUTE(D72,"|",REPT(",",LEN(D72)),2))+1,FIND(",",SUBSTITUTE(D72,"|",REPT(",",LEN(D72)),3))-FIND(",",SUBSTITUTE(D72,"|",REPT(",",LEN(D72)),2))-1)</f>
        <v/>
      </c>
      <c r="K72">
        <f>MID(D72,FIND(",",SUBSTITUTE(D72,"|",REPT(",",LEN(D72)),3))+1,FIND(",",SUBSTITUTE(D72,"|",REPT(",",LEN(D72)),4))-FIND(",",SUBSTITUTE(D72,"|",REPT(",",LEN(D72)),3))-1)</f>
        <v/>
      </c>
      <c r="L72">
        <f>MID(D72,FIND(",",SUBSTITUTE(D72,"|",REPT(",",LEN(D72)),4))+1,FIND(",",SUBSTITUTE(D72,"|",REPT(",",LEN(D72)),5))-FIND(",",SUBSTITUTE(D72,"|",REPT(",",LEN(D72)),4))-1)</f>
        <v/>
      </c>
      <c r="M72">
        <f>MID(D72,FIND(";",SUBSTITUTE(D72,"|",REPT(";",LEN(D72)),6))+1,LEN(D72))</f>
        <v/>
      </c>
      <c r="N72">
        <f>MID(D72,FIND(";",SUBSTITUTE(D72,"|",REPT(";",LEN(D72)),5))+1,FIND(";",SUBSTITUTE(D72,"|",REPT(";",LEN(D72)),6))-FIND(";",SUBSTITUTE(D72,"|",REPT(";",LEN(D72)),5))-1)</f>
        <v/>
      </c>
    </row>
    <row r="73">
      <c r="A73" t="inlineStr">
        <is>
          <t>100101</t>
        </is>
      </c>
      <c r="B73" t="inlineStr">
        <is>
          <t>冷轧板材</t>
        </is>
      </c>
      <c r="C73" t="inlineStr">
        <is>
          <t>600596900</t>
        </is>
      </c>
      <c r="D73" t="inlineStr">
        <is>
          <t>冷轧钢板|钢板|Q275|δ1|GB/T 11253-2007|冷轧|GB/T 708-2006</t>
        </is>
      </c>
      <c r="E73" t="inlineStr">
        <is>
          <t>物资名称 冷轧钢板;物资简称 钢板;牌号 Q275;厚度 δ1;宽 ;长 ;技术标准号 GB/T 11253-2007;加工工艺 冷轧;热处理工艺 ;特殊要求 ;规格标准号 GB/T 708-2006</t>
        </is>
      </c>
      <c r="F73" t="inlineStr">
        <is>
          <t>千克</t>
        </is>
      </c>
      <c r="G73">
        <f>LEFT(D73,FIND("|",D73,1)-1)</f>
        <v/>
      </c>
      <c r="H73">
        <f>MID(D73,FIND("|",D73,FIND("|",D73,1))+1,FIND("|",D73,FIND("|",D73,1)+1)-FIND("|",D73,FIND("|",D73,1))-1)</f>
        <v/>
      </c>
      <c r="J73">
        <f>MID(D73,FIND(",",SUBSTITUTE(D73,"|",REPT(",",LEN(D73)),2))+1,FIND(",",SUBSTITUTE(D73,"|",REPT(",",LEN(D73)),3))-FIND(",",SUBSTITUTE(D73,"|",REPT(",",LEN(D73)),2))-1)</f>
        <v/>
      </c>
      <c r="K73">
        <f>MID(D73,FIND(",",SUBSTITUTE(D73,"|",REPT(",",LEN(D73)),3))+1,FIND(",",SUBSTITUTE(D73,"|",REPT(",",LEN(D73)),4))-FIND(",",SUBSTITUTE(D73,"|",REPT(",",LEN(D73)),3))-1)</f>
        <v/>
      </c>
      <c r="L73">
        <f>MID(D73,FIND(",",SUBSTITUTE(D73,"|",REPT(",",LEN(D73)),4))+1,FIND(",",SUBSTITUTE(D73,"|",REPT(",",LEN(D73)),5))-FIND(",",SUBSTITUTE(D73,"|",REPT(",",LEN(D73)),4))-1)</f>
        <v/>
      </c>
      <c r="M73">
        <f>MID(D73,FIND(";",SUBSTITUTE(D73,"|",REPT(";",LEN(D73)),6))+1,LEN(D73))</f>
        <v/>
      </c>
      <c r="N73">
        <f>MID(D73,FIND(";",SUBSTITUTE(D73,"|",REPT(";",LEN(D73)),5))+1,FIND(";",SUBSTITUTE(D73,"|",REPT(";",LEN(D73)),6))-FIND(";",SUBSTITUTE(D73,"|",REPT(";",LEN(D73)),5))-1)</f>
        <v/>
      </c>
    </row>
    <row r="74">
      <c r="A74" t="inlineStr">
        <is>
          <t>100101</t>
        </is>
      </c>
      <c r="B74" t="inlineStr">
        <is>
          <t>冷轧板材</t>
        </is>
      </c>
      <c r="C74" t="inlineStr">
        <is>
          <t>600596800</t>
        </is>
      </c>
      <c r="D74" t="inlineStr">
        <is>
          <t>冷轧钢板|钢板|Q215|δ2.5|GB/T 11253-2007|冷轧|GB/T 708-2006</t>
        </is>
      </c>
      <c r="E74" t="inlineStr">
        <is>
          <t>物资名称 冷轧钢板;物资简称 钢板;牌号 Q215;厚度 δ2.5;宽 ;长 ;技术标准号 GB/T 11253-2007;加工工艺 冷轧;热处理工艺 ;特殊要求 ;规格标准号 GB/T 708-2006</t>
        </is>
      </c>
      <c r="F74" t="inlineStr">
        <is>
          <t>千克</t>
        </is>
      </c>
      <c r="G74">
        <f>LEFT(D74,FIND("|",D74,1)-1)</f>
        <v/>
      </c>
      <c r="H74">
        <f>MID(D74,FIND("|",D74,FIND("|",D74,1))+1,FIND("|",D74,FIND("|",D74,1)+1)-FIND("|",D74,FIND("|",D74,1))-1)</f>
        <v/>
      </c>
      <c r="J74">
        <f>MID(D74,FIND(",",SUBSTITUTE(D74,"|",REPT(",",LEN(D74)),2))+1,FIND(",",SUBSTITUTE(D74,"|",REPT(",",LEN(D74)),3))-FIND(",",SUBSTITUTE(D74,"|",REPT(",",LEN(D74)),2))-1)</f>
        <v/>
      </c>
      <c r="K74">
        <f>MID(D74,FIND(",",SUBSTITUTE(D74,"|",REPT(",",LEN(D74)),3))+1,FIND(",",SUBSTITUTE(D74,"|",REPT(",",LEN(D74)),4))-FIND(",",SUBSTITUTE(D74,"|",REPT(",",LEN(D74)),3))-1)</f>
        <v/>
      </c>
      <c r="L74">
        <f>MID(D74,FIND(",",SUBSTITUTE(D74,"|",REPT(",",LEN(D74)),4))+1,FIND(",",SUBSTITUTE(D74,"|",REPT(",",LEN(D74)),5))-FIND(",",SUBSTITUTE(D74,"|",REPT(",",LEN(D74)),4))-1)</f>
        <v/>
      </c>
      <c r="M74">
        <f>MID(D74,FIND(";",SUBSTITUTE(D74,"|",REPT(";",LEN(D74)),6))+1,LEN(D74))</f>
        <v/>
      </c>
      <c r="N74">
        <f>MID(D74,FIND(";",SUBSTITUTE(D74,"|",REPT(";",LEN(D74)),5))+1,FIND(";",SUBSTITUTE(D74,"|",REPT(";",LEN(D74)),6))-FIND(";",SUBSTITUTE(D74,"|",REPT(";",LEN(D74)),5))-1)</f>
        <v/>
      </c>
    </row>
    <row r="75">
      <c r="A75" t="inlineStr">
        <is>
          <t>100101</t>
        </is>
      </c>
      <c r="B75" t="inlineStr">
        <is>
          <t>冷轧板材</t>
        </is>
      </c>
      <c r="C75" t="inlineStr">
        <is>
          <t>600596700</t>
        </is>
      </c>
      <c r="D75" t="inlineStr">
        <is>
          <t>冷轧钢板|钢板|Q235|δ0.5|GB/T 11253-2007|冷轧|GB/T 708-2006</t>
        </is>
      </c>
      <c r="E75" t="inlineStr">
        <is>
          <t>物资名称 冷轧钢板;物资简称 钢板;牌号 Q235;厚度 δ0.5;宽 ;长 ;技术标准号 GB/T 11253-2007;加工工艺 冷轧;热处理工艺 ;特殊要求 ;规格标准号 GB/T 708-2006</t>
        </is>
      </c>
      <c r="F75" t="inlineStr">
        <is>
          <t>千克</t>
        </is>
      </c>
      <c r="G75">
        <f>LEFT(D75,FIND("|",D75,1)-1)</f>
        <v/>
      </c>
      <c r="H75">
        <f>MID(D75,FIND("|",D75,FIND("|",D75,1))+1,FIND("|",D75,FIND("|",D75,1)+1)-FIND("|",D75,FIND("|",D75,1))-1)</f>
        <v/>
      </c>
      <c r="J75">
        <f>MID(D75,FIND(",",SUBSTITUTE(D75,"|",REPT(",",LEN(D75)),2))+1,FIND(",",SUBSTITUTE(D75,"|",REPT(",",LEN(D75)),3))-FIND(",",SUBSTITUTE(D75,"|",REPT(",",LEN(D75)),2))-1)</f>
        <v/>
      </c>
      <c r="K75">
        <f>MID(D75,FIND(",",SUBSTITUTE(D75,"|",REPT(",",LEN(D75)),3))+1,FIND(",",SUBSTITUTE(D75,"|",REPT(",",LEN(D75)),4))-FIND(",",SUBSTITUTE(D75,"|",REPT(",",LEN(D75)),3))-1)</f>
        <v/>
      </c>
      <c r="L75">
        <f>MID(D75,FIND(",",SUBSTITUTE(D75,"|",REPT(",",LEN(D75)),4))+1,FIND(",",SUBSTITUTE(D75,"|",REPT(",",LEN(D75)),5))-FIND(",",SUBSTITUTE(D75,"|",REPT(",",LEN(D75)),4))-1)</f>
        <v/>
      </c>
      <c r="M75">
        <f>MID(D75,FIND(";",SUBSTITUTE(D75,"|",REPT(";",LEN(D75)),6))+1,LEN(D75))</f>
        <v/>
      </c>
      <c r="N75">
        <f>MID(D75,FIND(";",SUBSTITUTE(D75,"|",REPT(";",LEN(D75)),5))+1,FIND(";",SUBSTITUTE(D75,"|",REPT(";",LEN(D75)),6))-FIND(";",SUBSTITUTE(D75,"|",REPT(";",LEN(D75)),5))-1)</f>
        <v/>
      </c>
    </row>
    <row r="76">
      <c r="A76" t="inlineStr">
        <is>
          <t>100101</t>
        </is>
      </c>
      <c r="B76" t="inlineStr">
        <is>
          <t>冷轧板材</t>
        </is>
      </c>
      <c r="C76" t="inlineStr">
        <is>
          <t>600596600</t>
        </is>
      </c>
      <c r="D76" t="inlineStr">
        <is>
          <t>冷轧钢板|钢板|Q235|δ1.2|GB/T 11253-2007|冷轧|GB/T 708-2006</t>
        </is>
      </c>
      <c r="E76" t="inlineStr">
        <is>
          <t>物资名称 冷轧钢板;物资简称 钢板;牌号 Q235;厚度 δ1.2;宽 ;长 ;技术标准号 GB/T 11253-2007;加工工艺 冷轧;热处理工艺 ;特殊要求 ;规格标准号 GB/T 708-2006</t>
        </is>
      </c>
      <c r="F76" t="inlineStr">
        <is>
          <t>千克</t>
        </is>
      </c>
      <c r="G76">
        <f>LEFT(D76,FIND("|",D76,1)-1)</f>
        <v/>
      </c>
      <c r="H76">
        <f>MID(D76,FIND("|",D76,FIND("|",D76,1))+1,FIND("|",D76,FIND("|",D76,1)+1)-FIND("|",D76,FIND("|",D76,1))-1)</f>
        <v/>
      </c>
      <c r="J76">
        <f>MID(D76,FIND(",",SUBSTITUTE(D76,"|",REPT(",",LEN(D76)),2))+1,FIND(",",SUBSTITUTE(D76,"|",REPT(",",LEN(D76)),3))-FIND(",",SUBSTITUTE(D76,"|",REPT(",",LEN(D76)),2))-1)</f>
        <v/>
      </c>
      <c r="K76">
        <f>MID(D76,FIND(",",SUBSTITUTE(D76,"|",REPT(",",LEN(D76)),3))+1,FIND(",",SUBSTITUTE(D76,"|",REPT(",",LEN(D76)),4))-FIND(",",SUBSTITUTE(D76,"|",REPT(",",LEN(D76)),3))-1)</f>
        <v/>
      </c>
      <c r="L76">
        <f>MID(D76,FIND(",",SUBSTITUTE(D76,"|",REPT(",",LEN(D76)),4))+1,FIND(",",SUBSTITUTE(D76,"|",REPT(",",LEN(D76)),5))-FIND(",",SUBSTITUTE(D76,"|",REPT(",",LEN(D76)),4))-1)</f>
        <v/>
      </c>
      <c r="M76">
        <f>MID(D76,FIND(";",SUBSTITUTE(D76,"|",REPT(";",LEN(D76)),6))+1,LEN(D76))</f>
        <v/>
      </c>
      <c r="N76">
        <f>MID(D76,FIND(";",SUBSTITUTE(D76,"|",REPT(";",LEN(D76)),5))+1,FIND(";",SUBSTITUTE(D76,"|",REPT(";",LEN(D76)),6))-FIND(";",SUBSTITUTE(D76,"|",REPT(";",LEN(D76)),5))-1)</f>
        <v/>
      </c>
    </row>
    <row r="77">
      <c r="A77" t="inlineStr">
        <is>
          <t>100101</t>
        </is>
      </c>
      <c r="B77" t="inlineStr">
        <is>
          <t>冷轧板材</t>
        </is>
      </c>
      <c r="C77" t="inlineStr">
        <is>
          <t>600596500</t>
        </is>
      </c>
      <c r="D77" t="inlineStr">
        <is>
          <t>冷轧优质碳素结构钢板|钢板|10|GB/T 13237-2013|GB/T 708-2006</t>
        </is>
      </c>
      <c r="E77" t="inlineStr">
        <is>
          <t>物资名称 冷轧优质碳素结构钢板;物资简称 钢板;牌号 10;厚度 ;宽 ;长 ;技术标准号 GB/T 13237-2013;加工工艺 ;热处理工艺 ;特殊要求 ;规格标准号 GB/T 708-2006</t>
        </is>
      </c>
      <c r="F77" t="inlineStr">
        <is>
          <t>千克</t>
        </is>
      </c>
      <c r="G77">
        <f>LEFT(D77,FIND("|",D77,1)-1)</f>
        <v/>
      </c>
      <c r="H77">
        <f>MID(D77,FIND("|",D77,FIND("|",D77,1))+1,FIND("|",D77,FIND("|",D77,1)+1)-FIND("|",D77,FIND("|",D77,1))-1)</f>
        <v/>
      </c>
      <c r="J77">
        <f>MID(D77,FIND(",",SUBSTITUTE(D77,"|",REPT(",",LEN(D77)),2))+1,FIND(",",SUBSTITUTE(D77,"|",REPT(",",LEN(D77)),3))-FIND(",",SUBSTITUTE(D77,"|",REPT(",",LEN(D77)),2))-1)</f>
        <v/>
      </c>
      <c r="L77">
        <f>MID(D77,FIND(",",SUBSTITUTE(D77,"|",REPT(",",LEN(D77)),3))+1,FIND(",",SUBSTITUTE(D77,"|",REPT(",",LEN(D77)),4))-FIND(",",SUBSTITUTE(D77,"|",REPT(",",LEN(D77)),3))-1)</f>
        <v/>
      </c>
      <c r="M77">
        <f>MID(D77,FIND(";",SUBSTITUTE(D77,"|",REPT(";",LEN(D77)),4))+1,LEN(D77))</f>
        <v/>
      </c>
    </row>
    <row r="78">
      <c r="A78" t="inlineStr">
        <is>
          <t>100101</t>
        </is>
      </c>
      <c r="B78" t="inlineStr">
        <is>
          <t>冷轧板材</t>
        </is>
      </c>
      <c r="C78" t="inlineStr">
        <is>
          <t>600596400</t>
        </is>
      </c>
      <c r="D78" t="inlineStr">
        <is>
          <t>冷轧优质碳素结构钢板|钢板|10|δ3|GB/T 13237-2013|冷轧|GB/T 708-2006</t>
        </is>
      </c>
      <c r="E78" t="inlineStr">
        <is>
          <t>物资名称 冷轧优质碳素结构钢板;物资简称 钢板;牌号 10;厚度 δ3;宽 ;长 ;技术标准号 GB/T 13237-2013;加工工艺 冷轧;热处理工艺 ;特殊要求 ;规格标准号 GB/T 708-2006</t>
        </is>
      </c>
      <c r="F78" t="inlineStr">
        <is>
          <t>千克</t>
        </is>
      </c>
      <c r="G78">
        <f>LEFT(D78,FIND("|",D78,1)-1)</f>
        <v/>
      </c>
      <c r="H78">
        <f>MID(D78,FIND("|",D78,FIND("|",D78,1))+1,FIND("|",D78,FIND("|",D78,1)+1)-FIND("|",D78,FIND("|",D78,1))-1)</f>
        <v/>
      </c>
      <c r="J78">
        <f>MID(D78,FIND(",",SUBSTITUTE(D78,"|",REPT(",",LEN(D78)),2))+1,FIND(",",SUBSTITUTE(D78,"|",REPT(",",LEN(D78)),3))-FIND(",",SUBSTITUTE(D78,"|",REPT(",",LEN(D78)),2))-1)</f>
        <v/>
      </c>
      <c r="K78">
        <f>MID(D78,FIND(",",SUBSTITUTE(D78,"|",REPT(",",LEN(D78)),3))+1,FIND(",",SUBSTITUTE(D78,"|",REPT(",",LEN(D78)),4))-FIND(",",SUBSTITUTE(D78,"|",REPT(",",LEN(D78)),3))-1)</f>
        <v/>
      </c>
      <c r="L78">
        <f>MID(D78,FIND(",",SUBSTITUTE(D78,"|",REPT(",",LEN(D78)),4))+1,FIND(",",SUBSTITUTE(D78,"|",REPT(",",LEN(D78)),5))-FIND(",",SUBSTITUTE(D78,"|",REPT(",",LEN(D78)),4))-1)</f>
        <v/>
      </c>
      <c r="M78">
        <f>MID(D78,FIND(";",SUBSTITUTE(D78,"|",REPT(";",LEN(D78)),6))+1,LEN(D78))</f>
        <v/>
      </c>
      <c r="N78">
        <f>MID(D78,FIND(";",SUBSTITUTE(D78,"|",REPT(";",LEN(D78)),5))+1,FIND(";",SUBSTITUTE(D78,"|",REPT(";",LEN(D78)),6))-FIND(";",SUBSTITUTE(D78,"|",REPT(";",LEN(D78)),5))-1)</f>
        <v/>
      </c>
    </row>
    <row r="79">
      <c r="A79" t="inlineStr">
        <is>
          <t>100101</t>
        </is>
      </c>
      <c r="B79" t="inlineStr">
        <is>
          <t>冷轧板材</t>
        </is>
      </c>
      <c r="C79" t="inlineStr">
        <is>
          <t>600596300</t>
        </is>
      </c>
      <c r="D79" t="inlineStr">
        <is>
          <t>冷轧优质碳素结构钢板|钢板|20|GB/T 13237-2013|GB/T 708-2006</t>
        </is>
      </c>
      <c r="E79" t="inlineStr">
        <is>
          <t>物资名称 冷轧优质碳素结构钢板;物资简称 钢板;牌号 20;厚度 ;宽 ;长 ;技术标准号 GB/T 13237-2013;加工工艺 ;热处理工艺 ;特殊要求 ;规格标准号 GB/T 708-2006</t>
        </is>
      </c>
      <c r="F79" t="inlineStr">
        <is>
          <t>千克</t>
        </is>
      </c>
      <c r="G79">
        <f>LEFT(D79,FIND("|",D79,1)-1)</f>
        <v/>
      </c>
      <c r="H79">
        <f>MID(D79,FIND("|",D79,FIND("|",D79,1))+1,FIND("|",D79,FIND("|",D79,1)+1)-FIND("|",D79,FIND("|",D79,1))-1)</f>
        <v/>
      </c>
      <c r="J79">
        <f>MID(D79,FIND(",",SUBSTITUTE(D79,"|",REPT(",",LEN(D79)),2))+1,FIND(",",SUBSTITUTE(D79,"|",REPT(",",LEN(D79)),3))-FIND(",",SUBSTITUTE(D79,"|",REPT(",",LEN(D79)),2))-1)</f>
        <v/>
      </c>
      <c r="L79">
        <f>MID(D79,FIND(",",SUBSTITUTE(D79,"|",REPT(",",LEN(D79)),3))+1,FIND(",",SUBSTITUTE(D79,"|",REPT(",",LEN(D79)),4))-FIND(",",SUBSTITUTE(D79,"|",REPT(",",LEN(D79)),3))-1)</f>
        <v/>
      </c>
      <c r="M79">
        <f>MID(D79,FIND(";",SUBSTITUTE(D79,"|",REPT(";",LEN(D79)),4))+1,LEN(D79))</f>
        <v/>
      </c>
    </row>
    <row r="80">
      <c r="A80" t="inlineStr">
        <is>
          <t>100101</t>
        </is>
      </c>
      <c r="B80" t="inlineStr">
        <is>
          <t>冷轧板材</t>
        </is>
      </c>
      <c r="C80" t="inlineStr">
        <is>
          <t>600596200</t>
        </is>
      </c>
      <c r="D80" t="inlineStr">
        <is>
          <t>冷轧优质碳素结构钢板|钢板|20|δ0.8|GB/T 13237-2013|冷轧|GB/T 708-2006</t>
        </is>
      </c>
      <c r="E80" t="inlineStr">
        <is>
          <t>物资名称 冷轧优质碳素结构钢板;物资简称 钢板;牌号 20;厚度 δ0.8;宽 ;长 ;技术标准号 GB/T 13237-2013;加工工艺 冷轧;热处理工艺 ;特殊要求 ;规格标准号 GB/T 708-2006</t>
        </is>
      </c>
      <c r="F80" t="inlineStr">
        <is>
          <t>千克</t>
        </is>
      </c>
      <c r="G80">
        <f>LEFT(D80,FIND("|",D80,1)-1)</f>
        <v/>
      </c>
      <c r="H80">
        <f>MID(D80,FIND("|",D80,FIND("|",D80,1))+1,FIND("|",D80,FIND("|",D80,1)+1)-FIND("|",D80,FIND("|",D80,1))-1)</f>
        <v/>
      </c>
      <c r="J80">
        <f>MID(D80,FIND(",",SUBSTITUTE(D80,"|",REPT(",",LEN(D80)),2))+1,FIND(",",SUBSTITUTE(D80,"|",REPT(",",LEN(D80)),3))-FIND(",",SUBSTITUTE(D80,"|",REPT(",",LEN(D80)),2))-1)</f>
        <v/>
      </c>
      <c r="K80">
        <f>MID(D80,FIND(",",SUBSTITUTE(D80,"|",REPT(",",LEN(D80)),3))+1,FIND(",",SUBSTITUTE(D80,"|",REPT(",",LEN(D80)),4))-FIND(",",SUBSTITUTE(D80,"|",REPT(",",LEN(D80)),3))-1)</f>
        <v/>
      </c>
      <c r="L80">
        <f>MID(D80,FIND(",",SUBSTITUTE(D80,"|",REPT(",",LEN(D80)),4))+1,FIND(",",SUBSTITUTE(D80,"|",REPT(",",LEN(D80)),5))-FIND(",",SUBSTITUTE(D80,"|",REPT(",",LEN(D80)),4))-1)</f>
        <v/>
      </c>
      <c r="M80">
        <f>MID(D80,FIND(";",SUBSTITUTE(D80,"|",REPT(";",LEN(D80)),6))+1,LEN(D80))</f>
        <v/>
      </c>
      <c r="N80">
        <f>MID(D80,FIND(";",SUBSTITUTE(D80,"|",REPT(";",LEN(D80)),5))+1,FIND(";",SUBSTITUTE(D80,"|",REPT(";",LEN(D80)),6))-FIND(";",SUBSTITUTE(D80,"|",REPT(";",LEN(D80)),5))-1)</f>
        <v/>
      </c>
    </row>
    <row r="81">
      <c r="A81" t="inlineStr">
        <is>
          <t>100101</t>
        </is>
      </c>
      <c r="B81" t="inlineStr">
        <is>
          <t>冷轧板材</t>
        </is>
      </c>
      <c r="C81" t="inlineStr">
        <is>
          <t>600596100</t>
        </is>
      </c>
      <c r="D81" t="inlineStr">
        <is>
          <t>冷轧优质碳素结构钢板|钢板|20|δ1|GB/T 13237-2013|冷轧|FB|GB/T 708-2006</t>
        </is>
      </c>
      <c r="E81" t="inlineStr">
        <is>
          <t>物资名称 冷轧优质碳素结构钢板;物资简称 钢板;牌号 20;厚度 δ1;宽 ;长 ;技术标准号 GB/T 13237-2013;加工工艺 冷轧;热处理工艺 ;特殊要求 FB;规格标准号 GB/T 708-2006</t>
        </is>
      </c>
      <c r="F81" t="inlineStr">
        <is>
          <t>千克</t>
        </is>
      </c>
      <c r="G81">
        <f>LEFT(D81,FIND("|",D81,1)-1)</f>
        <v/>
      </c>
      <c r="H81">
        <f>MID(D81,FIND("|",D81,FIND("|",D81,1))+1,FIND("|",D81,FIND("|",D81,1)+1)-FIND("|",D81,FIND("|",D81,1))-1)</f>
        <v/>
      </c>
      <c r="J81">
        <f>MID(D81,FIND(",",SUBSTITUTE(D81,"|",REPT(",",LEN(D81)),2))+1,FIND(",",SUBSTITUTE(D81,"|",REPT(",",LEN(D81)),3))-FIND(",",SUBSTITUTE(D81,"|",REPT(",",LEN(D81)),2))-1)</f>
        <v/>
      </c>
      <c r="K81">
        <f>MID(D81,FIND(",",SUBSTITUTE(D81,"|",REPT(",",LEN(D81)),3))+1,FIND(",",SUBSTITUTE(D81,"|",REPT(",",LEN(D81)),4))-FIND(",",SUBSTITUTE(D81,"|",REPT(",",LEN(D81)),3))-1)</f>
        <v/>
      </c>
      <c r="L81">
        <f>MID(D81,FIND(",",SUBSTITUTE(D81,"|",REPT(",",LEN(D81)),4))+1,FIND(",",SUBSTITUTE(D81,"|",REPT(",",LEN(D81)),5))-FIND(",",SUBSTITUTE(D81,"|",REPT(",",LEN(D81)),4))-1)</f>
        <v/>
      </c>
      <c r="M81">
        <f>MID(D81,FIND(";",SUBSTITUTE(D81,"|",REPT(";",LEN(D81)),7))+1,LEN(D81))</f>
        <v/>
      </c>
      <c r="N81">
        <f>MID(D81,FIND(";",SUBSTITUTE(D81,"|",REPT(";",LEN(D81)),5))+1,FIND(";",SUBSTITUTE(D81,"|",REPT(";",LEN(D81)),6))-FIND(";",SUBSTITUTE(D81,"|",REPT(";",LEN(D81)),5))-1)</f>
        <v/>
      </c>
      <c r="P81">
        <f>MID(D81,FIND(";",SUBSTITUTE(D81,"|",REPT(";",LEN(D81)),6))+1,FIND(";",SUBSTITUTE(D81,"|",REPT(";",LEN(D81)),7))-FIND(";",SUBSTITUTE(D81,"|",REPT(";",LEN(D81)),6))-1)</f>
        <v/>
      </c>
    </row>
    <row r="82">
      <c r="A82" t="inlineStr">
        <is>
          <t>100101</t>
        </is>
      </c>
      <c r="B82" t="inlineStr">
        <is>
          <t>冷轧板材</t>
        </is>
      </c>
      <c r="C82" t="inlineStr">
        <is>
          <t>600596000</t>
        </is>
      </c>
      <c r="D82" t="inlineStr">
        <is>
          <t>冷轧优质碳素结构钢板|钢板|20|δ1.2|GB/T 13237-2013|冷轧|GB/T 708-2006</t>
        </is>
      </c>
      <c r="E82" t="inlineStr">
        <is>
          <t>物资名称 冷轧优质碳素结构钢板;物资简称 钢板;牌号 20;厚度 δ1.2;宽 ;长 ;技术标准号 GB/T 13237-2013;加工工艺 冷轧;热处理工艺 ;特殊要求 ;规格标准号 GB/T 708-2006</t>
        </is>
      </c>
      <c r="F82" t="inlineStr">
        <is>
          <t>千克</t>
        </is>
      </c>
      <c r="G82">
        <f>LEFT(D82,FIND("|",D82,1)-1)</f>
        <v/>
      </c>
      <c r="H82">
        <f>MID(D82,FIND("|",D82,FIND("|",D82,1))+1,FIND("|",D82,FIND("|",D82,1)+1)-FIND("|",D82,FIND("|",D82,1))-1)</f>
        <v/>
      </c>
      <c r="J82">
        <f>MID(D82,FIND(",",SUBSTITUTE(D82,"|",REPT(",",LEN(D82)),2))+1,FIND(",",SUBSTITUTE(D82,"|",REPT(",",LEN(D82)),3))-FIND(",",SUBSTITUTE(D82,"|",REPT(",",LEN(D82)),2))-1)</f>
        <v/>
      </c>
      <c r="K82">
        <f>MID(D82,FIND(",",SUBSTITUTE(D82,"|",REPT(",",LEN(D82)),3))+1,FIND(",",SUBSTITUTE(D82,"|",REPT(",",LEN(D82)),4))-FIND(",",SUBSTITUTE(D82,"|",REPT(",",LEN(D82)),3))-1)</f>
        <v/>
      </c>
      <c r="L82">
        <f>MID(D82,FIND(",",SUBSTITUTE(D82,"|",REPT(",",LEN(D82)),4))+1,FIND(",",SUBSTITUTE(D82,"|",REPT(",",LEN(D82)),5))-FIND(",",SUBSTITUTE(D82,"|",REPT(",",LEN(D82)),4))-1)</f>
        <v/>
      </c>
      <c r="M82">
        <f>MID(D82,FIND(";",SUBSTITUTE(D82,"|",REPT(";",LEN(D82)),6))+1,LEN(D82))</f>
        <v/>
      </c>
      <c r="N82">
        <f>MID(D82,FIND(";",SUBSTITUTE(D82,"|",REPT(";",LEN(D82)),5))+1,FIND(";",SUBSTITUTE(D82,"|",REPT(";",LEN(D82)),6))-FIND(";",SUBSTITUTE(D82,"|",REPT(";",LEN(D82)),5))-1)</f>
        <v/>
      </c>
    </row>
    <row r="83">
      <c r="A83" t="inlineStr">
        <is>
          <t>100101</t>
        </is>
      </c>
      <c r="B83" t="inlineStr">
        <is>
          <t>冷轧板材</t>
        </is>
      </c>
      <c r="C83" t="inlineStr">
        <is>
          <t>600595900</t>
        </is>
      </c>
      <c r="D83" t="inlineStr">
        <is>
          <t>冷轧优质碳素结构钢板|钢板|20|δ1.5|GB/T 13237-2013|冷轧|FB|GB/T 708-2006</t>
        </is>
      </c>
      <c r="E83" t="inlineStr">
        <is>
          <t>物资名称 冷轧优质碳素结构钢板;物资简称 钢板;牌号 20;厚度 δ1.5;宽 ;长 ;技术标准号 GB/T 13237-2013;加工工艺 冷轧;热处理工艺 ;特殊要求 FB;规格标准号 GB/T 708-2006</t>
        </is>
      </c>
      <c r="F83" t="inlineStr">
        <is>
          <t>千克</t>
        </is>
      </c>
      <c r="G83">
        <f>LEFT(D83,FIND("|",D83,1)-1)</f>
        <v/>
      </c>
      <c r="H83">
        <f>MID(D83,FIND("|",D83,FIND("|",D83,1))+1,FIND("|",D83,FIND("|",D83,1)+1)-FIND("|",D83,FIND("|",D83,1))-1)</f>
        <v/>
      </c>
      <c r="J83">
        <f>MID(D83,FIND(",",SUBSTITUTE(D83,"|",REPT(",",LEN(D83)),2))+1,FIND(",",SUBSTITUTE(D83,"|",REPT(",",LEN(D83)),3))-FIND(",",SUBSTITUTE(D83,"|",REPT(",",LEN(D83)),2))-1)</f>
        <v/>
      </c>
      <c r="K83">
        <f>MID(D83,FIND(",",SUBSTITUTE(D83,"|",REPT(",",LEN(D83)),3))+1,FIND(",",SUBSTITUTE(D83,"|",REPT(",",LEN(D83)),4))-FIND(",",SUBSTITUTE(D83,"|",REPT(",",LEN(D83)),3))-1)</f>
        <v/>
      </c>
      <c r="L83">
        <f>MID(D83,FIND(",",SUBSTITUTE(D83,"|",REPT(",",LEN(D83)),4))+1,FIND(",",SUBSTITUTE(D83,"|",REPT(",",LEN(D83)),5))-FIND(",",SUBSTITUTE(D83,"|",REPT(",",LEN(D83)),4))-1)</f>
        <v/>
      </c>
      <c r="M83">
        <f>MID(D83,FIND(";",SUBSTITUTE(D83,"|",REPT(";",LEN(D83)),7))+1,LEN(D83))</f>
        <v/>
      </c>
      <c r="N83">
        <f>MID(D83,FIND(";",SUBSTITUTE(D83,"|",REPT(";",LEN(D83)),5))+1,FIND(";",SUBSTITUTE(D83,"|",REPT(";",LEN(D83)),6))-FIND(";",SUBSTITUTE(D83,"|",REPT(";",LEN(D83)),5))-1)</f>
        <v/>
      </c>
      <c r="P83">
        <f>MID(D83,FIND(";",SUBSTITUTE(D83,"|",REPT(";",LEN(D83)),6))+1,FIND(";",SUBSTITUTE(D83,"|",REPT(";",LEN(D83)),7))-FIND(";",SUBSTITUTE(D83,"|",REPT(";",LEN(D83)),6))-1)</f>
        <v/>
      </c>
    </row>
    <row r="84">
      <c r="A84" t="inlineStr">
        <is>
          <t>100101</t>
        </is>
      </c>
      <c r="B84" t="inlineStr">
        <is>
          <t>冷轧板材</t>
        </is>
      </c>
      <c r="C84" t="inlineStr">
        <is>
          <t>600595800</t>
        </is>
      </c>
      <c r="D84" t="inlineStr">
        <is>
          <t>冷轧优质碳素结构钢板|钢板|20|δ2|GB/T 13237-2013|冷轧|退火|GB/T 708-2006</t>
        </is>
      </c>
      <c r="E84" t="inlineStr">
        <is>
          <t>物资名称 冷轧优质碳素结构钢板;物资简称 钢板;牌号 20;厚度 δ2;宽 ;长 ;技术标准号 GB/T 13237-2013;加工工艺 冷轧;热处理工艺 退火;特殊要求 ;规格标准号 GB/T 708-2006</t>
        </is>
      </c>
      <c r="F84" t="inlineStr">
        <is>
          <t>千克</t>
        </is>
      </c>
      <c r="G84">
        <f>LEFT(D84,FIND("|",D84,1)-1)</f>
        <v/>
      </c>
      <c r="H84">
        <f>MID(D84,FIND("|",D84,FIND("|",D84,1))+1,FIND("|",D84,FIND("|",D84,1)+1)-FIND("|",D84,FIND("|",D84,1))-1)</f>
        <v/>
      </c>
      <c r="J84">
        <f>MID(D84,FIND(",",SUBSTITUTE(D84,"|",REPT(",",LEN(D84)),2))+1,FIND(",",SUBSTITUTE(D84,"|",REPT(",",LEN(D84)),3))-FIND(",",SUBSTITUTE(D84,"|",REPT(",",LEN(D84)),2))-1)</f>
        <v/>
      </c>
      <c r="K84">
        <f>MID(D84,FIND(",",SUBSTITUTE(D84,"|",REPT(",",LEN(D84)),3))+1,FIND(",",SUBSTITUTE(D84,"|",REPT(",",LEN(D84)),4))-FIND(",",SUBSTITUTE(D84,"|",REPT(",",LEN(D84)),3))-1)</f>
        <v/>
      </c>
      <c r="L84">
        <f>MID(D84,FIND(",",SUBSTITUTE(D84,"|",REPT(",",LEN(D84)),4))+1,FIND(",",SUBSTITUTE(D84,"|",REPT(",",LEN(D84)),5))-FIND(",",SUBSTITUTE(D84,"|",REPT(",",LEN(D84)),4))-1)</f>
        <v/>
      </c>
      <c r="M84">
        <f>MID(D84,FIND(";",SUBSTITUTE(D84,"|",REPT(";",LEN(D84)),7))+1,LEN(D84))</f>
        <v/>
      </c>
      <c r="N84">
        <f>MID(D84,FIND(";",SUBSTITUTE(D84,"|",REPT(";",LEN(D84)),5))+1,FIND(";",SUBSTITUTE(D84,"|",REPT(";",LEN(D84)),6))-FIND(";",SUBSTITUTE(D84,"|",REPT(";",LEN(D84)),5))-1)</f>
        <v/>
      </c>
      <c r="O84">
        <f>MID(D84,FIND(";",SUBSTITUTE(D84,"|",REPT(";",LEN(D84)),6))+1,FIND(";",SUBSTITUTE(D84,"|",REPT(";",LEN(D84)),7))-FIND(";",SUBSTITUTE(D84,"|",REPT(";",LEN(D84)),6))-1)</f>
        <v/>
      </c>
    </row>
    <row r="85">
      <c r="A85" t="inlineStr">
        <is>
          <t>100101</t>
        </is>
      </c>
      <c r="B85" t="inlineStr">
        <is>
          <t>冷轧板材</t>
        </is>
      </c>
      <c r="C85" t="inlineStr">
        <is>
          <t>600595700</t>
        </is>
      </c>
      <c r="D85" t="inlineStr">
        <is>
          <t>冷轧优质碳素结构钢板|钢板|20|δ3|GB/T 13237-2013|冷轧|退火|GB/T 708-2006</t>
        </is>
      </c>
      <c r="E85" t="inlineStr">
        <is>
          <t>物资名称 冷轧优质碳素结构钢板;物资简称 钢板;牌号 20;厚度 δ3;宽 ;长 ;技术标准号 GB/T 13237-2013;加工工艺 冷轧;热处理工艺 退火;特殊要求 ;规格标准号 GB/T 708-2006</t>
        </is>
      </c>
      <c r="F85" t="inlineStr">
        <is>
          <t>千克</t>
        </is>
      </c>
      <c r="G85">
        <f>LEFT(D85,FIND("|",D85,1)-1)</f>
        <v/>
      </c>
      <c r="H85">
        <f>MID(D85,FIND("|",D85,FIND("|",D85,1))+1,FIND("|",D85,FIND("|",D85,1)+1)-FIND("|",D85,FIND("|",D85,1))-1)</f>
        <v/>
      </c>
      <c r="J85">
        <f>MID(D85,FIND(",",SUBSTITUTE(D85,"|",REPT(",",LEN(D85)),2))+1,FIND(",",SUBSTITUTE(D85,"|",REPT(",",LEN(D85)),3))-FIND(",",SUBSTITUTE(D85,"|",REPT(",",LEN(D85)),2))-1)</f>
        <v/>
      </c>
      <c r="K85">
        <f>MID(D85,FIND(",",SUBSTITUTE(D85,"|",REPT(",",LEN(D85)),3))+1,FIND(",",SUBSTITUTE(D85,"|",REPT(",",LEN(D85)),4))-FIND(",",SUBSTITUTE(D85,"|",REPT(",",LEN(D85)),3))-1)</f>
        <v/>
      </c>
      <c r="L85">
        <f>MID(D85,FIND(",",SUBSTITUTE(D85,"|",REPT(",",LEN(D85)),4))+1,FIND(",",SUBSTITUTE(D85,"|",REPT(",",LEN(D85)),5))-FIND(",",SUBSTITUTE(D85,"|",REPT(",",LEN(D85)),4))-1)</f>
        <v/>
      </c>
      <c r="M85">
        <f>MID(D85,FIND(";",SUBSTITUTE(D85,"|",REPT(";",LEN(D85)),7))+1,LEN(D85))</f>
        <v/>
      </c>
      <c r="N85">
        <f>MID(D85,FIND(";",SUBSTITUTE(D85,"|",REPT(";",LEN(D85)),5))+1,FIND(";",SUBSTITUTE(D85,"|",REPT(";",LEN(D85)),6))-FIND(";",SUBSTITUTE(D85,"|",REPT(";",LEN(D85)),5))-1)</f>
        <v/>
      </c>
      <c r="O85">
        <f>MID(D85,FIND(";",SUBSTITUTE(D85,"|",REPT(";",LEN(D85)),6))+1,FIND(";",SUBSTITUTE(D85,"|",REPT(";",LEN(D85)),7))-FIND(";",SUBSTITUTE(D85,"|",REPT(";",LEN(D85)),6))-1)</f>
        <v/>
      </c>
    </row>
    <row r="86">
      <c r="A86" t="inlineStr">
        <is>
          <t>100101</t>
        </is>
      </c>
      <c r="B86" t="inlineStr">
        <is>
          <t>冷轧板材</t>
        </is>
      </c>
      <c r="C86" t="inlineStr">
        <is>
          <t>600595600</t>
        </is>
      </c>
      <c r="D86" t="inlineStr">
        <is>
          <t>冷轧优质碳素结构钢板|钢板|20|δ3|GB/T 13237-2013|冷轧|FB|GB/T 708-2006</t>
        </is>
      </c>
      <c r="E86" t="inlineStr">
        <is>
          <t>物资名称 冷轧优质碳素结构钢板;物资简称 钢板;牌号 20;厚度 δ3;宽 ;长 ;技术标准号 GB/T 13237-2013;加工工艺 冷轧;热处理工艺 ;特殊要求 FB;规格标准号 GB/T 708-2006</t>
        </is>
      </c>
      <c r="F86" t="inlineStr">
        <is>
          <t>千克</t>
        </is>
      </c>
      <c r="G86">
        <f>LEFT(D86,FIND("|",D86,1)-1)</f>
        <v/>
      </c>
      <c r="H86">
        <f>MID(D86,FIND("|",D86,FIND("|",D86,1))+1,FIND("|",D86,FIND("|",D86,1)+1)-FIND("|",D86,FIND("|",D86,1))-1)</f>
        <v/>
      </c>
      <c r="J86">
        <f>MID(D86,FIND(",",SUBSTITUTE(D86,"|",REPT(",",LEN(D86)),2))+1,FIND(",",SUBSTITUTE(D86,"|",REPT(",",LEN(D86)),3))-FIND(",",SUBSTITUTE(D86,"|",REPT(",",LEN(D86)),2))-1)</f>
        <v/>
      </c>
      <c r="K86">
        <f>MID(D86,FIND(",",SUBSTITUTE(D86,"|",REPT(",",LEN(D86)),3))+1,FIND(",",SUBSTITUTE(D86,"|",REPT(",",LEN(D86)),4))-FIND(",",SUBSTITUTE(D86,"|",REPT(",",LEN(D86)),3))-1)</f>
        <v/>
      </c>
      <c r="L86">
        <f>MID(D86,FIND(",",SUBSTITUTE(D86,"|",REPT(",",LEN(D86)),4))+1,FIND(",",SUBSTITUTE(D86,"|",REPT(",",LEN(D86)),5))-FIND(",",SUBSTITUTE(D86,"|",REPT(",",LEN(D86)),4))-1)</f>
        <v/>
      </c>
      <c r="M86">
        <f>MID(D86,FIND(";",SUBSTITUTE(D86,"|",REPT(";",LEN(D86)),7))+1,LEN(D86))</f>
        <v/>
      </c>
      <c r="N86">
        <f>MID(D86,FIND(";",SUBSTITUTE(D86,"|",REPT(";",LEN(D86)),5))+1,FIND(";",SUBSTITUTE(D86,"|",REPT(";",LEN(D86)),6))-FIND(";",SUBSTITUTE(D86,"|",REPT(";",LEN(D86)),5))-1)</f>
        <v/>
      </c>
      <c r="P86">
        <f>MID(D86,FIND(";",SUBSTITUTE(D86,"|",REPT(";",LEN(D86)),6))+1,FIND(";",SUBSTITUTE(D86,"|",REPT(";",LEN(D86)),7))-FIND(";",SUBSTITUTE(D86,"|",REPT(";",LEN(D86)),6))-1)</f>
        <v/>
      </c>
    </row>
    <row r="87">
      <c r="A87" t="inlineStr">
        <is>
          <t>100101</t>
        </is>
      </c>
      <c r="B87" t="inlineStr">
        <is>
          <t>冷轧板材</t>
        </is>
      </c>
      <c r="C87" t="inlineStr">
        <is>
          <t>600595500</t>
        </is>
      </c>
      <c r="D87" t="inlineStr">
        <is>
          <t>冷轧优质碳素结构钢板|钢板|40|GB/T 13237-2013|GB/T 708-2006</t>
        </is>
      </c>
      <c r="E87" t="inlineStr">
        <is>
          <t>物资名称 冷轧优质碳素结构钢板;物资简称 钢板;牌号 40;厚度 ;宽 ;长 ;技术标准号 GB/T 13237-2013;加工工艺 ;热处理工艺 ;特殊要求 ;规格标准号 GB/T 708-2006</t>
        </is>
      </c>
      <c r="F87" t="inlineStr">
        <is>
          <t>千克</t>
        </is>
      </c>
      <c r="G87">
        <f>LEFT(D87,FIND("|",D87,1)-1)</f>
        <v/>
      </c>
      <c r="H87">
        <f>MID(D87,FIND("|",D87,FIND("|",D87,1))+1,FIND("|",D87,FIND("|",D87,1)+1)-FIND("|",D87,FIND("|",D87,1))-1)</f>
        <v/>
      </c>
      <c r="J87">
        <f>MID(D87,FIND(",",SUBSTITUTE(D87,"|",REPT(",",LEN(D87)),2))+1,FIND(",",SUBSTITUTE(D87,"|",REPT(",",LEN(D87)),3))-FIND(",",SUBSTITUTE(D87,"|",REPT(",",LEN(D87)),2))-1)</f>
        <v/>
      </c>
      <c r="L87">
        <f>MID(D87,FIND(",",SUBSTITUTE(D87,"|",REPT(",",LEN(D87)),3))+1,FIND(",",SUBSTITUTE(D87,"|",REPT(",",LEN(D87)),4))-FIND(",",SUBSTITUTE(D87,"|",REPT(",",LEN(D87)),3))-1)</f>
        <v/>
      </c>
      <c r="M87">
        <f>MID(D87,FIND(";",SUBSTITUTE(D87,"|",REPT(";",LEN(D87)),4))+1,LEN(D87))</f>
        <v/>
      </c>
    </row>
    <row r="88">
      <c r="A88" t="inlineStr">
        <is>
          <t>100101</t>
        </is>
      </c>
      <c r="B88" t="inlineStr">
        <is>
          <t>冷轧板材</t>
        </is>
      </c>
      <c r="C88" t="inlineStr">
        <is>
          <t>600595400</t>
        </is>
      </c>
      <c r="D88" t="inlineStr">
        <is>
          <t>冷轧优质碳素结构钢板|钢板|40|δ0.8|GB/T 13237-2013|冷轧|GB/T 708-2006</t>
        </is>
      </c>
      <c r="E88" t="inlineStr">
        <is>
          <t>物资名称 冷轧优质碳素结构钢板;物资简称 钢板;牌号 40;厚度 δ0.8;宽 ;长 ;技术标准号 GB/T 13237-2013;加工工艺 冷轧;热处理工艺 ;特殊要求 ;规格标准号 GB/T 708-2006</t>
        </is>
      </c>
      <c r="F88" t="inlineStr">
        <is>
          <t>千克</t>
        </is>
      </c>
      <c r="G88">
        <f>LEFT(D88,FIND("|",D88,1)-1)</f>
        <v/>
      </c>
      <c r="H88">
        <f>MID(D88,FIND("|",D88,FIND("|",D88,1))+1,FIND("|",D88,FIND("|",D88,1)+1)-FIND("|",D88,FIND("|",D88,1))-1)</f>
        <v/>
      </c>
      <c r="J88">
        <f>MID(D88,FIND(",",SUBSTITUTE(D88,"|",REPT(",",LEN(D88)),2))+1,FIND(",",SUBSTITUTE(D88,"|",REPT(",",LEN(D88)),3))-FIND(",",SUBSTITUTE(D88,"|",REPT(",",LEN(D88)),2))-1)</f>
        <v/>
      </c>
      <c r="K88">
        <f>MID(D88,FIND(",",SUBSTITUTE(D88,"|",REPT(",",LEN(D88)),3))+1,FIND(",",SUBSTITUTE(D88,"|",REPT(",",LEN(D88)),4))-FIND(",",SUBSTITUTE(D88,"|",REPT(",",LEN(D88)),3))-1)</f>
        <v/>
      </c>
      <c r="L88">
        <f>MID(D88,FIND(",",SUBSTITUTE(D88,"|",REPT(",",LEN(D88)),4))+1,FIND(",",SUBSTITUTE(D88,"|",REPT(",",LEN(D88)),5))-FIND(",",SUBSTITUTE(D88,"|",REPT(",",LEN(D88)),4))-1)</f>
        <v/>
      </c>
      <c r="M88">
        <f>MID(D88,FIND(";",SUBSTITUTE(D88,"|",REPT(";",LEN(D88)),6))+1,LEN(D88))</f>
        <v/>
      </c>
      <c r="N88">
        <f>MID(D88,FIND(";",SUBSTITUTE(D88,"|",REPT(";",LEN(D88)),5))+1,FIND(";",SUBSTITUTE(D88,"|",REPT(";",LEN(D88)),6))-FIND(";",SUBSTITUTE(D88,"|",REPT(";",LEN(D88)),5))-1)</f>
        <v/>
      </c>
    </row>
    <row r="89">
      <c r="A89" t="inlineStr">
        <is>
          <t>100101</t>
        </is>
      </c>
      <c r="B89" t="inlineStr">
        <is>
          <t>冷轧板材</t>
        </is>
      </c>
      <c r="C89" t="inlineStr">
        <is>
          <t>600595300</t>
        </is>
      </c>
      <c r="D89" t="inlineStr">
        <is>
          <t>冷轧优质碳素结构钢板|钢板|40|δ1.5|GB/T 13237-2013|冷轧|GB/T 708-2006</t>
        </is>
      </c>
      <c r="E89" t="inlineStr">
        <is>
          <t>物资名称 冷轧优质碳素结构钢板;物资简称 钢板;牌号 40;厚度 δ1.5;宽 ;长 ;技术标准号 GB/T 13237-2013;加工工艺 冷轧;热处理工艺 ;特殊要求 ;规格标准号 GB/T 708-2006</t>
        </is>
      </c>
      <c r="F89" t="inlineStr">
        <is>
          <t>千克</t>
        </is>
      </c>
      <c r="G89">
        <f>LEFT(D89,FIND("|",D89,1)-1)</f>
        <v/>
      </c>
      <c r="H89">
        <f>MID(D89,FIND("|",D89,FIND("|",D89,1))+1,FIND("|",D89,FIND("|",D89,1)+1)-FIND("|",D89,FIND("|",D89,1))-1)</f>
        <v/>
      </c>
      <c r="J89">
        <f>MID(D89,FIND(",",SUBSTITUTE(D89,"|",REPT(",",LEN(D89)),2))+1,FIND(",",SUBSTITUTE(D89,"|",REPT(",",LEN(D89)),3))-FIND(",",SUBSTITUTE(D89,"|",REPT(",",LEN(D89)),2))-1)</f>
        <v/>
      </c>
      <c r="K89">
        <f>MID(D89,FIND(",",SUBSTITUTE(D89,"|",REPT(",",LEN(D89)),3))+1,FIND(",",SUBSTITUTE(D89,"|",REPT(",",LEN(D89)),4))-FIND(",",SUBSTITUTE(D89,"|",REPT(",",LEN(D89)),3))-1)</f>
        <v/>
      </c>
      <c r="L89">
        <f>MID(D89,FIND(",",SUBSTITUTE(D89,"|",REPT(",",LEN(D89)),4))+1,FIND(",",SUBSTITUTE(D89,"|",REPT(",",LEN(D89)),5))-FIND(",",SUBSTITUTE(D89,"|",REPT(",",LEN(D89)),4))-1)</f>
        <v/>
      </c>
      <c r="M89">
        <f>MID(D89,FIND(";",SUBSTITUTE(D89,"|",REPT(";",LEN(D89)),6))+1,LEN(D89))</f>
        <v/>
      </c>
      <c r="N89">
        <f>MID(D89,FIND(";",SUBSTITUTE(D89,"|",REPT(";",LEN(D89)),5))+1,FIND(";",SUBSTITUTE(D89,"|",REPT(";",LEN(D89)),6))-FIND(";",SUBSTITUTE(D89,"|",REPT(";",LEN(D89)),5))-1)</f>
        <v/>
      </c>
    </row>
    <row r="90">
      <c r="A90" t="inlineStr">
        <is>
          <t>100101</t>
        </is>
      </c>
      <c r="B90" t="inlineStr">
        <is>
          <t>冷轧板材</t>
        </is>
      </c>
      <c r="C90" t="inlineStr">
        <is>
          <t>600595200</t>
        </is>
      </c>
      <c r="D90" t="inlineStr">
        <is>
          <t>冷轧优质碳素结构钢板|钢板|40|δ2.8|GB/T 13237-2013|冷轧|GB/T 708-2006</t>
        </is>
      </c>
      <c r="E90" t="inlineStr">
        <is>
          <t>物资名称 冷轧优质碳素结构钢板;物资简称 钢板;牌号 40;厚度 δ2.8;宽 ;长 ;技术标准号 GB/T 13237-2013;加工工艺 冷轧;热处理工艺 ;特殊要求 ;规格标准号 GB/T 708-2006</t>
        </is>
      </c>
      <c r="F90" t="inlineStr">
        <is>
          <t>千克</t>
        </is>
      </c>
      <c r="G90">
        <f>LEFT(D90,FIND("|",D90,1)-1)</f>
        <v/>
      </c>
      <c r="H90">
        <f>MID(D90,FIND("|",D90,FIND("|",D90,1))+1,FIND("|",D90,FIND("|",D90,1)+1)-FIND("|",D90,FIND("|",D90,1))-1)</f>
        <v/>
      </c>
      <c r="J90">
        <f>MID(D90,FIND(",",SUBSTITUTE(D90,"|",REPT(",",LEN(D90)),2))+1,FIND(",",SUBSTITUTE(D90,"|",REPT(",",LEN(D90)),3))-FIND(",",SUBSTITUTE(D90,"|",REPT(",",LEN(D90)),2))-1)</f>
        <v/>
      </c>
      <c r="K90">
        <f>MID(D90,FIND(",",SUBSTITUTE(D90,"|",REPT(",",LEN(D90)),3))+1,FIND(",",SUBSTITUTE(D90,"|",REPT(",",LEN(D90)),4))-FIND(",",SUBSTITUTE(D90,"|",REPT(",",LEN(D90)),3))-1)</f>
        <v/>
      </c>
      <c r="L90">
        <f>MID(D90,FIND(",",SUBSTITUTE(D90,"|",REPT(",",LEN(D90)),4))+1,FIND(",",SUBSTITUTE(D90,"|",REPT(",",LEN(D90)),5))-FIND(",",SUBSTITUTE(D90,"|",REPT(",",LEN(D90)),4))-1)</f>
        <v/>
      </c>
      <c r="M90">
        <f>MID(D90,FIND(";",SUBSTITUTE(D90,"|",REPT(";",LEN(D90)),6))+1,LEN(D90))</f>
        <v/>
      </c>
      <c r="N90">
        <f>MID(D90,FIND(";",SUBSTITUTE(D90,"|",REPT(";",LEN(D90)),5))+1,FIND(";",SUBSTITUTE(D90,"|",REPT(";",LEN(D90)),6))-FIND(";",SUBSTITUTE(D90,"|",REPT(";",LEN(D90)),5))-1)</f>
        <v/>
      </c>
    </row>
    <row r="91">
      <c r="A91" t="inlineStr">
        <is>
          <t>100101</t>
        </is>
      </c>
      <c r="B91" t="inlineStr">
        <is>
          <t>冷轧板材</t>
        </is>
      </c>
      <c r="C91" t="inlineStr">
        <is>
          <t>600595100</t>
        </is>
      </c>
      <c r="D91" t="inlineStr">
        <is>
          <t>冷轧优质碳素结构钢板|钢板|45|GB/T 13237-2013|GB/T 708-2006</t>
        </is>
      </c>
      <c r="E91" t="inlineStr">
        <is>
          <t>物资名称 冷轧优质碳素结构钢板;物资简称 钢板;牌号 45;厚度 ;宽 ;长 ;技术标准号 GB/T 13237-2013;加工工艺 ;热处理工艺 ;特殊要求 ;规格标准号 GB/T 708-2006</t>
        </is>
      </c>
      <c r="F91" t="inlineStr">
        <is>
          <t>千克</t>
        </is>
      </c>
      <c r="G91">
        <f>LEFT(D91,FIND("|",D91,1)-1)</f>
        <v/>
      </c>
      <c r="H91">
        <f>MID(D91,FIND("|",D91,FIND("|",D91,1))+1,FIND("|",D91,FIND("|",D91,1)+1)-FIND("|",D91,FIND("|",D91,1))-1)</f>
        <v/>
      </c>
      <c r="J91">
        <f>MID(D91,FIND(",",SUBSTITUTE(D91,"|",REPT(",",LEN(D91)),2))+1,FIND(",",SUBSTITUTE(D91,"|",REPT(",",LEN(D91)),3))-FIND(",",SUBSTITUTE(D91,"|",REPT(",",LEN(D91)),2))-1)</f>
        <v/>
      </c>
      <c r="L91">
        <f>MID(D91,FIND(",",SUBSTITUTE(D91,"|",REPT(",",LEN(D91)),3))+1,FIND(",",SUBSTITUTE(D91,"|",REPT(",",LEN(D91)),4))-FIND(",",SUBSTITUTE(D91,"|",REPT(",",LEN(D91)),3))-1)</f>
        <v/>
      </c>
      <c r="M91">
        <f>MID(D91,FIND(";",SUBSTITUTE(D91,"|",REPT(";",LEN(D91)),4))+1,LEN(D91))</f>
        <v/>
      </c>
    </row>
    <row r="92">
      <c r="A92" t="inlineStr">
        <is>
          <t>100101</t>
        </is>
      </c>
      <c r="B92" t="inlineStr">
        <is>
          <t>冷轧板材</t>
        </is>
      </c>
      <c r="C92" t="inlineStr">
        <is>
          <t>600595000</t>
        </is>
      </c>
      <c r="D92" t="inlineStr">
        <is>
          <t>冷轧优质碳素结构钢板|钢板|45|δ1.5|GB/T 13237-2013|冷轧|GB/T 708-2006</t>
        </is>
      </c>
      <c r="E92" t="inlineStr">
        <is>
          <t>物资名称 冷轧优质碳素结构钢板;物资简称 钢板;牌号 45;厚度 δ1.5;宽 ;长 ;技术标准号 GB/T 13237-2013;加工工艺 冷轧;热处理工艺 ;特殊要求 ;规格标准号 GB/T 708-2006</t>
        </is>
      </c>
      <c r="F92" t="inlineStr">
        <is>
          <t>千克</t>
        </is>
      </c>
      <c r="G92">
        <f>LEFT(D92,FIND("|",D92,1)-1)</f>
        <v/>
      </c>
      <c r="H92">
        <f>MID(D92,FIND("|",D92,FIND("|",D92,1))+1,FIND("|",D92,FIND("|",D92,1)+1)-FIND("|",D92,FIND("|",D92,1))-1)</f>
        <v/>
      </c>
      <c r="J92">
        <f>MID(D92,FIND(",",SUBSTITUTE(D92,"|",REPT(",",LEN(D92)),2))+1,FIND(",",SUBSTITUTE(D92,"|",REPT(",",LEN(D92)),3))-FIND(",",SUBSTITUTE(D92,"|",REPT(",",LEN(D92)),2))-1)</f>
        <v/>
      </c>
      <c r="K92">
        <f>MID(D92,FIND(",",SUBSTITUTE(D92,"|",REPT(",",LEN(D92)),3))+1,FIND(",",SUBSTITUTE(D92,"|",REPT(",",LEN(D92)),4))-FIND(",",SUBSTITUTE(D92,"|",REPT(",",LEN(D92)),3))-1)</f>
        <v/>
      </c>
      <c r="L92">
        <f>MID(D92,FIND(",",SUBSTITUTE(D92,"|",REPT(",",LEN(D92)),4))+1,FIND(",",SUBSTITUTE(D92,"|",REPT(",",LEN(D92)),5))-FIND(",",SUBSTITUTE(D92,"|",REPT(",",LEN(D92)),4))-1)</f>
        <v/>
      </c>
      <c r="M92">
        <f>MID(D92,FIND(";",SUBSTITUTE(D92,"|",REPT(";",LEN(D92)),6))+1,LEN(D92))</f>
        <v/>
      </c>
      <c r="N92">
        <f>MID(D92,FIND(";",SUBSTITUTE(D92,"|",REPT(";",LEN(D92)),5))+1,FIND(";",SUBSTITUTE(D92,"|",REPT(";",LEN(D92)),6))-FIND(";",SUBSTITUTE(D92,"|",REPT(";",LEN(D92)),5))-1)</f>
        <v/>
      </c>
    </row>
    <row r="93">
      <c r="A93" t="inlineStr">
        <is>
          <t>100101</t>
        </is>
      </c>
      <c r="B93" t="inlineStr">
        <is>
          <t>冷轧板材</t>
        </is>
      </c>
      <c r="C93" t="inlineStr">
        <is>
          <t>600594900</t>
        </is>
      </c>
      <c r="D93" t="inlineStr">
        <is>
          <t>冷轧优质碳素结构钢板|钢板|45|δ2|GB/T 13237-2013|冷轧|GB/T 708-2006</t>
        </is>
      </c>
      <c r="E93" t="inlineStr">
        <is>
          <t>物资名称 冷轧优质碳素结构钢板;物资简称 钢板;牌号 45;厚度 δ2;宽 ;长 ;技术标准号 GB/T 13237-2013;加工工艺 冷轧;热处理工艺 ;特殊要求 ;规格标准号 GB/T 708-2006</t>
        </is>
      </c>
      <c r="F93" t="inlineStr">
        <is>
          <t>千克</t>
        </is>
      </c>
      <c r="G93">
        <f>LEFT(D93,FIND("|",D93,1)-1)</f>
        <v/>
      </c>
      <c r="H93">
        <f>MID(D93,FIND("|",D93,FIND("|",D93,1))+1,FIND("|",D93,FIND("|",D93,1)+1)-FIND("|",D93,FIND("|",D93,1))-1)</f>
        <v/>
      </c>
      <c r="J93">
        <f>MID(D93,FIND(",",SUBSTITUTE(D93,"|",REPT(",",LEN(D93)),2))+1,FIND(",",SUBSTITUTE(D93,"|",REPT(",",LEN(D93)),3))-FIND(",",SUBSTITUTE(D93,"|",REPT(",",LEN(D93)),2))-1)</f>
        <v/>
      </c>
      <c r="K93">
        <f>MID(D93,FIND(",",SUBSTITUTE(D93,"|",REPT(",",LEN(D93)),3))+1,FIND(",",SUBSTITUTE(D93,"|",REPT(",",LEN(D93)),4))-FIND(",",SUBSTITUTE(D93,"|",REPT(",",LEN(D93)),3))-1)</f>
        <v/>
      </c>
      <c r="L93">
        <f>MID(D93,FIND(",",SUBSTITUTE(D93,"|",REPT(",",LEN(D93)),4))+1,FIND(",",SUBSTITUTE(D93,"|",REPT(",",LEN(D93)),5))-FIND(",",SUBSTITUTE(D93,"|",REPT(",",LEN(D93)),4))-1)</f>
        <v/>
      </c>
      <c r="M93">
        <f>MID(D93,FIND(";",SUBSTITUTE(D93,"|",REPT(";",LEN(D93)),6))+1,LEN(D93))</f>
        <v/>
      </c>
      <c r="N93">
        <f>MID(D93,FIND(";",SUBSTITUTE(D93,"|",REPT(";",LEN(D93)),5))+1,FIND(";",SUBSTITUTE(D93,"|",REPT(";",LEN(D93)),6))-FIND(";",SUBSTITUTE(D93,"|",REPT(";",LEN(D93)),5))-1)</f>
        <v/>
      </c>
    </row>
    <row r="94">
      <c r="A94" t="inlineStr">
        <is>
          <t>100101</t>
        </is>
      </c>
      <c r="B94" t="inlineStr">
        <is>
          <t>冷轧板材</t>
        </is>
      </c>
      <c r="C94" t="inlineStr">
        <is>
          <t>600594800</t>
        </is>
      </c>
      <c r="D94" t="inlineStr">
        <is>
          <t>冷轧优质碳素结构钢板|钢板|45|δ2.5|GB/T 13237-2013|冷轧|GB/T 708-2006</t>
        </is>
      </c>
      <c r="E94" t="inlineStr">
        <is>
          <t>物资名称 冷轧优质碳素结构钢板;物资简称 钢板;牌号 45;厚度 δ2.5;宽 ;长 ;技术标准号 GB/T 13237-2013;加工工艺 冷轧;热处理工艺 ;特殊要求 ;规格标准号 GB/T 708-2006</t>
        </is>
      </c>
      <c r="F94" t="inlineStr">
        <is>
          <t>千克</t>
        </is>
      </c>
      <c r="G94">
        <f>LEFT(D94,FIND("|",D94,1)-1)</f>
        <v/>
      </c>
      <c r="H94">
        <f>MID(D94,FIND("|",D94,FIND("|",D94,1))+1,FIND("|",D94,FIND("|",D94,1)+1)-FIND("|",D94,FIND("|",D94,1))-1)</f>
        <v/>
      </c>
      <c r="J94">
        <f>MID(D94,FIND(",",SUBSTITUTE(D94,"|",REPT(",",LEN(D94)),2))+1,FIND(",",SUBSTITUTE(D94,"|",REPT(",",LEN(D94)),3))-FIND(",",SUBSTITUTE(D94,"|",REPT(",",LEN(D94)),2))-1)</f>
        <v/>
      </c>
      <c r="K94">
        <f>MID(D94,FIND(",",SUBSTITUTE(D94,"|",REPT(",",LEN(D94)),3))+1,FIND(",",SUBSTITUTE(D94,"|",REPT(",",LEN(D94)),4))-FIND(",",SUBSTITUTE(D94,"|",REPT(",",LEN(D94)),3))-1)</f>
        <v/>
      </c>
      <c r="L94">
        <f>MID(D94,FIND(",",SUBSTITUTE(D94,"|",REPT(",",LEN(D94)),4))+1,FIND(",",SUBSTITUTE(D94,"|",REPT(",",LEN(D94)),5))-FIND(",",SUBSTITUTE(D94,"|",REPT(",",LEN(D94)),4))-1)</f>
        <v/>
      </c>
      <c r="M94">
        <f>MID(D94,FIND(";",SUBSTITUTE(D94,"|",REPT(";",LEN(D94)),6))+1,LEN(D94))</f>
        <v/>
      </c>
      <c r="N94">
        <f>MID(D94,FIND(";",SUBSTITUTE(D94,"|",REPT(";",LEN(D94)),5))+1,FIND(";",SUBSTITUTE(D94,"|",REPT(";",LEN(D94)),6))-FIND(";",SUBSTITUTE(D94,"|",REPT(";",LEN(D94)),5))-1)</f>
        <v/>
      </c>
    </row>
    <row r="95">
      <c r="A95" t="inlineStr">
        <is>
          <t>100101</t>
        </is>
      </c>
      <c r="B95" t="inlineStr">
        <is>
          <t>冷轧板材</t>
        </is>
      </c>
      <c r="C95" t="inlineStr">
        <is>
          <t>600594700</t>
        </is>
      </c>
      <c r="D95" t="inlineStr">
        <is>
          <t>冷轧不锈钢板|钢板|1Cr18Ni9Ti|GB 3280-1992|GB/T 708-2006</t>
        </is>
      </c>
      <c r="E95" t="inlineStr">
        <is>
          <t>物资名称 冷轧不锈钢板;物资简称 钢板;牌号 1Cr18Ni9Ti;厚度 ;宽 ;长 ;技术标准号 GB 3280-1992;加工工艺 ;热处理工艺 ;特殊要求 ;规格标准号 GB/T 708-2006</t>
        </is>
      </c>
      <c r="F95" t="inlineStr">
        <is>
          <t>千克</t>
        </is>
      </c>
      <c r="G95">
        <f>LEFT(D95,FIND("|",D95,1)-1)</f>
        <v/>
      </c>
      <c r="H95">
        <f>MID(D95,FIND("|",D95,FIND("|",D95,1))+1,FIND("|",D95,FIND("|",D95,1)+1)-FIND("|",D95,FIND("|",D95,1))-1)</f>
        <v/>
      </c>
      <c r="J95">
        <f>MID(D95,FIND(",",SUBSTITUTE(D95,"|",REPT(",",LEN(D95)),2))+1,FIND(",",SUBSTITUTE(D95,"|",REPT(",",LEN(D95)),3))-FIND(",",SUBSTITUTE(D95,"|",REPT(",",LEN(D95)),2))-1)</f>
        <v/>
      </c>
      <c r="L95">
        <f>MID(D95,FIND(",",SUBSTITUTE(D95,"|",REPT(",",LEN(D95)),3))+1,FIND(",",SUBSTITUTE(D95,"|",REPT(",",LEN(D95)),4))-FIND(",",SUBSTITUTE(D95,"|",REPT(",",LEN(D95)),3))-1)</f>
        <v/>
      </c>
      <c r="M95">
        <f>MID(D95,FIND(";",SUBSTITUTE(D95,"|",REPT(";",LEN(D95)),4))+1,LEN(D95))</f>
        <v/>
      </c>
    </row>
    <row r="96">
      <c r="A96" t="inlineStr">
        <is>
          <t>100101</t>
        </is>
      </c>
      <c r="B96" t="inlineStr">
        <is>
          <t>冷轧板材</t>
        </is>
      </c>
      <c r="C96" t="inlineStr">
        <is>
          <t>600594600</t>
        </is>
      </c>
      <c r="D96" t="inlineStr">
        <is>
          <t>冷轧不锈钢板|钢板|1Cr18Ni9Ti|δ0.2|GB 3280-1992|冷轧|GB/T 708-2006</t>
        </is>
      </c>
      <c r="E96" t="inlineStr">
        <is>
          <t>物资名称 冷轧不锈钢板;物资简称 钢板;牌号 1Cr18Ni9Ti;厚度 δ0.2;宽 ;长 ;技术标准号 GB 3280-1992;加工工艺 冷轧;热处理工艺 ;特殊要求 ;规格标准号 GB/T 708-2006</t>
        </is>
      </c>
      <c r="F96" t="inlineStr">
        <is>
          <t>千克</t>
        </is>
      </c>
      <c r="G96">
        <f>LEFT(D96,FIND("|",D96,1)-1)</f>
        <v/>
      </c>
      <c r="H96">
        <f>MID(D96,FIND("|",D96,FIND("|",D96,1))+1,FIND("|",D96,FIND("|",D96,1)+1)-FIND("|",D96,FIND("|",D96,1))-1)</f>
        <v/>
      </c>
      <c r="J96">
        <f>MID(D96,FIND(",",SUBSTITUTE(D96,"|",REPT(",",LEN(D96)),2))+1,FIND(",",SUBSTITUTE(D96,"|",REPT(",",LEN(D96)),3))-FIND(",",SUBSTITUTE(D96,"|",REPT(",",LEN(D96)),2))-1)</f>
        <v/>
      </c>
      <c r="K96">
        <f>MID(D96,FIND(",",SUBSTITUTE(D96,"|",REPT(",",LEN(D96)),3))+1,FIND(",",SUBSTITUTE(D96,"|",REPT(",",LEN(D96)),4))-FIND(",",SUBSTITUTE(D96,"|",REPT(",",LEN(D96)),3))-1)</f>
        <v/>
      </c>
      <c r="L96">
        <f>MID(D96,FIND(",",SUBSTITUTE(D96,"|",REPT(",",LEN(D96)),4))+1,FIND(",",SUBSTITUTE(D96,"|",REPT(",",LEN(D96)),5))-FIND(",",SUBSTITUTE(D96,"|",REPT(",",LEN(D96)),4))-1)</f>
        <v/>
      </c>
      <c r="M96">
        <f>MID(D96,FIND(";",SUBSTITUTE(D96,"|",REPT(";",LEN(D96)),6))+1,LEN(D96))</f>
        <v/>
      </c>
      <c r="N96">
        <f>MID(D96,FIND(";",SUBSTITUTE(D96,"|",REPT(";",LEN(D96)),5))+1,FIND(";",SUBSTITUTE(D96,"|",REPT(";",LEN(D96)),6))-FIND(";",SUBSTITUTE(D96,"|",REPT(";",LEN(D96)),5))-1)</f>
        <v/>
      </c>
    </row>
    <row r="97">
      <c r="A97" t="inlineStr">
        <is>
          <t>100101</t>
        </is>
      </c>
      <c r="B97" t="inlineStr">
        <is>
          <t>冷轧板材</t>
        </is>
      </c>
      <c r="C97" t="inlineStr">
        <is>
          <t>600594500</t>
        </is>
      </c>
      <c r="D97" t="inlineStr">
        <is>
          <t>冷轧不锈钢板|钢板|1Cr18Ni9Ti|δ0.8|GB 3280-1992|冷轧|GB/T 708-2006</t>
        </is>
      </c>
      <c r="E97" t="inlineStr">
        <is>
          <t>物资名称 冷轧不锈钢板;物资简称 钢板;牌号 1Cr18Ni9Ti;厚度 δ0.8;宽 ;长 ;技术标准号 GB 3280-1992;加工工艺 冷轧;热处理工艺 ;特殊要求 ;规格标准号 GB/T 708-2006</t>
        </is>
      </c>
      <c r="F97" t="inlineStr">
        <is>
          <t>千克</t>
        </is>
      </c>
      <c r="G97">
        <f>LEFT(D97,FIND("|",D97,1)-1)</f>
        <v/>
      </c>
      <c r="H97">
        <f>MID(D97,FIND("|",D97,FIND("|",D97,1))+1,FIND("|",D97,FIND("|",D97,1)+1)-FIND("|",D97,FIND("|",D97,1))-1)</f>
        <v/>
      </c>
      <c r="J97">
        <f>MID(D97,FIND(",",SUBSTITUTE(D97,"|",REPT(",",LEN(D97)),2))+1,FIND(",",SUBSTITUTE(D97,"|",REPT(",",LEN(D97)),3))-FIND(",",SUBSTITUTE(D97,"|",REPT(",",LEN(D97)),2))-1)</f>
        <v/>
      </c>
      <c r="K97">
        <f>MID(D97,FIND(",",SUBSTITUTE(D97,"|",REPT(",",LEN(D97)),3))+1,FIND(",",SUBSTITUTE(D97,"|",REPT(",",LEN(D97)),4))-FIND(",",SUBSTITUTE(D97,"|",REPT(",",LEN(D97)),3))-1)</f>
        <v/>
      </c>
      <c r="L97">
        <f>MID(D97,FIND(",",SUBSTITUTE(D97,"|",REPT(",",LEN(D97)),4))+1,FIND(",",SUBSTITUTE(D97,"|",REPT(",",LEN(D97)),5))-FIND(",",SUBSTITUTE(D97,"|",REPT(",",LEN(D97)),4))-1)</f>
        <v/>
      </c>
      <c r="M97">
        <f>MID(D97,FIND(";",SUBSTITUTE(D97,"|",REPT(";",LEN(D97)),6))+1,LEN(D97))</f>
        <v/>
      </c>
      <c r="N97">
        <f>MID(D97,FIND(";",SUBSTITUTE(D97,"|",REPT(";",LEN(D97)),5))+1,FIND(";",SUBSTITUTE(D97,"|",REPT(";",LEN(D97)),6))-FIND(";",SUBSTITUTE(D97,"|",REPT(";",LEN(D97)),5))-1)</f>
        <v/>
      </c>
    </row>
    <row r="98">
      <c r="A98" t="inlineStr">
        <is>
          <t>100101</t>
        </is>
      </c>
      <c r="B98" t="inlineStr">
        <is>
          <t>冷轧板材</t>
        </is>
      </c>
      <c r="C98" t="inlineStr">
        <is>
          <t>600594400</t>
        </is>
      </c>
      <c r="D98" t="inlineStr">
        <is>
          <t>冷轧不锈钢板|钢板|1Cr18Ni9Ti|δ1.2|GB 3280-1992|冷轧|GB/T 708-2006</t>
        </is>
      </c>
      <c r="E98" t="inlineStr">
        <is>
          <t>物资名称 冷轧不锈钢板;物资简称 钢板;牌号 1Cr18Ni9Ti;厚度 δ1.2;宽 ;长 ;技术标准号 GB 3280-1992;加工工艺 冷轧;热处理工艺 ;特殊要求 ;规格标准号 GB/T 708-2006</t>
        </is>
      </c>
      <c r="F98" t="inlineStr">
        <is>
          <t>千克</t>
        </is>
      </c>
      <c r="G98">
        <f>LEFT(D98,FIND("|",D98,1)-1)</f>
        <v/>
      </c>
      <c r="H98">
        <f>MID(D98,FIND("|",D98,FIND("|",D98,1))+1,FIND("|",D98,FIND("|",D98,1)+1)-FIND("|",D98,FIND("|",D98,1))-1)</f>
        <v/>
      </c>
      <c r="J98">
        <f>MID(D98,FIND(",",SUBSTITUTE(D98,"|",REPT(",",LEN(D98)),2))+1,FIND(",",SUBSTITUTE(D98,"|",REPT(",",LEN(D98)),3))-FIND(",",SUBSTITUTE(D98,"|",REPT(",",LEN(D98)),2))-1)</f>
        <v/>
      </c>
      <c r="K98">
        <f>MID(D98,FIND(",",SUBSTITUTE(D98,"|",REPT(",",LEN(D98)),3))+1,FIND(",",SUBSTITUTE(D98,"|",REPT(",",LEN(D98)),4))-FIND(",",SUBSTITUTE(D98,"|",REPT(",",LEN(D98)),3))-1)</f>
        <v/>
      </c>
      <c r="L98">
        <f>MID(D98,FIND(",",SUBSTITUTE(D98,"|",REPT(",",LEN(D98)),4))+1,FIND(",",SUBSTITUTE(D98,"|",REPT(",",LEN(D98)),5))-FIND(",",SUBSTITUTE(D98,"|",REPT(",",LEN(D98)),4))-1)</f>
        <v/>
      </c>
      <c r="M98">
        <f>MID(D98,FIND(";",SUBSTITUTE(D98,"|",REPT(";",LEN(D98)),6))+1,LEN(D98))</f>
        <v/>
      </c>
      <c r="N98">
        <f>MID(D98,FIND(";",SUBSTITUTE(D98,"|",REPT(";",LEN(D98)),5))+1,FIND(";",SUBSTITUTE(D98,"|",REPT(";",LEN(D98)),6))-FIND(";",SUBSTITUTE(D98,"|",REPT(";",LEN(D98)),5))-1)</f>
        <v/>
      </c>
    </row>
    <row r="99">
      <c r="A99" t="inlineStr">
        <is>
          <t>100101</t>
        </is>
      </c>
      <c r="B99" t="inlineStr">
        <is>
          <t>冷轧板材</t>
        </is>
      </c>
      <c r="C99" t="inlineStr">
        <is>
          <t>600594300</t>
        </is>
      </c>
      <c r="D99" t="inlineStr">
        <is>
          <t>冷轧不锈钢板|钢板|1Cr18Ni9Ti|δ2|GB 3280-1992|冷轧|GB/T 708-2006</t>
        </is>
      </c>
      <c r="E99" t="inlineStr">
        <is>
          <t>物资名称 冷轧不锈钢板;物资简称 钢板;牌号 1Cr18Ni9Ti;厚度 δ2;宽 ;长 ;技术标准号 GB 3280-1992;加工工艺 冷轧;热处理工艺 ;特殊要求 ;规格标准号 GB/T 708-2006</t>
        </is>
      </c>
      <c r="F99" t="inlineStr">
        <is>
          <t>千克</t>
        </is>
      </c>
      <c r="G99">
        <f>LEFT(D99,FIND("|",D99,1)-1)</f>
        <v/>
      </c>
      <c r="H99">
        <f>MID(D99,FIND("|",D99,FIND("|",D99,1))+1,FIND("|",D99,FIND("|",D99,1)+1)-FIND("|",D99,FIND("|",D99,1))-1)</f>
        <v/>
      </c>
      <c r="J99">
        <f>MID(D99,FIND(",",SUBSTITUTE(D99,"|",REPT(",",LEN(D99)),2))+1,FIND(",",SUBSTITUTE(D99,"|",REPT(",",LEN(D99)),3))-FIND(",",SUBSTITUTE(D99,"|",REPT(",",LEN(D99)),2))-1)</f>
        <v/>
      </c>
      <c r="K99">
        <f>MID(D99,FIND(",",SUBSTITUTE(D99,"|",REPT(",",LEN(D99)),3))+1,FIND(",",SUBSTITUTE(D99,"|",REPT(",",LEN(D99)),4))-FIND(",",SUBSTITUTE(D99,"|",REPT(",",LEN(D99)),3))-1)</f>
        <v/>
      </c>
      <c r="L99">
        <f>MID(D99,FIND(",",SUBSTITUTE(D99,"|",REPT(",",LEN(D99)),4))+1,FIND(",",SUBSTITUTE(D99,"|",REPT(",",LEN(D99)),5))-FIND(",",SUBSTITUTE(D99,"|",REPT(",",LEN(D99)),4))-1)</f>
        <v/>
      </c>
      <c r="M99">
        <f>MID(D99,FIND(";",SUBSTITUTE(D99,"|",REPT(";",LEN(D99)),6))+1,LEN(D99))</f>
        <v/>
      </c>
      <c r="N99">
        <f>MID(D99,FIND(";",SUBSTITUTE(D99,"|",REPT(";",LEN(D99)),5))+1,FIND(";",SUBSTITUTE(D99,"|",REPT(";",LEN(D99)),6))-FIND(";",SUBSTITUTE(D99,"|",REPT(";",LEN(D99)),5))-1)</f>
        <v/>
      </c>
    </row>
    <row r="100">
      <c r="A100" t="inlineStr">
        <is>
          <t>100101</t>
        </is>
      </c>
      <c r="B100" t="inlineStr">
        <is>
          <t>冷轧板材</t>
        </is>
      </c>
      <c r="C100" t="inlineStr">
        <is>
          <t>600594200</t>
        </is>
      </c>
      <c r="D100" t="inlineStr">
        <is>
          <t>冷轧不锈钢板|钢板|06Cr19Ni10|GB/T 3280-2007|GB/T 708-2006</t>
        </is>
      </c>
      <c r="E100" t="inlineStr">
        <is>
          <t>物资名称 冷轧不锈钢板;物资简称 钢板;牌号 06Cr19Ni10;厚度 ;宽 ;长 ;技术标准号 GB/T 3280-2007;加工工艺 ;热处理工艺 ;特殊要求 ;规格标准号 GB/T 708-2006</t>
        </is>
      </c>
      <c r="F100" t="inlineStr">
        <is>
          <t>千克</t>
        </is>
      </c>
      <c r="G100">
        <f>LEFT(D100,FIND("|",D100,1)-1)</f>
        <v/>
      </c>
      <c r="H100">
        <f>MID(D100,FIND("|",D100,FIND("|",D100,1))+1,FIND("|",D100,FIND("|",D100,1)+1)-FIND("|",D100,FIND("|",D100,1))-1)</f>
        <v/>
      </c>
      <c r="J100">
        <f>MID(D100,FIND(",",SUBSTITUTE(D100,"|",REPT(",",LEN(D100)),2))+1,FIND(",",SUBSTITUTE(D100,"|",REPT(",",LEN(D100)),3))-FIND(",",SUBSTITUTE(D100,"|",REPT(",",LEN(D100)),2))-1)</f>
        <v/>
      </c>
      <c r="L100">
        <f>MID(D100,FIND(",",SUBSTITUTE(D100,"|",REPT(",",LEN(D100)),3))+1,FIND(",",SUBSTITUTE(D100,"|",REPT(",",LEN(D100)),4))-FIND(",",SUBSTITUTE(D100,"|",REPT(",",LEN(D100)),3))-1)</f>
        <v/>
      </c>
      <c r="M100">
        <f>MID(D100,FIND(";",SUBSTITUTE(D100,"|",REPT(";",LEN(D100)),4))+1,LEN(D100))</f>
        <v/>
      </c>
    </row>
    <row r="101">
      <c r="A101" t="inlineStr">
        <is>
          <t>100101</t>
        </is>
      </c>
      <c r="B101" t="inlineStr">
        <is>
          <t>冷轧板材</t>
        </is>
      </c>
      <c r="C101" t="inlineStr">
        <is>
          <t>600594100</t>
        </is>
      </c>
      <c r="D101" t="inlineStr">
        <is>
          <t>冷轧不锈钢板|钢板|06Cr19Ni10|δ1.5|GB/T 3280-2007|冷轧|GB/T 708-2006</t>
        </is>
      </c>
      <c r="E101" t="inlineStr">
        <is>
          <t>物资名称 冷轧不锈钢板;物资简称 钢板;牌号 06Cr19Ni10;厚度 δ1.5;宽 ;长 ;技术标准号 GB/T 3280-2007;加工工艺 冷轧;热处理工艺 ;特殊要求 ;规格标准号 GB/T 708-2006</t>
        </is>
      </c>
      <c r="F101" t="inlineStr">
        <is>
          <t>千克</t>
        </is>
      </c>
      <c r="G101">
        <f>LEFT(D101,FIND("|",D101,1)-1)</f>
        <v/>
      </c>
      <c r="H101">
        <f>MID(D101,FIND("|",D101,FIND("|",D101,1))+1,FIND("|",D101,FIND("|",D101,1)+1)-FIND("|",D101,FIND("|",D101,1))-1)</f>
        <v/>
      </c>
      <c r="J101">
        <f>MID(D101,FIND(",",SUBSTITUTE(D101,"|",REPT(",",LEN(D101)),2))+1,FIND(",",SUBSTITUTE(D101,"|",REPT(",",LEN(D101)),3))-FIND(",",SUBSTITUTE(D101,"|",REPT(",",LEN(D101)),2))-1)</f>
        <v/>
      </c>
      <c r="K101">
        <f>MID(D101,FIND(",",SUBSTITUTE(D101,"|",REPT(",",LEN(D101)),3))+1,FIND(",",SUBSTITUTE(D101,"|",REPT(",",LEN(D101)),4))-FIND(",",SUBSTITUTE(D101,"|",REPT(",",LEN(D101)),3))-1)</f>
        <v/>
      </c>
      <c r="L101">
        <f>MID(D101,FIND(",",SUBSTITUTE(D101,"|",REPT(",",LEN(D101)),4))+1,FIND(",",SUBSTITUTE(D101,"|",REPT(",",LEN(D101)),5))-FIND(",",SUBSTITUTE(D101,"|",REPT(",",LEN(D101)),4))-1)</f>
        <v/>
      </c>
      <c r="M101">
        <f>MID(D101,FIND(";",SUBSTITUTE(D101,"|",REPT(";",LEN(D101)),6))+1,LEN(D101))</f>
        <v/>
      </c>
      <c r="N101">
        <f>MID(D101,FIND(";",SUBSTITUTE(D101,"|",REPT(";",LEN(D101)),5))+1,FIND(";",SUBSTITUTE(D101,"|",REPT(";",LEN(D101)),6))-FIND(";",SUBSTITUTE(D101,"|",REPT(";",LEN(D101)),5))-1)</f>
        <v/>
      </c>
    </row>
    <row r="102">
      <c r="A102" t="inlineStr">
        <is>
          <t>100101</t>
        </is>
      </c>
      <c r="B102" t="inlineStr">
        <is>
          <t>冷轧板材</t>
        </is>
      </c>
      <c r="C102" t="inlineStr">
        <is>
          <t>600594000</t>
        </is>
      </c>
      <c r="D102" t="inlineStr">
        <is>
          <t>冷轧不锈钢板|钢板|12Cr18Ni9|GB/T 3280-2007|GB/T 708-2006</t>
        </is>
      </c>
      <c r="E102" t="inlineStr">
        <is>
          <t>物资名称 冷轧不锈钢板;物资简称 钢板;牌号 12Cr18Ni9;厚度 ;宽 ;长 ;技术标准号 GB/T 3280-2007;加工工艺 ;热处理工艺 ;特殊要求 ;规格标准号 GB/T 708-2006</t>
        </is>
      </c>
      <c r="F102" t="inlineStr">
        <is>
          <t>千克</t>
        </is>
      </c>
      <c r="G102">
        <f>LEFT(D102,FIND("|",D102,1)-1)</f>
        <v/>
      </c>
      <c r="H102">
        <f>MID(D102,FIND("|",D102,FIND("|",D102,1))+1,FIND("|",D102,FIND("|",D102,1)+1)-FIND("|",D102,FIND("|",D102,1))-1)</f>
        <v/>
      </c>
      <c r="J102">
        <f>MID(D102,FIND(",",SUBSTITUTE(D102,"|",REPT(",",LEN(D102)),2))+1,FIND(",",SUBSTITUTE(D102,"|",REPT(",",LEN(D102)),3))-FIND(",",SUBSTITUTE(D102,"|",REPT(",",LEN(D102)),2))-1)</f>
        <v/>
      </c>
      <c r="L102">
        <f>MID(D102,FIND(",",SUBSTITUTE(D102,"|",REPT(",",LEN(D102)),3))+1,FIND(",",SUBSTITUTE(D102,"|",REPT(",",LEN(D102)),4))-FIND(",",SUBSTITUTE(D102,"|",REPT(",",LEN(D102)),3))-1)</f>
        <v/>
      </c>
      <c r="M102">
        <f>MID(D102,FIND(";",SUBSTITUTE(D102,"|",REPT(";",LEN(D102)),4))+1,LEN(D102))</f>
        <v/>
      </c>
    </row>
    <row r="103">
      <c r="A103" t="inlineStr">
        <is>
          <t>100101</t>
        </is>
      </c>
      <c r="B103" t="inlineStr">
        <is>
          <t>冷轧板材</t>
        </is>
      </c>
      <c r="C103" t="inlineStr">
        <is>
          <t>600593900</t>
        </is>
      </c>
      <c r="D103" t="inlineStr">
        <is>
          <t>冷轧不锈钢板|钢板|12Cr18Ni9|δ0.8|GB/T 3280-2007|冷轧|GB/T 708-2006</t>
        </is>
      </c>
      <c r="E103" t="inlineStr">
        <is>
          <t>物资名称 冷轧不锈钢板;物资简称 钢板;牌号 12Cr18Ni9;厚度 δ0.8;宽 ;长 ;技术标准号 GB/T 3280-2007;加工工艺 冷轧;热处理工艺 ;特殊要求 ;规格标准号 GB/T 708-2006</t>
        </is>
      </c>
      <c r="F103" t="inlineStr">
        <is>
          <t>千克</t>
        </is>
      </c>
      <c r="G103">
        <f>LEFT(D103,FIND("|",D103,1)-1)</f>
        <v/>
      </c>
      <c r="H103">
        <f>MID(D103,FIND("|",D103,FIND("|",D103,1))+1,FIND("|",D103,FIND("|",D103,1)+1)-FIND("|",D103,FIND("|",D103,1))-1)</f>
        <v/>
      </c>
      <c r="J103">
        <f>MID(D103,FIND(",",SUBSTITUTE(D103,"|",REPT(",",LEN(D103)),2))+1,FIND(",",SUBSTITUTE(D103,"|",REPT(",",LEN(D103)),3))-FIND(",",SUBSTITUTE(D103,"|",REPT(",",LEN(D103)),2))-1)</f>
        <v/>
      </c>
      <c r="K103">
        <f>MID(D103,FIND(",",SUBSTITUTE(D103,"|",REPT(",",LEN(D103)),3))+1,FIND(",",SUBSTITUTE(D103,"|",REPT(",",LEN(D103)),4))-FIND(",",SUBSTITUTE(D103,"|",REPT(",",LEN(D103)),3))-1)</f>
        <v/>
      </c>
      <c r="L103">
        <f>MID(D103,FIND(",",SUBSTITUTE(D103,"|",REPT(",",LEN(D103)),4))+1,FIND(",",SUBSTITUTE(D103,"|",REPT(",",LEN(D103)),5))-FIND(",",SUBSTITUTE(D103,"|",REPT(",",LEN(D103)),4))-1)</f>
        <v/>
      </c>
      <c r="M103">
        <f>MID(D103,FIND(";",SUBSTITUTE(D103,"|",REPT(";",LEN(D103)),6))+1,LEN(D103))</f>
        <v/>
      </c>
      <c r="N103">
        <f>MID(D103,FIND(";",SUBSTITUTE(D103,"|",REPT(";",LEN(D103)),5))+1,FIND(";",SUBSTITUTE(D103,"|",REPT(";",LEN(D103)),6))-FIND(";",SUBSTITUTE(D103,"|",REPT(";",LEN(D103)),5))-1)</f>
        <v/>
      </c>
    </row>
    <row r="104">
      <c r="A104" t="inlineStr">
        <is>
          <t>100101</t>
        </is>
      </c>
      <c r="B104" t="inlineStr">
        <is>
          <t>冷轧板材</t>
        </is>
      </c>
      <c r="C104" t="inlineStr">
        <is>
          <t>600593800</t>
        </is>
      </c>
      <c r="D104" t="inlineStr">
        <is>
          <t>冷轧不锈钢板|钢板|20Cr13|GB/T 3280-2007|GB/T 708-2006</t>
        </is>
      </c>
      <c r="E104" t="inlineStr">
        <is>
          <t>物资名称 冷轧不锈钢板;物资简称 钢板;牌号 20Cr13;厚度 ;宽 ;长 ;技术标准号 GB/T 3280-2007;加工工艺 ;热处理工艺 ;特殊要求 ;规格标准号 GB/T 708-2006</t>
        </is>
      </c>
      <c r="F104" t="inlineStr">
        <is>
          <t>千克</t>
        </is>
      </c>
      <c r="G104">
        <f>LEFT(D104,FIND("|",D104,1)-1)</f>
        <v/>
      </c>
      <c r="H104">
        <f>MID(D104,FIND("|",D104,FIND("|",D104,1))+1,FIND("|",D104,FIND("|",D104,1)+1)-FIND("|",D104,FIND("|",D104,1))-1)</f>
        <v/>
      </c>
      <c r="J104">
        <f>MID(D104,FIND(",",SUBSTITUTE(D104,"|",REPT(",",LEN(D104)),2))+1,FIND(",",SUBSTITUTE(D104,"|",REPT(",",LEN(D104)),3))-FIND(",",SUBSTITUTE(D104,"|",REPT(",",LEN(D104)),2))-1)</f>
        <v/>
      </c>
      <c r="L104">
        <f>MID(D104,FIND(",",SUBSTITUTE(D104,"|",REPT(",",LEN(D104)),3))+1,FIND(",",SUBSTITUTE(D104,"|",REPT(",",LEN(D104)),4))-FIND(",",SUBSTITUTE(D104,"|",REPT(",",LEN(D104)),3))-1)</f>
        <v/>
      </c>
      <c r="M104">
        <f>MID(D104,FIND(";",SUBSTITUTE(D104,"|",REPT(";",LEN(D104)),4))+1,LEN(D104))</f>
        <v/>
      </c>
    </row>
    <row r="105">
      <c r="A105" t="inlineStr">
        <is>
          <t>100101</t>
        </is>
      </c>
      <c r="B105" t="inlineStr">
        <is>
          <t>冷轧板材</t>
        </is>
      </c>
      <c r="C105" t="inlineStr">
        <is>
          <t>600593700</t>
        </is>
      </c>
      <c r="D105" t="inlineStr">
        <is>
          <t>冷轧不锈钢板|钢板|20Cr13|δ0.8|GB/T 3280-2007|冷轧|GB/T 708-2006</t>
        </is>
      </c>
      <c r="E105" t="inlineStr">
        <is>
          <t>物资名称 冷轧不锈钢板;物资简称 钢板;牌号 20Cr13;厚度 δ0.8;宽 ;长 ;技术标准号 GB/T 3280-2007;加工工艺 冷轧;热处理工艺 ;特殊要求 ;规格标准号 GB/T 708-2006</t>
        </is>
      </c>
      <c r="F105" t="inlineStr">
        <is>
          <t>千克</t>
        </is>
      </c>
      <c r="G105">
        <f>LEFT(D105,FIND("|",D105,1)-1)</f>
        <v/>
      </c>
      <c r="H105">
        <f>MID(D105,FIND("|",D105,FIND("|",D105,1))+1,FIND("|",D105,FIND("|",D105,1)+1)-FIND("|",D105,FIND("|",D105,1))-1)</f>
        <v/>
      </c>
      <c r="J105">
        <f>MID(D105,FIND(",",SUBSTITUTE(D105,"|",REPT(",",LEN(D105)),2))+1,FIND(",",SUBSTITUTE(D105,"|",REPT(",",LEN(D105)),3))-FIND(",",SUBSTITUTE(D105,"|",REPT(",",LEN(D105)),2))-1)</f>
        <v/>
      </c>
      <c r="K105">
        <f>MID(D105,FIND(",",SUBSTITUTE(D105,"|",REPT(",",LEN(D105)),3))+1,FIND(",",SUBSTITUTE(D105,"|",REPT(",",LEN(D105)),4))-FIND(",",SUBSTITUTE(D105,"|",REPT(",",LEN(D105)),3))-1)</f>
        <v/>
      </c>
      <c r="L105">
        <f>MID(D105,FIND(",",SUBSTITUTE(D105,"|",REPT(",",LEN(D105)),4))+1,FIND(",",SUBSTITUTE(D105,"|",REPT(",",LEN(D105)),5))-FIND(",",SUBSTITUTE(D105,"|",REPT(",",LEN(D105)),4))-1)</f>
        <v/>
      </c>
      <c r="M105">
        <f>MID(D105,FIND(";",SUBSTITUTE(D105,"|",REPT(";",LEN(D105)),6))+1,LEN(D105))</f>
        <v/>
      </c>
      <c r="N105">
        <f>MID(D105,FIND(";",SUBSTITUTE(D105,"|",REPT(";",LEN(D105)),5))+1,FIND(";",SUBSTITUTE(D105,"|",REPT(";",LEN(D105)),6))-FIND(";",SUBSTITUTE(D105,"|",REPT(";",LEN(D105)),5))-1)</f>
        <v/>
      </c>
    </row>
    <row r="106">
      <c r="A106" t="inlineStr">
        <is>
          <t>100101</t>
        </is>
      </c>
      <c r="B106" t="inlineStr">
        <is>
          <t>冷轧板材</t>
        </is>
      </c>
      <c r="C106" t="inlineStr">
        <is>
          <t>600593600</t>
        </is>
      </c>
      <c r="D106" t="inlineStr">
        <is>
          <t>冷轧不锈钢板|钢板|20Cr13|δ1|GB/T 3280-2007|冷轧|GB/T 708-2006</t>
        </is>
      </c>
      <c r="E106" t="inlineStr">
        <is>
          <t>物资名称 冷轧不锈钢板;物资简称 钢板;牌号 20Cr13;厚度 δ1;宽 ;长 ;技术标准号 GB/T 3280-2007;加工工艺 冷轧;热处理工艺 ;特殊要求 ;规格标准号 GB/T 708-2006</t>
        </is>
      </c>
      <c r="F106" t="inlineStr">
        <is>
          <t>千克</t>
        </is>
      </c>
      <c r="G106">
        <f>LEFT(D106,FIND("|",D106,1)-1)</f>
        <v/>
      </c>
      <c r="H106">
        <f>MID(D106,FIND("|",D106,FIND("|",D106,1))+1,FIND("|",D106,FIND("|",D106,1)+1)-FIND("|",D106,FIND("|",D106,1))-1)</f>
        <v/>
      </c>
      <c r="J106">
        <f>MID(D106,FIND(",",SUBSTITUTE(D106,"|",REPT(",",LEN(D106)),2))+1,FIND(",",SUBSTITUTE(D106,"|",REPT(",",LEN(D106)),3))-FIND(",",SUBSTITUTE(D106,"|",REPT(",",LEN(D106)),2))-1)</f>
        <v/>
      </c>
      <c r="K106">
        <f>MID(D106,FIND(",",SUBSTITUTE(D106,"|",REPT(",",LEN(D106)),3))+1,FIND(",",SUBSTITUTE(D106,"|",REPT(",",LEN(D106)),4))-FIND(",",SUBSTITUTE(D106,"|",REPT(",",LEN(D106)),3))-1)</f>
        <v/>
      </c>
      <c r="L106">
        <f>MID(D106,FIND(",",SUBSTITUTE(D106,"|",REPT(",",LEN(D106)),4))+1,FIND(",",SUBSTITUTE(D106,"|",REPT(",",LEN(D106)),5))-FIND(",",SUBSTITUTE(D106,"|",REPT(",",LEN(D106)),4))-1)</f>
        <v/>
      </c>
      <c r="M106">
        <f>MID(D106,FIND(";",SUBSTITUTE(D106,"|",REPT(";",LEN(D106)),6))+1,LEN(D106))</f>
        <v/>
      </c>
      <c r="N106">
        <f>MID(D106,FIND(";",SUBSTITUTE(D106,"|",REPT(";",LEN(D106)),5))+1,FIND(";",SUBSTITUTE(D106,"|",REPT(";",LEN(D106)),6))-FIND(";",SUBSTITUTE(D106,"|",REPT(";",LEN(D106)),5))-1)</f>
        <v/>
      </c>
    </row>
    <row r="107">
      <c r="A107" t="inlineStr">
        <is>
          <t>100101</t>
        </is>
      </c>
      <c r="B107" t="inlineStr">
        <is>
          <t>冷轧板材</t>
        </is>
      </c>
      <c r="C107" t="inlineStr">
        <is>
          <t>600593500</t>
        </is>
      </c>
      <c r="D107" t="inlineStr">
        <is>
          <t>冷轧耐热钢板|钢板|06Cr19Ni9|GB/T 4238-2007|GB/T 3280-2007</t>
        </is>
      </c>
      <c r="E107" t="inlineStr">
        <is>
          <t>物资名称 冷轧耐热钢板;物资简称 钢板;牌号 06Cr19Ni9;厚度 ;宽 ;长 ;技术标准号 GB/T 4238-2007;加工工艺 ;热处理工艺 ;特殊要求 ;规格标准号 GB/T 3280-2007</t>
        </is>
      </c>
      <c r="F107" t="inlineStr">
        <is>
          <t>千克</t>
        </is>
      </c>
      <c r="G107">
        <f>LEFT(D107,FIND("|",D107,1)-1)</f>
        <v/>
      </c>
      <c r="H107">
        <f>MID(D107,FIND("|",D107,FIND("|",D107,1))+1,FIND("|",D107,FIND("|",D107,1)+1)-FIND("|",D107,FIND("|",D107,1))-1)</f>
        <v/>
      </c>
      <c r="J107">
        <f>MID(D107,FIND(",",SUBSTITUTE(D107,"|",REPT(",",LEN(D107)),2))+1,FIND(",",SUBSTITUTE(D107,"|",REPT(",",LEN(D107)),3))-FIND(",",SUBSTITUTE(D107,"|",REPT(",",LEN(D107)),2))-1)</f>
        <v/>
      </c>
      <c r="L107">
        <f>MID(D107,FIND(",",SUBSTITUTE(D107,"|",REPT(",",LEN(D107)),3))+1,FIND(",",SUBSTITUTE(D107,"|",REPT(",",LEN(D107)),4))-FIND(",",SUBSTITUTE(D107,"|",REPT(",",LEN(D107)),3))-1)</f>
        <v/>
      </c>
      <c r="M107">
        <f>MID(D107,FIND(";",SUBSTITUTE(D107,"|",REPT(";",LEN(D107)),4))+1,LEN(D107))</f>
        <v/>
      </c>
    </row>
    <row r="108">
      <c r="A108" t="inlineStr">
        <is>
          <t>100101</t>
        </is>
      </c>
      <c r="B108" t="inlineStr">
        <is>
          <t>冷轧板材</t>
        </is>
      </c>
      <c r="C108" t="inlineStr">
        <is>
          <t>600593400</t>
        </is>
      </c>
      <c r="D108" t="inlineStr">
        <is>
          <t>冷轧耐热钢板|钢板|06Cr19Ni9|δ0.5|GB/T 4238-2007|冷轧|GB/T 3280-2007</t>
        </is>
      </c>
      <c r="E108" t="inlineStr">
        <is>
          <t>物资名称 冷轧耐热钢板;物资简称 钢板;牌号 06Cr19Ni9;厚度 δ0.5;宽 ;长 ;技术标准号 GB/T 4238-2007;加工工艺 冷轧;热处理工艺 ;特殊要求 ;规格标准号 GB/T 3280-2007</t>
        </is>
      </c>
      <c r="F108" t="inlineStr">
        <is>
          <t>千克</t>
        </is>
      </c>
      <c r="G108">
        <f>LEFT(D108,FIND("|",D108,1)-1)</f>
        <v/>
      </c>
      <c r="H108">
        <f>MID(D108,FIND("|",D108,FIND("|",D108,1))+1,FIND("|",D108,FIND("|",D108,1)+1)-FIND("|",D108,FIND("|",D108,1))-1)</f>
        <v/>
      </c>
      <c r="J108">
        <f>MID(D108,FIND(",",SUBSTITUTE(D108,"|",REPT(",",LEN(D108)),2))+1,FIND(",",SUBSTITUTE(D108,"|",REPT(",",LEN(D108)),3))-FIND(",",SUBSTITUTE(D108,"|",REPT(",",LEN(D108)),2))-1)</f>
        <v/>
      </c>
      <c r="K108">
        <f>MID(D108,FIND(",",SUBSTITUTE(D108,"|",REPT(",",LEN(D108)),3))+1,FIND(",",SUBSTITUTE(D108,"|",REPT(",",LEN(D108)),4))-FIND(",",SUBSTITUTE(D108,"|",REPT(",",LEN(D108)),3))-1)</f>
        <v/>
      </c>
      <c r="L108">
        <f>MID(D108,FIND(",",SUBSTITUTE(D108,"|",REPT(",",LEN(D108)),4))+1,FIND(",",SUBSTITUTE(D108,"|",REPT(",",LEN(D108)),5))-FIND(",",SUBSTITUTE(D108,"|",REPT(",",LEN(D108)),4))-1)</f>
        <v/>
      </c>
      <c r="M108">
        <f>MID(D108,FIND(";",SUBSTITUTE(D108,"|",REPT(";",LEN(D108)),6))+1,LEN(D108))</f>
        <v/>
      </c>
      <c r="N108">
        <f>MID(D108,FIND(";",SUBSTITUTE(D108,"|",REPT(";",LEN(D108)),5))+1,FIND(";",SUBSTITUTE(D108,"|",REPT(";",LEN(D108)),6))-FIND(";",SUBSTITUTE(D108,"|",REPT(";",LEN(D108)),5))-1)</f>
        <v/>
      </c>
    </row>
    <row r="109">
      <c r="A109" t="inlineStr">
        <is>
          <t>100101</t>
        </is>
      </c>
      <c r="B109" t="inlineStr">
        <is>
          <t>冷轧板材</t>
        </is>
      </c>
      <c r="C109" t="inlineStr">
        <is>
          <t>600593300</t>
        </is>
      </c>
      <c r="D109" t="inlineStr">
        <is>
          <t>冷轧耐热钢板|钢板|1Cr18Ni9Ti|GB 4238-1992|冷轧|GB/T 708-2006</t>
        </is>
      </c>
      <c r="E109" t="inlineStr">
        <is>
          <t>物资名称 冷轧耐热钢板;物资简称 钢板;牌号 1Cr18Ni9Ti;厚度 ;宽 ;长 ;技术标准号 GB 4238-1992;加工工艺 冷轧;热处理工艺 ;特殊要求 ;规格标准号 GB/T 708-2006</t>
        </is>
      </c>
      <c r="F109" t="inlineStr">
        <is>
          <t>千克</t>
        </is>
      </c>
      <c r="G109">
        <f>LEFT(D109,FIND("|",D109,1)-1)</f>
        <v/>
      </c>
      <c r="H109">
        <f>MID(D109,FIND("|",D109,FIND("|",D109,1))+1,FIND("|",D109,FIND("|",D109,1)+1)-FIND("|",D109,FIND("|",D109,1))-1)</f>
        <v/>
      </c>
      <c r="J109">
        <f>MID(D109,FIND(",",SUBSTITUTE(D109,"|",REPT(",",LEN(D109)),2))+1,FIND(",",SUBSTITUTE(D109,"|",REPT(",",LEN(D109)),3))-FIND(",",SUBSTITUTE(D109,"|",REPT(",",LEN(D109)),2))-1)</f>
        <v/>
      </c>
      <c r="L109">
        <f>MID(D109,FIND(",",SUBSTITUTE(D109,"|",REPT(",",LEN(D109)),3))+1,FIND(",",SUBSTITUTE(D109,"|",REPT(",",LEN(D109)),4))-FIND(",",SUBSTITUTE(D109,"|",REPT(",",LEN(D109)),3))-1)</f>
        <v/>
      </c>
      <c r="M109">
        <f>MID(D109,FIND(";",SUBSTITUTE(D109,"|",REPT(";",LEN(D109)),5))+1,LEN(D109))</f>
        <v/>
      </c>
      <c r="N109">
        <f>MID(D109,FIND(";",SUBSTITUTE(D109,"|",REPT(";",LEN(D109)),4))+1,FIND(";",SUBSTITUTE(D109,"|",REPT(";",LEN(D109)),5))-FIND(";",SUBSTITUTE(D109,"|",REPT(";",LEN(D109)),4))-1)</f>
        <v/>
      </c>
    </row>
    <row r="110">
      <c r="A110" t="inlineStr">
        <is>
          <t>100101</t>
        </is>
      </c>
      <c r="B110" t="inlineStr">
        <is>
          <t>冷轧板材</t>
        </is>
      </c>
      <c r="C110" t="inlineStr">
        <is>
          <t>600593200</t>
        </is>
      </c>
      <c r="D110" t="inlineStr">
        <is>
          <t>冷轧耐热钢板|钢板|1Cr18Ni9Ti|δ0.8|GB 4238-1992|冷轧|GB/T 708-2006</t>
        </is>
      </c>
      <c r="E110" t="inlineStr">
        <is>
          <t>物资名称 冷轧耐热钢板;物资简称 钢板;牌号 1Cr18Ni9Ti;厚度 δ0.8;宽 ;长 ;技术标准号 GB 4238-1992;加工工艺 冷轧;热处理工艺 ;特殊要求 ;规格标准号 GB/T 708-2006</t>
        </is>
      </c>
      <c r="F110" t="inlineStr">
        <is>
          <t>千克</t>
        </is>
      </c>
      <c r="G110">
        <f>LEFT(D110,FIND("|",D110,1)-1)</f>
        <v/>
      </c>
      <c r="H110">
        <f>MID(D110,FIND("|",D110,FIND("|",D110,1))+1,FIND("|",D110,FIND("|",D110,1)+1)-FIND("|",D110,FIND("|",D110,1))-1)</f>
        <v/>
      </c>
      <c r="J110">
        <f>MID(D110,FIND(",",SUBSTITUTE(D110,"|",REPT(",",LEN(D110)),2))+1,FIND(",",SUBSTITUTE(D110,"|",REPT(",",LEN(D110)),3))-FIND(",",SUBSTITUTE(D110,"|",REPT(",",LEN(D110)),2))-1)</f>
        <v/>
      </c>
      <c r="K110">
        <f>MID(D110,FIND(",",SUBSTITUTE(D110,"|",REPT(",",LEN(D110)),3))+1,FIND(",",SUBSTITUTE(D110,"|",REPT(",",LEN(D110)),4))-FIND(",",SUBSTITUTE(D110,"|",REPT(",",LEN(D110)),3))-1)</f>
        <v/>
      </c>
      <c r="L110">
        <f>MID(D110,FIND(",",SUBSTITUTE(D110,"|",REPT(",",LEN(D110)),4))+1,FIND(",",SUBSTITUTE(D110,"|",REPT(",",LEN(D110)),5))-FIND(",",SUBSTITUTE(D110,"|",REPT(",",LEN(D110)),4))-1)</f>
        <v/>
      </c>
      <c r="M110">
        <f>MID(D110,FIND(";",SUBSTITUTE(D110,"|",REPT(";",LEN(D110)),6))+1,LEN(D110))</f>
        <v/>
      </c>
      <c r="N110">
        <f>MID(D110,FIND(";",SUBSTITUTE(D110,"|",REPT(";",LEN(D110)),5))+1,FIND(";",SUBSTITUTE(D110,"|",REPT(";",LEN(D110)),6))-FIND(";",SUBSTITUTE(D110,"|",REPT(";",LEN(D110)),5))-1)</f>
        <v/>
      </c>
    </row>
    <row r="111">
      <c r="A111" t="inlineStr">
        <is>
          <t>100101</t>
        </is>
      </c>
      <c r="B111" t="inlineStr">
        <is>
          <t>冷轧板材</t>
        </is>
      </c>
      <c r="C111" t="inlineStr">
        <is>
          <t>600593100</t>
        </is>
      </c>
      <c r="D111" t="inlineStr">
        <is>
          <t>冷轧耐热钢板|钢板|1Cr18Ni9Ti|δ1|GB 4238-1992|冷轧|GB/T 708-2006</t>
        </is>
      </c>
      <c r="E111" t="inlineStr">
        <is>
          <t>物资名称 冷轧耐热钢板;物资简称 钢板;牌号 1Cr18Ni9Ti;厚度 δ1;宽 ;长 ;技术标准号 GB 4238-1992;加工工艺 冷轧;热处理工艺 ;特殊要求 ;规格标准号 GB/T 708-2006</t>
        </is>
      </c>
      <c r="F111" t="inlineStr">
        <is>
          <t>千克</t>
        </is>
      </c>
      <c r="G111">
        <f>LEFT(D111,FIND("|",D111,1)-1)</f>
        <v/>
      </c>
      <c r="H111">
        <f>MID(D111,FIND("|",D111,FIND("|",D111,1))+1,FIND("|",D111,FIND("|",D111,1)+1)-FIND("|",D111,FIND("|",D111,1))-1)</f>
        <v/>
      </c>
      <c r="J111">
        <f>MID(D111,FIND(",",SUBSTITUTE(D111,"|",REPT(",",LEN(D111)),2))+1,FIND(",",SUBSTITUTE(D111,"|",REPT(",",LEN(D111)),3))-FIND(",",SUBSTITUTE(D111,"|",REPT(",",LEN(D111)),2))-1)</f>
        <v/>
      </c>
      <c r="K111">
        <f>MID(D111,FIND(",",SUBSTITUTE(D111,"|",REPT(",",LEN(D111)),3))+1,FIND(",",SUBSTITUTE(D111,"|",REPT(",",LEN(D111)),4))-FIND(",",SUBSTITUTE(D111,"|",REPT(",",LEN(D111)),3))-1)</f>
        <v/>
      </c>
      <c r="L111">
        <f>MID(D111,FIND(",",SUBSTITUTE(D111,"|",REPT(",",LEN(D111)),4))+1,FIND(",",SUBSTITUTE(D111,"|",REPT(",",LEN(D111)),5))-FIND(",",SUBSTITUTE(D111,"|",REPT(",",LEN(D111)),4))-1)</f>
        <v/>
      </c>
      <c r="M111">
        <f>MID(D111,FIND(";",SUBSTITUTE(D111,"|",REPT(";",LEN(D111)),6))+1,LEN(D111))</f>
        <v/>
      </c>
      <c r="N111">
        <f>MID(D111,FIND(";",SUBSTITUTE(D111,"|",REPT(";",LEN(D111)),5))+1,FIND(";",SUBSTITUTE(D111,"|",REPT(";",LEN(D111)),6))-FIND(";",SUBSTITUTE(D111,"|",REPT(";",LEN(D111)),5))-1)</f>
        <v/>
      </c>
    </row>
    <row r="112">
      <c r="A112" t="inlineStr">
        <is>
          <t>100101</t>
        </is>
      </c>
      <c r="B112" t="inlineStr">
        <is>
          <t>冷轧板材</t>
        </is>
      </c>
      <c r="C112" t="inlineStr">
        <is>
          <t>600593000</t>
        </is>
      </c>
      <c r="D112" t="inlineStr">
        <is>
          <t>冷轧耐热钢板|钢板|1Cr18Ni9Ti|δ1.2|GB 4238-1992|冷轧|GB/T 708-2006</t>
        </is>
      </c>
      <c r="E112" t="inlineStr">
        <is>
          <t>物资名称 冷轧耐热钢板;物资简称 钢板;牌号 1Cr18Ni9Ti;厚度 δ1.2;宽 ;长 ;技术标准号 GB 4238-1992;加工工艺 冷轧;热处理工艺 ;特殊要求 ;规格标准号 GB/T 708-2006</t>
        </is>
      </c>
      <c r="F112" t="inlineStr">
        <is>
          <t>千克</t>
        </is>
      </c>
      <c r="G112">
        <f>LEFT(D112,FIND("|",D112,1)-1)</f>
        <v/>
      </c>
      <c r="H112">
        <f>MID(D112,FIND("|",D112,FIND("|",D112,1))+1,FIND("|",D112,FIND("|",D112,1)+1)-FIND("|",D112,FIND("|",D112,1))-1)</f>
        <v/>
      </c>
      <c r="J112">
        <f>MID(D112,FIND(",",SUBSTITUTE(D112,"|",REPT(",",LEN(D112)),2))+1,FIND(",",SUBSTITUTE(D112,"|",REPT(",",LEN(D112)),3))-FIND(",",SUBSTITUTE(D112,"|",REPT(",",LEN(D112)),2))-1)</f>
        <v/>
      </c>
      <c r="K112">
        <f>MID(D112,FIND(",",SUBSTITUTE(D112,"|",REPT(",",LEN(D112)),3))+1,FIND(",",SUBSTITUTE(D112,"|",REPT(",",LEN(D112)),4))-FIND(",",SUBSTITUTE(D112,"|",REPT(",",LEN(D112)),3))-1)</f>
        <v/>
      </c>
      <c r="L112">
        <f>MID(D112,FIND(",",SUBSTITUTE(D112,"|",REPT(",",LEN(D112)),4))+1,FIND(",",SUBSTITUTE(D112,"|",REPT(",",LEN(D112)),5))-FIND(",",SUBSTITUTE(D112,"|",REPT(",",LEN(D112)),4))-1)</f>
        <v/>
      </c>
      <c r="M112">
        <f>MID(D112,FIND(";",SUBSTITUTE(D112,"|",REPT(";",LEN(D112)),6))+1,LEN(D112))</f>
        <v/>
      </c>
      <c r="N112">
        <f>MID(D112,FIND(";",SUBSTITUTE(D112,"|",REPT(";",LEN(D112)),5))+1,FIND(";",SUBSTITUTE(D112,"|",REPT(";",LEN(D112)),6))-FIND(";",SUBSTITUTE(D112,"|",REPT(";",LEN(D112)),5))-1)</f>
        <v/>
      </c>
    </row>
    <row r="113">
      <c r="A113" t="inlineStr">
        <is>
          <t>100101</t>
        </is>
      </c>
      <c r="B113" t="inlineStr">
        <is>
          <t>冷轧板材</t>
        </is>
      </c>
      <c r="C113" t="inlineStr">
        <is>
          <t>600592900</t>
        </is>
      </c>
      <c r="D113" t="inlineStr">
        <is>
          <t>冷轧耐热钢板|钢板|1Cr18Ni9Ti|δ1.5|GB 4238-1992|冷轧|GB/T 708-2006</t>
        </is>
      </c>
      <c r="E113" t="inlineStr">
        <is>
          <t>物资名称 冷轧耐热钢板;物资简称 钢板;牌号 1Cr18Ni9Ti;厚度 δ1.5;宽 ;长 ;技术标准号 GB 4238-1992;加工工艺 冷轧;热处理工艺 ;特殊要求 ;规格标准号 GB/T 708-2006</t>
        </is>
      </c>
      <c r="F113" t="inlineStr">
        <is>
          <t>千克</t>
        </is>
      </c>
      <c r="G113">
        <f>LEFT(D113,FIND("|",D113,1)-1)</f>
        <v/>
      </c>
      <c r="H113">
        <f>MID(D113,FIND("|",D113,FIND("|",D113,1))+1,FIND("|",D113,FIND("|",D113,1)+1)-FIND("|",D113,FIND("|",D113,1))-1)</f>
        <v/>
      </c>
      <c r="J113">
        <f>MID(D113,FIND(",",SUBSTITUTE(D113,"|",REPT(",",LEN(D113)),2))+1,FIND(",",SUBSTITUTE(D113,"|",REPT(",",LEN(D113)),3))-FIND(",",SUBSTITUTE(D113,"|",REPT(",",LEN(D113)),2))-1)</f>
        <v/>
      </c>
      <c r="K113">
        <f>MID(D113,FIND(",",SUBSTITUTE(D113,"|",REPT(",",LEN(D113)),3))+1,FIND(",",SUBSTITUTE(D113,"|",REPT(",",LEN(D113)),4))-FIND(",",SUBSTITUTE(D113,"|",REPT(",",LEN(D113)),3))-1)</f>
        <v/>
      </c>
      <c r="L113">
        <f>MID(D113,FIND(",",SUBSTITUTE(D113,"|",REPT(",",LEN(D113)),4))+1,FIND(",",SUBSTITUTE(D113,"|",REPT(",",LEN(D113)),5))-FIND(",",SUBSTITUTE(D113,"|",REPT(",",LEN(D113)),4))-1)</f>
        <v/>
      </c>
      <c r="M113">
        <f>MID(D113,FIND(";",SUBSTITUTE(D113,"|",REPT(";",LEN(D113)),6))+1,LEN(D113))</f>
        <v/>
      </c>
      <c r="N113">
        <f>MID(D113,FIND(";",SUBSTITUTE(D113,"|",REPT(";",LEN(D113)),5))+1,FIND(";",SUBSTITUTE(D113,"|",REPT(";",LEN(D113)),6))-FIND(";",SUBSTITUTE(D113,"|",REPT(";",LEN(D113)),5))-1)</f>
        <v/>
      </c>
    </row>
    <row r="114">
      <c r="A114" t="inlineStr">
        <is>
          <t>100101</t>
        </is>
      </c>
      <c r="B114" t="inlineStr">
        <is>
          <t>冷轧板材</t>
        </is>
      </c>
      <c r="C114" t="inlineStr">
        <is>
          <t>600592800</t>
        </is>
      </c>
      <c r="D114" t="inlineStr">
        <is>
          <t>冷轧耐热钢板|钢板|1Cr18Ni9Ti|δ2|GB 4238-1992|冷轧|GB/T 708-2006</t>
        </is>
      </c>
      <c r="E114" t="inlineStr">
        <is>
          <t>物资名称 冷轧耐热钢板;物资简称 钢板;牌号 1Cr18Ni9Ti;厚度 δ2;宽 ;长 ;技术标准号 GB 4238-1992;加工工艺 冷轧;热处理工艺 ;特殊要求 ;规格标准号 GB/T 708-2006</t>
        </is>
      </c>
      <c r="F114" t="inlineStr">
        <is>
          <t>千克</t>
        </is>
      </c>
      <c r="G114">
        <f>LEFT(D114,FIND("|",D114,1)-1)</f>
        <v/>
      </c>
      <c r="H114">
        <f>MID(D114,FIND("|",D114,FIND("|",D114,1))+1,FIND("|",D114,FIND("|",D114,1)+1)-FIND("|",D114,FIND("|",D114,1))-1)</f>
        <v/>
      </c>
      <c r="J114">
        <f>MID(D114,FIND(",",SUBSTITUTE(D114,"|",REPT(",",LEN(D114)),2))+1,FIND(",",SUBSTITUTE(D114,"|",REPT(",",LEN(D114)),3))-FIND(",",SUBSTITUTE(D114,"|",REPT(",",LEN(D114)),2))-1)</f>
        <v/>
      </c>
      <c r="K114">
        <f>MID(D114,FIND(",",SUBSTITUTE(D114,"|",REPT(",",LEN(D114)),3))+1,FIND(",",SUBSTITUTE(D114,"|",REPT(",",LEN(D114)),4))-FIND(",",SUBSTITUTE(D114,"|",REPT(",",LEN(D114)),3))-1)</f>
        <v/>
      </c>
      <c r="L114">
        <f>MID(D114,FIND(",",SUBSTITUTE(D114,"|",REPT(",",LEN(D114)),4))+1,FIND(",",SUBSTITUTE(D114,"|",REPT(",",LEN(D114)),5))-FIND(",",SUBSTITUTE(D114,"|",REPT(",",LEN(D114)),4))-1)</f>
        <v/>
      </c>
      <c r="M114">
        <f>MID(D114,FIND(";",SUBSTITUTE(D114,"|",REPT(";",LEN(D114)),6))+1,LEN(D114))</f>
        <v/>
      </c>
      <c r="N114">
        <f>MID(D114,FIND(";",SUBSTITUTE(D114,"|",REPT(";",LEN(D114)),5))+1,FIND(";",SUBSTITUTE(D114,"|",REPT(";",LEN(D114)),6))-FIND(";",SUBSTITUTE(D114,"|",REPT(";",LEN(D114)),5))-1)</f>
        <v/>
      </c>
    </row>
    <row r="115">
      <c r="A115" t="inlineStr">
        <is>
          <t>100101</t>
        </is>
      </c>
      <c r="B115" t="inlineStr">
        <is>
          <t>冷轧板材</t>
        </is>
      </c>
      <c r="C115" t="inlineStr">
        <is>
          <t>600592700</t>
        </is>
      </c>
      <c r="D115" t="inlineStr">
        <is>
          <t>冷轧耐热钢板|钢板|1Cr18Ni9Ti|δ2.5|GB 4238-1992|冷轧|GB/T 708-2006</t>
        </is>
      </c>
      <c r="E115" t="inlineStr">
        <is>
          <t>物资名称 冷轧耐热钢板;物资简称 钢板;牌号 1Cr18Ni9Ti;厚度 δ2.5;宽 ;长 ;技术标准号 GB 4238-1992;加工工艺 冷轧;热处理工艺 ;特殊要求 ;规格标准号 GB/T 708-2006</t>
        </is>
      </c>
      <c r="F115" t="inlineStr">
        <is>
          <t>千克</t>
        </is>
      </c>
      <c r="G115">
        <f>LEFT(D115,FIND("|",D115,1)-1)</f>
        <v/>
      </c>
      <c r="H115">
        <f>MID(D115,FIND("|",D115,FIND("|",D115,1))+1,FIND("|",D115,FIND("|",D115,1)+1)-FIND("|",D115,FIND("|",D115,1))-1)</f>
        <v/>
      </c>
      <c r="J115">
        <f>MID(D115,FIND(",",SUBSTITUTE(D115,"|",REPT(",",LEN(D115)),2))+1,FIND(",",SUBSTITUTE(D115,"|",REPT(",",LEN(D115)),3))-FIND(",",SUBSTITUTE(D115,"|",REPT(",",LEN(D115)),2))-1)</f>
        <v/>
      </c>
      <c r="K115">
        <f>MID(D115,FIND(",",SUBSTITUTE(D115,"|",REPT(",",LEN(D115)),3))+1,FIND(",",SUBSTITUTE(D115,"|",REPT(",",LEN(D115)),4))-FIND(",",SUBSTITUTE(D115,"|",REPT(",",LEN(D115)),3))-1)</f>
        <v/>
      </c>
      <c r="L115">
        <f>MID(D115,FIND(",",SUBSTITUTE(D115,"|",REPT(",",LEN(D115)),4))+1,FIND(",",SUBSTITUTE(D115,"|",REPT(",",LEN(D115)),5))-FIND(",",SUBSTITUTE(D115,"|",REPT(",",LEN(D115)),4))-1)</f>
        <v/>
      </c>
      <c r="M115">
        <f>MID(D115,FIND(";",SUBSTITUTE(D115,"|",REPT(";",LEN(D115)),6))+1,LEN(D115))</f>
        <v/>
      </c>
      <c r="N115">
        <f>MID(D115,FIND(";",SUBSTITUTE(D115,"|",REPT(";",LEN(D115)),5))+1,FIND(";",SUBSTITUTE(D115,"|",REPT(";",LEN(D115)),6))-FIND(";",SUBSTITUTE(D115,"|",REPT(";",LEN(D115)),5))-1)</f>
        <v/>
      </c>
    </row>
    <row r="116">
      <c r="A116" t="inlineStr">
        <is>
          <t>100101</t>
        </is>
      </c>
      <c r="B116" t="inlineStr">
        <is>
          <t>冷轧板材</t>
        </is>
      </c>
      <c r="C116" t="inlineStr">
        <is>
          <t>600592600</t>
        </is>
      </c>
      <c r="D116" t="inlineStr">
        <is>
          <t>冷轧耐热钢板|钢板|1Cr18Ni9Ti|δ3|GB 4238-1992|冷轧|GB/T 708-2006</t>
        </is>
      </c>
      <c r="E116" t="inlineStr">
        <is>
          <t>物资名称 冷轧耐热钢板;物资简称 钢板;牌号 1Cr18Ni9Ti;厚度 δ3;宽 ;长 ;技术标准号 GB 4238-1992;加工工艺 冷轧;热处理工艺 ;特殊要求 ;规格标准号 GB/T 708-2006</t>
        </is>
      </c>
      <c r="F116" t="inlineStr">
        <is>
          <t>千克</t>
        </is>
      </c>
      <c r="G116">
        <f>LEFT(D116,FIND("|",D116,1)-1)</f>
        <v/>
      </c>
      <c r="H116">
        <f>MID(D116,FIND("|",D116,FIND("|",D116,1))+1,FIND("|",D116,FIND("|",D116,1)+1)-FIND("|",D116,FIND("|",D116,1))-1)</f>
        <v/>
      </c>
      <c r="J116">
        <f>MID(D116,FIND(",",SUBSTITUTE(D116,"|",REPT(",",LEN(D116)),2))+1,FIND(",",SUBSTITUTE(D116,"|",REPT(",",LEN(D116)),3))-FIND(",",SUBSTITUTE(D116,"|",REPT(",",LEN(D116)),2))-1)</f>
        <v/>
      </c>
      <c r="K116">
        <f>MID(D116,FIND(",",SUBSTITUTE(D116,"|",REPT(",",LEN(D116)),3))+1,FIND(",",SUBSTITUTE(D116,"|",REPT(",",LEN(D116)),4))-FIND(",",SUBSTITUTE(D116,"|",REPT(",",LEN(D116)),3))-1)</f>
        <v/>
      </c>
      <c r="L116">
        <f>MID(D116,FIND(",",SUBSTITUTE(D116,"|",REPT(",",LEN(D116)),4))+1,FIND(",",SUBSTITUTE(D116,"|",REPT(",",LEN(D116)),5))-FIND(",",SUBSTITUTE(D116,"|",REPT(",",LEN(D116)),4))-1)</f>
        <v/>
      </c>
      <c r="M116">
        <f>MID(D116,FIND(";",SUBSTITUTE(D116,"|",REPT(";",LEN(D116)),6))+1,LEN(D116))</f>
        <v/>
      </c>
      <c r="N116">
        <f>MID(D116,FIND(";",SUBSTITUTE(D116,"|",REPT(";",LEN(D116)),5))+1,FIND(";",SUBSTITUTE(D116,"|",REPT(";",LEN(D116)),6))-FIND(";",SUBSTITUTE(D116,"|",REPT(";",LEN(D116)),5))-1)</f>
        <v/>
      </c>
    </row>
    <row r="117">
      <c r="A117" t="inlineStr">
        <is>
          <t>100101</t>
        </is>
      </c>
      <c r="B117" t="inlineStr">
        <is>
          <t>冷轧板材</t>
        </is>
      </c>
      <c r="C117" t="inlineStr">
        <is>
          <t>600592500</t>
        </is>
      </c>
      <c r="D117" t="inlineStr">
        <is>
          <t>冷轧耐热钢板|钢板|1Cr18Ni9Ti|δ4|GB 4238-1992|冷轧|GB/T 708-2006</t>
        </is>
      </c>
      <c r="E117" t="inlineStr">
        <is>
          <t>物资名称 冷轧耐热钢板;物资简称 钢板;牌号 1Cr18Ni9Ti;厚度 δ4;宽 ;长 ;技术标准号 GB 4238-1992;加工工艺 冷轧;热处理工艺 ;特殊要求 ;规格标准号 GB/T 708-2006</t>
        </is>
      </c>
      <c r="F117" t="inlineStr">
        <is>
          <t>千克</t>
        </is>
      </c>
      <c r="G117">
        <f>LEFT(D117,FIND("|",D117,1)-1)</f>
        <v/>
      </c>
      <c r="H117">
        <f>MID(D117,FIND("|",D117,FIND("|",D117,1))+1,FIND("|",D117,FIND("|",D117,1)+1)-FIND("|",D117,FIND("|",D117,1))-1)</f>
        <v/>
      </c>
      <c r="J117">
        <f>MID(D117,FIND(",",SUBSTITUTE(D117,"|",REPT(",",LEN(D117)),2))+1,FIND(",",SUBSTITUTE(D117,"|",REPT(",",LEN(D117)),3))-FIND(",",SUBSTITUTE(D117,"|",REPT(",",LEN(D117)),2))-1)</f>
        <v/>
      </c>
      <c r="K117">
        <f>MID(D117,FIND(",",SUBSTITUTE(D117,"|",REPT(",",LEN(D117)),3))+1,FIND(",",SUBSTITUTE(D117,"|",REPT(",",LEN(D117)),4))-FIND(",",SUBSTITUTE(D117,"|",REPT(",",LEN(D117)),3))-1)</f>
        <v/>
      </c>
      <c r="L117">
        <f>MID(D117,FIND(",",SUBSTITUTE(D117,"|",REPT(",",LEN(D117)),4))+1,FIND(",",SUBSTITUTE(D117,"|",REPT(",",LEN(D117)),5))-FIND(",",SUBSTITUTE(D117,"|",REPT(",",LEN(D117)),4))-1)</f>
        <v/>
      </c>
      <c r="M117">
        <f>MID(D117,FIND(";",SUBSTITUTE(D117,"|",REPT(";",LEN(D117)),6))+1,LEN(D117))</f>
        <v/>
      </c>
      <c r="N117">
        <f>MID(D117,FIND(";",SUBSTITUTE(D117,"|",REPT(";",LEN(D117)),5))+1,FIND(";",SUBSTITUTE(D117,"|",REPT(";",LEN(D117)),6))-FIND(";",SUBSTITUTE(D117,"|",REPT(";",LEN(D117)),5))-1)</f>
        <v/>
      </c>
    </row>
    <row r="118">
      <c r="A118" t="inlineStr">
        <is>
          <t>100102</t>
        </is>
      </c>
      <c r="B118" t="inlineStr">
        <is>
          <t>热轧板材</t>
        </is>
      </c>
      <c r="C118" t="inlineStr">
        <is>
          <t>603563500</t>
        </is>
      </c>
      <c r="D118" t="inlineStr">
        <is>
          <t>热轧优质碳素结构钢板|钢板|45|δ10|GB/T 711-2017|热轧|GB/T 711-2017</t>
        </is>
      </c>
      <c r="E118" t="inlineStr">
        <is>
          <t>物资名称 热轧优质碳素结构钢板;物资简称 钢板;牌号 45;厚度 δ10;宽 ;长 ;技术标准号 GB/T 711-2017;加工工艺 热轧;热处理工艺 ;特殊要求 ;规格标准号 GB/T 711-2017</t>
        </is>
      </c>
      <c r="F118" t="inlineStr">
        <is>
          <t>千克</t>
        </is>
      </c>
      <c r="G118">
        <f>LEFT(D118,FIND("|",D118,1)-1)</f>
        <v/>
      </c>
      <c r="H118">
        <f>MID(D118,FIND("|",D118,FIND("|",D118,1))+1,FIND("|",D118,FIND("|",D118,1)+1)-FIND("|",D118,FIND("|",D118,1))-1)</f>
        <v/>
      </c>
      <c r="J118">
        <f>MID(D118,FIND(",",SUBSTITUTE(D118,"|",REPT(",",LEN(D118)),2))+1,FIND(",",SUBSTITUTE(D118,"|",REPT(",",LEN(D118)),3))-FIND(",",SUBSTITUTE(D118,"|",REPT(",",LEN(D118)),2))-1)</f>
        <v/>
      </c>
      <c r="K118">
        <f>MID(D118,FIND(",",SUBSTITUTE(D118,"|",REPT(",",LEN(D118)),3))+1,FIND(",",SUBSTITUTE(D118,"|",REPT(",",LEN(D118)),4))-FIND(",",SUBSTITUTE(D118,"|",REPT(",",LEN(D118)),3))-1)</f>
        <v/>
      </c>
      <c r="L118">
        <f>MID(D118,FIND(",",SUBSTITUTE(D118,"|",REPT(",",LEN(D118)),4))+1,FIND(",",SUBSTITUTE(D118,"|",REPT(",",LEN(D118)),5))-FIND(",",SUBSTITUTE(D118,"|",REPT(",",LEN(D118)),4))-1)</f>
        <v/>
      </c>
      <c r="M118">
        <f>MID(D118,FIND(";",SUBSTITUTE(D118,"|",REPT(";",LEN(D118)),6))+1,LEN(D118))</f>
        <v/>
      </c>
      <c r="N118">
        <f>MID(D118,FIND(";",SUBSTITUTE(D118,"|",REPT(";",LEN(D118)),5))+1,FIND(";",SUBSTITUTE(D118,"|",REPT(";",LEN(D118)),6))-FIND(";",SUBSTITUTE(D118,"|",REPT(";",LEN(D118)),5))-1)</f>
        <v/>
      </c>
    </row>
    <row r="119">
      <c r="A119" t="inlineStr">
        <is>
          <t>100102</t>
        </is>
      </c>
      <c r="B119" t="inlineStr">
        <is>
          <t>热轧板材</t>
        </is>
      </c>
      <c r="C119" t="inlineStr">
        <is>
          <t>603553000</t>
        </is>
      </c>
      <c r="D119" t="inlineStr">
        <is>
          <t>热轧合金结构钢板|钢板|30CrMnSiA|GB/T 11251-2020|热轧|GB/T 709-2019</t>
        </is>
      </c>
      <c r="E119" t="inlineStr">
        <is>
          <t>物资名称 热轧合金结构钢板;物资简称 钢板;牌号 30CrMnSiA;厚度 δ;宽 ;长 ;技术标准号 GB/T 11251-2020;加工工艺 热轧;热处理工艺 ;特殊要求 ;规格标准号 GB/T 709-2019</t>
        </is>
      </c>
      <c r="F119" t="inlineStr">
        <is>
          <t>千克</t>
        </is>
      </c>
      <c r="G119">
        <f>LEFT(D119,FIND("|",D119,1)-1)</f>
        <v/>
      </c>
      <c r="H119">
        <f>MID(D119,FIND("|",D119,FIND("|",D119,1))+1,FIND("|",D119,FIND("|",D119,1)+1)-FIND("|",D119,FIND("|",D119,1))-1)</f>
        <v/>
      </c>
      <c r="J119">
        <f>MID(D119,FIND(",",SUBSTITUTE(D119,"|",REPT(",",LEN(D119)),2))+1,FIND(",",SUBSTITUTE(D119,"|",REPT(",",LEN(D119)),3))-FIND(",",SUBSTITUTE(D119,"|",REPT(",",LEN(D119)),2))-1)</f>
        <v/>
      </c>
      <c r="L119">
        <f>MID(D119,FIND(",",SUBSTITUTE(D119,"|",REPT(",",LEN(D119)),3))+1,FIND(",",SUBSTITUTE(D119,"|",REPT(",",LEN(D119)),4))-FIND(",",SUBSTITUTE(D119,"|",REPT(",",LEN(D119)),3))-1)</f>
        <v/>
      </c>
      <c r="M119">
        <f>MID(D119,FIND(";",SUBSTITUTE(D119,"|",REPT(";",LEN(D119)),5))+1,LEN(D119))</f>
        <v/>
      </c>
      <c r="N119">
        <f>MID(D119,FIND(";",SUBSTITUTE(D119,"|",REPT(";",LEN(D119)),4))+1,FIND(";",SUBSTITUTE(D119,"|",REPT(";",LEN(D119)),5))-FIND(";",SUBSTITUTE(D119,"|",REPT(";",LEN(D119)),4))-1)</f>
        <v/>
      </c>
    </row>
    <row r="120">
      <c r="A120" t="inlineStr">
        <is>
          <t>100102</t>
        </is>
      </c>
      <c r="B120" t="inlineStr">
        <is>
          <t>热轧板材</t>
        </is>
      </c>
      <c r="C120" t="inlineStr">
        <is>
          <t>603551500</t>
        </is>
      </c>
      <c r="D120" t="inlineStr">
        <is>
          <t>热轧合金结构钢板|钢板|30CrMnSiA|δ60|GB/T 11251-2009|热轧|GB/T 709-2019</t>
        </is>
      </c>
      <c r="E120" t="inlineStr">
        <is>
          <t>物资名称 热轧合金结构钢板;物资简称 钢板;牌号 30CrMnSiA;厚度 δ60;宽 ;长 ;技术标准号 GB/T 11251-2009;加工工艺 热轧;热处理工艺 ;特殊要求 ;规格标准号 GB/T 709-2019</t>
        </is>
      </c>
      <c r="F120" t="inlineStr">
        <is>
          <t>千克</t>
        </is>
      </c>
      <c r="G120">
        <f>LEFT(D120,FIND("|",D120,1)-1)</f>
        <v/>
      </c>
      <c r="H120">
        <f>MID(D120,FIND("|",D120,FIND("|",D120,1))+1,FIND("|",D120,FIND("|",D120,1)+1)-FIND("|",D120,FIND("|",D120,1))-1)</f>
        <v/>
      </c>
      <c r="J120">
        <f>MID(D120,FIND(",",SUBSTITUTE(D120,"|",REPT(",",LEN(D120)),2))+1,FIND(",",SUBSTITUTE(D120,"|",REPT(",",LEN(D120)),3))-FIND(",",SUBSTITUTE(D120,"|",REPT(",",LEN(D120)),2))-1)</f>
        <v/>
      </c>
      <c r="K120">
        <f>MID(D120,FIND(",",SUBSTITUTE(D120,"|",REPT(",",LEN(D120)),3))+1,FIND(",",SUBSTITUTE(D120,"|",REPT(",",LEN(D120)),4))-FIND(",",SUBSTITUTE(D120,"|",REPT(",",LEN(D120)),3))-1)</f>
        <v/>
      </c>
      <c r="L120">
        <f>MID(D120,FIND(",",SUBSTITUTE(D120,"|",REPT(",",LEN(D120)),4))+1,FIND(",",SUBSTITUTE(D120,"|",REPT(",",LEN(D120)),5))-FIND(",",SUBSTITUTE(D120,"|",REPT(",",LEN(D120)),4))-1)</f>
        <v/>
      </c>
      <c r="M120">
        <f>MID(D120,FIND(";",SUBSTITUTE(D120,"|",REPT(";",LEN(D120)),6))+1,LEN(D120))</f>
        <v/>
      </c>
      <c r="N120">
        <f>MID(D120,FIND(";",SUBSTITUTE(D120,"|",REPT(";",LEN(D120)),5))+1,FIND(";",SUBSTITUTE(D120,"|",REPT(";",LEN(D120)),6))-FIND(";",SUBSTITUTE(D120,"|",REPT(";",LEN(D120)),5))-1)</f>
        <v/>
      </c>
    </row>
    <row r="121">
      <c r="A121" t="inlineStr">
        <is>
          <t>100102</t>
        </is>
      </c>
      <c r="B121" t="inlineStr">
        <is>
          <t>热轧板材</t>
        </is>
      </c>
      <c r="C121" t="inlineStr">
        <is>
          <t>603542300</t>
        </is>
      </c>
      <c r="D121" t="inlineStr">
        <is>
          <t>热轧航空用合金结构钢板|钢板|30CrMnSiA|GJB 2150A-2018|热轧|GB/T 709-2019</t>
        </is>
      </c>
      <c r="E121" t="inlineStr">
        <is>
          <t>物资名称 热轧航空用合金结构钢板;物资简称 钢板;牌号 30CrMnSiA;厚度 δ;宽 ;长 ;技术标准号 GJB 2150A-2018;加工工艺 热轧;热处理工艺 ;特殊要求 ;规格标准号 GB/T 709-2019</t>
        </is>
      </c>
      <c r="F121" t="inlineStr">
        <is>
          <t>千克</t>
        </is>
      </c>
      <c r="G121">
        <f>LEFT(D121,FIND("|",D121,1)-1)</f>
        <v/>
      </c>
      <c r="H121">
        <f>MID(D121,FIND("|",D121,FIND("|",D121,1))+1,FIND("|",D121,FIND("|",D121,1)+1)-FIND("|",D121,FIND("|",D121,1))-1)</f>
        <v/>
      </c>
      <c r="J121">
        <f>MID(D121,FIND(",",SUBSTITUTE(D121,"|",REPT(",",LEN(D121)),2))+1,FIND(",",SUBSTITUTE(D121,"|",REPT(",",LEN(D121)),3))-FIND(",",SUBSTITUTE(D121,"|",REPT(",",LEN(D121)),2))-1)</f>
        <v/>
      </c>
      <c r="L121">
        <f>MID(D121,FIND(",",SUBSTITUTE(D121,"|",REPT(",",LEN(D121)),3))+1,FIND(",",SUBSTITUTE(D121,"|",REPT(",",LEN(D121)),4))-FIND(",",SUBSTITUTE(D121,"|",REPT(",",LEN(D121)),3))-1)</f>
        <v/>
      </c>
      <c r="M121">
        <f>MID(D121,FIND(";",SUBSTITUTE(D121,"|",REPT(";",LEN(D121)),5))+1,LEN(D121))</f>
        <v/>
      </c>
      <c r="N121">
        <f>MID(D121,FIND(";",SUBSTITUTE(D121,"|",REPT(";",LEN(D121)),4))+1,FIND(";",SUBSTITUTE(D121,"|",REPT(";",LEN(D121)),5))-FIND(";",SUBSTITUTE(D121,"|",REPT(";",LEN(D121)),4))-1)</f>
        <v/>
      </c>
    </row>
    <row r="122">
      <c r="A122" t="inlineStr">
        <is>
          <t>100102</t>
        </is>
      </c>
      <c r="B122" t="inlineStr">
        <is>
          <t>热轧板材</t>
        </is>
      </c>
      <c r="C122" t="inlineStr">
        <is>
          <t>602975000</t>
        </is>
      </c>
      <c r="D122" t="inlineStr">
        <is>
          <t>热轧不锈钢板|钢板|1Cr18Ni9Ti|δ14|GB/T 4237-2015|热轧|GB/T 709-2006</t>
        </is>
      </c>
      <c r="E122" t="inlineStr">
        <is>
          <t>物资名称 热轧不锈钢板;物资简称 钢板;牌号 1Cr18Ni9Ti;厚度 δ14;宽 ;长 ;技术标准号 GB/T 4237-2015;加工工艺 热轧;热处理工艺 ;特殊要求 ;规格标准号 GB/T 709-2006</t>
        </is>
      </c>
      <c r="F122" t="inlineStr">
        <is>
          <t>千克</t>
        </is>
      </c>
      <c r="G122">
        <f>LEFT(D122,FIND("|",D122,1)-1)</f>
        <v/>
      </c>
      <c r="H122">
        <f>MID(D122,FIND("|",D122,FIND("|",D122,1))+1,FIND("|",D122,FIND("|",D122,1)+1)-FIND("|",D122,FIND("|",D122,1))-1)</f>
        <v/>
      </c>
      <c r="J122">
        <f>MID(D122,FIND(",",SUBSTITUTE(D122,"|",REPT(",",LEN(D122)),2))+1,FIND(",",SUBSTITUTE(D122,"|",REPT(",",LEN(D122)),3))-FIND(",",SUBSTITUTE(D122,"|",REPT(",",LEN(D122)),2))-1)</f>
        <v/>
      </c>
      <c r="K122">
        <f>MID(D122,FIND(",",SUBSTITUTE(D122,"|",REPT(",",LEN(D122)),3))+1,FIND(",",SUBSTITUTE(D122,"|",REPT(",",LEN(D122)),4))-FIND(",",SUBSTITUTE(D122,"|",REPT(",",LEN(D122)),3))-1)</f>
        <v/>
      </c>
      <c r="L122">
        <f>MID(D122,FIND(",",SUBSTITUTE(D122,"|",REPT(",",LEN(D122)),4))+1,FIND(",",SUBSTITUTE(D122,"|",REPT(",",LEN(D122)),5))-FIND(",",SUBSTITUTE(D122,"|",REPT(",",LEN(D122)),4))-1)</f>
        <v/>
      </c>
      <c r="M122">
        <f>MID(D122,FIND(";",SUBSTITUTE(D122,"|",REPT(";",LEN(D122)),6))+1,LEN(D122))</f>
        <v/>
      </c>
      <c r="N122">
        <f>MID(D122,FIND(";",SUBSTITUTE(D122,"|",REPT(";",LEN(D122)),5))+1,FIND(";",SUBSTITUTE(D122,"|",REPT(";",LEN(D122)),6))-FIND(";",SUBSTITUTE(D122,"|",REPT(";",LEN(D122)),5))-1)</f>
        <v/>
      </c>
    </row>
    <row r="123">
      <c r="A123" t="inlineStr">
        <is>
          <t>100102</t>
        </is>
      </c>
      <c r="B123" t="inlineStr">
        <is>
          <t>热轧板材</t>
        </is>
      </c>
      <c r="C123" t="inlineStr">
        <is>
          <t>602374200</t>
        </is>
      </c>
      <c r="D123" t="inlineStr">
        <is>
          <t>热轧优质碳素结构钢板|钢板|10|GB/T 710-2008|热轧|GB/T 709-2006</t>
        </is>
      </c>
      <c r="E123" t="inlineStr">
        <is>
          <t>物资名称 热轧优质碳素结构钢板;物资简称 钢板;牌号 10;厚度 δ;宽 ;长 ;技术标准号 GB/T 710-2008;加工工艺 热轧;热处理工艺 ;特殊要求 ;规格标准号 GB/T 709-2006</t>
        </is>
      </c>
      <c r="F123" t="inlineStr">
        <is>
          <t>千克</t>
        </is>
      </c>
      <c r="G123">
        <f>LEFT(D123,FIND("|",D123,1)-1)</f>
        <v/>
      </c>
      <c r="H123">
        <f>MID(D123,FIND("|",D123,FIND("|",D123,1))+1,FIND("|",D123,FIND("|",D123,1)+1)-FIND("|",D123,FIND("|",D123,1))-1)</f>
        <v/>
      </c>
      <c r="J123">
        <f>MID(D123,FIND(",",SUBSTITUTE(D123,"|",REPT(",",LEN(D123)),2))+1,FIND(",",SUBSTITUTE(D123,"|",REPT(",",LEN(D123)),3))-FIND(",",SUBSTITUTE(D123,"|",REPT(",",LEN(D123)),2))-1)</f>
        <v/>
      </c>
      <c r="L123">
        <f>MID(D123,FIND(",",SUBSTITUTE(D123,"|",REPT(",",LEN(D123)),3))+1,FIND(",",SUBSTITUTE(D123,"|",REPT(",",LEN(D123)),4))-FIND(",",SUBSTITUTE(D123,"|",REPT(",",LEN(D123)),3))-1)</f>
        <v/>
      </c>
      <c r="M123">
        <f>MID(D123,FIND(";",SUBSTITUTE(D123,"|",REPT(";",LEN(D123)),5))+1,LEN(D123))</f>
        <v/>
      </c>
      <c r="N123">
        <f>MID(D123,FIND(";",SUBSTITUTE(D123,"|",REPT(";",LEN(D123)),4))+1,FIND(";",SUBSTITUTE(D123,"|",REPT(";",LEN(D123)),5))-FIND(";",SUBSTITUTE(D123,"|",REPT(";",LEN(D123)),4))-1)</f>
        <v/>
      </c>
    </row>
    <row r="124">
      <c r="A124" t="inlineStr">
        <is>
          <t>100102</t>
        </is>
      </c>
      <c r="B124" t="inlineStr">
        <is>
          <t>热轧板材</t>
        </is>
      </c>
      <c r="C124" t="inlineStr">
        <is>
          <t>602366500</t>
        </is>
      </c>
      <c r="D124" t="inlineStr">
        <is>
          <t>热轧优质碳素结构钢板|钢板|20|GB/T 711-2017|热轧|GB/T 709-2019</t>
        </is>
      </c>
      <c r="E124" t="inlineStr">
        <is>
          <t>物资名称 热轧优质碳素结构钢板;物资简称 钢板;牌号 20;厚度 δ;宽 ;长 ;技术标准号 GB/T 711-2017;加工工艺 热轧;热处理工艺 ;特殊要求 ;规格标准号 GB/T 709-2019</t>
        </is>
      </c>
      <c r="F124" t="inlineStr">
        <is>
          <t>千克</t>
        </is>
      </c>
      <c r="G124">
        <f>LEFT(D124,FIND("|",D124,1)-1)</f>
        <v/>
      </c>
      <c r="H124">
        <f>MID(D124,FIND("|",D124,FIND("|",D124,1))+1,FIND("|",D124,FIND("|",D124,1)+1)-FIND("|",D124,FIND("|",D124,1))-1)</f>
        <v/>
      </c>
      <c r="J124">
        <f>MID(D124,FIND(",",SUBSTITUTE(D124,"|",REPT(",",LEN(D124)),2))+1,FIND(",",SUBSTITUTE(D124,"|",REPT(",",LEN(D124)),3))-FIND(",",SUBSTITUTE(D124,"|",REPT(",",LEN(D124)),2))-1)</f>
        <v/>
      </c>
      <c r="L124">
        <f>MID(D124,FIND(",",SUBSTITUTE(D124,"|",REPT(",",LEN(D124)),3))+1,FIND(",",SUBSTITUTE(D124,"|",REPT(",",LEN(D124)),4))-FIND(",",SUBSTITUTE(D124,"|",REPT(",",LEN(D124)),3))-1)</f>
        <v/>
      </c>
      <c r="M124">
        <f>MID(D124,FIND(";",SUBSTITUTE(D124,"|",REPT(";",LEN(D124)),5))+1,LEN(D124))</f>
        <v/>
      </c>
      <c r="N124">
        <f>MID(D124,FIND(";",SUBSTITUTE(D124,"|",REPT(";",LEN(D124)),4))+1,FIND(";",SUBSTITUTE(D124,"|",REPT(";",LEN(D124)),5))-FIND(";",SUBSTITUTE(D124,"|",REPT(";",LEN(D124)),4))-1)</f>
        <v/>
      </c>
    </row>
    <row r="125">
      <c r="A125" t="inlineStr">
        <is>
          <t>100102</t>
        </is>
      </c>
      <c r="B125" t="inlineStr">
        <is>
          <t>热轧板材</t>
        </is>
      </c>
      <c r="C125" t="inlineStr">
        <is>
          <t>602207600</t>
        </is>
      </c>
      <c r="D125" t="inlineStr">
        <is>
          <t>热轧不锈钢板|钢板|06Cr19Ni10|δ20|GB/T 4237-2015|热轧|GB/T 709-2006</t>
        </is>
      </c>
      <c r="E125" t="inlineStr">
        <is>
          <t>物资名称 热轧不锈钢板;物资简称 钢板;牌号 06Cr19Ni10;厚度 δ20;宽 ;长 ;技术标准号 GB/T 4237-2015;加工工艺 热轧;热处理工艺 ;特殊要求 ;规格标准号 GB/T 709-2006</t>
        </is>
      </c>
      <c r="F125" t="inlineStr">
        <is>
          <t>千克</t>
        </is>
      </c>
      <c r="G125">
        <f>LEFT(D125,FIND("|",D125,1)-1)</f>
        <v/>
      </c>
      <c r="H125">
        <f>MID(D125,FIND("|",D125,FIND("|",D125,1))+1,FIND("|",D125,FIND("|",D125,1)+1)-FIND("|",D125,FIND("|",D125,1))-1)</f>
        <v/>
      </c>
      <c r="J125">
        <f>MID(D125,FIND(",",SUBSTITUTE(D125,"|",REPT(",",LEN(D125)),2))+1,FIND(",",SUBSTITUTE(D125,"|",REPT(",",LEN(D125)),3))-FIND(",",SUBSTITUTE(D125,"|",REPT(",",LEN(D125)),2))-1)</f>
        <v/>
      </c>
      <c r="K125">
        <f>MID(D125,FIND(",",SUBSTITUTE(D125,"|",REPT(",",LEN(D125)),3))+1,FIND(",",SUBSTITUTE(D125,"|",REPT(",",LEN(D125)),4))-FIND(",",SUBSTITUTE(D125,"|",REPT(",",LEN(D125)),3))-1)</f>
        <v/>
      </c>
      <c r="L125">
        <f>MID(D125,FIND(",",SUBSTITUTE(D125,"|",REPT(",",LEN(D125)),4))+1,FIND(",",SUBSTITUTE(D125,"|",REPT(",",LEN(D125)),5))-FIND(",",SUBSTITUTE(D125,"|",REPT(",",LEN(D125)),4))-1)</f>
        <v/>
      </c>
      <c r="M125">
        <f>MID(D125,FIND(";",SUBSTITUTE(D125,"|",REPT(";",LEN(D125)),6))+1,LEN(D125))</f>
        <v/>
      </c>
      <c r="N125">
        <f>MID(D125,FIND(";",SUBSTITUTE(D125,"|",REPT(";",LEN(D125)),5))+1,FIND(";",SUBSTITUTE(D125,"|",REPT(";",LEN(D125)),6))-FIND(";",SUBSTITUTE(D125,"|",REPT(";",LEN(D125)),5))-1)</f>
        <v/>
      </c>
    </row>
    <row r="126">
      <c r="A126" t="inlineStr">
        <is>
          <t>100102</t>
        </is>
      </c>
      <c r="B126" t="inlineStr">
        <is>
          <t>热轧板材</t>
        </is>
      </c>
      <c r="C126" t="inlineStr">
        <is>
          <t>602207500</t>
        </is>
      </c>
      <c r="D126" t="inlineStr">
        <is>
          <t>热轧不锈钢板|钢板|06Cr19Ni10|δ25|GB/T 4237-2015|热轧|GB/T 709-2006</t>
        </is>
      </c>
      <c r="E126" t="inlineStr">
        <is>
          <t>物资名称 热轧不锈钢板;物资简称 钢板;牌号 06Cr19Ni10;厚度 δ25;宽 ;长 ;技术标准号 GB/T 4237-2015;加工工艺 热轧;热处理工艺 ;特殊要求 ;规格标准号 GB/T 709-2006</t>
        </is>
      </c>
      <c r="F126" t="inlineStr">
        <is>
          <t>千克</t>
        </is>
      </c>
      <c r="G126">
        <f>LEFT(D126,FIND("|",D126,1)-1)</f>
        <v/>
      </c>
      <c r="H126">
        <f>MID(D126,FIND("|",D126,FIND("|",D126,1))+1,FIND("|",D126,FIND("|",D126,1)+1)-FIND("|",D126,FIND("|",D126,1))-1)</f>
        <v/>
      </c>
      <c r="J126">
        <f>MID(D126,FIND(",",SUBSTITUTE(D126,"|",REPT(",",LEN(D126)),2))+1,FIND(",",SUBSTITUTE(D126,"|",REPT(",",LEN(D126)),3))-FIND(",",SUBSTITUTE(D126,"|",REPT(",",LEN(D126)),2))-1)</f>
        <v/>
      </c>
      <c r="K126">
        <f>MID(D126,FIND(",",SUBSTITUTE(D126,"|",REPT(",",LEN(D126)),3))+1,FIND(",",SUBSTITUTE(D126,"|",REPT(",",LEN(D126)),4))-FIND(",",SUBSTITUTE(D126,"|",REPT(",",LEN(D126)),3))-1)</f>
        <v/>
      </c>
      <c r="L126">
        <f>MID(D126,FIND(",",SUBSTITUTE(D126,"|",REPT(",",LEN(D126)),4))+1,FIND(",",SUBSTITUTE(D126,"|",REPT(",",LEN(D126)),5))-FIND(",",SUBSTITUTE(D126,"|",REPT(",",LEN(D126)),4))-1)</f>
        <v/>
      </c>
      <c r="M126">
        <f>MID(D126,FIND(";",SUBSTITUTE(D126,"|",REPT(";",LEN(D126)),6))+1,LEN(D126))</f>
        <v/>
      </c>
      <c r="N126">
        <f>MID(D126,FIND(";",SUBSTITUTE(D126,"|",REPT(";",LEN(D126)),5))+1,FIND(";",SUBSTITUTE(D126,"|",REPT(";",LEN(D126)),6))-FIND(";",SUBSTITUTE(D126,"|",REPT(";",LEN(D126)),5))-1)</f>
        <v/>
      </c>
    </row>
    <row r="127">
      <c r="A127" t="inlineStr">
        <is>
          <t>100102</t>
        </is>
      </c>
      <c r="B127" t="inlineStr">
        <is>
          <t>热轧板材</t>
        </is>
      </c>
      <c r="C127" t="inlineStr">
        <is>
          <t>602207400</t>
        </is>
      </c>
      <c r="D127" t="inlineStr">
        <is>
          <t>热轧不锈钢板|钢板|06Cr19Ni10|δ16|GB/T 4237-2015|热轧|GB/T 709-2006</t>
        </is>
      </c>
      <c r="E127" t="inlineStr">
        <is>
          <t>物资名称 热轧不锈钢板;物资简称 钢板;牌号 06Cr19Ni10;厚度 δ16;宽 ;长 ;技术标准号 GB/T 4237-2015;加工工艺 热轧;热处理工艺 ;特殊要求 ;规格标准号 GB/T 709-2006</t>
        </is>
      </c>
      <c r="F127" t="inlineStr">
        <is>
          <t>千克</t>
        </is>
      </c>
      <c r="G127">
        <f>LEFT(D127,FIND("|",D127,1)-1)</f>
        <v/>
      </c>
      <c r="H127">
        <f>MID(D127,FIND("|",D127,FIND("|",D127,1))+1,FIND("|",D127,FIND("|",D127,1)+1)-FIND("|",D127,FIND("|",D127,1))-1)</f>
        <v/>
      </c>
      <c r="J127">
        <f>MID(D127,FIND(",",SUBSTITUTE(D127,"|",REPT(",",LEN(D127)),2))+1,FIND(",",SUBSTITUTE(D127,"|",REPT(",",LEN(D127)),3))-FIND(",",SUBSTITUTE(D127,"|",REPT(",",LEN(D127)),2))-1)</f>
        <v/>
      </c>
      <c r="K127">
        <f>MID(D127,FIND(",",SUBSTITUTE(D127,"|",REPT(",",LEN(D127)),3))+1,FIND(",",SUBSTITUTE(D127,"|",REPT(",",LEN(D127)),4))-FIND(",",SUBSTITUTE(D127,"|",REPT(",",LEN(D127)),3))-1)</f>
        <v/>
      </c>
      <c r="L127">
        <f>MID(D127,FIND(",",SUBSTITUTE(D127,"|",REPT(",",LEN(D127)),4))+1,FIND(",",SUBSTITUTE(D127,"|",REPT(",",LEN(D127)),5))-FIND(",",SUBSTITUTE(D127,"|",REPT(",",LEN(D127)),4))-1)</f>
        <v/>
      </c>
      <c r="M127">
        <f>MID(D127,FIND(";",SUBSTITUTE(D127,"|",REPT(";",LEN(D127)),6))+1,LEN(D127))</f>
        <v/>
      </c>
      <c r="N127">
        <f>MID(D127,FIND(";",SUBSTITUTE(D127,"|",REPT(";",LEN(D127)),5))+1,FIND(";",SUBSTITUTE(D127,"|",REPT(";",LEN(D127)),6))-FIND(";",SUBSTITUTE(D127,"|",REPT(";",LEN(D127)),5))-1)</f>
        <v/>
      </c>
    </row>
    <row r="128">
      <c r="A128" t="inlineStr">
        <is>
          <t>100102</t>
        </is>
      </c>
      <c r="B128" t="inlineStr">
        <is>
          <t>热轧板材</t>
        </is>
      </c>
      <c r="C128" t="inlineStr">
        <is>
          <t>602207300</t>
        </is>
      </c>
      <c r="D128" t="inlineStr">
        <is>
          <t>热轧不锈钢板|钢板|06Cr19Ni10|δ30|GB/T 4237-2015|热轧|GB/T 709-2006</t>
        </is>
      </c>
      <c r="E128" t="inlineStr">
        <is>
          <t>物资名称 热轧不锈钢板;物资简称 钢板;牌号 06Cr19Ni10;厚度 δ30;宽 ;长 ;技术标准号 GB/T 4237-2015;加工工艺 热轧;热处理工艺 ;特殊要求 ;规格标准号 GB/T 709-2006</t>
        </is>
      </c>
      <c r="F128" t="inlineStr">
        <is>
          <t>千克</t>
        </is>
      </c>
      <c r="G128">
        <f>LEFT(D128,FIND("|",D128,1)-1)</f>
        <v/>
      </c>
      <c r="H128">
        <f>MID(D128,FIND("|",D128,FIND("|",D128,1))+1,FIND("|",D128,FIND("|",D128,1)+1)-FIND("|",D128,FIND("|",D128,1))-1)</f>
        <v/>
      </c>
      <c r="J128">
        <f>MID(D128,FIND(",",SUBSTITUTE(D128,"|",REPT(",",LEN(D128)),2))+1,FIND(",",SUBSTITUTE(D128,"|",REPT(",",LEN(D128)),3))-FIND(",",SUBSTITUTE(D128,"|",REPT(",",LEN(D128)),2))-1)</f>
        <v/>
      </c>
      <c r="K128">
        <f>MID(D128,FIND(",",SUBSTITUTE(D128,"|",REPT(",",LEN(D128)),3))+1,FIND(",",SUBSTITUTE(D128,"|",REPT(",",LEN(D128)),4))-FIND(",",SUBSTITUTE(D128,"|",REPT(",",LEN(D128)),3))-1)</f>
        <v/>
      </c>
      <c r="L128">
        <f>MID(D128,FIND(",",SUBSTITUTE(D128,"|",REPT(",",LEN(D128)),4))+1,FIND(",",SUBSTITUTE(D128,"|",REPT(",",LEN(D128)),5))-FIND(",",SUBSTITUTE(D128,"|",REPT(",",LEN(D128)),4))-1)</f>
        <v/>
      </c>
      <c r="M128">
        <f>MID(D128,FIND(";",SUBSTITUTE(D128,"|",REPT(";",LEN(D128)),6))+1,LEN(D128))</f>
        <v/>
      </c>
      <c r="N128">
        <f>MID(D128,FIND(";",SUBSTITUTE(D128,"|",REPT(";",LEN(D128)),5))+1,FIND(";",SUBSTITUTE(D128,"|",REPT(";",LEN(D128)),6))-FIND(";",SUBSTITUTE(D128,"|",REPT(";",LEN(D128)),5))-1)</f>
        <v/>
      </c>
    </row>
    <row r="129">
      <c r="A129" t="inlineStr">
        <is>
          <t>100102</t>
        </is>
      </c>
      <c r="B129" t="inlineStr">
        <is>
          <t>热轧板材</t>
        </is>
      </c>
      <c r="C129" t="inlineStr">
        <is>
          <t>602207200</t>
        </is>
      </c>
      <c r="D129" t="inlineStr">
        <is>
          <t>热轧不锈钢板|钢板|06Cr19Ni10|δ50|GB/T 4237-2015|热轧|GB/T 709-2006</t>
        </is>
      </c>
      <c r="E129" t="inlineStr">
        <is>
          <t>物资名称 热轧不锈钢板;物资简称 钢板;牌号 06Cr19Ni10;厚度 δ50;宽 ;长 ;技术标准号 GB/T 4237-2015;加工工艺 热轧;热处理工艺 ;特殊要求 ;规格标准号 GB/T 709-2006</t>
        </is>
      </c>
      <c r="F129" t="inlineStr">
        <is>
          <t>千克</t>
        </is>
      </c>
      <c r="G129">
        <f>LEFT(D129,FIND("|",D129,1)-1)</f>
        <v/>
      </c>
      <c r="H129">
        <f>MID(D129,FIND("|",D129,FIND("|",D129,1))+1,FIND("|",D129,FIND("|",D129,1)+1)-FIND("|",D129,FIND("|",D129,1))-1)</f>
        <v/>
      </c>
      <c r="J129">
        <f>MID(D129,FIND(",",SUBSTITUTE(D129,"|",REPT(",",LEN(D129)),2))+1,FIND(",",SUBSTITUTE(D129,"|",REPT(",",LEN(D129)),3))-FIND(",",SUBSTITUTE(D129,"|",REPT(",",LEN(D129)),2))-1)</f>
        <v/>
      </c>
      <c r="K129">
        <f>MID(D129,FIND(",",SUBSTITUTE(D129,"|",REPT(",",LEN(D129)),3))+1,FIND(",",SUBSTITUTE(D129,"|",REPT(",",LEN(D129)),4))-FIND(",",SUBSTITUTE(D129,"|",REPT(",",LEN(D129)),3))-1)</f>
        <v/>
      </c>
      <c r="L129">
        <f>MID(D129,FIND(",",SUBSTITUTE(D129,"|",REPT(",",LEN(D129)),4))+1,FIND(",",SUBSTITUTE(D129,"|",REPT(",",LEN(D129)),5))-FIND(",",SUBSTITUTE(D129,"|",REPT(",",LEN(D129)),4))-1)</f>
        <v/>
      </c>
      <c r="M129">
        <f>MID(D129,FIND(";",SUBSTITUTE(D129,"|",REPT(";",LEN(D129)),6))+1,LEN(D129))</f>
        <v/>
      </c>
      <c r="N129">
        <f>MID(D129,FIND(";",SUBSTITUTE(D129,"|",REPT(";",LEN(D129)),5))+1,FIND(";",SUBSTITUTE(D129,"|",REPT(";",LEN(D129)),6))-FIND(";",SUBSTITUTE(D129,"|",REPT(";",LEN(D129)),5))-1)</f>
        <v/>
      </c>
    </row>
    <row r="130">
      <c r="A130" t="inlineStr">
        <is>
          <t>100102</t>
        </is>
      </c>
      <c r="B130" t="inlineStr">
        <is>
          <t>热轧板材</t>
        </is>
      </c>
      <c r="C130" t="inlineStr">
        <is>
          <t>602207100</t>
        </is>
      </c>
      <c r="D130" t="inlineStr">
        <is>
          <t>热轧不锈钢板|钢板|06Cr19Ni10|δ40|GB/T 4237-2015|热轧|GB/T 709-2006</t>
        </is>
      </c>
      <c r="E130" t="inlineStr">
        <is>
          <t>物资名称 热轧不锈钢板;物资简称 钢板;牌号 06Cr19Ni10;厚度 δ40;宽 ;长 ;技术标准号 GB/T 4237-2015;加工工艺 热轧;热处理工艺 ;特殊要求 ;规格标准号 GB/T 709-2006</t>
        </is>
      </c>
      <c r="F130" t="inlineStr">
        <is>
          <t>千克</t>
        </is>
      </c>
      <c r="G130">
        <f>LEFT(D130,FIND("|",D130,1)-1)</f>
        <v/>
      </c>
      <c r="H130">
        <f>MID(D130,FIND("|",D130,FIND("|",D130,1))+1,FIND("|",D130,FIND("|",D130,1)+1)-FIND("|",D130,FIND("|",D130,1))-1)</f>
        <v/>
      </c>
      <c r="J130">
        <f>MID(D130,FIND(",",SUBSTITUTE(D130,"|",REPT(",",LEN(D130)),2))+1,FIND(",",SUBSTITUTE(D130,"|",REPT(",",LEN(D130)),3))-FIND(",",SUBSTITUTE(D130,"|",REPT(",",LEN(D130)),2))-1)</f>
        <v/>
      </c>
      <c r="K130">
        <f>MID(D130,FIND(",",SUBSTITUTE(D130,"|",REPT(",",LEN(D130)),3))+1,FIND(",",SUBSTITUTE(D130,"|",REPT(",",LEN(D130)),4))-FIND(",",SUBSTITUTE(D130,"|",REPT(",",LEN(D130)),3))-1)</f>
        <v/>
      </c>
      <c r="L130">
        <f>MID(D130,FIND(",",SUBSTITUTE(D130,"|",REPT(",",LEN(D130)),4))+1,FIND(",",SUBSTITUTE(D130,"|",REPT(",",LEN(D130)),5))-FIND(",",SUBSTITUTE(D130,"|",REPT(",",LEN(D130)),4))-1)</f>
        <v/>
      </c>
      <c r="M130">
        <f>MID(D130,FIND(";",SUBSTITUTE(D130,"|",REPT(";",LEN(D130)),6))+1,LEN(D130))</f>
        <v/>
      </c>
      <c r="N130">
        <f>MID(D130,FIND(";",SUBSTITUTE(D130,"|",REPT(";",LEN(D130)),5))+1,FIND(";",SUBSTITUTE(D130,"|",REPT(";",LEN(D130)),6))-FIND(";",SUBSTITUTE(D130,"|",REPT(";",LEN(D130)),5))-1)</f>
        <v/>
      </c>
    </row>
    <row r="131">
      <c r="A131" t="inlineStr">
        <is>
          <t>100102</t>
        </is>
      </c>
      <c r="B131" t="inlineStr">
        <is>
          <t>热轧板材</t>
        </is>
      </c>
      <c r="C131" t="inlineStr">
        <is>
          <t>602207000</t>
        </is>
      </c>
      <c r="D131" t="inlineStr">
        <is>
          <t>热轧不锈钢板|钢板|06Cr19Ni10|δ18|GB/T 4237-2015|热轧|GB/T 709-2006</t>
        </is>
      </c>
      <c r="E131" t="inlineStr">
        <is>
          <t>物资名称 热轧不锈钢板;物资简称 钢板;牌号 06Cr19Ni10;厚度 δ18;宽 ;长 ;技术标准号 GB/T 4237-2015;加工工艺 热轧;热处理工艺 ;特殊要求 ;规格标准号 GB/T 709-2006</t>
        </is>
      </c>
      <c r="F131" t="inlineStr">
        <is>
          <t>千克</t>
        </is>
      </c>
      <c r="G131">
        <f>LEFT(D131,FIND("|",D131,1)-1)</f>
        <v/>
      </c>
      <c r="H131">
        <f>MID(D131,FIND("|",D131,FIND("|",D131,1))+1,FIND("|",D131,FIND("|",D131,1)+1)-FIND("|",D131,FIND("|",D131,1))-1)</f>
        <v/>
      </c>
      <c r="J131">
        <f>MID(D131,FIND(",",SUBSTITUTE(D131,"|",REPT(",",LEN(D131)),2))+1,FIND(",",SUBSTITUTE(D131,"|",REPT(",",LEN(D131)),3))-FIND(",",SUBSTITUTE(D131,"|",REPT(",",LEN(D131)),2))-1)</f>
        <v/>
      </c>
      <c r="K131">
        <f>MID(D131,FIND(",",SUBSTITUTE(D131,"|",REPT(",",LEN(D131)),3))+1,FIND(",",SUBSTITUTE(D131,"|",REPT(",",LEN(D131)),4))-FIND(",",SUBSTITUTE(D131,"|",REPT(",",LEN(D131)),3))-1)</f>
        <v/>
      </c>
      <c r="L131">
        <f>MID(D131,FIND(",",SUBSTITUTE(D131,"|",REPT(",",LEN(D131)),4))+1,FIND(",",SUBSTITUTE(D131,"|",REPT(",",LEN(D131)),5))-FIND(",",SUBSTITUTE(D131,"|",REPT(",",LEN(D131)),4))-1)</f>
        <v/>
      </c>
      <c r="M131">
        <f>MID(D131,FIND(";",SUBSTITUTE(D131,"|",REPT(";",LEN(D131)),6))+1,LEN(D131))</f>
        <v/>
      </c>
      <c r="N131">
        <f>MID(D131,FIND(";",SUBSTITUTE(D131,"|",REPT(";",LEN(D131)),5))+1,FIND(";",SUBSTITUTE(D131,"|",REPT(";",LEN(D131)),6))-FIND(";",SUBSTITUTE(D131,"|",REPT(";",LEN(D131)),5))-1)</f>
        <v/>
      </c>
    </row>
    <row r="132">
      <c r="A132" t="inlineStr">
        <is>
          <t>100102</t>
        </is>
      </c>
      <c r="B132" t="inlineStr">
        <is>
          <t>热轧板材</t>
        </is>
      </c>
      <c r="C132" t="inlineStr">
        <is>
          <t>602184200</t>
        </is>
      </c>
      <c r="D132" t="inlineStr">
        <is>
          <t>热轧优质碳素结构钢板|钢板|45|δ25|GB/T 711-2017|热轧|GB/T 709-2019</t>
        </is>
      </c>
      <c r="E132" t="inlineStr">
        <is>
          <t>物资名称 热轧优质碳素结构钢板;物资简称 钢板;牌号 45;厚度 δ25;宽 ;长 ;技术标准号 GB/T 711-2017;加工工艺 热轧;热处理工艺 ;特殊要求 ;规格标准号 GB/T 709-2019</t>
        </is>
      </c>
      <c r="F132" t="inlineStr">
        <is>
          <t>千克</t>
        </is>
      </c>
      <c r="G132">
        <f>LEFT(D132,FIND("|",D132,1)-1)</f>
        <v/>
      </c>
      <c r="H132">
        <f>MID(D132,FIND("|",D132,FIND("|",D132,1))+1,FIND("|",D132,FIND("|",D132,1)+1)-FIND("|",D132,FIND("|",D132,1))-1)</f>
        <v/>
      </c>
      <c r="J132">
        <f>MID(D132,FIND(",",SUBSTITUTE(D132,"|",REPT(",",LEN(D132)),2))+1,FIND(",",SUBSTITUTE(D132,"|",REPT(",",LEN(D132)),3))-FIND(",",SUBSTITUTE(D132,"|",REPT(",",LEN(D132)),2))-1)</f>
        <v/>
      </c>
      <c r="K132">
        <f>MID(D132,FIND(",",SUBSTITUTE(D132,"|",REPT(",",LEN(D132)),3))+1,FIND(",",SUBSTITUTE(D132,"|",REPT(",",LEN(D132)),4))-FIND(",",SUBSTITUTE(D132,"|",REPT(",",LEN(D132)),3))-1)</f>
        <v/>
      </c>
      <c r="L132">
        <f>MID(D132,FIND(",",SUBSTITUTE(D132,"|",REPT(",",LEN(D132)),4))+1,FIND(",",SUBSTITUTE(D132,"|",REPT(",",LEN(D132)),5))-FIND(",",SUBSTITUTE(D132,"|",REPT(",",LEN(D132)),4))-1)</f>
        <v/>
      </c>
      <c r="M132">
        <f>MID(D132,FIND(";",SUBSTITUTE(D132,"|",REPT(";",LEN(D132)),6))+1,LEN(D132))</f>
        <v/>
      </c>
      <c r="N132">
        <f>MID(D132,FIND(";",SUBSTITUTE(D132,"|",REPT(";",LEN(D132)),5))+1,FIND(";",SUBSTITUTE(D132,"|",REPT(";",LEN(D132)),6))-FIND(";",SUBSTITUTE(D132,"|",REPT(";",LEN(D132)),5))-1)</f>
        <v/>
      </c>
    </row>
    <row r="133">
      <c r="A133" t="inlineStr">
        <is>
          <t>100102</t>
        </is>
      </c>
      <c r="B133" t="inlineStr">
        <is>
          <t>热轧板材</t>
        </is>
      </c>
      <c r="C133" t="inlineStr">
        <is>
          <t>601445300</t>
        </is>
      </c>
      <c r="D133" t="inlineStr">
        <is>
          <t>热轧合金结构钢板|钢板|30CrMnSiA|GB/T 11251-2009|热轧|GB/T 709-2006</t>
        </is>
      </c>
      <c r="E133" t="inlineStr">
        <is>
          <t>物资名称 热轧合金结构钢板;物资简称 钢板;牌号 30CrMnSiA;厚度 δ;宽 ;长 ;技术标准号 GB/T 11251-2009;加工工艺 热轧;热处理工艺 ;特殊要求 ;规格标准号 GB/T 709-2006</t>
        </is>
      </c>
      <c r="F133" t="inlineStr">
        <is>
          <t>千克</t>
        </is>
      </c>
      <c r="G133">
        <f>LEFT(D133,FIND("|",D133,1)-1)</f>
        <v/>
      </c>
      <c r="H133">
        <f>MID(D133,FIND("|",D133,FIND("|",D133,1))+1,FIND("|",D133,FIND("|",D133,1)+1)-FIND("|",D133,FIND("|",D133,1))-1)</f>
        <v/>
      </c>
      <c r="J133">
        <f>MID(D133,FIND(",",SUBSTITUTE(D133,"|",REPT(",",LEN(D133)),2))+1,FIND(",",SUBSTITUTE(D133,"|",REPT(",",LEN(D133)),3))-FIND(",",SUBSTITUTE(D133,"|",REPT(",",LEN(D133)),2))-1)</f>
        <v/>
      </c>
      <c r="L133">
        <f>MID(D133,FIND(",",SUBSTITUTE(D133,"|",REPT(",",LEN(D133)),3))+1,FIND(",",SUBSTITUTE(D133,"|",REPT(",",LEN(D133)),4))-FIND(",",SUBSTITUTE(D133,"|",REPT(",",LEN(D133)),3))-1)</f>
        <v/>
      </c>
      <c r="M133">
        <f>MID(D133,FIND(";",SUBSTITUTE(D133,"|",REPT(";",LEN(D133)),5))+1,LEN(D133))</f>
        <v/>
      </c>
      <c r="N133">
        <f>MID(D133,FIND(";",SUBSTITUTE(D133,"|",REPT(";",LEN(D133)),4))+1,FIND(";",SUBSTITUTE(D133,"|",REPT(";",LEN(D133)),5))-FIND(";",SUBSTITUTE(D133,"|",REPT(";",LEN(D133)),4))-1)</f>
        <v/>
      </c>
    </row>
    <row r="134">
      <c r="A134" t="inlineStr">
        <is>
          <t>100102</t>
        </is>
      </c>
      <c r="B134" t="inlineStr">
        <is>
          <t>热轧板材</t>
        </is>
      </c>
      <c r="C134" t="inlineStr">
        <is>
          <t>601417800</t>
        </is>
      </c>
      <c r="D134" t="inlineStr">
        <is>
          <t>热镀锌薄钢板|热镀锌薄钢板|Q235|GB/T 700-1988</t>
        </is>
      </c>
      <c r="E134" t="inlineStr">
        <is>
          <t xml:space="preserve">物资名称 热镀锌薄钢板;物资简称 热镀锌薄钢板;牌号 Q235;厚度 δ;宽 ;长 ;技术标准号 GB/T 700-1988;加工工艺 ;热处理工艺 ;特殊要求 ;规格标准号 </t>
        </is>
      </c>
      <c r="F134" t="inlineStr">
        <is>
          <t>千克</t>
        </is>
      </c>
      <c r="G134">
        <f>LEFT(D134,FIND("|",D134,1)-1)</f>
        <v/>
      </c>
      <c r="H134">
        <f>MID(D134,FIND("|",D134,FIND("|",D134,1))+1,FIND("|",D134,FIND("|",D134,1)+1)-FIND("|",D134,FIND("|",D134,1))-1)</f>
        <v/>
      </c>
      <c r="J134">
        <f>MID(D134,FIND(",",SUBSTITUTE(D134,"|",REPT(",",LEN(D134)),2))+1,FIND(",",SUBSTITUTE(D134,"|",REPT(",",LEN(D134)),3))-FIND(",",SUBSTITUTE(D134,"|",REPT(",",LEN(D134)),2))-1)</f>
        <v/>
      </c>
      <c r="L134">
        <f>MID(D134,FIND(";",SUBSTITUTE(D134,"|",REPT(";",LEN(D134)),3))+1,LEN(D134))</f>
        <v/>
      </c>
    </row>
    <row r="135">
      <c r="A135" t="inlineStr">
        <is>
          <t>100102</t>
        </is>
      </c>
      <c r="B135" t="inlineStr">
        <is>
          <t>热轧板材</t>
        </is>
      </c>
      <c r="C135" t="inlineStr">
        <is>
          <t>600999300</t>
        </is>
      </c>
      <c r="D135" t="inlineStr">
        <is>
          <t>热轧优质碳素结构钢板|钢板|10|δ12|GB/T 711-2008|热轧|GB/T 709-2006</t>
        </is>
      </c>
      <c r="E135" t="inlineStr">
        <is>
          <t>物资名称 热轧优质碳素结构钢板;物资简称 钢板;牌号 10;厚度 δ12;宽 ;长 ;技术标准号 GB/T 711-2008;加工工艺 热轧;热处理工艺 ;特殊要求 ;规格标准号 GB/T 709-2006</t>
        </is>
      </c>
      <c r="F135" t="inlineStr">
        <is>
          <t>千克</t>
        </is>
      </c>
      <c r="G135">
        <f>LEFT(D135,FIND("|",D135,1)-1)</f>
        <v/>
      </c>
      <c r="H135">
        <f>MID(D135,FIND("|",D135,FIND("|",D135,1))+1,FIND("|",D135,FIND("|",D135,1)+1)-FIND("|",D135,FIND("|",D135,1))-1)</f>
        <v/>
      </c>
      <c r="J135">
        <f>MID(D135,FIND(",",SUBSTITUTE(D135,"|",REPT(",",LEN(D135)),2))+1,FIND(",",SUBSTITUTE(D135,"|",REPT(",",LEN(D135)),3))-FIND(",",SUBSTITUTE(D135,"|",REPT(",",LEN(D135)),2))-1)</f>
        <v/>
      </c>
      <c r="K135">
        <f>MID(D135,FIND(",",SUBSTITUTE(D135,"|",REPT(",",LEN(D135)),3))+1,FIND(",",SUBSTITUTE(D135,"|",REPT(",",LEN(D135)),4))-FIND(",",SUBSTITUTE(D135,"|",REPT(",",LEN(D135)),3))-1)</f>
        <v/>
      </c>
      <c r="L135">
        <f>MID(D135,FIND(";",SUBSTITUTE(D135,"|",REPT(";",LEN(D135)),4))+1,FIND(";",SUBSTITUTE(D135,"|",REPT(";",LEN(D135)),5))-FIND(";",SUBSTITUTE(D135,"|",REPT(";",LEN(D135)),4))-1)</f>
        <v/>
      </c>
      <c r="M135">
        <f>MID(D135,FIND(";",SUBSTITUTE(D135,"|",REPT(";",LEN(D135)),6))+1,LEN(D135))</f>
        <v/>
      </c>
      <c r="N135">
        <f>MID(D135,FIND(";",SUBSTITUTE(D135,"|",REPT(";",LEN(D135)),5))+1,FIND(";",SUBSTITUTE(D135,"|",REPT(";",LEN(D135)),6))-FIND(";",SUBSTITUTE(D135,"|",REPT(";",LEN(D135)),5))-1)</f>
        <v/>
      </c>
    </row>
    <row r="136">
      <c r="A136" t="inlineStr">
        <is>
          <t>100102</t>
        </is>
      </c>
      <c r="B136" t="inlineStr">
        <is>
          <t>热轧板材</t>
        </is>
      </c>
      <c r="C136" t="inlineStr">
        <is>
          <t>600998500</t>
        </is>
      </c>
      <c r="D136" t="inlineStr">
        <is>
          <t>热轧优质碳素结构钢板|钢板|45|δ7|GB/T699-1999|热轧</t>
        </is>
      </c>
      <c r="E136" t="inlineStr">
        <is>
          <t xml:space="preserve">物资名称 热轧优质碳素结构钢板;物资简称 钢板;牌号 45;厚度 δ7;宽 ;长 ;技术标准号 GB/T699-1999;加工工艺 热轧;热处理工艺 ;特殊要求 ;规格标准号 </t>
        </is>
      </c>
      <c r="F136" t="inlineStr">
        <is>
          <t>千克</t>
        </is>
      </c>
      <c r="G136">
        <f>LEFT(D136,FIND("|",D136,1)-1)</f>
        <v/>
      </c>
      <c r="H136">
        <f>MID(D136,FIND("|",D136,FIND("|",D136,1))+1,FIND("|",D136,FIND("|",D136,1)+1)-FIND("|",D136,FIND("|",D136,1))-1)</f>
        <v/>
      </c>
      <c r="J136">
        <f>MID(D136,FIND(",",SUBSTITUTE(D136,"|",REPT(",",LEN(D136)),2))+1,FIND(",",SUBSTITUTE(D136,"|",REPT(",",LEN(D136)),3))-FIND(",",SUBSTITUTE(D136,"|",REPT(",",LEN(D136)),2))-1)</f>
        <v/>
      </c>
      <c r="K136">
        <f>MID(D136,FIND(",",SUBSTITUTE(D136,"|",REPT(",",LEN(D136)),3))+1,FIND(",",SUBSTITUTE(D136,"|",REPT(",",LEN(D136)),4))-FIND(",",SUBSTITUTE(D136,"|",REPT(",",LEN(D136)),3))-1)</f>
        <v/>
      </c>
      <c r="L136">
        <f>MID(D136,FIND(";",SUBSTITUTE(D136,"|",REPT(";",LEN(D136)),4))+1,FIND(";",SUBSTITUTE(D136,"|",REPT(";",LEN(D136)),5))-FIND(";",SUBSTITUTE(D136,"|",REPT(";",LEN(D136)),4))-1)</f>
        <v/>
      </c>
    </row>
    <row r="137">
      <c r="A137" t="inlineStr">
        <is>
          <t>100102</t>
        </is>
      </c>
      <c r="B137" t="inlineStr">
        <is>
          <t>热轧板材</t>
        </is>
      </c>
      <c r="C137" t="inlineStr">
        <is>
          <t>600940400</t>
        </is>
      </c>
      <c r="D137" t="inlineStr">
        <is>
          <t>钢板|钢板|0Cr18Ni9|GB/T 4237-1992</t>
        </is>
      </c>
      <c r="E137" t="inlineStr">
        <is>
          <t xml:space="preserve">物资名称 钢板;物资简称 钢板;牌号 0Cr18Ni9;厚度 δ;宽 ;长 ;技术标准号 GB/T 4237-1992;加工工艺 ;热处理工艺 ;特殊要求 ;规格标准号 </t>
        </is>
      </c>
      <c r="F137" t="inlineStr">
        <is>
          <t>千克</t>
        </is>
      </c>
      <c r="G137">
        <f>LEFT(D137,FIND("|",D137,1)-1)</f>
        <v/>
      </c>
      <c r="H137">
        <f>MID(D137,FIND("|",D137,FIND("|",D137,1))+1,FIND("|",D137,FIND("|",D137,1)+1)-FIND("|",D137,FIND("|",D137,1))-1)</f>
        <v/>
      </c>
      <c r="J137">
        <f>MID(D137,FIND(",",SUBSTITUTE(D137,"|",REPT(",",LEN(D137)),2))+1,FIND(",",SUBSTITUTE(D137,"|",REPT(",",LEN(D137)),3))-FIND(",",SUBSTITUTE(D137,"|",REPT(",",LEN(D137)),2))-1)</f>
        <v/>
      </c>
      <c r="L137">
        <f>MID(D137,FIND(";",SUBSTITUTE(D137,"|",REPT(";",LEN(D137)),3))+1,LEN(D137))</f>
        <v/>
      </c>
    </row>
    <row r="138">
      <c r="A138" t="inlineStr">
        <is>
          <t>100102</t>
        </is>
      </c>
      <c r="B138" t="inlineStr">
        <is>
          <t>热轧板材</t>
        </is>
      </c>
      <c r="C138" t="inlineStr">
        <is>
          <t>600940300</t>
        </is>
      </c>
      <c r="D138" t="inlineStr">
        <is>
          <t>热镀锌薄钢板|热镀锌薄钢板|Q235-A|δ1.2-Y-A|GB/T 700-1988|GB 5066-85</t>
        </is>
      </c>
      <c r="E138" t="inlineStr">
        <is>
          <t>物资名称 热镀锌薄钢板;物资简称 热镀锌薄钢板;牌号 Q235-A;厚度 δ1.2-Y-A;宽 ;长 ;技术标准号 GB/T 700-1988;加工工艺 ;热处理工艺 ;特殊要求 ;规格标准号 GB 5066-85</t>
        </is>
      </c>
      <c r="F138" t="inlineStr">
        <is>
          <t>千克</t>
        </is>
      </c>
      <c r="G138">
        <f>LEFT(D138,FIND("|",D138,1)-1)</f>
        <v/>
      </c>
      <c r="H138">
        <f>MID(D138,FIND("|",D138,FIND("|",D138,1))+1,FIND("|",D138,FIND("|",D138,1)+1)-FIND("|",D138,FIND("|",D138,1))-1)</f>
        <v/>
      </c>
      <c r="J138">
        <f>MID(D138,FIND(",",SUBSTITUTE(D138,"|",REPT(",",LEN(D138)),2))+1,FIND(",",SUBSTITUTE(D138,"|",REPT(",",LEN(D138)),3))-FIND(",",SUBSTITUTE(D138,"|",REPT(",",LEN(D138)),2))-1)</f>
        <v/>
      </c>
      <c r="K138">
        <f>MID(D138,FIND(",",SUBSTITUTE(D138,"|",REPT(",",LEN(D138)),3))+1,FIND(",",SUBSTITUTE(D138,"|",REPT(",",LEN(D138)),4))-FIND(",",SUBSTITUTE(D138,"|",REPT(",",LEN(D138)),3))-1)</f>
        <v/>
      </c>
      <c r="L138">
        <f>MID(D138,FIND(";",SUBSTITUTE(D138,"|",REPT(";",LEN(D138)),4))+1,FIND(";",SUBSTITUTE(D138,"|",REPT(";",LEN(D138)),5))-FIND(";",SUBSTITUTE(D138,"|",REPT(";",LEN(D138)),4))-1)</f>
        <v/>
      </c>
      <c r="M138">
        <f>MID(D138,FIND(";",SUBSTITUTE(D138,"|",REPT(";",LEN(D138)),5))+1,LEN(D138))</f>
        <v/>
      </c>
    </row>
    <row r="139">
      <c r="A139" t="inlineStr">
        <is>
          <t>100102</t>
        </is>
      </c>
      <c r="B139" t="inlineStr">
        <is>
          <t>热轧板材</t>
        </is>
      </c>
      <c r="C139" t="inlineStr">
        <is>
          <t>600940200</t>
        </is>
      </c>
      <c r="D139" t="inlineStr">
        <is>
          <t>钢板|钢板|20-Ⅱ-P|δB-0.5|GB/T 710-1991|GB/T 708-1988</t>
        </is>
      </c>
      <c r="E139" t="inlineStr">
        <is>
          <t>物资名称 钢板;物资简称 钢板;牌号 20-Ⅱ-P;厚度 δB-0.5;宽 ;长 ;技术标准号 GB/T 710-1991;加工工艺 ;热处理工艺 ;特殊要求 ;规格标准号 GB/T 708-1988</t>
        </is>
      </c>
      <c r="F139" t="inlineStr">
        <is>
          <t>千克</t>
        </is>
      </c>
      <c r="G139">
        <f>LEFT(D139,FIND("|",D139,1)-1)</f>
        <v/>
      </c>
      <c r="H139">
        <f>MID(D139,FIND("|",D139,FIND("|",D139,1))+1,FIND("|",D139,FIND("|",D139,1)+1)-FIND("|",D139,FIND("|",D139,1))-1)</f>
        <v/>
      </c>
      <c r="J139">
        <f>MID(D139,FIND(",",SUBSTITUTE(D139,"|",REPT(",",LEN(D139)),2))+1,FIND(",",SUBSTITUTE(D139,"|",REPT(",",LEN(D139)),3))-FIND(",",SUBSTITUTE(D139,"|",REPT(",",LEN(D139)),2))-1)</f>
        <v/>
      </c>
      <c r="K139">
        <f>MID(D139,FIND(",",SUBSTITUTE(D139,"|",REPT(",",LEN(D139)),3))+1,FIND(",",SUBSTITUTE(D139,"|",REPT(",",LEN(D139)),4))-FIND(",",SUBSTITUTE(D139,"|",REPT(",",LEN(D139)),3))-1)</f>
        <v/>
      </c>
      <c r="L139">
        <f>MID(D139,FIND(";",SUBSTITUTE(D139,"|",REPT(";",LEN(D139)),4))+1,FIND(";",SUBSTITUTE(D139,"|",REPT(";",LEN(D139)),5))-FIND(";",SUBSTITUTE(D139,"|",REPT(";",LEN(D139)),4))-1)</f>
        <v/>
      </c>
      <c r="M139">
        <f>MID(D139,FIND(";",SUBSTITUTE(D139,"|",REPT(";",LEN(D139)),5))+1,LEN(D139))</f>
        <v/>
      </c>
    </row>
    <row r="140">
      <c r="A140" t="inlineStr">
        <is>
          <t>100102</t>
        </is>
      </c>
      <c r="B140" t="inlineStr">
        <is>
          <t>热轧板材</t>
        </is>
      </c>
      <c r="C140" t="inlineStr">
        <is>
          <t>600940100</t>
        </is>
      </c>
      <c r="D140" t="inlineStr">
        <is>
          <t>热镀锌薄钢板|热镀锌薄钢板|Q235-B.F|δ0.5-Y-A|GB/T 700-1988|YB 5131-1993</t>
        </is>
      </c>
      <c r="E140" t="inlineStr">
        <is>
          <t>物资名称 热镀锌薄钢板;物资简称 热镀锌薄钢板;牌号 Q235-B.F;厚度 δ0.5-Y-A;宽 ;长 ;技术标准号 GB/T 700-1988;加工工艺 ;热处理工艺 ;特殊要求 ;规格标准号 YB 5131-1993</t>
        </is>
      </c>
      <c r="F140" t="inlineStr">
        <is>
          <t>千克</t>
        </is>
      </c>
      <c r="G140">
        <f>LEFT(D140,FIND("|",D140,1)-1)</f>
        <v/>
      </c>
      <c r="H140">
        <f>MID(D140,FIND("|",D140,FIND("|",D140,1))+1,FIND("|",D140,FIND("|",D140,1)+1)-FIND("|",D140,FIND("|",D140,1))-1)</f>
        <v/>
      </c>
      <c r="J140">
        <f>MID(D140,FIND(",",SUBSTITUTE(D140,"|",REPT(",",LEN(D140)),2))+1,FIND(",",SUBSTITUTE(D140,"|",REPT(",",LEN(D140)),3))-FIND(",",SUBSTITUTE(D140,"|",REPT(",",LEN(D140)),2))-1)</f>
        <v/>
      </c>
      <c r="K140">
        <f>MID(D140,FIND(",",SUBSTITUTE(D140,"|",REPT(",",LEN(D140)),3))+1,FIND(",",SUBSTITUTE(D140,"|",REPT(",",LEN(D140)),4))-FIND(",",SUBSTITUTE(D140,"|",REPT(",",LEN(D140)),3))-1)</f>
        <v/>
      </c>
      <c r="L140">
        <f>MID(D140,FIND(";",SUBSTITUTE(D140,"|",REPT(";",LEN(D140)),4))+1,FIND(";",SUBSTITUTE(D140,"|",REPT(";",LEN(D140)),5))-FIND(";",SUBSTITUTE(D140,"|",REPT(";",LEN(D140)),4))-1)</f>
        <v/>
      </c>
      <c r="M140">
        <f>MID(D140,FIND(";",SUBSTITUTE(D140,"|",REPT(";",LEN(D140)),5))+1,LEN(D140))</f>
        <v/>
      </c>
    </row>
    <row r="141">
      <c r="A141" t="inlineStr">
        <is>
          <t>100102</t>
        </is>
      </c>
      <c r="B141" t="inlineStr">
        <is>
          <t>热轧板材</t>
        </is>
      </c>
      <c r="C141" t="inlineStr">
        <is>
          <t>600940000</t>
        </is>
      </c>
      <c r="D141" t="inlineStr">
        <is>
          <t>热镀锌薄钢板|热镀锌薄钢板|Q235-B.F|δ1.5-Y-A|GB/T 700-1988|YB 5131-1993</t>
        </is>
      </c>
      <c r="E141" t="inlineStr">
        <is>
          <t>物资名称 热镀锌薄钢板;物资简称 热镀锌薄钢板;牌号 Q235-B.F;厚度 δ1.5-Y-A;宽 ;长 ;技术标准号 GB/T 700-1988;加工工艺 ;热处理工艺 ;特殊要求 ;规格标准号 YB 5131-1993</t>
        </is>
      </c>
      <c r="F141" t="inlineStr">
        <is>
          <t>千克</t>
        </is>
      </c>
      <c r="G141">
        <f>LEFT(D141,FIND("|",D141,1)-1)</f>
        <v/>
      </c>
      <c r="H141">
        <f>MID(D141,FIND("|",D141,FIND("|",D141,1))+1,FIND("|",D141,FIND("|",D141,1)+1)-FIND("|",D141,FIND("|",D141,1))-1)</f>
        <v/>
      </c>
      <c r="J141">
        <f>MID(D141,FIND(",",SUBSTITUTE(D141,"|",REPT(",",LEN(D141)),2))+1,FIND(",",SUBSTITUTE(D141,"|",REPT(",",LEN(D141)),3))-FIND(",",SUBSTITUTE(D141,"|",REPT(",",LEN(D141)),2))-1)</f>
        <v/>
      </c>
      <c r="K141">
        <f>MID(D141,FIND(",",SUBSTITUTE(D141,"|",REPT(",",LEN(D141)),3))+1,FIND(",",SUBSTITUTE(D141,"|",REPT(",",LEN(D141)),4))-FIND(",",SUBSTITUTE(D141,"|",REPT(",",LEN(D141)),3))-1)</f>
        <v/>
      </c>
      <c r="L141">
        <f>MID(D141,FIND(";",SUBSTITUTE(D141,"|",REPT(";",LEN(D141)),4))+1,FIND(";",SUBSTITUTE(D141,"|",REPT(";",LEN(D141)),5))-FIND(";",SUBSTITUTE(D141,"|",REPT(";",LEN(D141)),4))-1)</f>
        <v/>
      </c>
      <c r="M141">
        <f>MID(D141,FIND(";",SUBSTITUTE(D141,"|",REPT(";",LEN(D141)),5))+1,LEN(D141))</f>
        <v/>
      </c>
    </row>
    <row r="142">
      <c r="A142" t="inlineStr">
        <is>
          <t>100102</t>
        </is>
      </c>
      <c r="B142" t="inlineStr">
        <is>
          <t>热轧板材</t>
        </is>
      </c>
      <c r="C142" t="inlineStr">
        <is>
          <t>600939900</t>
        </is>
      </c>
      <c r="D142" t="inlineStr">
        <is>
          <t>钢板|钢板|20-Ⅱ-P|δB-2|GB/T 710-1989|GB/T 708-1988</t>
        </is>
      </c>
      <c r="E142" t="inlineStr">
        <is>
          <t>物资名称 钢板;物资简称 钢板;牌号 20-Ⅱ-P;厚度 δB-2;宽 ;长 ;技术标准号 GB/T 710-1989;加工工艺 ;热处理工艺 ;特殊要求 ;规格标准号 GB/T 708-1988</t>
        </is>
      </c>
      <c r="F142" t="inlineStr">
        <is>
          <t>千克</t>
        </is>
      </c>
      <c r="G142">
        <f>LEFT(D142,FIND("|",D142,1)-1)</f>
        <v/>
      </c>
      <c r="H142">
        <f>MID(D142,FIND("|",D142,FIND("|",D142,1))+1,FIND("|",D142,FIND("|",D142,1)+1)-FIND("|",D142,FIND("|",D142,1))-1)</f>
        <v/>
      </c>
      <c r="J142">
        <f>MID(D142,FIND(",",SUBSTITUTE(D142,"|",REPT(",",LEN(D142)),2))+1,FIND(",",SUBSTITUTE(D142,"|",REPT(",",LEN(D142)),3))-FIND(",",SUBSTITUTE(D142,"|",REPT(",",LEN(D142)),2))-1)</f>
        <v/>
      </c>
      <c r="K142">
        <f>MID(D142,FIND(",",SUBSTITUTE(D142,"|",REPT(",",LEN(D142)),3))+1,FIND(",",SUBSTITUTE(D142,"|",REPT(",",LEN(D142)),4))-FIND(",",SUBSTITUTE(D142,"|",REPT(",",LEN(D142)),3))-1)</f>
        <v/>
      </c>
      <c r="L142">
        <f>MID(D142,FIND(";",SUBSTITUTE(D142,"|",REPT(";",LEN(D142)),4))+1,FIND(";",SUBSTITUTE(D142,"|",REPT(";",LEN(D142)),5))-FIND(";",SUBSTITUTE(D142,"|",REPT(";",LEN(D142)),4))-1)</f>
        <v/>
      </c>
      <c r="M142">
        <f>MID(D142,FIND(";",SUBSTITUTE(D142,"|",REPT(";",LEN(D142)),5))+1,LEN(D142))</f>
        <v/>
      </c>
    </row>
    <row r="143">
      <c r="A143" t="inlineStr">
        <is>
          <t>100102</t>
        </is>
      </c>
      <c r="B143" t="inlineStr">
        <is>
          <t>热轧板材</t>
        </is>
      </c>
      <c r="C143" t="inlineStr">
        <is>
          <t>600939800</t>
        </is>
      </c>
      <c r="D143" t="inlineStr">
        <is>
          <t>钢板|钢板|20-Ⅱ-P|δB-1|GB/T 710-1991|GB/T 708-1988</t>
        </is>
      </c>
      <c r="E143" t="inlineStr">
        <is>
          <t>物资名称 钢板;物资简称 钢板;牌号 20-Ⅱ-P;厚度 δB-1;宽 ;长 ;技术标准号 GB/T 710-1991;加工工艺 ;热处理工艺 ;特殊要求 ;规格标准号 GB/T 708-1988</t>
        </is>
      </c>
      <c r="F143" t="inlineStr">
        <is>
          <t>千克</t>
        </is>
      </c>
      <c r="G143">
        <f>LEFT(D143,FIND("|",D143,1)-1)</f>
        <v/>
      </c>
      <c r="H143">
        <f>MID(D143,FIND("|",D143,FIND("|",D143,1))+1,FIND("|",D143,FIND("|",D143,1)+1)-FIND("|",D143,FIND("|",D143,1))-1)</f>
        <v/>
      </c>
      <c r="J143">
        <f>MID(D143,FIND(",",SUBSTITUTE(D143,"|",REPT(",",LEN(D143)),2))+1,FIND(",",SUBSTITUTE(D143,"|",REPT(",",LEN(D143)),3))-FIND(",",SUBSTITUTE(D143,"|",REPT(",",LEN(D143)),2))-1)</f>
        <v/>
      </c>
      <c r="K143">
        <f>MID(D143,FIND(",",SUBSTITUTE(D143,"|",REPT(",",LEN(D143)),3))+1,FIND(",",SUBSTITUTE(D143,"|",REPT(",",LEN(D143)),4))-FIND(",",SUBSTITUTE(D143,"|",REPT(",",LEN(D143)),3))-1)</f>
        <v/>
      </c>
      <c r="L143">
        <f>MID(D143,FIND(";",SUBSTITUTE(D143,"|",REPT(";",LEN(D143)),4))+1,FIND(";",SUBSTITUTE(D143,"|",REPT(";",LEN(D143)),5))-FIND(";",SUBSTITUTE(D143,"|",REPT(";",LEN(D143)),4))-1)</f>
        <v/>
      </c>
      <c r="M143">
        <f>MID(D143,FIND(";",SUBSTITUTE(D143,"|",REPT(";",LEN(D143)),5))+1,LEN(D143))</f>
        <v/>
      </c>
    </row>
    <row r="144">
      <c r="A144" t="inlineStr">
        <is>
          <t>100102</t>
        </is>
      </c>
      <c r="B144" t="inlineStr">
        <is>
          <t>热轧板材</t>
        </is>
      </c>
      <c r="C144" t="inlineStr">
        <is>
          <t>600600100</t>
        </is>
      </c>
      <c r="D144" t="inlineStr">
        <is>
          <t>热轧钢板|钢板|Q235A|GB/T 3274-2007|GB/T 709-2006</t>
        </is>
      </c>
      <c r="E144" t="inlineStr">
        <is>
          <t>物资名称 热轧钢板;物资简称 钢板;牌号 Q235A;厚度 δ;宽 ;长 ;技术标准号 GB/T 3274-2007;加工工艺 ;热处理工艺 ;特殊要求 ;规格标准号 GB/T 709-2006</t>
        </is>
      </c>
      <c r="F144" t="inlineStr">
        <is>
          <t>千克</t>
        </is>
      </c>
      <c r="G144">
        <f>LEFT(D144,FIND("|",D144,1)-1)</f>
        <v/>
      </c>
      <c r="H144">
        <f>MID(D144,FIND("|",D144,FIND("|",D144,1))+1,FIND("|",D144,FIND("|",D144,1)+1)-FIND("|",D144,FIND("|",D144,1))-1)</f>
        <v/>
      </c>
      <c r="J144">
        <f>MID(D144,FIND(",",SUBSTITUTE(D144,"|",REPT(",",LEN(D144)),2))+1,FIND(",",SUBSTITUTE(D144,"|",REPT(",",LEN(D144)),3))-FIND(",",SUBSTITUTE(D144,"|",REPT(",",LEN(D144)),2))-1)</f>
        <v/>
      </c>
      <c r="L144">
        <f>MID(D144,FIND(",",SUBSTITUTE(D144,"|",REPT(",",LEN(D144)),3))+1,FIND(",",SUBSTITUTE(D144,"|",REPT(",",LEN(D144)),4))-FIND(",",SUBSTITUTE(D144,"|",REPT(",",LEN(D144)),3))-1)</f>
        <v/>
      </c>
      <c r="M144">
        <f>MID(D144,FIND(";",SUBSTITUTE(D144,"|",REPT(";",LEN(D144)),4))+1,LEN(D144))</f>
        <v/>
      </c>
    </row>
    <row r="145">
      <c r="A145" t="inlineStr">
        <is>
          <t>100102</t>
        </is>
      </c>
      <c r="B145" t="inlineStr">
        <is>
          <t>热轧板材</t>
        </is>
      </c>
      <c r="C145" t="inlineStr">
        <is>
          <t>600600000</t>
        </is>
      </c>
      <c r="D145" t="inlineStr">
        <is>
          <t>热轧钢板|钢板|Q235A|δ4|GB/T 3274-2007|热轧|GB/T 709-2006</t>
        </is>
      </c>
      <c r="E145" t="inlineStr">
        <is>
          <t>物资名称 热轧钢板;物资简称 钢板;牌号 Q235A;厚度 δ4;宽 ;长 ;技术标准号 GB/T 3274-2007;加工工艺 热轧;热处理工艺 ;特殊要求 ;规格标准号 GB/T 709-2006</t>
        </is>
      </c>
      <c r="F145" t="inlineStr">
        <is>
          <t>千克</t>
        </is>
      </c>
      <c r="G145">
        <f>LEFT(D145,FIND("|",D145,1)-1)</f>
        <v/>
      </c>
      <c r="H145">
        <f>MID(D145,FIND("|",D145,FIND("|",D145,1))+1,FIND("|",D145,FIND("|",D145,1)+1)-FIND("|",D145,FIND("|",D145,1))-1)</f>
        <v/>
      </c>
      <c r="J145">
        <f>MID(D145,FIND(",",SUBSTITUTE(D145,"|",REPT(",",LEN(D145)),2))+1,FIND(",",SUBSTITUTE(D145,"|",REPT(",",LEN(D145)),3))-FIND(",",SUBSTITUTE(D145,"|",REPT(",",LEN(D145)),2))-1)</f>
        <v/>
      </c>
      <c r="K145">
        <f>MID(D145,FIND(",",SUBSTITUTE(D145,"|",REPT(",",LEN(D145)),3))+1,FIND(",",SUBSTITUTE(D145,"|",REPT(",",LEN(D145)),4))-FIND(",",SUBSTITUTE(D145,"|",REPT(",",LEN(D145)),3))-1)</f>
        <v/>
      </c>
      <c r="L145">
        <f>MID(D145,FIND(";",SUBSTITUTE(D145,"|",REPT(";",LEN(D145)),4))+1,FIND(";",SUBSTITUTE(D145,"|",REPT(";",LEN(D145)),5))-FIND(";",SUBSTITUTE(D145,"|",REPT(";",LEN(D145)),4))-1)</f>
        <v/>
      </c>
      <c r="M145">
        <f>MID(D145,FIND(";",SUBSTITUTE(D145,"|",REPT(";",LEN(D145)),6))+1,LEN(D145))</f>
        <v/>
      </c>
      <c r="N145">
        <f>MID(D145,FIND(";",SUBSTITUTE(D145,"|",REPT(";",LEN(D145)),5))+1,FIND(";",SUBSTITUTE(D145,"|",REPT(";",LEN(D145)),6))-FIND(";",SUBSTITUTE(D145,"|",REPT(";",LEN(D145)),5))-1)</f>
        <v/>
      </c>
    </row>
    <row r="146">
      <c r="A146" t="inlineStr">
        <is>
          <t>100102</t>
        </is>
      </c>
      <c r="B146" t="inlineStr">
        <is>
          <t>热轧板材</t>
        </is>
      </c>
      <c r="C146" t="inlineStr">
        <is>
          <t>600599900</t>
        </is>
      </c>
      <c r="D146" t="inlineStr">
        <is>
          <t>热轧钢板|钢板|Q235A|δ6|GB/T 3274-2007|热轧|GB/T 709-2006</t>
        </is>
      </c>
      <c r="E146" t="inlineStr">
        <is>
          <t>物资名称 热轧钢板;物资简称 钢板;牌号 Q235A;厚度 δ6;宽 ;长 ;技术标准号 GB/T 3274-2007;加工工艺 热轧;热处理工艺 ;特殊要求 ;规格标准号 GB/T 709-2006</t>
        </is>
      </c>
      <c r="F146" t="inlineStr">
        <is>
          <t>千克</t>
        </is>
      </c>
      <c r="G146">
        <f>LEFT(D146,FIND("|",D146,1)-1)</f>
        <v/>
      </c>
      <c r="H146">
        <f>MID(D146,FIND("|",D146,FIND("|",D146,1))+1,FIND("|",D146,FIND("|",D146,1)+1)-FIND("|",D146,FIND("|",D146,1))-1)</f>
        <v/>
      </c>
      <c r="J146">
        <f>MID(D146,FIND(",",SUBSTITUTE(D146,"|",REPT(",",LEN(D146)),2))+1,FIND(",",SUBSTITUTE(D146,"|",REPT(",",LEN(D146)),3))-FIND(",",SUBSTITUTE(D146,"|",REPT(",",LEN(D146)),2))-1)</f>
        <v/>
      </c>
      <c r="K146">
        <f>MID(D146,FIND(",",SUBSTITUTE(D146,"|",REPT(",",LEN(D146)),3))+1,FIND(",",SUBSTITUTE(D146,"|",REPT(",",LEN(D146)),4))-FIND(",",SUBSTITUTE(D146,"|",REPT(",",LEN(D146)),3))-1)</f>
        <v/>
      </c>
      <c r="L146">
        <f>MID(D146,FIND(";",SUBSTITUTE(D146,"|",REPT(";",LEN(D146)),4))+1,FIND(";",SUBSTITUTE(D146,"|",REPT(";",LEN(D146)),5))-FIND(";",SUBSTITUTE(D146,"|",REPT(";",LEN(D146)),4))-1)</f>
        <v/>
      </c>
      <c r="M146">
        <f>MID(D146,FIND(";",SUBSTITUTE(D146,"|",REPT(";",LEN(D146)),6))+1,LEN(D146))</f>
        <v/>
      </c>
      <c r="N146">
        <f>MID(D146,FIND(";",SUBSTITUTE(D146,"|",REPT(";",LEN(D146)),5))+1,FIND(";",SUBSTITUTE(D146,"|",REPT(";",LEN(D146)),6))-FIND(";",SUBSTITUTE(D146,"|",REPT(";",LEN(D146)),5))-1)</f>
        <v/>
      </c>
    </row>
    <row r="147">
      <c r="A147" t="inlineStr">
        <is>
          <t>100102</t>
        </is>
      </c>
      <c r="B147" t="inlineStr">
        <is>
          <t>热轧板材</t>
        </is>
      </c>
      <c r="C147" t="inlineStr">
        <is>
          <t>600599800</t>
        </is>
      </c>
      <c r="D147" t="inlineStr">
        <is>
          <t>热轧钢板|钢板|Q235A|δ5|GB/T 3274-2007|热轧|GB/T 709-2006</t>
        </is>
      </c>
      <c r="E147" t="inlineStr">
        <is>
          <t>物资名称 热轧钢板;物资简称 钢板;牌号 Q235A;厚度 δ5;宽 ;长 ;技术标准号 GB/T 3274-2007;加工工艺 热轧;热处理工艺 ;特殊要求 ;规格标准号 GB/T 709-2006</t>
        </is>
      </c>
      <c r="F147" t="inlineStr">
        <is>
          <t>千克</t>
        </is>
      </c>
      <c r="G147">
        <f>LEFT(D147,FIND("|",D147,1)-1)</f>
        <v/>
      </c>
      <c r="H147">
        <f>MID(D147,FIND("|",D147,FIND("|",D147,1))+1,FIND("|",D147,FIND("|",D147,1)+1)-FIND("|",D147,FIND("|",D147,1))-1)</f>
        <v/>
      </c>
      <c r="J147">
        <f>MID(D147,FIND(",",SUBSTITUTE(D147,"|",REPT(",",LEN(D147)),2))+1,FIND(",",SUBSTITUTE(D147,"|",REPT(",",LEN(D147)),3))-FIND(",",SUBSTITUTE(D147,"|",REPT(",",LEN(D147)),2))-1)</f>
        <v/>
      </c>
      <c r="K147">
        <f>MID(D147,FIND(",",SUBSTITUTE(D147,"|",REPT(",",LEN(D147)),3))+1,FIND(",",SUBSTITUTE(D147,"|",REPT(",",LEN(D147)),4))-FIND(",",SUBSTITUTE(D147,"|",REPT(",",LEN(D147)),3))-1)</f>
        <v/>
      </c>
      <c r="L147">
        <f>MID(D147,FIND(";",SUBSTITUTE(D147,"|",REPT(";",LEN(D147)),4))+1,FIND(";",SUBSTITUTE(D147,"|",REPT(";",LEN(D147)),5))-FIND(";",SUBSTITUTE(D147,"|",REPT(";",LEN(D147)),4))-1)</f>
        <v/>
      </c>
      <c r="M147">
        <f>MID(D147,FIND(";",SUBSTITUTE(D147,"|",REPT(";",LEN(D147)),6))+1,LEN(D147))</f>
        <v/>
      </c>
      <c r="N147">
        <f>MID(D147,FIND(";",SUBSTITUTE(D147,"|",REPT(";",LEN(D147)),5))+1,FIND(";",SUBSTITUTE(D147,"|",REPT(";",LEN(D147)),6))-FIND(";",SUBSTITUTE(D147,"|",REPT(";",LEN(D147)),5))-1)</f>
        <v/>
      </c>
    </row>
    <row r="148">
      <c r="A148" t="inlineStr">
        <is>
          <t>100102</t>
        </is>
      </c>
      <c r="B148" t="inlineStr">
        <is>
          <t>热轧板材</t>
        </is>
      </c>
      <c r="C148" t="inlineStr">
        <is>
          <t>600599700</t>
        </is>
      </c>
      <c r="D148" t="inlineStr">
        <is>
          <t>热轧钢板|钢板|Q235A|δ8|GB/T 3274-2007|热轧|GB/T 709-2006</t>
        </is>
      </c>
      <c r="E148" t="inlineStr">
        <is>
          <t>物资名称 热轧钢板;物资简称 钢板;牌号 Q235A;厚度 δ8;宽 ;长 ;技术标准号 GB/T 3274-2007;加工工艺 热轧;热处理工艺 ;特殊要求 ;规格标准号 GB/T 709-2006</t>
        </is>
      </c>
      <c r="F148" t="inlineStr">
        <is>
          <t>千克</t>
        </is>
      </c>
      <c r="G148">
        <f>LEFT(D148,FIND("|",D148,1)-1)</f>
        <v/>
      </c>
      <c r="H148">
        <f>MID(D148,FIND("|",D148,FIND("|",D148,1))+1,FIND("|",D148,FIND("|",D148,1)+1)-FIND("|",D148,FIND("|",D148,1))-1)</f>
        <v/>
      </c>
      <c r="J148">
        <f>MID(D148,FIND(",",SUBSTITUTE(D148,"|",REPT(",",LEN(D148)),2))+1,FIND(",",SUBSTITUTE(D148,"|",REPT(",",LEN(D148)),3))-FIND(",",SUBSTITUTE(D148,"|",REPT(",",LEN(D148)),2))-1)</f>
        <v/>
      </c>
      <c r="K148">
        <f>MID(D148,FIND(",",SUBSTITUTE(D148,"|",REPT(",",LEN(D148)),3))+1,FIND(",",SUBSTITUTE(D148,"|",REPT(",",LEN(D148)),4))-FIND(",",SUBSTITUTE(D148,"|",REPT(",",LEN(D148)),3))-1)</f>
        <v/>
      </c>
      <c r="L148">
        <f>MID(D148,FIND(";",SUBSTITUTE(D148,"|",REPT(";",LEN(D148)),4))+1,FIND(";",SUBSTITUTE(D148,"|",REPT(";",LEN(D148)),5))-FIND(";",SUBSTITUTE(D148,"|",REPT(";",LEN(D148)),4))-1)</f>
        <v/>
      </c>
      <c r="M148">
        <f>MID(D148,FIND(";",SUBSTITUTE(D148,"|",REPT(";",LEN(D148)),6))+1,LEN(D148))</f>
        <v/>
      </c>
      <c r="N148">
        <f>MID(D148,FIND(";",SUBSTITUTE(D148,"|",REPT(";",LEN(D148)),5))+1,FIND(";",SUBSTITUTE(D148,"|",REPT(";",LEN(D148)),6))-FIND(";",SUBSTITUTE(D148,"|",REPT(";",LEN(D148)),5))-1)</f>
        <v/>
      </c>
    </row>
    <row r="149">
      <c r="A149" t="inlineStr">
        <is>
          <t>100102</t>
        </is>
      </c>
      <c r="B149" t="inlineStr">
        <is>
          <t>热轧板材</t>
        </is>
      </c>
      <c r="C149" t="inlineStr">
        <is>
          <t>600599600</t>
        </is>
      </c>
      <c r="D149" t="inlineStr">
        <is>
          <t>热轧钢板|钢板|Q235A|δ10|GB/T 3274-2007|热轧|GB/T 709-2006</t>
        </is>
      </c>
      <c r="E149" t="inlineStr">
        <is>
          <t>物资名称 热轧钢板;物资简称 钢板;牌号 Q235A;厚度 δ10;宽 ;长 ;技术标准号 GB/T 3274-2007;加工工艺 热轧;热处理工艺 ;特殊要求 ;规格标准号 GB/T 709-2006</t>
        </is>
      </c>
      <c r="F149" t="inlineStr">
        <is>
          <t>千克</t>
        </is>
      </c>
      <c r="G149">
        <f>LEFT(D149,FIND("|",D149,1)-1)</f>
        <v/>
      </c>
      <c r="H149">
        <f>MID(D149,FIND("|",D149,FIND("|",D149,1))+1,FIND("|",D149,FIND("|",D149,1)+1)-FIND("|",D149,FIND("|",D149,1))-1)</f>
        <v/>
      </c>
      <c r="J149">
        <f>MID(D149,FIND(",",SUBSTITUTE(D149,"|",REPT(",",LEN(D149)),2))+1,FIND(",",SUBSTITUTE(D149,"|",REPT(",",LEN(D149)),3))-FIND(",",SUBSTITUTE(D149,"|",REPT(",",LEN(D149)),2))-1)</f>
        <v/>
      </c>
      <c r="K149">
        <f>MID(D149,FIND(",",SUBSTITUTE(D149,"|",REPT(",",LEN(D149)),3))+1,FIND(",",SUBSTITUTE(D149,"|",REPT(",",LEN(D149)),4))-FIND(",",SUBSTITUTE(D149,"|",REPT(",",LEN(D149)),3))-1)</f>
        <v/>
      </c>
      <c r="L149">
        <f>MID(D149,FIND(";",SUBSTITUTE(D149,"|",REPT(";",LEN(D149)),4))+1,FIND(";",SUBSTITUTE(D149,"|",REPT(";",LEN(D149)),5))-FIND(";",SUBSTITUTE(D149,"|",REPT(";",LEN(D149)),4))-1)</f>
        <v/>
      </c>
      <c r="M149">
        <f>MID(D149,FIND(";",SUBSTITUTE(D149,"|",REPT(";",LEN(D149)),6))+1,LEN(D149))</f>
        <v/>
      </c>
      <c r="N149">
        <f>MID(D149,FIND(";",SUBSTITUTE(D149,"|",REPT(";",LEN(D149)),5))+1,FIND(";",SUBSTITUTE(D149,"|",REPT(";",LEN(D149)),6))-FIND(";",SUBSTITUTE(D149,"|",REPT(";",LEN(D149)),5))-1)</f>
        <v/>
      </c>
    </row>
    <row r="150">
      <c r="A150" t="inlineStr">
        <is>
          <t>100102</t>
        </is>
      </c>
      <c r="B150" t="inlineStr">
        <is>
          <t>热轧板材</t>
        </is>
      </c>
      <c r="C150" t="inlineStr">
        <is>
          <t>600599500</t>
        </is>
      </c>
      <c r="D150" t="inlineStr">
        <is>
          <t>热轧钢板|钢板|Q235A|δ20|GB/T 3274-2007|热轧|GB/T 709-2006</t>
        </is>
      </c>
      <c r="E150" t="inlineStr">
        <is>
          <t>物资名称 热轧钢板;物资简称 钢板;牌号 Q235A;厚度 δ20;宽 ;长 ;技术标准号 GB/T 3274-2007;加工工艺 热轧;热处理工艺 ;特殊要求 ;规格标准号 GB/T 709-2006</t>
        </is>
      </c>
      <c r="F150" t="inlineStr">
        <is>
          <t>千克</t>
        </is>
      </c>
      <c r="G150">
        <f>LEFT(D150,FIND("|",D150,1)-1)</f>
        <v/>
      </c>
      <c r="H150">
        <f>MID(D150,FIND("|",D150,FIND("|",D150,1))+1,FIND("|",D150,FIND("|",D150,1)+1)-FIND("|",D150,FIND("|",D150,1))-1)</f>
        <v/>
      </c>
      <c r="J150">
        <f>MID(D150,FIND(",",SUBSTITUTE(D150,"|",REPT(",",LEN(D150)),2))+1,FIND(",",SUBSTITUTE(D150,"|",REPT(",",LEN(D150)),3))-FIND(",",SUBSTITUTE(D150,"|",REPT(",",LEN(D150)),2))-1)</f>
        <v/>
      </c>
      <c r="K150">
        <f>MID(D150,FIND(",",SUBSTITUTE(D150,"|",REPT(",",LEN(D150)),3))+1,FIND(",",SUBSTITUTE(D150,"|",REPT(",",LEN(D150)),4))-FIND(",",SUBSTITUTE(D150,"|",REPT(",",LEN(D150)),3))-1)</f>
        <v/>
      </c>
      <c r="L150">
        <f>MID(D150,FIND(";",SUBSTITUTE(D150,"|",REPT(";",LEN(D150)),4))+1,FIND(";",SUBSTITUTE(D150,"|",REPT(";",LEN(D150)),5))-FIND(";",SUBSTITUTE(D150,"|",REPT(";",LEN(D150)),4))-1)</f>
        <v/>
      </c>
      <c r="M150">
        <f>MID(D150,FIND(";",SUBSTITUTE(D150,"|",REPT(";",LEN(D150)),6))+1,LEN(D150))</f>
        <v/>
      </c>
      <c r="N150">
        <f>MID(D150,FIND(";",SUBSTITUTE(D150,"|",REPT(";",LEN(D150)),5))+1,FIND(";",SUBSTITUTE(D150,"|",REPT(";",LEN(D150)),6))-FIND(";",SUBSTITUTE(D150,"|",REPT(";",LEN(D150)),5))-1)</f>
        <v/>
      </c>
    </row>
    <row r="151">
      <c r="A151" t="inlineStr">
        <is>
          <t>100102</t>
        </is>
      </c>
      <c r="B151" t="inlineStr">
        <is>
          <t>热轧板材</t>
        </is>
      </c>
      <c r="C151" t="inlineStr">
        <is>
          <t>600599400</t>
        </is>
      </c>
      <c r="D151" t="inlineStr">
        <is>
          <t>热轧钢板|钢板|Q235A|δ30|GB/T 3274-2007|热轧|GB/T 709-2006</t>
        </is>
      </c>
      <c r="E151" t="inlineStr">
        <is>
          <t>物资名称 热轧钢板;物资简称 钢板;牌号 Q235A;厚度 δ30;宽 ;长 ;技术标准号 GB/T 3274-2007;加工工艺 热轧;热处理工艺 ;特殊要求 ;规格标准号 GB/T 709-2006</t>
        </is>
      </c>
      <c r="F151" t="inlineStr">
        <is>
          <t>千克</t>
        </is>
      </c>
      <c r="G151">
        <f>LEFT(D151,FIND("|",D151,1)-1)</f>
        <v/>
      </c>
      <c r="H151">
        <f>MID(D151,FIND("|",D151,FIND("|",D151,1))+1,FIND("|",D151,FIND("|",D151,1)+1)-FIND("|",D151,FIND("|",D151,1))-1)</f>
        <v/>
      </c>
      <c r="J151">
        <f>MID(D151,FIND(",",SUBSTITUTE(D151,"|",REPT(",",LEN(D151)),2))+1,FIND(",",SUBSTITUTE(D151,"|",REPT(",",LEN(D151)),3))-FIND(",",SUBSTITUTE(D151,"|",REPT(",",LEN(D151)),2))-1)</f>
        <v/>
      </c>
      <c r="K151">
        <f>MID(D151,FIND(",",SUBSTITUTE(D151,"|",REPT(",",LEN(D151)),3))+1,FIND(",",SUBSTITUTE(D151,"|",REPT(",",LEN(D151)),4))-FIND(",",SUBSTITUTE(D151,"|",REPT(",",LEN(D151)),3))-1)</f>
        <v/>
      </c>
      <c r="L151">
        <f>MID(D151,FIND(";",SUBSTITUTE(D151,"|",REPT(";",LEN(D151)),4))+1,FIND(";",SUBSTITUTE(D151,"|",REPT(";",LEN(D151)),5))-FIND(";",SUBSTITUTE(D151,"|",REPT(";",LEN(D151)),4))-1)</f>
        <v/>
      </c>
      <c r="M151">
        <f>MID(D151,FIND(";",SUBSTITUTE(D151,"|",REPT(";",LEN(D151)),6))+1,LEN(D151))</f>
        <v/>
      </c>
      <c r="N151">
        <f>MID(D151,FIND(";",SUBSTITUTE(D151,"|",REPT(";",LEN(D151)),5))+1,FIND(";",SUBSTITUTE(D151,"|",REPT(";",LEN(D151)),6))-FIND(";",SUBSTITUTE(D151,"|",REPT(";",LEN(D151)),5))-1)</f>
        <v/>
      </c>
    </row>
    <row r="152">
      <c r="A152" t="inlineStr">
        <is>
          <t>100102</t>
        </is>
      </c>
      <c r="B152" t="inlineStr">
        <is>
          <t>热轧板材</t>
        </is>
      </c>
      <c r="C152" t="inlineStr">
        <is>
          <t>600599300</t>
        </is>
      </c>
      <c r="D152" t="inlineStr">
        <is>
          <t>热轧钢板|钢板|Q235A|δ35|GB/T 3274-2007|热轧|GB/T 709-2006</t>
        </is>
      </c>
      <c r="E152" t="inlineStr">
        <is>
          <t>物资名称 热轧钢板;物资简称 钢板;牌号 Q235A;厚度 δ35;宽 ;长 ;技术标准号 GB/T 3274-2007;加工工艺 热轧;热处理工艺 ;特殊要求 ;规格标准号 GB/T 709-2006</t>
        </is>
      </c>
      <c r="F152" t="inlineStr">
        <is>
          <t>千克</t>
        </is>
      </c>
      <c r="G152">
        <f>LEFT(D152,FIND("|",D152,1)-1)</f>
        <v/>
      </c>
      <c r="H152">
        <f>MID(D152,FIND("|",D152,FIND("|",D152,1))+1,FIND("|",D152,FIND("|",D152,1)+1)-FIND("|",D152,FIND("|",D152,1))-1)</f>
        <v/>
      </c>
      <c r="J152">
        <f>MID(D152,FIND(",",SUBSTITUTE(D152,"|",REPT(",",LEN(D152)),2))+1,FIND(",",SUBSTITUTE(D152,"|",REPT(",",LEN(D152)),3))-FIND(",",SUBSTITUTE(D152,"|",REPT(",",LEN(D152)),2))-1)</f>
        <v/>
      </c>
      <c r="K152">
        <f>MID(D152,FIND(",",SUBSTITUTE(D152,"|",REPT(",",LEN(D152)),3))+1,FIND(",",SUBSTITUTE(D152,"|",REPT(",",LEN(D152)),4))-FIND(",",SUBSTITUTE(D152,"|",REPT(",",LEN(D152)),3))-1)</f>
        <v/>
      </c>
      <c r="L152">
        <f>MID(D152,FIND(";",SUBSTITUTE(D152,"|",REPT(";",LEN(D152)),4))+1,FIND(";",SUBSTITUTE(D152,"|",REPT(";",LEN(D152)),5))-FIND(";",SUBSTITUTE(D152,"|",REPT(";",LEN(D152)),4))-1)</f>
        <v/>
      </c>
      <c r="M152">
        <f>MID(D152,FIND(";",SUBSTITUTE(D152,"|",REPT(";",LEN(D152)),6))+1,LEN(D152))</f>
        <v/>
      </c>
      <c r="N152">
        <f>MID(D152,FIND(";",SUBSTITUTE(D152,"|",REPT(";",LEN(D152)),5))+1,FIND(";",SUBSTITUTE(D152,"|",REPT(";",LEN(D152)),6))-FIND(";",SUBSTITUTE(D152,"|",REPT(";",LEN(D152)),5))-1)</f>
        <v/>
      </c>
    </row>
    <row r="153">
      <c r="A153" t="inlineStr">
        <is>
          <t>100102</t>
        </is>
      </c>
      <c r="B153" t="inlineStr">
        <is>
          <t>热轧板材</t>
        </is>
      </c>
      <c r="C153" t="inlineStr">
        <is>
          <t>600599200</t>
        </is>
      </c>
      <c r="D153" t="inlineStr">
        <is>
          <t>热轧优质碳素结构钢板|钢板|8Al|GB/T 710-2008|GB/T 709-2006</t>
        </is>
      </c>
      <c r="E153" t="inlineStr">
        <is>
          <t>物资名称 热轧优质碳素结构钢板;物资简称 钢板;牌号 8Al;厚度 δ;宽 ;长 ;技术标准号 GB/T 710-2008;加工工艺 ;热处理工艺 ;特殊要求 ;规格标准号 GB/T 709-2006</t>
        </is>
      </c>
      <c r="F153" t="inlineStr">
        <is>
          <t>千克</t>
        </is>
      </c>
      <c r="G153">
        <f>LEFT(D153,FIND("|",D153,1)-1)</f>
        <v/>
      </c>
      <c r="H153">
        <f>MID(D153,FIND("|",D153,FIND("|",D153,1))+1,FIND("|",D153,FIND("|",D153,1)+1)-FIND("|",D153,FIND("|",D153,1))-1)</f>
        <v/>
      </c>
      <c r="J153">
        <f>MID(D153,FIND(",",SUBSTITUTE(D153,"|",REPT(",",LEN(D153)),2))+1,FIND(",",SUBSTITUTE(D153,"|",REPT(",",LEN(D153)),3))-FIND(",",SUBSTITUTE(D153,"|",REPT(",",LEN(D153)),2))-1)</f>
        <v/>
      </c>
      <c r="L153">
        <f>MID(D153,FIND(",",SUBSTITUTE(D153,"|",REPT(",",LEN(D153)),3))+1,FIND(",",SUBSTITUTE(D153,"|",REPT(",",LEN(D153)),4))-FIND(",",SUBSTITUTE(D153,"|",REPT(",",LEN(D153)),3))-1)</f>
        <v/>
      </c>
      <c r="M153">
        <f>MID(D153,FIND(";",SUBSTITUTE(D153,"|",REPT(";",LEN(D153)),4))+1,LEN(D153))</f>
        <v/>
      </c>
    </row>
    <row r="154">
      <c r="A154" t="inlineStr">
        <is>
          <t>100102</t>
        </is>
      </c>
      <c r="B154" t="inlineStr">
        <is>
          <t>热轧板材</t>
        </is>
      </c>
      <c r="C154" t="inlineStr">
        <is>
          <t>600599100</t>
        </is>
      </c>
      <c r="D154" t="inlineStr">
        <is>
          <t>热轧优质碳素结构钢板|钢板|8Al|δ5|GB/T 710-2008|热轧|GB/T 709-2006</t>
        </is>
      </c>
      <c r="E154" t="inlineStr">
        <is>
          <t>物资名称 热轧优质碳素结构钢板;物资简称 钢板;牌号 8Al;厚度 δ5;宽 ;长 ;技术标准号 GB/T 710-2008;加工工艺 热轧;热处理工艺 ;特殊要求 ;规格标准号 GB/T 709-2006</t>
        </is>
      </c>
      <c r="F154" t="inlineStr">
        <is>
          <t>千克</t>
        </is>
      </c>
      <c r="G154">
        <f>LEFT(D154,FIND("|",D154,1)-1)</f>
        <v/>
      </c>
      <c r="H154">
        <f>MID(D154,FIND("|",D154,FIND("|",D154,1))+1,FIND("|",D154,FIND("|",D154,1)+1)-FIND("|",D154,FIND("|",D154,1))-1)</f>
        <v/>
      </c>
      <c r="J154">
        <f>MID(D154,FIND(",",SUBSTITUTE(D154,"|",REPT(",",LEN(D154)),2))+1,FIND(",",SUBSTITUTE(D154,"|",REPT(",",LEN(D154)),3))-FIND(",",SUBSTITUTE(D154,"|",REPT(",",LEN(D154)),2))-1)</f>
        <v/>
      </c>
      <c r="K154">
        <f>MID(D154,FIND(",",SUBSTITUTE(D154,"|",REPT(",",LEN(D154)),3))+1,FIND(",",SUBSTITUTE(D154,"|",REPT(",",LEN(D154)),4))-FIND(",",SUBSTITUTE(D154,"|",REPT(",",LEN(D154)),3))-1)</f>
        <v/>
      </c>
      <c r="L154">
        <f>MID(D154,FIND(";",SUBSTITUTE(D154,"|",REPT(";",LEN(D154)),4))+1,FIND(";",SUBSTITUTE(D154,"|",REPT(";",LEN(D154)),5))-FIND(";",SUBSTITUTE(D154,"|",REPT(";",LEN(D154)),4))-1)</f>
        <v/>
      </c>
      <c r="M154">
        <f>MID(D154,FIND(";",SUBSTITUTE(D154,"|",REPT(";",LEN(D154)),6))+1,LEN(D154))</f>
        <v/>
      </c>
      <c r="N154">
        <f>MID(D154,FIND(";",SUBSTITUTE(D154,"|",REPT(";",LEN(D154)),5))+1,FIND(";",SUBSTITUTE(D154,"|",REPT(";",LEN(D154)),6))-FIND(";",SUBSTITUTE(D154,"|",REPT(";",LEN(D154)),5))-1)</f>
        <v/>
      </c>
    </row>
    <row r="155">
      <c r="A155" t="inlineStr">
        <is>
          <t>100102</t>
        </is>
      </c>
      <c r="B155" t="inlineStr">
        <is>
          <t>热轧板材</t>
        </is>
      </c>
      <c r="C155" t="inlineStr">
        <is>
          <t>600599000</t>
        </is>
      </c>
      <c r="D155" t="inlineStr">
        <is>
          <t>热轧优质碳素结构钢板|钢板|20|GB/T 710-2008|GB/T 709-2006</t>
        </is>
      </c>
      <c r="E155" t="inlineStr">
        <is>
          <t>物资名称 热轧优质碳素结构钢板;物资简称 钢板;牌号 20;厚度 δ;宽 ;长 ;技术标准号 GB/T 710-2008;加工工艺 ;热处理工艺 ;特殊要求 ;规格标准号 GB/T 709-2006</t>
        </is>
      </c>
      <c r="F155" t="inlineStr">
        <is>
          <t>千克</t>
        </is>
      </c>
      <c r="G155">
        <f>LEFT(D155,FIND("|",D155,1)-1)</f>
        <v/>
      </c>
      <c r="H155">
        <f>MID(D155,FIND("|",D155,FIND("|",D155,1))+1,FIND("|",D155,FIND("|",D155,1)+1)-FIND("|",D155,FIND("|",D155,1))-1)</f>
        <v/>
      </c>
      <c r="J155">
        <f>MID(D155,FIND(",",SUBSTITUTE(D155,"|",REPT(",",LEN(D155)),2))+1,FIND(",",SUBSTITUTE(D155,"|",REPT(",",LEN(D155)),3))-FIND(",",SUBSTITUTE(D155,"|",REPT(",",LEN(D155)),2))-1)</f>
        <v/>
      </c>
      <c r="L155">
        <f>MID(D155,FIND(",",SUBSTITUTE(D155,"|",REPT(",",LEN(D155)),3))+1,FIND(",",SUBSTITUTE(D155,"|",REPT(",",LEN(D155)),4))-FIND(",",SUBSTITUTE(D155,"|",REPT(",",LEN(D155)),3))-1)</f>
        <v/>
      </c>
      <c r="M155">
        <f>MID(D155,FIND(";",SUBSTITUTE(D155,"|",REPT(";",LEN(D155)),4))+1,LEN(D155))</f>
        <v/>
      </c>
    </row>
    <row r="156">
      <c r="A156" t="inlineStr">
        <is>
          <t>100102</t>
        </is>
      </c>
      <c r="B156" t="inlineStr">
        <is>
          <t>热轧板材</t>
        </is>
      </c>
      <c r="C156" t="inlineStr">
        <is>
          <t>600598900</t>
        </is>
      </c>
      <c r="D156" t="inlineStr">
        <is>
          <t>热轧优质碳素结构钢板|钢板|20|δ1.5|GB/T 710-2008|热轧|GB/T 709-2006</t>
        </is>
      </c>
      <c r="E156" t="inlineStr">
        <is>
          <t>物资名称 热轧优质碳素结构钢板;物资简称 钢板;牌号 20;厚度 δ1.5;宽 ;长 ;技术标准号 GB/T 710-2008;加工工艺 热轧;热处理工艺 ;特殊要求 ;规格标准号 GB/T 709-2006</t>
        </is>
      </c>
      <c r="F156" t="inlineStr">
        <is>
          <t>千克</t>
        </is>
      </c>
      <c r="G156">
        <f>LEFT(D156,FIND("|",D156,1)-1)</f>
        <v/>
      </c>
      <c r="H156">
        <f>MID(D156,FIND("|",D156,FIND("|",D156,1))+1,FIND("|",D156,FIND("|",D156,1)+1)-FIND("|",D156,FIND("|",D156,1))-1)</f>
        <v/>
      </c>
      <c r="J156">
        <f>MID(D156,FIND(",",SUBSTITUTE(D156,"|",REPT(",",LEN(D156)),2))+1,FIND(",",SUBSTITUTE(D156,"|",REPT(",",LEN(D156)),3))-FIND(",",SUBSTITUTE(D156,"|",REPT(",",LEN(D156)),2))-1)</f>
        <v/>
      </c>
      <c r="K156">
        <f>MID(D156,FIND(",",SUBSTITUTE(D156,"|",REPT(",",LEN(D156)),3))+1,FIND(",",SUBSTITUTE(D156,"|",REPT(",",LEN(D156)),4))-FIND(",",SUBSTITUTE(D156,"|",REPT(",",LEN(D156)),3))-1)</f>
        <v/>
      </c>
      <c r="L156">
        <f>MID(D156,FIND(";",SUBSTITUTE(D156,"|",REPT(";",LEN(D156)),4))+1,FIND(";",SUBSTITUTE(D156,"|",REPT(";",LEN(D156)),5))-FIND(";",SUBSTITUTE(D156,"|",REPT(";",LEN(D156)),4))-1)</f>
        <v/>
      </c>
      <c r="M156">
        <f>MID(D156,FIND(";",SUBSTITUTE(D156,"|",REPT(";",LEN(D156)),6))+1,LEN(D156))</f>
        <v/>
      </c>
      <c r="N156">
        <f>MID(D156,FIND(";",SUBSTITUTE(D156,"|",REPT(";",LEN(D156)),5))+1,FIND(";",SUBSTITUTE(D156,"|",REPT(";",LEN(D156)),6))-FIND(";",SUBSTITUTE(D156,"|",REPT(";",LEN(D156)),5))-1)</f>
        <v/>
      </c>
    </row>
    <row r="157">
      <c r="A157" t="inlineStr">
        <is>
          <t>100102</t>
        </is>
      </c>
      <c r="B157" t="inlineStr">
        <is>
          <t>热轧板材</t>
        </is>
      </c>
      <c r="C157" t="inlineStr">
        <is>
          <t>600598800</t>
        </is>
      </c>
      <c r="D157" t="inlineStr">
        <is>
          <t>热轧优质碳素结构钢板|钢板|20|δ2|GB/T 710-2008|热轧|GB/T 709-2006</t>
        </is>
      </c>
      <c r="E157" t="inlineStr">
        <is>
          <t>物资名称 热轧优质碳素结构钢板;物资简称 钢板;牌号 20;厚度 δ2;宽 ;长 ;技术标准号 GB/T 710-2008;加工工艺 热轧;热处理工艺 ;特殊要求 ;规格标准号 GB/T 709-2006</t>
        </is>
      </c>
      <c r="F157" t="inlineStr">
        <is>
          <t>千克</t>
        </is>
      </c>
      <c r="G157">
        <f>LEFT(D157,FIND("|",D157,1)-1)</f>
        <v/>
      </c>
      <c r="H157">
        <f>MID(D157,FIND("|",D157,FIND("|",D157,1))+1,FIND("|",D157,FIND("|",D157,1)+1)-FIND("|",D157,FIND("|",D157,1))-1)</f>
        <v/>
      </c>
      <c r="J157">
        <f>MID(D157,FIND(",",SUBSTITUTE(D157,"|",REPT(",",LEN(D157)),2))+1,FIND(",",SUBSTITUTE(D157,"|",REPT(",",LEN(D157)),3))-FIND(",",SUBSTITUTE(D157,"|",REPT(",",LEN(D157)),2))-1)</f>
        <v/>
      </c>
      <c r="K157">
        <f>MID(D157,FIND(",",SUBSTITUTE(D157,"|",REPT(",",LEN(D157)),3))+1,FIND(",",SUBSTITUTE(D157,"|",REPT(",",LEN(D157)),4))-FIND(",",SUBSTITUTE(D157,"|",REPT(",",LEN(D157)),3))-1)</f>
        <v/>
      </c>
      <c r="L157">
        <f>MID(D157,FIND(";",SUBSTITUTE(D157,"|",REPT(";",LEN(D157)),4))+1,FIND(";",SUBSTITUTE(D157,"|",REPT(";",LEN(D157)),5))-FIND(";",SUBSTITUTE(D157,"|",REPT(";",LEN(D157)),4))-1)</f>
        <v/>
      </c>
      <c r="M157">
        <f>MID(D157,FIND(";",SUBSTITUTE(D157,"|",REPT(";",LEN(D157)),6))+1,LEN(D157))</f>
        <v/>
      </c>
      <c r="N157">
        <f>MID(D157,FIND(";",SUBSTITUTE(D157,"|",REPT(";",LEN(D157)),5))+1,FIND(";",SUBSTITUTE(D157,"|",REPT(";",LEN(D157)),6))-FIND(";",SUBSTITUTE(D157,"|",REPT(";",LEN(D157)),5))-1)</f>
        <v/>
      </c>
    </row>
    <row r="158">
      <c r="A158" t="inlineStr">
        <is>
          <t>100102</t>
        </is>
      </c>
      <c r="B158" t="inlineStr">
        <is>
          <t>热轧板材</t>
        </is>
      </c>
      <c r="C158" t="inlineStr">
        <is>
          <t>600598700</t>
        </is>
      </c>
      <c r="D158" t="inlineStr">
        <is>
          <t>热轧优质碳素结构钢板|钢板|20|δ2.5|GB/T 710-2008|热轧|GB/T 709-2006</t>
        </is>
      </c>
      <c r="E158" t="inlineStr">
        <is>
          <t>物资名称 热轧优质碳素结构钢板;物资简称 钢板;牌号 20;厚度 δ2.5;宽 ;长 ;技术标准号 GB/T 710-2008;加工工艺 热轧;热处理工艺 ;特殊要求 ;规格标准号 GB/T 709-2006</t>
        </is>
      </c>
      <c r="F158" t="inlineStr">
        <is>
          <t>千克</t>
        </is>
      </c>
      <c r="G158">
        <f>LEFT(D158,FIND("|",D158,1)-1)</f>
        <v/>
      </c>
      <c r="H158">
        <f>MID(D158,FIND("|",D158,FIND("|",D158,1))+1,FIND("|",D158,FIND("|",D158,1)+1)-FIND("|",D158,FIND("|",D158,1))-1)</f>
        <v/>
      </c>
      <c r="J158">
        <f>MID(D158,FIND(",",SUBSTITUTE(D158,"|",REPT(",",LEN(D158)),2))+1,FIND(",",SUBSTITUTE(D158,"|",REPT(",",LEN(D158)),3))-FIND(",",SUBSTITUTE(D158,"|",REPT(",",LEN(D158)),2))-1)</f>
        <v/>
      </c>
      <c r="K158">
        <f>MID(D158,FIND(",",SUBSTITUTE(D158,"|",REPT(",",LEN(D158)),3))+1,FIND(",",SUBSTITUTE(D158,"|",REPT(",",LEN(D158)),4))-FIND(",",SUBSTITUTE(D158,"|",REPT(",",LEN(D158)),3))-1)</f>
        <v/>
      </c>
      <c r="L158">
        <f>MID(D158,FIND(";",SUBSTITUTE(D158,"|",REPT(";",LEN(D158)),4))+1,FIND(";",SUBSTITUTE(D158,"|",REPT(";",LEN(D158)),5))-FIND(";",SUBSTITUTE(D158,"|",REPT(";",LEN(D158)),4))-1)</f>
        <v/>
      </c>
      <c r="M158">
        <f>MID(D158,FIND(";",SUBSTITUTE(D158,"|",REPT(";",LEN(D158)),6))+1,LEN(D158))</f>
        <v/>
      </c>
      <c r="N158">
        <f>MID(D158,FIND(";",SUBSTITUTE(D158,"|",REPT(";",LEN(D158)),5))+1,FIND(";",SUBSTITUTE(D158,"|",REPT(";",LEN(D158)),6))-FIND(";",SUBSTITUTE(D158,"|",REPT(";",LEN(D158)),5))-1)</f>
        <v/>
      </c>
    </row>
    <row r="159">
      <c r="A159" t="inlineStr">
        <is>
          <t>100102</t>
        </is>
      </c>
      <c r="B159" t="inlineStr">
        <is>
          <t>热轧板材</t>
        </is>
      </c>
      <c r="C159" t="inlineStr">
        <is>
          <t>600598600</t>
        </is>
      </c>
      <c r="D159" t="inlineStr">
        <is>
          <t>热轧优质碳素结构钢板|钢板|20|δ4|GB/T 711-2008|热轧|GB/T 709-2006</t>
        </is>
      </c>
      <c r="E159" t="inlineStr">
        <is>
          <t>物资名称 热轧优质碳素结构钢板;物资简称 钢板;牌号 20;厚度 δ4;宽 ;长 ;技术标准号 GB/T 711-2008;加工工艺 热轧;热处理工艺 ;特殊要求 ;规格标准号 GB/T 709-2006</t>
        </is>
      </c>
      <c r="F159" t="inlineStr">
        <is>
          <t>千克</t>
        </is>
      </c>
      <c r="G159">
        <f>LEFT(D159,FIND("|",D159,1)-1)</f>
        <v/>
      </c>
      <c r="H159">
        <f>MID(D159,FIND("|",D159,FIND("|",D159,1))+1,FIND("|",D159,FIND("|",D159,1)+1)-FIND("|",D159,FIND("|",D159,1))-1)</f>
        <v/>
      </c>
      <c r="J159">
        <f>MID(D159,FIND(",",SUBSTITUTE(D159,"|",REPT(",",LEN(D159)),2))+1,FIND(",",SUBSTITUTE(D159,"|",REPT(",",LEN(D159)),3))-FIND(",",SUBSTITUTE(D159,"|",REPT(",",LEN(D159)),2))-1)</f>
        <v/>
      </c>
      <c r="K159">
        <f>MID(D159,FIND(",",SUBSTITUTE(D159,"|",REPT(",",LEN(D159)),3))+1,FIND(",",SUBSTITUTE(D159,"|",REPT(",",LEN(D159)),4))-FIND(",",SUBSTITUTE(D159,"|",REPT(",",LEN(D159)),3))-1)</f>
        <v/>
      </c>
      <c r="L159">
        <f>MID(D159,FIND(";",SUBSTITUTE(D159,"|",REPT(";",LEN(D159)),4))+1,FIND(";",SUBSTITUTE(D159,"|",REPT(";",LEN(D159)),5))-FIND(";",SUBSTITUTE(D159,"|",REPT(";",LEN(D159)),4))-1)</f>
        <v/>
      </c>
      <c r="M159">
        <f>MID(D159,FIND(";",SUBSTITUTE(D159,"|",REPT(";",LEN(D159)),6))+1,LEN(D159))</f>
        <v/>
      </c>
      <c r="N159">
        <f>MID(D159,FIND(";",SUBSTITUTE(D159,"|",REPT(";",LEN(D159)),5))+1,FIND(";",SUBSTITUTE(D159,"|",REPT(";",LEN(D159)),6))-FIND(";",SUBSTITUTE(D159,"|",REPT(";",LEN(D159)),5))-1)</f>
        <v/>
      </c>
    </row>
    <row r="160">
      <c r="A160" t="inlineStr">
        <is>
          <t>100102</t>
        </is>
      </c>
      <c r="B160" t="inlineStr">
        <is>
          <t>热轧板材</t>
        </is>
      </c>
      <c r="C160" t="inlineStr">
        <is>
          <t>600598500</t>
        </is>
      </c>
      <c r="D160" t="inlineStr">
        <is>
          <t>热轧优质碳素结构钢板|钢板|20|δ5|GB/T 711-2008|热轧|GB/T 709-2006</t>
        </is>
      </c>
      <c r="E160" t="inlineStr">
        <is>
          <t>物资名称 热轧优质碳素结构钢板;物资简称 钢板;牌号 20;厚度 δ5;宽 ;长 ;技术标准号 GB/T 711-2008;加工工艺 热轧;热处理工艺 ;特殊要求 ;规格标准号 GB/T 709-2006</t>
        </is>
      </c>
      <c r="F160" t="inlineStr">
        <is>
          <t>千克</t>
        </is>
      </c>
      <c r="G160">
        <f>LEFT(D160,FIND("|",D160,1)-1)</f>
        <v/>
      </c>
      <c r="H160">
        <f>MID(D160,FIND("|",D160,FIND("|",D160,1))+1,FIND("|",D160,FIND("|",D160,1)+1)-FIND("|",D160,FIND("|",D160,1))-1)</f>
        <v/>
      </c>
      <c r="J160">
        <f>MID(D160,FIND(",",SUBSTITUTE(D160,"|",REPT(",",LEN(D160)),2))+1,FIND(",",SUBSTITUTE(D160,"|",REPT(",",LEN(D160)),3))-FIND(",",SUBSTITUTE(D160,"|",REPT(",",LEN(D160)),2))-1)</f>
        <v/>
      </c>
      <c r="K160">
        <f>MID(D160,FIND(",",SUBSTITUTE(D160,"|",REPT(",",LEN(D160)),3))+1,FIND(",",SUBSTITUTE(D160,"|",REPT(",",LEN(D160)),4))-FIND(",",SUBSTITUTE(D160,"|",REPT(",",LEN(D160)),3))-1)</f>
        <v/>
      </c>
      <c r="L160">
        <f>MID(D160,FIND(";",SUBSTITUTE(D160,"|",REPT(";",LEN(D160)),4))+1,FIND(";",SUBSTITUTE(D160,"|",REPT(";",LEN(D160)),5))-FIND(";",SUBSTITUTE(D160,"|",REPT(";",LEN(D160)),4))-1)</f>
        <v/>
      </c>
      <c r="M160">
        <f>MID(D160,FIND(";",SUBSTITUTE(D160,"|",REPT(";",LEN(D160)),6))+1,LEN(D160))</f>
        <v/>
      </c>
      <c r="N160">
        <f>MID(D160,FIND(";",SUBSTITUTE(D160,"|",REPT(";",LEN(D160)),5))+1,FIND(";",SUBSTITUTE(D160,"|",REPT(";",LEN(D160)),6))-FIND(";",SUBSTITUTE(D160,"|",REPT(";",LEN(D160)),5))-1)</f>
        <v/>
      </c>
    </row>
    <row r="161">
      <c r="A161" t="inlineStr">
        <is>
          <t>100102</t>
        </is>
      </c>
      <c r="B161" t="inlineStr">
        <is>
          <t>热轧板材</t>
        </is>
      </c>
      <c r="C161" t="inlineStr">
        <is>
          <t>600598400</t>
        </is>
      </c>
      <c r="D161" t="inlineStr">
        <is>
          <t>热轧优质碳素结构钢板|钢板|25|GB/T 711-2008|GB/T 709-2006</t>
        </is>
      </c>
      <c r="E161" t="inlineStr">
        <is>
          <t>物资名称 热轧优质碳素结构钢板;物资简称 钢板;牌号 25;厚度 ;宽 ;长 ;技术标准号 GB/T 711-2008;加工工艺 ;热处理工艺 ;特殊要求 ;规格标准号 GB/T 709-2006</t>
        </is>
      </c>
      <c r="F161" t="inlineStr">
        <is>
          <t>千克</t>
        </is>
      </c>
      <c r="G161">
        <f>LEFT(D161,FIND("|",D161,1)-1)</f>
        <v/>
      </c>
      <c r="H161">
        <f>MID(D161,FIND("|",D161,FIND("|",D161,1))+1,FIND("|",D161,FIND("|",D161,1)+1)-FIND("|",D161,FIND("|",D161,1))-1)</f>
        <v/>
      </c>
      <c r="J161">
        <f>MID(D161,FIND(",",SUBSTITUTE(D161,"|",REPT(",",LEN(D161)),2))+1,FIND(",",SUBSTITUTE(D161,"|",REPT(",",LEN(D161)),3))-FIND(",",SUBSTITUTE(D161,"|",REPT(",",LEN(D161)),2))-1)</f>
        <v/>
      </c>
      <c r="L161">
        <f>MID(D161,FIND(",",SUBSTITUTE(D161,"|",REPT(",",LEN(D161)),3))+1,FIND(",",SUBSTITUTE(D161,"|",REPT(",",LEN(D161)),4))-FIND(",",SUBSTITUTE(D161,"|",REPT(",",LEN(D161)),3))-1)</f>
        <v/>
      </c>
      <c r="M161">
        <f>MID(D161,FIND(";",SUBSTITUTE(D161,"|",REPT(";",LEN(D161)),4))+1,LEN(D161))</f>
        <v/>
      </c>
    </row>
    <row r="162">
      <c r="A162" t="inlineStr">
        <is>
          <t>100102</t>
        </is>
      </c>
      <c r="B162" t="inlineStr">
        <is>
          <t>热轧板材</t>
        </is>
      </c>
      <c r="C162" t="inlineStr">
        <is>
          <t>600598300</t>
        </is>
      </c>
      <c r="D162" t="inlineStr">
        <is>
          <t>热轧优质碳素结构钢板|钢板|25|δ12|GB/T 711-2008|热轧|GB/T 709-2006</t>
        </is>
      </c>
      <c r="E162" t="inlineStr">
        <is>
          <t>物资名称 热轧优质碳素结构钢板;物资简称 钢板;牌号 25;厚度 δ12;宽 ;长 ;技术标准号 GB/T 711-2008;加工工艺 热轧;热处理工艺 ;特殊要求 ;规格标准号 GB/T 709-2006</t>
        </is>
      </c>
      <c r="F162" t="inlineStr">
        <is>
          <t>千克</t>
        </is>
      </c>
      <c r="G162">
        <f>LEFT(D162,FIND("|",D162,1)-1)</f>
        <v/>
      </c>
      <c r="H162">
        <f>MID(D162,FIND("|",D162,FIND("|",D162,1))+1,FIND("|",D162,FIND("|",D162,1)+1)-FIND("|",D162,FIND("|",D162,1))-1)</f>
        <v/>
      </c>
      <c r="J162">
        <f>MID(D162,FIND(",",SUBSTITUTE(D162,"|",REPT(",",LEN(D162)),2))+1,FIND(",",SUBSTITUTE(D162,"|",REPT(",",LEN(D162)),3))-FIND(",",SUBSTITUTE(D162,"|",REPT(",",LEN(D162)),2))-1)</f>
        <v/>
      </c>
      <c r="K162">
        <f>MID(D162,FIND(",",SUBSTITUTE(D162,"|",REPT(",",LEN(D162)),3))+1,FIND(",",SUBSTITUTE(D162,"|",REPT(",",LEN(D162)),4))-FIND(",",SUBSTITUTE(D162,"|",REPT(",",LEN(D162)),3))-1)</f>
        <v/>
      </c>
      <c r="L162">
        <f>MID(D162,FIND(";",SUBSTITUTE(D162,"|",REPT(";",LEN(D162)),4))+1,FIND(";",SUBSTITUTE(D162,"|",REPT(";",LEN(D162)),5))-FIND(";",SUBSTITUTE(D162,"|",REPT(";",LEN(D162)),4))-1)</f>
        <v/>
      </c>
      <c r="M162">
        <f>MID(D162,FIND(";",SUBSTITUTE(D162,"|",REPT(";",LEN(D162)),6))+1,LEN(D162))</f>
        <v/>
      </c>
      <c r="N162">
        <f>MID(D162,FIND(";",SUBSTITUTE(D162,"|",REPT(";",LEN(D162)),5))+1,FIND(";",SUBSTITUTE(D162,"|",REPT(";",LEN(D162)),6))-FIND(";",SUBSTITUTE(D162,"|",REPT(";",LEN(D162)),5))-1)</f>
        <v/>
      </c>
    </row>
    <row r="163">
      <c r="A163" t="inlineStr">
        <is>
          <t>100102</t>
        </is>
      </c>
      <c r="B163" t="inlineStr">
        <is>
          <t>热轧板材</t>
        </is>
      </c>
      <c r="C163" t="inlineStr">
        <is>
          <t>600598200</t>
        </is>
      </c>
      <c r="D163" t="inlineStr">
        <is>
          <t>热轧优质碳素结构钢板|钢板|35|GB/T 710-2008|GB/T 709-2006</t>
        </is>
      </c>
      <c r="E163" t="inlineStr">
        <is>
          <t>物资名称 热轧优质碳素结构钢板;物资简称 钢板;牌号 35;厚度 δ;宽 ;长 ;技术标准号 GB/T 710-2008;加工工艺 ;热处理工艺 ;特殊要求 ;规格标准号 GB/T 709-2006</t>
        </is>
      </c>
      <c r="F163" t="inlineStr">
        <is>
          <t>千克</t>
        </is>
      </c>
      <c r="G163">
        <f>LEFT(D163,FIND("|",D163,1)-1)</f>
        <v/>
      </c>
      <c r="H163">
        <f>MID(D163,FIND("|",D163,FIND("|",D163,1))+1,FIND("|",D163,FIND("|",D163,1)+1)-FIND("|",D163,FIND("|",D163,1))-1)</f>
        <v/>
      </c>
      <c r="J163">
        <f>MID(D163,FIND(",",SUBSTITUTE(D163,"|",REPT(",",LEN(D163)),2))+1,FIND(",",SUBSTITUTE(D163,"|",REPT(",",LEN(D163)),3))-FIND(",",SUBSTITUTE(D163,"|",REPT(",",LEN(D163)),2))-1)</f>
        <v/>
      </c>
      <c r="L163">
        <f>MID(D163,FIND(",",SUBSTITUTE(D163,"|",REPT(",",LEN(D163)),3))+1,FIND(",",SUBSTITUTE(D163,"|",REPT(",",LEN(D163)),4))-FIND(",",SUBSTITUTE(D163,"|",REPT(",",LEN(D163)),3))-1)</f>
        <v/>
      </c>
      <c r="M163">
        <f>MID(D163,FIND(";",SUBSTITUTE(D163,"|",REPT(";",LEN(D163)),4))+1,LEN(D163))</f>
        <v/>
      </c>
    </row>
    <row r="164">
      <c r="A164" t="inlineStr">
        <is>
          <t>100102</t>
        </is>
      </c>
      <c r="B164" t="inlineStr">
        <is>
          <t>热轧板材</t>
        </is>
      </c>
      <c r="C164" t="inlineStr">
        <is>
          <t>600598100</t>
        </is>
      </c>
      <c r="D164" t="inlineStr">
        <is>
          <t>热轧优质碳素结构钢板|钢板|35|δ1.5|GB/T 710-2008|热轧|GB/T 709-2006</t>
        </is>
      </c>
      <c r="E164" t="inlineStr">
        <is>
          <t>物资名称 热轧优质碳素结构钢板;物资简称 钢板;牌号 35;厚度 δ1.5;宽 ;长 ;技术标准号 GB/T 710-2008;加工工艺 热轧;热处理工艺 ;特殊要求 ;规格标准号 GB/T 709-2006</t>
        </is>
      </c>
      <c r="F164" t="inlineStr">
        <is>
          <t>千克</t>
        </is>
      </c>
      <c r="G164">
        <f>LEFT(D164,FIND("|",D164,1)-1)</f>
        <v/>
      </c>
      <c r="H164">
        <f>MID(D164,FIND("|",D164,FIND("|",D164,1))+1,FIND("|",D164,FIND("|",D164,1)+1)-FIND("|",D164,FIND("|",D164,1))-1)</f>
        <v/>
      </c>
      <c r="J164">
        <f>MID(D164,FIND(",",SUBSTITUTE(D164,"|",REPT(",",LEN(D164)),2))+1,FIND(",",SUBSTITUTE(D164,"|",REPT(",",LEN(D164)),3))-FIND(",",SUBSTITUTE(D164,"|",REPT(",",LEN(D164)),2))-1)</f>
        <v/>
      </c>
      <c r="K164">
        <f>MID(D164,FIND(",",SUBSTITUTE(D164,"|",REPT(",",LEN(D164)),3))+1,FIND(",",SUBSTITUTE(D164,"|",REPT(",",LEN(D164)),4))-FIND(",",SUBSTITUTE(D164,"|",REPT(",",LEN(D164)),3))-1)</f>
        <v/>
      </c>
      <c r="L164">
        <f>MID(D164,FIND(";",SUBSTITUTE(D164,"|",REPT(";",LEN(D164)),4))+1,FIND(";",SUBSTITUTE(D164,"|",REPT(";",LEN(D164)),5))-FIND(";",SUBSTITUTE(D164,"|",REPT(";",LEN(D164)),4))-1)</f>
        <v/>
      </c>
      <c r="M164">
        <f>MID(D164,FIND(";",SUBSTITUTE(D164,"|",REPT(";",LEN(D164)),6))+1,LEN(D164))</f>
        <v/>
      </c>
      <c r="N164">
        <f>MID(D164,FIND(";",SUBSTITUTE(D164,"|",REPT(";",LEN(D164)),5))+1,FIND(";",SUBSTITUTE(D164,"|",REPT(";",LEN(D164)),6))-FIND(";",SUBSTITUTE(D164,"|",REPT(";",LEN(D164)),5))-1)</f>
        <v/>
      </c>
    </row>
    <row r="165">
      <c r="A165" t="inlineStr">
        <is>
          <t>100102</t>
        </is>
      </c>
      <c r="B165" t="inlineStr">
        <is>
          <t>热轧板材</t>
        </is>
      </c>
      <c r="C165" t="inlineStr">
        <is>
          <t>600598000</t>
        </is>
      </c>
      <c r="D165" t="inlineStr">
        <is>
          <t>热轧优质碳素结构钢板|钢板|45|GB/T 711-2008|GB/T 709-2006</t>
        </is>
      </c>
      <c r="E165" t="inlineStr">
        <is>
          <t>物资名称 热轧优质碳素结构钢板;物资简称 钢板;牌号 45;厚度 ;宽 ;长 ;技术标准号 GB/T 711-2008;加工工艺 ;热处理工艺 ;特殊要求 ;规格标准号 GB/T 709-2006</t>
        </is>
      </c>
      <c r="F165" t="inlineStr">
        <is>
          <t>千克</t>
        </is>
      </c>
      <c r="G165">
        <f>LEFT(D165,FIND("|",D165,1)-1)</f>
        <v/>
      </c>
      <c r="H165">
        <f>MID(D165,FIND("|",D165,FIND("|",D165,1))+1,FIND("|",D165,FIND("|",D165,1)+1)-FIND("|",D165,FIND("|",D165,1))-1)</f>
        <v/>
      </c>
      <c r="J165">
        <f>MID(D165,FIND(",",SUBSTITUTE(D165,"|",REPT(",",LEN(D165)),2))+1,FIND(",",SUBSTITUTE(D165,"|",REPT(",",LEN(D165)),3))-FIND(",",SUBSTITUTE(D165,"|",REPT(",",LEN(D165)),2))-1)</f>
        <v/>
      </c>
      <c r="L165">
        <f>MID(D165,FIND(",",SUBSTITUTE(D165,"|",REPT(",",LEN(D165)),3))+1,FIND(",",SUBSTITUTE(D165,"|",REPT(",",LEN(D165)),4))-FIND(",",SUBSTITUTE(D165,"|",REPT(",",LEN(D165)),3))-1)</f>
        <v/>
      </c>
      <c r="M165">
        <f>MID(D165,FIND(";",SUBSTITUTE(D165,"|",REPT(";",LEN(D165)),4))+1,LEN(D165))</f>
        <v/>
      </c>
    </row>
    <row r="166">
      <c r="A166" t="inlineStr">
        <is>
          <t>100102</t>
        </is>
      </c>
      <c r="B166" t="inlineStr">
        <is>
          <t>热轧板材</t>
        </is>
      </c>
      <c r="C166" t="inlineStr">
        <is>
          <t>600597900</t>
        </is>
      </c>
      <c r="D166" t="inlineStr">
        <is>
          <t>热轧优质碳素结构钢板|钢板|45|δ6|GB/T 711-2008|热轧|GB/T 709-2006</t>
        </is>
      </c>
      <c r="E166" t="inlineStr">
        <is>
          <t>物资名称 热轧优质碳素结构钢板;物资简称 钢板;牌号 45;厚度 δ6;宽 ;长 ;技术标准号 GB/T 711-2008;加工工艺 热轧;热处理工艺 ;特殊要求 ;规格标准号 GB/T 709-2006</t>
        </is>
      </c>
      <c r="F166" t="inlineStr">
        <is>
          <t>千克</t>
        </is>
      </c>
      <c r="G166">
        <f>LEFT(D166,FIND("|",D166,1)-1)</f>
        <v/>
      </c>
      <c r="H166">
        <f>MID(D166,FIND("|",D166,FIND("|",D166,1))+1,FIND("|",D166,FIND("|",D166,1)+1)-FIND("|",D166,FIND("|",D166,1))-1)</f>
        <v/>
      </c>
      <c r="J166">
        <f>MID(D166,FIND(",",SUBSTITUTE(D166,"|",REPT(",",LEN(D166)),2))+1,FIND(",",SUBSTITUTE(D166,"|",REPT(",",LEN(D166)),3))-FIND(",",SUBSTITUTE(D166,"|",REPT(",",LEN(D166)),2))-1)</f>
        <v/>
      </c>
      <c r="K166">
        <f>MID(D166,FIND(",",SUBSTITUTE(D166,"|",REPT(",",LEN(D166)),3))+1,FIND(",",SUBSTITUTE(D166,"|",REPT(",",LEN(D166)),4))-FIND(",",SUBSTITUTE(D166,"|",REPT(",",LEN(D166)),3))-1)</f>
        <v/>
      </c>
      <c r="L166">
        <f>MID(D166,FIND(";",SUBSTITUTE(D166,"|",REPT(";",LEN(D166)),4))+1,FIND(";",SUBSTITUTE(D166,"|",REPT(";",LEN(D166)),5))-FIND(";",SUBSTITUTE(D166,"|",REPT(";",LEN(D166)),4))-1)</f>
        <v/>
      </c>
      <c r="M166">
        <f>MID(D166,FIND(";",SUBSTITUTE(D166,"|",REPT(";",LEN(D166)),6))+1,LEN(D166))</f>
        <v/>
      </c>
      <c r="N166">
        <f>MID(D166,FIND(";",SUBSTITUTE(D166,"|",REPT(";",LEN(D166)),5))+1,FIND(";",SUBSTITUTE(D166,"|",REPT(";",LEN(D166)),6))-FIND(";",SUBSTITUTE(D166,"|",REPT(";",LEN(D166)),5))-1)</f>
        <v/>
      </c>
    </row>
    <row r="167">
      <c r="A167" t="inlineStr">
        <is>
          <t>100102</t>
        </is>
      </c>
      <c r="B167" t="inlineStr">
        <is>
          <t>热轧板材</t>
        </is>
      </c>
      <c r="C167" t="inlineStr">
        <is>
          <t>600597800</t>
        </is>
      </c>
      <c r="D167" t="inlineStr">
        <is>
          <t>热轧优质碳素结构钢板|钢板|45|δ8|GB/T 711-2008|热轧|GB/T 709-2006</t>
        </is>
      </c>
      <c r="E167" t="inlineStr">
        <is>
          <t>物资名称 热轧优质碳素结构钢板;物资简称 钢板;牌号 45;厚度 δ8;宽 ;长 ;技术标准号 GB/T 711-2008;加工工艺 热轧;热处理工艺 ;特殊要求 ;规格标准号 GB/T 709-2006</t>
        </is>
      </c>
      <c r="F167" t="inlineStr">
        <is>
          <t>千克</t>
        </is>
      </c>
      <c r="G167">
        <f>LEFT(D167,FIND("|",D167,1)-1)</f>
        <v/>
      </c>
      <c r="H167">
        <f>MID(D167,FIND("|",D167,FIND("|",D167,1))+1,FIND("|",D167,FIND("|",D167,1)+1)-FIND("|",D167,FIND("|",D167,1))-1)</f>
        <v/>
      </c>
      <c r="J167">
        <f>MID(D167,FIND(",",SUBSTITUTE(D167,"|",REPT(",",LEN(D167)),2))+1,FIND(",",SUBSTITUTE(D167,"|",REPT(",",LEN(D167)),3))-FIND(",",SUBSTITUTE(D167,"|",REPT(",",LEN(D167)),2))-1)</f>
        <v/>
      </c>
      <c r="K167">
        <f>MID(D167,FIND(",",SUBSTITUTE(D167,"|",REPT(",",LEN(D167)),3))+1,FIND(",",SUBSTITUTE(D167,"|",REPT(",",LEN(D167)),4))-FIND(",",SUBSTITUTE(D167,"|",REPT(",",LEN(D167)),3))-1)</f>
        <v/>
      </c>
      <c r="L167">
        <f>MID(D167,FIND(";",SUBSTITUTE(D167,"|",REPT(";",LEN(D167)),4))+1,FIND(";",SUBSTITUTE(D167,"|",REPT(";",LEN(D167)),5))-FIND(";",SUBSTITUTE(D167,"|",REPT(";",LEN(D167)),4))-1)</f>
        <v/>
      </c>
      <c r="M167">
        <f>MID(D167,FIND(";",SUBSTITUTE(D167,"|",REPT(";",LEN(D167)),6))+1,LEN(D167))</f>
        <v/>
      </c>
      <c r="N167">
        <f>MID(D167,FIND(";",SUBSTITUTE(D167,"|",REPT(";",LEN(D167)),5))+1,FIND(";",SUBSTITUTE(D167,"|",REPT(";",LEN(D167)),6))-FIND(";",SUBSTITUTE(D167,"|",REPT(";",LEN(D167)),5))-1)</f>
        <v/>
      </c>
    </row>
    <row r="168">
      <c r="A168" t="inlineStr">
        <is>
          <t>100102</t>
        </is>
      </c>
      <c r="B168" t="inlineStr">
        <is>
          <t>热轧板材</t>
        </is>
      </c>
      <c r="C168" t="inlineStr">
        <is>
          <t>600597700</t>
        </is>
      </c>
      <c r="D168" t="inlineStr">
        <is>
          <t>热轧优质碳素结构钢板|钢板|45|δ10|GB/T 711-2008|热轧|GB/T 709-2006</t>
        </is>
      </c>
      <c r="E168" t="inlineStr">
        <is>
          <t>物资名称 热轧优质碳素结构钢板;物资简称 钢板;牌号 45;厚度 δ10;宽 ;长 ;技术标准号 GB/T 711-2008;加工工艺 热轧;热处理工艺 ;特殊要求 ;规格标准号 GB/T 709-2006</t>
        </is>
      </c>
      <c r="F168" t="inlineStr">
        <is>
          <t>千克</t>
        </is>
      </c>
      <c r="G168">
        <f>LEFT(D168,FIND("|",D168,1)-1)</f>
        <v/>
      </c>
      <c r="H168">
        <f>MID(D168,FIND("|",D168,FIND("|",D168,1))+1,FIND("|",D168,FIND("|",D168,1)+1)-FIND("|",D168,FIND("|",D168,1))-1)</f>
        <v/>
      </c>
      <c r="J168">
        <f>MID(D168,FIND(",",SUBSTITUTE(D168,"|",REPT(",",LEN(D168)),2))+1,FIND(",",SUBSTITUTE(D168,"|",REPT(",",LEN(D168)),3))-FIND(",",SUBSTITUTE(D168,"|",REPT(",",LEN(D168)),2))-1)</f>
        <v/>
      </c>
      <c r="K168">
        <f>MID(D168,FIND(",",SUBSTITUTE(D168,"|",REPT(",",LEN(D168)),3))+1,FIND(",",SUBSTITUTE(D168,"|",REPT(",",LEN(D168)),4))-FIND(",",SUBSTITUTE(D168,"|",REPT(",",LEN(D168)),3))-1)</f>
        <v/>
      </c>
      <c r="L168">
        <f>MID(D168,FIND(";",SUBSTITUTE(D168,"|",REPT(";",LEN(D168)),4))+1,FIND(";",SUBSTITUTE(D168,"|",REPT(";",LEN(D168)),5))-FIND(";",SUBSTITUTE(D168,"|",REPT(";",LEN(D168)),4))-1)</f>
        <v/>
      </c>
      <c r="M168">
        <f>MID(D168,FIND(";",SUBSTITUTE(D168,"|",REPT(";",LEN(D168)),6))+1,LEN(D168))</f>
        <v/>
      </c>
      <c r="N168">
        <f>MID(D168,FIND(";",SUBSTITUTE(D168,"|",REPT(";",LEN(D168)),5))+1,FIND(";",SUBSTITUTE(D168,"|",REPT(";",LEN(D168)),6))-FIND(";",SUBSTITUTE(D168,"|",REPT(";",LEN(D168)),5))-1)</f>
        <v/>
      </c>
    </row>
    <row r="169">
      <c r="A169" t="inlineStr">
        <is>
          <t>100102</t>
        </is>
      </c>
      <c r="B169" t="inlineStr">
        <is>
          <t>热轧板材</t>
        </is>
      </c>
      <c r="C169" t="inlineStr">
        <is>
          <t>600597600</t>
        </is>
      </c>
      <c r="D169" t="inlineStr">
        <is>
          <t>热轧优质碳素结构钢板|钢板|45|δ12|GB/T 711-2008|热轧|GB/T 709-2006</t>
        </is>
      </c>
      <c r="E169" t="inlineStr">
        <is>
          <t>物资名称 热轧优质碳素结构钢板;物资简称 钢板;牌号 45;厚度 δ12;宽 ;长 ;技术标准号 GB/T 711-2008;加工工艺 热轧;热处理工艺 ;特殊要求 ;规格标准号 GB/T 709-2006</t>
        </is>
      </c>
      <c r="F169" t="inlineStr">
        <is>
          <t>千克</t>
        </is>
      </c>
      <c r="G169">
        <f>LEFT(D169,FIND("|",D169,1)-1)</f>
        <v/>
      </c>
      <c r="H169">
        <f>MID(D169,FIND("|",D169,FIND("|",D169,1))+1,FIND("|",D169,FIND("|",D169,1)+1)-FIND("|",D169,FIND("|",D169,1))-1)</f>
        <v/>
      </c>
      <c r="J169">
        <f>MID(D169,FIND(",",SUBSTITUTE(D169,"|",REPT(",",LEN(D169)),2))+1,FIND(",",SUBSTITUTE(D169,"|",REPT(",",LEN(D169)),3))-FIND(",",SUBSTITUTE(D169,"|",REPT(",",LEN(D169)),2))-1)</f>
        <v/>
      </c>
      <c r="K169">
        <f>MID(D169,FIND(",",SUBSTITUTE(D169,"|",REPT(",",LEN(D169)),3))+1,FIND(",",SUBSTITUTE(D169,"|",REPT(",",LEN(D169)),4))-FIND(",",SUBSTITUTE(D169,"|",REPT(",",LEN(D169)),3))-1)</f>
        <v/>
      </c>
      <c r="L169">
        <f>MID(D169,FIND(";",SUBSTITUTE(D169,"|",REPT(";",LEN(D169)),4))+1,FIND(";",SUBSTITUTE(D169,"|",REPT(";",LEN(D169)),5))-FIND(";",SUBSTITUTE(D169,"|",REPT(";",LEN(D169)),4))-1)</f>
        <v/>
      </c>
      <c r="M169">
        <f>MID(D169,FIND(";",SUBSTITUTE(D169,"|",REPT(";",LEN(D169)),6))+1,LEN(D169))</f>
        <v/>
      </c>
      <c r="N169">
        <f>MID(D169,FIND(";",SUBSTITUTE(D169,"|",REPT(";",LEN(D169)),5))+1,FIND(";",SUBSTITUTE(D169,"|",REPT(";",LEN(D169)),6))-FIND(";",SUBSTITUTE(D169,"|",REPT(";",LEN(D169)),5))-1)</f>
        <v/>
      </c>
    </row>
    <row r="170">
      <c r="A170" t="inlineStr">
        <is>
          <t>100102</t>
        </is>
      </c>
      <c r="B170" t="inlineStr">
        <is>
          <t>热轧板材</t>
        </is>
      </c>
      <c r="C170" t="inlineStr">
        <is>
          <t>600597500</t>
        </is>
      </c>
      <c r="D170" t="inlineStr">
        <is>
          <t>热轧优质碳素结构钢板|钢板|45|δ15|GB/T 711-2008|热轧|GB/T 709-2006</t>
        </is>
      </c>
      <c r="E170" t="inlineStr">
        <is>
          <t>物资名称 热轧优质碳素结构钢板;物资简称 钢板;牌号 45;厚度 δ15;宽 ;长 ;技术标准号 GB/T 711-2008;加工工艺 热轧;热处理工艺 ;特殊要求 ;规格标准号 GB/T 709-2006</t>
        </is>
      </c>
      <c r="F170" t="inlineStr">
        <is>
          <t>千克</t>
        </is>
      </c>
      <c r="G170">
        <f>LEFT(D170,FIND("|",D170,1)-1)</f>
        <v/>
      </c>
      <c r="H170">
        <f>MID(D170,FIND("|",D170,FIND("|",D170,1))+1,FIND("|",D170,FIND("|",D170,1)+1)-FIND("|",D170,FIND("|",D170,1))-1)</f>
        <v/>
      </c>
      <c r="J170">
        <f>MID(D170,FIND(",",SUBSTITUTE(D170,"|",REPT(",",LEN(D170)),2))+1,FIND(",",SUBSTITUTE(D170,"|",REPT(",",LEN(D170)),3))-FIND(",",SUBSTITUTE(D170,"|",REPT(",",LEN(D170)),2))-1)</f>
        <v/>
      </c>
      <c r="K170">
        <f>MID(D170,FIND(",",SUBSTITUTE(D170,"|",REPT(",",LEN(D170)),3))+1,FIND(",",SUBSTITUTE(D170,"|",REPT(",",LEN(D170)),4))-FIND(",",SUBSTITUTE(D170,"|",REPT(",",LEN(D170)),3))-1)</f>
        <v/>
      </c>
      <c r="L170">
        <f>MID(D170,FIND(";",SUBSTITUTE(D170,"|",REPT(";",LEN(D170)),4))+1,FIND(";",SUBSTITUTE(D170,"|",REPT(";",LEN(D170)),5))-FIND(";",SUBSTITUTE(D170,"|",REPT(";",LEN(D170)),4))-1)</f>
        <v/>
      </c>
      <c r="M170">
        <f>MID(D170,FIND(";",SUBSTITUTE(D170,"|",REPT(";",LEN(D170)),6))+1,LEN(D170))</f>
        <v/>
      </c>
      <c r="N170">
        <f>MID(D170,FIND(";",SUBSTITUTE(D170,"|",REPT(";",LEN(D170)),5))+1,FIND(";",SUBSTITUTE(D170,"|",REPT(";",LEN(D170)),6))-FIND(";",SUBSTITUTE(D170,"|",REPT(";",LEN(D170)),5))-1)</f>
        <v/>
      </c>
    </row>
    <row r="171">
      <c r="A171" t="inlineStr">
        <is>
          <t>100102</t>
        </is>
      </c>
      <c r="B171" t="inlineStr">
        <is>
          <t>热轧板材</t>
        </is>
      </c>
      <c r="C171" t="inlineStr">
        <is>
          <t>600597400</t>
        </is>
      </c>
      <c r="D171" t="inlineStr">
        <is>
          <t>热轧优质碳素结构钢板|钢板|45|δ20|GB/T 711-2008|热轧|GB/T 709-2006</t>
        </is>
      </c>
      <c r="E171" t="inlineStr">
        <is>
          <t>物资名称 热轧优质碳素结构钢板;物资简称 钢板;牌号 45;厚度 δ20;宽 ;长 ;技术标准号 GB/T 711-2008;加工工艺 热轧;热处理工艺 ;特殊要求 ;规格标准号 GB/T 709-2006</t>
        </is>
      </c>
      <c r="F171" t="inlineStr">
        <is>
          <t>千克</t>
        </is>
      </c>
      <c r="G171">
        <f>LEFT(D171,FIND("|",D171,1)-1)</f>
        <v/>
      </c>
      <c r="H171">
        <f>MID(D171,FIND("|",D171,FIND("|",D171,1))+1,FIND("|",D171,FIND("|",D171,1)+1)-FIND("|",D171,FIND("|",D171,1))-1)</f>
        <v/>
      </c>
      <c r="J171">
        <f>MID(D171,FIND(",",SUBSTITUTE(D171,"|",REPT(",",LEN(D171)),2))+1,FIND(",",SUBSTITUTE(D171,"|",REPT(",",LEN(D171)),3))-FIND(",",SUBSTITUTE(D171,"|",REPT(",",LEN(D171)),2))-1)</f>
        <v/>
      </c>
      <c r="K171">
        <f>MID(D171,FIND(",",SUBSTITUTE(D171,"|",REPT(",",LEN(D171)),3))+1,FIND(",",SUBSTITUTE(D171,"|",REPT(",",LEN(D171)),4))-FIND(",",SUBSTITUTE(D171,"|",REPT(",",LEN(D171)),3))-1)</f>
        <v/>
      </c>
      <c r="L171">
        <f>MID(D171,FIND(";",SUBSTITUTE(D171,"|",REPT(";",LEN(D171)),4))+1,FIND(";",SUBSTITUTE(D171,"|",REPT(";",LEN(D171)),5))-FIND(";",SUBSTITUTE(D171,"|",REPT(";",LEN(D171)),4))-1)</f>
        <v/>
      </c>
      <c r="M171">
        <f>MID(D171,FIND(";",SUBSTITUTE(D171,"|",REPT(";",LEN(D171)),6))+1,LEN(D171))</f>
        <v/>
      </c>
      <c r="N171">
        <f>MID(D171,FIND(";",SUBSTITUTE(D171,"|",REPT(";",LEN(D171)),5))+1,FIND(";",SUBSTITUTE(D171,"|",REPT(";",LEN(D171)),6))-FIND(";",SUBSTITUTE(D171,"|",REPT(";",LEN(D171)),5))-1)</f>
        <v/>
      </c>
    </row>
    <row r="172">
      <c r="A172" t="inlineStr">
        <is>
          <t>100102</t>
        </is>
      </c>
      <c r="B172" t="inlineStr">
        <is>
          <t>热轧板材</t>
        </is>
      </c>
      <c r="C172" t="inlineStr">
        <is>
          <t>600597300</t>
        </is>
      </c>
      <c r="D172" t="inlineStr">
        <is>
          <t>热轧优质碳素结构钢板|钢板|45|δ35|GB/T 711-2008|热轧|GB/T 709-2006</t>
        </is>
      </c>
      <c r="E172" t="inlineStr">
        <is>
          <t>物资名称 热轧优质碳素结构钢板;物资简称 钢板;牌号 45;厚度 δ35;宽 ;长 ;技术标准号 GB/T 711-2008;加工工艺 热轧;热处理工艺 ;特殊要求 ;规格标准号 GB/T 709-2006</t>
        </is>
      </c>
      <c r="F172" t="inlineStr">
        <is>
          <t>千克</t>
        </is>
      </c>
      <c r="G172">
        <f>LEFT(D172,FIND("|",D172,1)-1)</f>
        <v/>
      </c>
      <c r="H172">
        <f>MID(D172,FIND("|",D172,FIND("|",D172,1))+1,FIND("|",D172,FIND("|",D172,1)+1)-FIND("|",D172,FIND("|",D172,1))-1)</f>
        <v/>
      </c>
      <c r="J172">
        <f>MID(D172,FIND(",",SUBSTITUTE(D172,"|",REPT(",",LEN(D172)),2))+1,FIND(",",SUBSTITUTE(D172,"|",REPT(",",LEN(D172)),3))-FIND(",",SUBSTITUTE(D172,"|",REPT(",",LEN(D172)),2))-1)</f>
        <v/>
      </c>
      <c r="K172">
        <f>MID(D172,FIND(",",SUBSTITUTE(D172,"|",REPT(",",LEN(D172)),3))+1,FIND(",",SUBSTITUTE(D172,"|",REPT(",",LEN(D172)),4))-FIND(",",SUBSTITUTE(D172,"|",REPT(",",LEN(D172)),3))-1)</f>
        <v/>
      </c>
      <c r="L172">
        <f>MID(D172,FIND(";",SUBSTITUTE(D172,"|",REPT(";",LEN(D172)),4))+1,FIND(";",SUBSTITUTE(D172,"|",REPT(";",LEN(D172)),5))-FIND(";",SUBSTITUTE(D172,"|",REPT(";",LEN(D172)),4))-1)</f>
        <v/>
      </c>
      <c r="M172">
        <f>MID(D172,FIND(";",SUBSTITUTE(D172,"|",REPT(";",LEN(D172)),6))+1,LEN(D172))</f>
        <v/>
      </c>
      <c r="N172">
        <f>MID(D172,FIND(";",SUBSTITUTE(D172,"|",REPT(";",LEN(D172)),5))+1,FIND(";",SUBSTITUTE(D172,"|",REPT(";",LEN(D172)),6))-FIND(";",SUBSTITUTE(D172,"|",REPT(";",LEN(D172)),5))-1)</f>
        <v/>
      </c>
    </row>
    <row r="173">
      <c r="A173" t="inlineStr">
        <is>
          <t>100102</t>
        </is>
      </c>
      <c r="B173" t="inlineStr">
        <is>
          <t>热轧板材</t>
        </is>
      </c>
      <c r="C173" t="inlineStr">
        <is>
          <t>600597200</t>
        </is>
      </c>
      <c r="D173" t="inlineStr">
        <is>
          <t>热轧优质碳素结构钢板|钢板|45|δ40|GB/T 711-2008|热轧|GB/T 709-2006</t>
        </is>
      </c>
      <c r="E173" t="inlineStr">
        <is>
          <t>物资名称 热轧优质碳素结构钢板;物资简称 钢板;牌号 45;厚度 δ40;宽 ;长 ;技术标准号 GB/T 711-2008;加工工艺 热轧;热处理工艺 ;特殊要求 ;规格标准号 GB/T 709-2006</t>
        </is>
      </c>
      <c r="F173" t="inlineStr">
        <is>
          <t>千克</t>
        </is>
      </c>
      <c r="G173">
        <f>LEFT(D173,FIND("|",D173,1)-1)</f>
        <v/>
      </c>
      <c r="H173">
        <f>MID(D173,FIND("|",D173,FIND("|",D173,1))+1,FIND("|",D173,FIND("|",D173,1)+1)-FIND("|",D173,FIND("|",D173,1))-1)</f>
        <v/>
      </c>
      <c r="J173">
        <f>MID(D173,FIND(",",SUBSTITUTE(D173,"|",REPT(",",LEN(D173)),2))+1,FIND(",",SUBSTITUTE(D173,"|",REPT(",",LEN(D173)),3))-FIND(",",SUBSTITUTE(D173,"|",REPT(",",LEN(D173)),2))-1)</f>
        <v/>
      </c>
      <c r="K173">
        <f>MID(D173,FIND(",",SUBSTITUTE(D173,"|",REPT(",",LEN(D173)),3))+1,FIND(",",SUBSTITUTE(D173,"|",REPT(",",LEN(D173)),4))-FIND(",",SUBSTITUTE(D173,"|",REPT(",",LEN(D173)),3))-1)</f>
        <v/>
      </c>
      <c r="L173">
        <f>MID(D173,FIND(";",SUBSTITUTE(D173,"|",REPT(";",LEN(D173)),4))+1,FIND(";",SUBSTITUTE(D173,"|",REPT(";",LEN(D173)),5))-FIND(";",SUBSTITUTE(D173,"|",REPT(";",LEN(D173)),4))-1)</f>
        <v/>
      </c>
      <c r="M173">
        <f>MID(D173,FIND(";",SUBSTITUTE(D173,"|",REPT(";",LEN(D173)),6))+1,LEN(D173))</f>
        <v/>
      </c>
      <c r="N173">
        <f>MID(D173,FIND(";",SUBSTITUTE(D173,"|",REPT(";",LEN(D173)),5))+1,FIND(";",SUBSTITUTE(D173,"|",REPT(";",LEN(D173)),6))-FIND(";",SUBSTITUTE(D173,"|",REPT(";",LEN(D173)),5))-1)</f>
        <v/>
      </c>
    </row>
    <row r="174">
      <c r="A174" t="inlineStr">
        <is>
          <t>100102</t>
        </is>
      </c>
      <c r="B174" t="inlineStr">
        <is>
          <t>热轧板材</t>
        </is>
      </c>
      <c r="C174" t="inlineStr">
        <is>
          <t>600597100</t>
        </is>
      </c>
      <c r="D174" t="inlineStr">
        <is>
          <t>热轧优质碳素结构钢板|钢板|45|δ55|GB/T 711-2008|热轧|GB/T 709-2006</t>
        </is>
      </c>
      <c r="E174" t="inlineStr">
        <is>
          <t>物资名称 热轧优质碳素结构钢板;物资简称 钢板;牌号 45;厚度 δ55;宽 ;长 ;技术标准号 GB/T 711-2008;加工工艺 热轧;热处理工艺 ;特殊要求 ;规格标准号 GB/T 709-2006</t>
        </is>
      </c>
      <c r="F174" t="inlineStr">
        <is>
          <t>千克</t>
        </is>
      </c>
      <c r="G174">
        <f>LEFT(D174,FIND("|",D174,1)-1)</f>
        <v/>
      </c>
      <c r="H174">
        <f>MID(D174,FIND("|",D174,FIND("|",D174,1))+1,FIND("|",D174,FIND("|",D174,1)+1)-FIND("|",D174,FIND("|",D174,1))-1)</f>
        <v/>
      </c>
      <c r="J174">
        <f>MID(D174,FIND(",",SUBSTITUTE(D174,"|",REPT(",",LEN(D174)),2))+1,FIND(",",SUBSTITUTE(D174,"|",REPT(",",LEN(D174)),3))-FIND(",",SUBSTITUTE(D174,"|",REPT(",",LEN(D174)),2))-1)</f>
        <v/>
      </c>
      <c r="K174">
        <f>MID(D174,FIND(",",SUBSTITUTE(D174,"|",REPT(",",LEN(D174)),3))+1,FIND(",",SUBSTITUTE(D174,"|",REPT(",",LEN(D174)),4))-FIND(",",SUBSTITUTE(D174,"|",REPT(",",LEN(D174)),3))-1)</f>
        <v/>
      </c>
      <c r="L174">
        <f>MID(D174,FIND(";",SUBSTITUTE(D174,"|",REPT(";",LEN(D174)),4))+1,FIND(";",SUBSTITUTE(D174,"|",REPT(";",LEN(D174)),5))-FIND(";",SUBSTITUTE(D174,"|",REPT(";",LEN(D174)),4))-1)</f>
        <v/>
      </c>
      <c r="M174">
        <f>MID(D174,FIND(";",SUBSTITUTE(D174,"|",REPT(";",LEN(D174)),6))+1,LEN(D174))</f>
        <v/>
      </c>
      <c r="N174">
        <f>MID(D174,FIND(";",SUBSTITUTE(D174,"|",REPT(";",LEN(D174)),5))+1,FIND(";",SUBSTITUTE(D174,"|",REPT(";",LEN(D174)),6))-FIND(";",SUBSTITUTE(D174,"|",REPT(";",LEN(D174)),5))-1)</f>
        <v/>
      </c>
    </row>
    <row r="175">
      <c r="A175" t="inlineStr">
        <is>
          <t>100199</t>
        </is>
      </c>
      <c r="B175" t="inlineStr">
        <is>
          <t>其他板材</t>
        </is>
      </c>
      <c r="C175" t="inlineStr">
        <is>
          <t>601498400</t>
        </is>
      </c>
      <c r="D175" t="inlineStr">
        <is>
          <t>钛板|钛板|TA15 M|δ2×100×100|XJ/BS 5282-2004</t>
        </is>
      </c>
      <c r="E175" t="inlineStr">
        <is>
          <t xml:space="preserve">物资名称 钛板;物资简称 钛板;牌号 TA15 M;厚度 δ2;宽 100;长 100;技术标准号 XJ/BS 5282-2004;加工工艺 ;热处理工艺 ;特殊要求 ;规格标准号 </t>
        </is>
      </c>
      <c r="F175" t="inlineStr">
        <is>
          <t>把</t>
        </is>
      </c>
      <c r="G175">
        <f>LEFT(D175,FIND("|",D175,1)-1)</f>
        <v/>
      </c>
      <c r="H175">
        <f>MID(D175,FIND("|",D175,FIND("|",D175,1))+1,FIND("|",D175,FIND("|",D175,1)+1)-FIND("|",D175,FIND("|",D175,1))-1)</f>
        <v/>
      </c>
      <c r="J175">
        <f>MID(D175,FIND(",",SUBSTITUTE(D175,"|",REPT(",",LEN(D175)),2))+1,FIND(",",SUBSTITUTE(D175,"|",REPT(",",LEN(D175)),3))-FIND(",",SUBSTITUTE(D175,"|",REPT(",",LEN(D175)),2))-1)</f>
        <v/>
      </c>
      <c r="K175">
        <f>MID(D175,FIND(",",SUBSTITUTE(D175,"|",REPT(",",LEN(D175)),3))+1,FIND(",",SUBSTITUTE(D175,"|",REPT(",",LEN(D175)),4))-FIND(",",SUBSTITUTE(D175,"|",REPT(",",LEN(D175)),3))-1)</f>
        <v/>
      </c>
      <c r="L175">
        <f>MID(D175,FIND(";",SUBSTITUTE(D175,"|",REPT(";",LEN(D175)),4))+1,LEN(D175))</f>
        <v/>
      </c>
    </row>
    <row r="176">
      <c r="A176" t="inlineStr">
        <is>
          <t>100401</t>
        </is>
      </c>
      <c r="B176" t="inlineStr">
        <is>
          <t>钢带</t>
        </is>
      </c>
      <c r="C176" t="inlineStr">
        <is>
          <t>603539300</t>
        </is>
      </c>
      <c r="D176" t="inlineStr">
        <is>
          <t>热处理弹簧钢带|钢带|60Si2MnA|YB/T 5063-2007</t>
        </is>
      </c>
      <c r="E176" t="inlineStr">
        <is>
          <t>物资名称 热处理弹簧钢带;物资简称 钢带;牌号 60Si2MnA;厚度 δ;宽 ;技术标准号 YB/T 5063-2007;加工工艺 ;热处理工艺 ;特殊要求 ;规格标准号</t>
        </is>
      </c>
      <c r="F176" t="inlineStr">
        <is>
          <t>千克</t>
        </is>
      </c>
      <c r="G176">
        <f>LEFT(D176,FIND("|",D176,1)-1)</f>
        <v/>
      </c>
      <c r="H176">
        <f>MID(D176,FIND("|",D176,FIND("|",D176,1))+1,FIND("|",D176,FIND("|",D176,1)+1)-FIND("|",D176,FIND("|",D176,1))-1)</f>
        <v/>
      </c>
      <c r="J176">
        <f>MID(D176,FIND(",",SUBSTITUTE(D176,"|",REPT(",",LEN(D176)),2))+1,FIND(",",SUBSTITUTE(D176,"|",REPT(",",LEN(D176)),3))-FIND(",",SUBSTITUTE(D176,"|",REPT(",",LEN(D176)),2))-1)</f>
        <v/>
      </c>
      <c r="M176">
        <f>MID(D176,FIND(";",SUBSTITUTE(D176,"|",REPT(";",LEN(D176)),3))+1,LEN(D176))</f>
        <v/>
      </c>
    </row>
    <row r="177">
      <c r="A177" t="inlineStr">
        <is>
          <t>100401</t>
        </is>
      </c>
      <c r="B177" t="inlineStr">
        <is>
          <t>钢带</t>
        </is>
      </c>
      <c r="C177" t="inlineStr">
        <is>
          <t>603537900</t>
        </is>
      </c>
      <c r="D177" t="inlineStr">
        <is>
          <t>弹簧用不锈钢冷轧钢带|钢带|12Cr17Ni7|δ0.6|YB/T 5310-2010|冷轧</t>
        </is>
      </c>
      <c r="E177" t="inlineStr">
        <is>
          <t>物资名称 弹簧用不锈钢冷轧钢带;物资简称 钢带;牌号 12Cr17Ni7;厚度 δ0.6;宽 ;技术标准号 YB/T 5310-2010;加工工艺 冷轧;热处理工艺 ;特殊要求 ;规格标准号</t>
        </is>
      </c>
      <c r="F177" t="inlineStr">
        <is>
          <t>千克</t>
        </is>
      </c>
      <c r="G177">
        <f>LEFT(D177,FIND("|",D177,1)-1)</f>
        <v/>
      </c>
      <c r="H177">
        <f>MID(D177,FIND("|",D177,FIND("|",D177,1))+1,FIND("|",D177,FIND("|",D177,1)+1)-FIND("|",D177,FIND("|",D177,1))-1)</f>
        <v/>
      </c>
      <c r="J177">
        <f>MID(D177,FIND(",",SUBSTITUTE(D177,"|",REPT(",",LEN(D177)),2))+1,FIND(",",SUBSTITUTE(D177,"|",REPT(",",LEN(D177)),3))-FIND(",",SUBSTITUTE(D177,"|",REPT(",",LEN(D177)),2))-1)</f>
        <v/>
      </c>
      <c r="K177">
        <f>MID(D177,FIND(",",SUBSTITUTE(D177,"|",REPT(",",LEN(D177)),3))+1,FIND(",",SUBSTITUTE(D177,"|",REPT(",",LEN(D177)),4))-FIND(",",SUBSTITUTE(D177,"|",REPT(",",LEN(D177)),3))-1)</f>
        <v/>
      </c>
      <c r="L177">
        <f>MID(D177,FIND(";",SUBSTITUTE(D177,"|",REPT(";",LEN(D177)),4))+1,FIND(";",SUBSTITUTE(D177,"|",REPT(";",LEN(D177)),5))-FIND(";",SUBSTITUTE(D177,"|",REPT(";",LEN(D177)),4))-1)</f>
        <v/>
      </c>
      <c r="N177">
        <f>MID(D177,FIND(";",SUBSTITUTE(D177,"|",REPT(";",LEN(D177)),5))+1,LEN(D177))</f>
        <v/>
      </c>
    </row>
    <row r="178">
      <c r="A178" t="inlineStr">
        <is>
          <t>100401</t>
        </is>
      </c>
      <c r="B178" t="inlineStr">
        <is>
          <t>钢带</t>
        </is>
      </c>
      <c r="C178" t="inlineStr">
        <is>
          <t>603528800</t>
        </is>
      </c>
      <c r="D178" t="inlineStr">
        <is>
          <t>冷轧不锈钢带|钢带|0Cr18Ni9|δ0.25|GB/T 4239-1991|冷轧|Y2</t>
        </is>
      </c>
      <c r="E178" t="inlineStr">
        <is>
          <t>物资名称 冷轧不锈钢带;物资简称 钢带;牌号 0Cr18Ni9;厚度 δ0.25;宽 ;技术标准号 GB/T 4239-1991;加工工艺 冷轧;热处理工艺 ;特殊要求 Y2;规格标准号</t>
        </is>
      </c>
      <c r="F178" t="inlineStr">
        <is>
          <t>千克</t>
        </is>
      </c>
      <c r="G178">
        <f>LEFT(D178,FIND("|",D178,1)-1)</f>
        <v/>
      </c>
      <c r="H178">
        <f>MID(D178,FIND("|",D178,FIND("|",D178,1))+1,FIND("|",D178,FIND("|",D178,1)+1)-FIND("|",D178,FIND("|",D178,1))-1)</f>
        <v/>
      </c>
      <c r="J178">
        <f>MID(D178,FIND(",",SUBSTITUTE(D178,"|",REPT(",",LEN(D178)),2))+1,FIND(",",SUBSTITUTE(D178,"|",REPT(",",LEN(D178)),3))-FIND(",",SUBSTITUTE(D178,"|",REPT(",",LEN(D178)),2))-1)</f>
        <v/>
      </c>
      <c r="K178">
        <f>MID(D178,FIND(",",SUBSTITUTE(D178,"|",REPT(",",LEN(D178)),3))+1,FIND(",",SUBSTITUTE(D178,"|",REPT(",",LEN(D178)),4))-FIND(",",SUBSTITUTE(D178,"|",REPT(",",LEN(D178)),3))-1)</f>
        <v/>
      </c>
      <c r="L178">
        <f>MID(D178,FIND(";",SUBSTITUTE(D178,"|",REPT(";",LEN(D178)),4))+1,FIND(";",SUBSTITUTE(D178,"|",REPT(";",LEN(D178)),5))-FIND(";",SUBSTITUTE(D178,"|",REPT(";",LEN(D178)),4))-1)</f>
        <v/>
      </c>
      <c r="N178">
        <f>MID(D178,FIND(";",SUBSTITUTE(D178,"|",REPT(";",LEN(D178)),5))+1,FIND(";",SUBSTITUTE(D178,"|",REPT(";",LEN(D178)),6))-FIND(";",SUBSTITUTE(D178,"|",REPT(";",LEN(D178)),5))-1)</f>
        <v/>
      </c>
      <c r="P178">
        <f>MID(D178,FIND(";",SUBSTITUTE(D178,"|",REPT(";",LEN(D178)),6))+1,LEN(D178))</f>
        <v/>
      </c>
    </row>
    <row r="179">
      <c r="A179" t="inlineStr">
        <is>
          <t>100401</t>
        </is>
      </c>
      <c r="B179" t="inlineStr">
        <is>
          <t>钢带</t>
        </is>
      </c>
      <c r="C179" t="inlineStr">
        <is>
          <t>603335100</t>
        </is>
      </c>
      <c r="D179" t="inlineStr">
        <is>
          <t>带孔无花镀锌板卷|镀锌板|δ0.4mm×10mm</t>
        </is>
      </c>
      <c r="E179" t="inlineStr">
        <is>
          <t>物资名称 带孔无花镀锌板卷;物资简称 镀锌板;牌号 ;厚度 δ0.4mm;宽 10mm;技术标准号 ;加工工艺 ;热处理工艺 ;特殊要求 ;规格标准号</t>
        </is>
      </c>
      <c r="F179" t="inlineStr">
        <is>
          <t>千克</t>
        </is>
      </c>
      <c r="G179">
        <f>LEFT(D179,FIND("|",D179,1)-1)</f>
        <v/>
      </c>
      <c r="H179">
        <f>MID(D179,FIND("|",D179,FIND("|",D179,1))+1,FIND("|",D179,FIND("|",D179,1)+1)-FIND("|",D179,FIND("|",D179,1))-1)</f>
        <v/>
      </c>
      <c r="K179">
        <f>MID(D179,FIND(";",SUBSTITUTE(D179,"|",REPT(";",LEN(D179)),2))+1,LEN(D179))</f>
        <v/>
      </c>
    </row>
    <row r="180">
      <c r="A180" t="inlineStr">
        <is>
          <t>100401</t>
        </is>
      </c>
      <c r="B180" t="inlineStr">
        <is>
          <t>钢带</t>
        </is>
      </c>
      <c r="C180" t="inlineStr">
        <is>
          <t>602886900</t>
        </is>
      </c>
      <c r="D180" t="inlineStr">
        <is>
          <t>特种钢带|钢带|SOONV-32181|δ0.508|SVM-NM-32181|上海速威特特种合金</t>
        </is>
      </c>
      <c r="E180" t="inlineStr">
        <is>
          <t>物资名称 特种钢带;物资简称 钢带;牌号 SOONV-32181;厚度 δ0.508;宽 ;技术标准号 SVM-NM-32181;加工工艺 ;热处理工艺 ;特殊要求 上海速威特特种合金;规格标准号</t>
        </is>
      </c>
      <c r="F180" t="inlineStr">
        <is>
          <t>千克</t>
        </is>
      </c>
      <c r="G180">
        <f>LEFT(D180,FIND("|",D180,1)-1)</f>
        <v/>
      </c>
      <c r="H180">
        <f>MID(D180,FIND("|",D180,FIND("|",D180,1))+1,FIND("|",D180,FIND("|",D180,1)+1)-FIND("|",D180,FIND("|",D180,1))-1)</f>
        <v/>
      </c>
      <c r="J180">
        <f>MID(D180,FIND(",",SUBSTITUTE(D180,"|",REPT(",",LEN(D180)),2))+1,FIND(",",SUBSTITUTE(D180,"|",REPT(",",LEN(D180)),3))-FIND(",",SUBSTITUTE(D180,"|",REPT(",",LEN(D180)),2))-1)</f>
        <v/>
      </c>
      <c r="K180">
        <f>MID(D180,FIND(",",SUBSTITUTE(D180,"|",REPT(",",LEN(D180)),3))+1,FIND(",",SUBSTITUTE(D180,"|",REPT(",",LEN(D180)),4))-FIND(",",SUBSTITUTE(D180,"|",REPT(",",LEN(D180)),3))-1)</f>
        <v/>
      </c>
      <c r="L180">
        <f>MID(D180,FIND(";",SUBSTITUTE(D180,"|",REPT(";",LEN(D180)),4))+1,FIND(";",SUBSTITUTE(D180,"|",REPT(";",LEN(D180)),5))-FIND(";",SUBSTITUTE(D180,"|",REPT(";",LEN(D180)),4))-1)</f>
        <v/>
      </c>
      <c r="P180">
        <f>MID(D180,FIND(";",SUBSTITUTE(D180,"|",REPT(";",LEN(D180)),5))+1,LEN(D180))</f>
        <v/>
      </c>
    </row>
    <row r="181">
      <c r="A181" t="inlineStr">
        <is>
          <t>100401</t>
        </is>
      </c>
      <c r="B181" t="inlineStr">
        <is>
          <t>钢带</t>
        </is>
      </c>
      <c r="C181" t="inlineStr">
        <is>
          <t>602309100</t>
        </is>
      </c>
      <c r="D181" t="inlineStr">
        <is>
          <t>冷轧不锈钢带|钢带|0Cr18Ni9|δ0.02|GB/T 4239-1991|冷轧|Y2</t>
        </is>
      </c>
      <c r="E181" t="inlineStr">
        <is>
          <t xml:space="preserve">物资名称 冷轧不锈钢带;物资简称 钢带;牌号 0Cr18Ni9;厚度 δ0.02;宽 ;技术标准号 GB/T 4239-1991;加工工艺 冷轧;热处理工艺 ;特殊要求 Y2;规格标准号 </t>
        </is>
      </c>
      <c r="F181" t="inlineStr">
        <is>
          <t>千克</t>
        </is>
      </c>
      <c r="G181">
        <f>LEFT(D181,FIND("|",D181,1)-1)</f>
        <v/>
      </c>
      <c r="H181">
        <f>MID(D181,FIND("|",D181,FIND("|",D181,1))+1,FIND("|",D181,FIND("|",D181,1)+1)-FIND("|",D181,FIND("|",D181,1))-1)</f>
        <v/>
      </c>
      <c r="J181">
        <f>MID(D181,FIND(",",SUBSTITUTE(D181,"|",REPT(",",LEN(D181)),2))+1,FIND(",",SUBSTITUTE(D181,"|",REPT(",",LEN(D181)),3))-FIND(",",SUBSTITUTE(D181,"|",REPT(",",LEN(D181)),2))-1)</f>
        <v/>
      </c>
      <c r="K181">
        <f>MID(D181,FIND(",",SUBSTITUTE(D181,"|",REPT(",",LEN(D181)),3))+1,FIND(",",SUBSTITUTE(D181,"|",REPT(",",LEN(D181)),4))-FIND(",",SUBSTITUTE(D181,"|",REPT(",",LEN(D181)),3))-1)</f>
        <v/>
      </c>
      <c r="L181">
        <f>MID(D181,FIND(";",SUBSTITUTE(D181,"|",REPT(";",LEN(D181)),4))+1,FIND(";",SUBSTITUTE(D181,"|",REPT(";",LEN(D181)),5))-FIND(";",SUBSTITUTE(D181,"|",REPT(";",LEN(D181)),4))-1)</f>
        <v/>
      </c>
      <c r="N181">
        <f>MID(D181,FIND(";",SUBSTITUTE(D181,"|",REPT(";",LEN(D181)),5))+1,FIND(";",SUBSTITUTE(D181,"|",REPT(";",LEN(D181)),6))-FIND(";",SUBSTITUTE(D181,"|",REPT(";",LEN(D181)),5))-1)</f>
        <v/>
      </c>
      <c r="P181">
        <f>MID(D181,FIND(";",SUBSTITUTE(D181,"|",REPT(";",LEN(D181)),6))+1,LEN(D181))</f>
        <v/>
      </c>
    </row>
    <row r="182">
      <c r="A182" t="inlineStr">
        <is>
          <t>100401</t>
        </is>
      </c>
      <c r="B182" t="inlineStr">
        <is>
          <t>钢带</t>
        </is>
      </c>
      <c r="C182" t="inlineStr">
        <is>
          <t>602309000</t>
        </is>
      </c>
      <c r="D182" t="inlineStr">
        <is>
          <t>特种钢带|钢带|XSVS-7C27Mo2|δ0.508×200×205|厂家约定</t>
        </is>
      </c>
      <c r="E182" t="inlineStr">
        <is>
          <t xml:space="preserve">物资名称 特种钢带;物资简称 钢带;牌号 XSVS-7C27Mo2;厚度 δ0.508;宽 200×205;技术标准号 ;加工工艺 ;热处理工艺 ;特殊要求 厂家约定;规格标准号 </t>
        </is>
      </c>
      <c r="F182" t="inlineStr">
        <is>
          <t>千克</t>
        </is>
      </c>
      <c r="G182">
        <f>LEFT(D182,FIND("|",D182,1)-1)</f>
        <v/>
      </c>
      <c r="H182">
        <f>MID(D182,FIND("|",D182,FIND("|",D182,1))+1,FIND("|",D182,FIND("|",D182,1)+1)-FIND("|",D182,FIND("|",D182,1))-1)</f>
        <v/>
      </c>
      <c r="J182">
        <f>MID(D182,FIND(",",SUBSTITUTE(D182,"|",REPT(",",LEN(D182)),2))+1,FIND(",",SUBSTITUTE(D182,"|",REPT(",",LEN(D182)),3))-FIND(",",SUBSTITUTE(D182,"|",REPT(",",LEN(D182)),2))-1)</f>
        <v/>
      </c>
      <c r="K182">
        <f>MID(D182,FIND(",",SUBSTITUTE(D182,"|",REPT(",",LEN(D182)),3))+1,FIND(",",SUBSTITUTE(D182,"|",REPT(",",LEN(D182)),4))-FIND(",",SUBSTITUTE(D182,"|",REPT(",",LEN(D182)),3))-1)</f>
        <v/>
      </c>
      <c r="P182">
        <f>MID(D182,FIND(";",SUBSTITUTE(D182,"|",REPT(";",LEN(D182)),4))+1,LEN(D182))</f>
        <v/>
      </c>
    </row>
    <row r="183">
      <c r="A183" t="inlineStr">
        <is>
          <t>100401</t>
        </is>
      </c>
      <c r="B183" t="inlineStr">
        <is>
          <t>钢带</t>
        </is>
      </c>
      <c r="C183" t="inlineStr">
        <is>
          <t>602288600</t>
        </is>
      </c>
      <c r="D183" t="inlineStr">
        <is>
          <t>特种钢带|钢带|SOONV-32181|SVM-NM-32181|上海速威特特种合金</t>
        </is>
      </c>
      <c r="E183" t="inlineStr">
        <is>
          <t xml:space="preserve">物资名称 特种钢带;物资简称 钢带;牌号 SOONV-32181;厚度 δ;宽 ;技术标准号 SVM-NM-32181;加工工艺 ;热处理工艺 ;特殊要求 上海速威特特种合金;规格标准号 </t>
        </is>
      </c>
      <c r="F183" t="inlineStr">
        <is>
          <t>千克</t>
        </is>
      </c>
      <c r="G183">
        <f>LEFT(D183,FIND("|",D183,1)-1)</f>
        <v/>
      </c>
      <c r="H183">
        <f>MID(D183,FIND("|",D183,FIND("|",D183,1))+1,FIND("|",D183,FIND("|",D183,1)+1)-FIND("|",D183,FIND("|",D183,1))-1)</f>
        <v/>
      </c>
      <c r="J183">
        <f>MID(D183,FIND(",",SUBSTITUTE(D183,"|",REPT(",",LEN(D183)),2))+1,FIND(",",SUBSTITUTE(D183,"|",REPT(",",LEN(D183)),3))-FIND(",",SUBSTITUTE(D183,"|",REPT(",",LEN(D183)),2))-1)</f>
        <v/>
      </c>
      <c r="L183">
        <f>MID(D183,FIND(",",SUBSTITUTE(D183,"|",REPT(",",LEN(D183)),3))+1,FIND(",",SUBSTITUTE(D183,"|",REPT(",",LEN(D183)),4))-FIND(",",SUBSTITUTE(D183,"|",REPT(",",LEN(D183)),3))-1)</f>
        <v/>
      </c>
    </row>
    <row r="184">
      <c r="A184" t="inlineStr">
        <is>
          <t>100401</t>
        </is>
      </c>
      <c r="B184" t="inlineStr">
        <is>
          <t>钢带</t>
        </is>
      </c>
      <c r="C184" t="inlineStr">
        <is>
          <t>602148400</t>
        </is>
      </c>
      <c r="D184" t="inlineStr">
        <is>
          <t>冷轧不锈钢带|钢带|0Cr18Ni9|δ0.1|GB/T 4239-1991|冷轧|Y2</t>
        </is>
      </c>
      <c r="E184" t="inlineStr">
        <is>
          <t xml:space="preserve">物资名称 冷轧不锈钢带;物资简称 钢带;牌号 0Cr18Ni9;厚度 δ0.1;宽 ;技术标准号 GB/T 4239-1991;加工工艺 冷轧;热处理工艺 ;特殊要求 Y2;规格标准号 </t>
        </is>
      </c>
      <c r="F184" t="inlineStr">
        <is>
          <t>千克</t>
        </is>
      </c>
      <c r="G184">
        <f>LEFT(D184,FIND("|",D184,1)-1)</f>
        <v/>
      </c>
      <c r="H184">
        <f>MID(D184,FIND("|",D184,FIND("|",D184,1))+1,FIND("|",D184,FIND("|",D184,1)+1)-FIND("|",D184,FIND("|",D184,1))-1)</f>
        <v/>
      </c>
      <c r="J184">
        <f>MID(D184,FIND(",",SUBSTITUTE(D184,"|",REPT(",",LEN(D184)),2))+1,FIND(",",SUBSTITUTE(D184,"|",REPT(",",LEN(D184)),3))-FIND(",",SUBSTITUTE(D184,"|",REPT(",",LEN(D184)),2))-1)</f>
        <v/>
      </c>
      <c r="K184">
        <f>MID(D184,FIND(",",SUBSTITUTE(D184,"|",REPT(",",LEN(D184)),3))+1,FIND(",",SUBSTITUTE(D184,"|",REPT(",",LEN(D184)),4))-FIND(",",SUBSTITUTE(D184,"|",REPT(",",LEN(D184)),3))-1)</f>
        <v/>
      </c>
      <c r="L184">
        <f>MID(D184,FIND(";",SUBSTITUTE(D184,"|",REPT(";",LEN(D184)),4))+1,FIND(";",SUBSTITUTE(D184,"|",REPT(";",LEN(D184)),5))-FIND(";",SUBSTITUTE(D184,"|",REPT(";",LEN(D184)),4))-1)</f>
        <v/>
      </c>
      <c r="N184">
        <f>MID(D184,FIND(";",SUBSTITUTE(D184,"|",REPT(";",LEN(D184)),5))+1,FIND(";",SUBSTITUTE(D184,"|",REPT(";",LEN(D184)),6))-FIND(";",SUBSTITUTE(D184,"|",REPT(";",LEN(D184)),5))-1)</f>
        <v/>
      </c>
      <c r="P184">
        <f>MID(D184,FIND(";",SUBSTITUTE(D184,"|",REPT(";",LEN(D184)),6))+1,LEN(D184))</f>
        <v/>
      </c>
    </row>
    <row r="185">
      <c r="A185" t="inlineStr">
        <is>
          <t>100401</t>
        </is>
      </c>
      <c r="B185" t="inlineStr">
        <is>
          <t>钢带</t>
        </is>
      </c>
      <c r="C185" t="inlineStr">
        <is>
          <t>602148300</t>
        </is>
      </c>
      <c r="D185" t="inlineStr">
        <is>
          <t>冷轧不锈钢带|钢带|0Cr18Ni9|δ0.15|GB/T 4239-1991|冷轧|Y2</t>
        </is>
      </c>
      <c r="E185" t="inlineStr">
        <is>
          <t xml:space="preserve">物资名称 冷轧不锈钢带;物资简称 钢带;牌号 0Cr18Ni9;厚度 δ0.15;宽 ;技术标准号 GB/T 4239-1991;加工工艺 冷轧;热处理工艺 ;特殊要求 Y2;规格标准号 </t>
        </is>
      </c>
      <c r="F185" t="inlineStr">
        <is>
          <t>千克</t>
        </is>
      </c>
      <c r="G185">
        <f>LEFT(D185,FIND("|",D185,1)-1)</f>
        <v/>
      </c>
      <c r="H185">
        <f>MID(D185,FIND("|",D185,FIND("|",D185,1))+1,FIND("|",D185,FIND("|",D185,1)+1)-FIND("|",D185,FIND("|",D185,1))-1)</f>
        <v/>
      </c>
      <c r="J185">
        <f>MID(D185,FIND(",",SUBSTITUTE(D185,"|",REPT(",",LEN(D185)),2))+1,FIND(",",SUBSTITUTE(D185,"|",REPT(",",LEN(D185)),3))-FIND(",",SUBSTITUTE(D185,"|",REPT(",",LEN(D185)),2))-1)</f>
        <v/>
      </c>
      <c r="K185">
        <f>MID(D185,FIND(",",SUBSTITUTE(D185,"|",REPT(",",LEN(D185)),3))+1,FIND(",",SUBSTITUTE(D185,"|",REPT(",",LEN(D185)),4))-FIND(",",SUBSTITUTE(D185,"|",REPT(",",LEN(D185)),3))-1)</f>
        <v/>
      </c>
      <c r="L185">
        <f>MID(D185,FIND(";",SUBSTITUTE(D185,"|",REPT(";",LEN(D185)),4))+1,FIND(";",SUBSTITUTE(D185,"|",REPT(";",LEN(D185)),5))-FIND(";",SUBSTITUTE(D185,"|",REPT(";",LEN(D185)),4))-1)</f>
        <v/>
      </c>
      <c r="N185">
        <f>MID(D185,FIND(";",SUBSTITUTE(D185,"|",REPT(";",LEN(D185)),5))+1,FIND(";",SUBSTITUTE(D185,"|",REPT(";",LEN(D185)),6))-FIND(";",SUBSTITUTE(D185,"|",REPT(";",LEN(D185)),5))-1)</f>
        <v/>
      </c>
      <c r="P185">
        <f>MID(D185,FIND(";",SUBSTITUTE(D185,"|",REPT(";",LEN(D185)),6))+1,LEN(D185))</f>
        <v/>
      </c>
    </row>
    <row r="186">
      <c r="A186" t="inlineStr">
        <is>
          <t>100401</t>
        </is>
      </c>
      <c r="B186" t="inlineStr">
        <is>
          <t>钢带</t>
        </is>
      </c>
      <c r="C186" t="inlineStr">
        <is>
          <t>602148200</t>
        </is>
      </c>
      <c r="D186" t="inlineStr">
        <is>
          <t>冷轧不锈钢带|钢带|0Cr18Ni9|δ0.2|GB/T 4239-1991|冷轧|Y2</t>
        </is>
      </c>
      <c r="E186" t="inlineStr">
        <is>
          <t xml:space="preserve">物资名称 冷轧不锈钢带;物资简称 钢带;牌号 0Cr18Ni9;厚度 δ0.2;宽 ;技术标准号 GB/T 4239-1991;加工工艺 冷轧;热处理工艺 ;特殊要求 Y2;规格标准号 </t>
        </is>
      </c>
      <c r="F186" t="inlineStr">
        <is>
          <t>千克</t>
        </is>
      </c>
      <c r="G186">
        <f>LEFT(D186,FIND("|",D186,1)-1)</f>
        <v/>
      </c>
      <c r="H186">
        <f>MID(D186,FIND("|",D186,FIND("|",D186,1))+1,FIND("|",D186,FIND("|",D186,1)+1)-FIND("|",D186,FIND("|",D186,1))-1)</f>
        <v/>
      </c>
      <c r="J186">
        <f>MID(D186,FIND(",",SUBSTITUTE(D186,"|",REPT(",",LEN(D186)),2))+1,FIND(",",SUBSTITUTE(D186,"|",REPT(",",LEN(D186)),3))-FIND(",",SUBSTITUTE(D186,"|",REPT(",",LEN(D186)),2))-1)</f>
        <v/>
      </c>
      <c r="K186">
        <f>MID(D186,FIND(",",SUBSTITUTE(D186,"|",REPT(",",LEN(D186)),3))+1,FIND(",",SUBSTITUTE(D186,"|",REPT(",",LEN(D186)),4))-FIND(",",SUBSTITUTE(D186,"|",REPT(",",LEN(D186)),3))-1)</f>
        <v/>
      </c>
      <c r="L186">
        <f>MID(D186,FIND(";",SUBSTITUTE(D186,"|",REPT(";",LEN(D186)),4))+1,FIND(";",SUBSTITUTE(D186,"|",REPT(";",LEN(D186)),5))-FIND(";",SUBSTITUTE(D186,"|",REPT(";",LEN(D186)),4))-1)</f>
        <v/>
      </c>
      <c r="N186">
        <f>MID(D186,FIND(";",SUBSTITUTE(D186,"|",REPT(";",LEN(D186)),5))+1,FIND(";",SUBSTITUTE(D186,"|",REPT(";",LEN(D186)),6))-FIND(";",SUBSTITUTE(D186,"|",REPT(";",LEN(D186)),5))-1)</f>
        <v/>
      </c>
      <c r="P186">
        <f>MID(D186,FIND(";",SUBSTITUTE(D186,"|",REPT(";",LEN(D186)),6))+1,LEN(D186))</f>
        <v/>
      </c>
    </row>
    <row r="187">
      <c r="A187" t="inlineStr">
        <is>
          <t>100401</t>
        </is>
      </c>
      <c r="B187" t="inlineStr">
        <is>
          <t>钢带</t>
        </is>
      </c>
      <c r="C187" t="inlineStr">
        <is>
          <t>602148100</t>
        </is>
      </c>
      <c r="D187" t="inlineStr">
        <is>
          <t>冷轧不锈钢带|钢带|0Cr18Ni9|δ0.05|GB/T 4239-1991|冷轧|Y2</t>
        </is>
      </c>
      <c r="E187" t="inlineStr">
        <is>
          <t xml:space="preserve">物资名称 冷轧不锈钢带;物资简称 钢带;牌号 0Cr18Ni9;厚度 δ0.05;宽 ;技术标准号 GB/T 4239-1991;加工工艺 冷轧;热处理工艺 ;特殊要求 Y2;规格标准号 </t>
        </is>
      </c>
      <c r="F187" t="inlineStr">
        <is>
          <t>千克</t>
        </is>
      </c>
      <c r="G187">
        <f>LEFT(D187,FIND("|",D187,1)-1)</f>
        <v/>
      </c>
      <c r="H187">
        <f>MID(D187,FIND("|",D187,FIND("|",D187,1))+1,FIND("|",D187,FIND("|",D187,1)+1)-FIND("|",D187,FIND("|",D187,1))-1)</f>
        <v/>
      </c>
      <c r="J187">
        <f>MID(D187,FIND(",",SUBSTITUTE(D187,"|",REPT(",",LEN(D187)),2))+1,FIND(",",SUBSTITUTE(D187,"|",REPT(",",LEN(D187)),3))-FIND(",",SUBSTITUTE(D187,"|",REPT(",",LEN(D187)),2))-1)</f>
        <v/>
      </c>
      <c r="K187">
        <f>MID(D187,FIND(",",SUBSTITUTE(D187,"|",REPT(",",LEN(D187)),3))+1,FIND(",",SUBSTITUTE(D187,"|",REPT(",",LEN(D187)),4))-FIND(",",SUBSTITUTE(D187,"|",REPT(",",LEN(D187)),3))-1)</f>
        <v/>
      </c>
      <c r="L187">
        <f>MID(D187,FIND(";",SUBSTITUTE(D187,"|",REPT(";",LEN(D187)),4))+1,FIND(";",SUBSTITUTE(D187,"|",REPT(";",LEN(D187)),5))-FIND(";",SUBSTITUTE(D187,"|",REPT(";",LEN(D187)),4))-1)</f>
        <v/>
      </c>
      <c r="N187">
        <f>MID(D187,FIND(";",SUBSTITUTE(D187,"|",REPT(";",LEN(D187)),5))+1,FIND(";",SUBSTITUTE(D187,"|",REPT(";",LEN(D187)),6))-FIND(";",SUBSTITUTE(D187,"|",REPT(";",LEN(D187)),5))-1)</f>
        <v/>
      </c>
      <c r="P187">
        <f>MID(D187,FIND(";",SUBSTITUTE(D187,"|",REPT(";",LEN(D187)),6))+1,LEN(D187))</f>
        <v/>
      </c>
    </row>
    <row r="188">
      <c r="A188" t="inlineStr">
        <is>
          <t>100401</t>
        </is>
      </c>
      <c r="B188" t="inlineStr">
        <is>
          <t>钢带</t>
        </is>
      </c>
      <c r="C188" t="inlineStr">
        <is>
          <t>602148000</t>
        </is>
      </c>
      <c r="D188" t="inlineStr">
        <is>
          <t>冷轧不锈钢带|钢带|0Cr18Ni9|δ0.3|GB/T 4239-1991|冷轧|Y2</t>
        </is>
      </c>
      <c r="E188" t="inlineStr">
        <is>
          <t xml:space="preserve">物资名称 冷轧不锈钢带;物资简称 钢带;牌号 0Cr18Ni9;厚度 δ0.3;宽 ;技术标准号 GB/T 4239-1991;加工工艺 冷轧;热处理工艺 ;特殊要求 Y2;规格标准号 </t>
        </is>
      </c>
      <c r="F188" t="inlineStr">
        <is>
          <t>千克</t>
        </is>
      </c>
      <c r="G188">
        <f>LEFT(D188,FIND("|",D188,1)-1)</f>
        <v/>
      </c>
      <c r="H188">
        <f>MID(D188,FIND("|",D188,FIND("|",D188,1))+1,FIND("|",D188,FIND("|",D188,1)+1)-FIND("|",D188,FIND("|",D188,1))-1)</f>
        <v/>
      </c>
      <c r="J188">
        <f>MID(D188,FIND(",",SUBSTITUTE(D188,"|",REPT(",",LEN(D188)),2))+1,FIND(",",SUBSTITUTE(D188,"|",REPT(",",LEN(D188)),3))-FIND(",",SUBSTITUTE(D188,"|",REPT(",",LEN(D188)),2))-1)</f>
        <v/>
      </c>
      <c r="K188">
        <f>MID(D188,FIND(",",SUBSTITUTE(D188,"|",REPT(",",LEN(D188)),3))+1,FIND(",",SUBSTITUTE(D188,"|",REPT(",",LEN(D188)),4))-FIND(",",SUBSTITUTE(D188,"|",REPT(",",LEN(D188)),3))-1)</f>
        <v/>
      </c>
      <c r="L188">
        <f>MID(D188,FIND(";",SUBSTITUTE(D188,"|",REPT(";",LEN(D188)),4))+1,FIND(";",SUBSTITUTE(D188,"|",REPT(";",LEN(D188)),5))-FIND(";",SUBSTITUTE(D188,"|",REPT(";",LEN(D188)),4))-1)</f>
        <v/>
      </c>
      <c r="N188">
        <f>MID(D188,FIND(";",SUBSTITUTE(D188,"|",REPT(";",LEN(D188)),5))+1,FIND(";",SUBSTITUTE(D188,"|",REPT(";",LEN(D188)),6))-FIND(";",SUBSTITUTE(D188,"|",REPT(";",LEN(D188)),5))-1)</f>
        <v/>
      </c>
      <c r="P188">
        <f>MID(D188,FIND(";",SUBSTITUTE(D188,"|",REPT(";",LEN(D188)),6))+1,LEN(D188))</f>
        <v/>
      </c>
    </row>
    <row r="189">
      <c r="A189" t="inlineStr">
        <is>
          <t>100401</t>
        </is>
      </c>
      <c r="B189" t="inlineStr">
        <is>
          <t>钢带</t>
        </is>
      </c>
      <c r="C189" t="inlineStr">
        <is>
          <t>602147900</t>
        </is>
      </c>
      <c r="D189" t="inlineStr">
        <is>
          <t>冷轧不锈钢带|钢带|0Cr18Ni9|δ0.35|GB/T 4239-1991|冷轧|Y2</t>
        </is>
      </c>
      <c r="E189" t="inlineStr">
        <is>
          <t xml:space="preserve">物资名称 冷轧不锈钢带;物资简称 钢带;牌号 0Cr18Ni9;厚度 δ0.35;宽 ;技术标准号 GB/T 4239-1991;加工工艺 冷轧;热处理工艺 ;特殊要求 Y2;规格标准号 </t>
        </is>
      </c>
      <c r="F189" t="inlineStr">
        <is>
          <t>千克</t>
        </is>
      </c>
      <c r="G189">
        <f>LEFT(D189,FIND("|",D189,1)-1)</f>
        <v/>
      </c>
      <c r="H189">
        <f>MID(D189,FIND("|",D189,FIND("|",D189,1))+1,FIND("|",D189,FIND("|",D189,1)+1)-FIND("|",D189,FIND("|",D189,1))-1)</f>
        <v/>
      </c>
      <c r="J189">
        <f>MID(D189,FIND(",",SUBSTITUTE(D189,"|",REPT(",",LEN(D189)),2))+1,FIND(",",SUBSTITUTE(D189,"|",REPT(",",LEN(D189)),3))-FIND(",",SUBSTITUTE(D189,"|",REPT(",",LEN(D189)),2))-1)</f>
        <v/>
      </c>
      <c r="K189">
        <f>MID(D189,FIND(",",SUBSTITUTE(D189,"|",REPT(",",LEN(D189)),3))+1,FIND(",",SUBSTITUTE(D189,"|",REPT(",",LEN(D189)),4))-FIND(",",SUBSTITUTE(D189,"|",REPT(",",LEN(D189)),3))-1)</f>
        <v/>
      </c>
      <c r="L189">
        <f>MID(D189,FIND(";",SUBSTITUTE(D189,"|",REPT(";",LEN(D189)),4))+1,FIND(";",SUBSTITUTE(D189,"|",REPT(";",LEN(D189)),5))-FIND(";",SUBSTITUTE(D189,"|",REPT(";",LEN(D189)),4))-1)</f>
        <v/>
      </c>
      <c r="N189">
        <f>MID(D189,FIND(";",SUBSTITUTE(D189,"|",REPT(";",LEN(D189)),5))+1,FIND(";",SUBSTITUTE(D189,"|",REPT(";",LEN(D189)),6))-FIND(";",SUBSTITUTE(D189,"|",REPT(";",LEN(D189)),5))-1)</f>
        <v/>
      </c>
      <c r="P189">
        <f>MID(D189,FIND(";",SUBSTITUTE(D189,"|",REPT(";",LEN(D189)),6))+1,LEN(D189))</f>
        <v/>
      </c>
    </row>
    <row r="190">
      <c r="A190" t="inlineStr">
        <is>
          <t>100401</t>
        </is>
      </c>
      <c r="B190" t="inlineStr">
        <is>
          <t>钢带</t>
        </is>
      </c>
      <c r="C190" t="inlineStr">
        <is>
          <t>602147800</t>
        </is>
      </c>
      <c r="D190" t="inlineStr">
        <is>
          <t>冷轧不锈钢带|钢带|0Cr18Ni9|δ0.5|GB/T 4239-1991|冷轧|Y2</t>
        </is>
      </c>
      <c r="E190" t="inlineStr">
        <is>
          <t xml:space="preserve">物资名称 冷轧不锈钢带;物资简称 钢带;牌号 0Cr18Ni9;厚度 δ0.5;宽 ;技术标准号 GB/T 4239-1991;加工工艺 冷轧;热处理工艺 ;特殊要求 Y2;规格标准号 </t>
        </is>
      </c>
      <c r="F190" t="inlineStr">
        <is>
          <t>千克</t>
        </is>
      </c>
      <c r="G190">
        <f>LEFT(D190,FIND("|",D190,1)-1)</f>
        <v/>
      </c>
      <c r="H190">
        <f>MID(D190,FIND("|",D190,FIND("|",D190,1))+1,FIND("|",D190,FIND("|",D190,1)+1)-FIND("|",D190,FIND("|",D190,1))-1)</f>
        <v/>
      </c>
      <c r="J190">
        <f>MID(D190,FIND(",",SUBSTITUTE(D190,"|",REPT(",",LEN(D190)),2))+1,FIND(",",SUBSTITUTE(D190,"|",REPT(",",LEN(D190)),3))-FIND(",",SUBSTITUTE(D190,"|",REPT(",",LEN(D190)),2))-1)</f>
        <v/>
      </c>
      <c r="K190">
        <f>MID(D190,FIND(",",SUBSTITUTE(D190,"|",REPT(",",LEN(D190)),3))+1,FIND(",",SUBSTITUTE(D190,"|",REPT(",",LEN(D190)),4))-FIND(",",SUBSTITUTE(D190,"|",REPT(",",LEN(D190)),3))-1)</f>
        <v/>
      </c>
      <c r="L190">
        <f>MID(D190,FIND(";",SUBSTITUTE(D190,"|",REPT(";",LEN(D190)),4))+1,FIND(";",SUBSTITUTE(D190,"|",REPT(";",LEN(D190)),5))-FIND(";",SUBSTITUTE(D190,"|",REPT(";",LEN(D190)),4))-1)</f>
        <v/>
      </c>
      <c r="N190">
        <f>MID(D190,FIND(";",SUBSTITUTE(D190,"|",REPT(";",LEN(D190)),5))+1,FIND(";",SUBSTITUTE(D190,"|",REPT(";",LEN(D190)),6))-FIND(";",SUBSTITUTE(D190,"|",REPT(";",LEN(D190)),5))-1)</f>
        <v/>
      </c>
      <c r="P190">
        <f>MID(D190,FIND(";",SUBSTITUTE(D190,"|",REPT(";",LEN(D190)),6))+1,LEN(D190))</f>
        <v/>
      </c>
    </row>
    <row r="191">
      <c r="A191" t="inlineStr">
        <is>
          <t>100401</t>
        </is>
      </c>
      <c r="B191" t="inlineStr">
        <is>
          <t>钢带</t>
        </is>
      </c>
      <c r="C191" t="inlineStr">
        <is>
          <t>602147700</t>
        </is>
      </c>
      <c r="D191" t="inlineStr">
        <is>
          <t>冷轧不锈钢带|钢带|0Cr18Ni9|δ1|GB/T 4239-1991|冷轧|Y2</t>
        </is>
      </c>
      <c r="E191" t="inlineStr">
        <is>
          <t xml:space="preserve">物资名称 冷轧不锈钢带;物资简称 钢带;牌号 0Cr18Ni9;厚度 δ1;宽 ;技术标准号 GB/T 4239-1991;加工工艺 冷轧;热处理工艺 ;特殊要求 Y2;规格标准号 </t>
        </is>
      </c>
      <c r="F191" t="inlineStr">
        <is>
          <t>千克</t>
        </is>
      </c>
      <c r="G191">
        <f>LEFT(D191,FIND("|",D191,1)-1)</f>
        <v/>
      </c>
      <c r="H191">
        <f>MID(D191,FIND("|",D191,FIND("|",D191,1))+1,FIND("|",D191,FIND("|",D191,1)+1)-FIND("|",D191,FIND("|",D191,1))-1)</f>
        <v/>
      </c>
      <c r="J191">
        <f>MID(D191,FIND(",",SUBSTITUTE(D191,"|",REPT(",",LEN(D191)),2))+1,FIND(",",SUBSTITUTE(D191,"|",REPT(",",LEN(D191)),3))-FIND(",",SUBSTITUTE(D191,"|",REPT(",",LEN(D191)),2))-1)</f>
        <v/>
      </c>
      <c r="K191">
        <f>MID(D191,FIND(",",SUBSTITUTE(D191,"|",REPT(",",LEN(D191)),3))+1,FIND(",",SUBSTITUTE(D191,"|",REPT(",",LEN(D191)),4))-FIND(",",SUBSTITUTE(D191,"|",REPT(",",LEN(D191)),3))-1)</f>
        <v/>
      </c>
      <c r="L191">
        <f>MID(D191,FIND(";",SUBSTITUTE(D191,"|",REPT(";",LEN(D191)),4))+1,FIND(";",SUBSTITUTE(D191,"|",REPT(";",LEN(D191)),5))-FIND(";",SUBSTITUTE(D191,"|",REPT(";",LEN(D191)),4))-1)</f>
        <v/>
      </c>
      <c r="N191">
        <f>MID(D191,FIND(";",SUBSTITUTE(D191,"|",REPT(";",LEN(D191)),5))+1,FIND(";",SUBSTITUTE(D191,"|",REPT(";",LEN(D191)),6))-FIND(";",SUBSTITUTE(D191,"|",REPT(";",LEN(D191)),5))-1)</f>
        <v/>
      </c>
      <c r="P191">
        <f>MID(D191,FIND(";",SUBSTITUTE(D191,"|",REPT(";",LEN(D191)),6))+1,LEN(D191))</f>
        <v/>
      </c>
    </row>
    <row r="192">
      <c r="A192" t="inlineStr">
        <is>
          <t>100401</t>
        </is>
      </c>
      <c r="B192" t="inlineStr">
        <is>
          <t>钢带</t>
        </is>
      </c>
      <c r="C192" t="inlineStr">
        <is>
          <t>601686100</t>
        </is>
      </c>
      <c r="D192" t="inlineStr">
        <is>
          <t>冷轧不锈钢带|钢带|0Cr18Ni9|GB/T 4239-1991|Y2</t>
        </is>
      </c>
      <c r="E192" t="inlineStr">
        <is>
          <t xml:space="preserve">物资名称 冷轧不锈钢带;物资简称 钢带;牌号 0Cr18Ni9;厚度 δ;宽 ;技术标准号 GB/T 4239-1991;加工工艺 ;热处理工艺 ;特殊要求 Y2;规格标准号 </t>
        </is>
      </c>
      <c r="F192" t="inlineStr">
        <is>
          <t>千克</t>
        </is>
      </c>
      <c r="G192">
        <f>LEFT(D192,FIND("|",D192,1)-1)</f>
        <v/>
      </c>
      <c r="H192">
        <f>MID(D192,FIND("|",D192,FIND("|",D192,1))+1,FIND("|",D192,FIND("|",D192,1)+1)-FIND("|",D192,FIND("|",D192,1))-1)</f>
        <v/>
      </c>
      <c r="J192">
        <f>MID(D192,FIND(",",SUBSTITUTE(D192,"|",REPT(",",LEN(D192)),2))+1,FIND(",",SUBSTITUTE(D192,"|",REPT(",",LEN(D192)),3))-FIND(",",SUBSTITUTE(D192,"|",REPT(",",LEN(D192)),2))-1)</f>
        <v/>
      </c>
      <c r="L192">
        <f>MID(D192,FIND(",",SUBSTITUTE(D192,"|",REPT(",",LEN(D192)),3))+1,FIND(",",SUBSTITUTE(D192,"|",REPT(",",LEN(D192)),4))-FIND(",",SUBSTITUTE(D192,"|",REPT(",",LEN(D192)),3))-1)</f>
        <v/>
      </c>
      <c r="P192">
        <f>MID(D192,FIND(";",SUBSTITUTE(D192,"|",REPT(";",LEN(D192)),4))+1,LEN(D192))</f>
        <v/>
      </c>
    </row>
    <row r="193">
      <c r="A193" t="inlineStr">
        <is>
          <t>100401</t>
        </is>
      </c>
      <c r="B193" t="inlineStr">
        <is>
          <t>钢带</t>
        </is>
      </c>
      <c r="C193" t="inlineStr">
        <is>
          <t>601496500</t>
        </is>
      </c>
      <c r="D193" t="inlineStr">
        <is>
          <t>不锈钢带|钢带|1Cr18Ni9Ti|δ0.05</t>
        </is>
      </c>
      <c r="E193" t="inlineStr">
        <is>
          <t xml:space="preserve">物资名称 不锈钢带;物资简称 钢带;牌号 1Cr18Ni9Ti;厚度 δ0.05;宽 ;技术标准号 ;加工工艺 ;热处理工艺 ;特殊要求 ;规格标准号 </t>
        </is>
      </c>
      <c r="F193" t="inlineStr">
        <is>
          <t>千克</t>
        </is>
      </c>
      <c r="G193">
        <f>LEFT(D193,FIND("|",D193,1)-1)</f>
        <v/>
      </c>
      <c r="H193">
        <f>MID(D193,FIND("|",D193,FIND("|",D193,1))+1,FIND("|",D193,FIND("|",D193,1)+1)-FIND("|",D193,FIND("|",D193,1))-1)</f>
        <v/>
      </c>
      <c r="J193">
        <f>MID(D193,FIND(",",SUBSTITUTE(D193,"|",REPT(",",LEN(D193)),2))+1,FIND(",",SUBSTITUTE(D193,"|",REPT(",",LEN(D193)),3))-FIND(",",SUBSTITUTE(D193,"|",REPT(",",LEN(D193)),2))-1)</f>
        <v/>
      </c>
      <c r="K193">
        <f>MID(D193,FIND(";",SUBSTITUTE(D193,"|",REPT(";",LEN(D193)),3))+1,LEN(D193))</f>
        <v/>
      </c>
    </row>
    <row r="194">
      <c r="A194" t="inlineStr">
        <is>
          <t>100401</t>
        </is>
      </c>
      <c r="B194" t="inlineStr">
        <is>
          <t>钢带</t>
        </is>
      </c>
      <c r="C194" t="inlineStr">
        <is>
          <t>601496400</t>
        </is>
      </c>
      <c r="D194" t="inlineStr">
        <is>
          <t>不锈钢带|钢带|1Cr18Ni9Ti|δ0.5,200</t>
        </is>
      </c>
      <c r="E194" t="inlineStr">
        <is>
          <t xml:space="preserve">物资名称 不锈钢带;物资简称 钢带;牌号 1Cr18Ni9Ti;厚度 δ0.5;宽 200;技术标准号 ;加工工艺 ;热处理工艺 ;特殊要求 ;规格标准号 </t>
        </is>
      </c>
      <c r="F194" t="inlineStr">
        <is>
          <t>千克</t>
        </is>
      </c>
      <c r="G194">
        <f>LEFT(D194,FIND("|",D194,1)-1)</f>
        <v/>
      </c>
      <c r="H194">
        <f>MID(D194,FIND("|",D194,FIND("|",D194,1))+1,FIND("|",D194,FIND("|",D194,1)+1)-FIND("|",D194,FIND("|",D194,1))-1)</f>
        <v/>
      </c>
      <c r="J194">
        <f>MID(D194,FIND(",",SUBSTITUTE(D194,"|",REPT(",",LEN(D194)),2))+1,FIND(",",SUBSTITUTE(D194,"|",REPT(",",LEN(D194)),3))-FIND(",",SUBSTITUTE(D194,"|",REPT(",",LEN(D194)),2))-1)</f>
        <v/>
      </c>
      <c r="K194">
        <f>MID(D194,FIND(";",SUBSTITUTE(D194,"|",REPT(";",LEN(D194)),3))+1,LEN(D194))</f>
        <v/>
      </c>
    </row>
    <row r="195">
      <c r="A195" t="inlineStr">
        <is>
          <t>100401</t>
        </is>
      </c>
      <c r="B195" t="inlineStr">
        <is>
          <t>钢带</t>
        </is>
      </c>
      <c r="C195" t="inlineStr">
        <is>
          <t>601439000</t>
        </is>
      </c>
      <c r="D195" t="inlineStr">
        <is>
          <t>不锈钢带|钢带|1Cr17Ni17|δ0.6,305</t>
        </is>
      </c>
      <c r="E195" t="inlineStr">
        <is>
          <t xml:space="preserve">物资名称 不锈钢带;物资简称 钢带;牌号 1Cr17Ni17;厚度 δ0.6;宽 305;技术标准号 ;加工工艺 ;热处理工艺 ;特殊要求 ;规格标准号 </t>
        </is>
      </c>
      <c r="F195" t="inlineStr">
        <is>
          <t>千克</t>
        </is>
      </c>
      <c r="G195">
        <f>LEFT(D195,FIND("|",D195,1)-1)</f>
        <v/>
      </c>
      <c r="H195">
        <f>MID(D195,FIND("|",D195,FIND("|",D195,1))+1,FIND("|",D195,FIND("|",D195,1)+1)-FIND("|",D195,FIND("|",D195,1))-1)</f>
        <v/>
      </c>
      <c r="J195">
        <f>MID(D195,FIND(",",SUBSTITUTE(D195,"|",REPT(",",LEN(D195)),2))+1,FIND(",",SUBSTITUTE(D195,"|",REPT(",",LEN(D195)),3))-FIND(",",SUBSTITUTE(D195,"|",REPT(",",LEN(D195)),2))-1)</f>
        <v/>
      </c>
      <c r="K195">
        <f>MID(D195,FIND(";",SUBSTITUTE(D195,"|",REPT(";",LEN(D195)),3))+1,LEN(D195))</f>
        <v/>
      </c>
    </row>
    <row r="196">
      <c r="A196" t="inlineStr">
        <is>
          <t>100401</t>
        </is>
      </c>
      <c r="B196" t="inlineStr">
        <is>
          <t>钢带</t>
        </is>
      </c>
      <c r="C196" t="inlineStr">
        <is>
          <t>601438900</t>
        </is>
      </c>
      <c r="D196" t="inlineStr">
        <is>
          <t>不锈钢带|钢带|1Cr18Ni9Ti|δ0.1</t>
        </is>
      </c>
      <c r="E196" t="inlineStr">
        <is>
          <t xml:space="preserve">物资名称 不锈钢带;物资简称 钢带;牌号 1Cr18Ni9Ti;厚度 δ0.1;宽 ;技术标准号 ;加工工艺 ;热处理工艺 ;特殊要求 ;规格标准号 </t>
        </is>
      </c>
      <c r="F196" t="inlineStr">
        <is>
          <t>千克</t>
        </is>
      </c>
      <c r="G196">
        <f>LEFT(D196,FIND("|",D196,1)-1)</f>
        <v/>
      </c>
      <c r="H196">
        <f>MID(D196,FIND("|",D196,FIND("|",D196,1))+1,FIND("|",D196,FIND("|",D196,1)+1)-FIND("|",D196,FIND("|",D196,1))-1)</f>
        <v/>
      </c>
      <c r="J196">
        <f>MID(D196,FIND(",",SUBSTITUTE(D196,"|",REPT(",",LEN(D196)),2))+1,FIND(",",SUBSTITUTE(D196,"|",REPT(",",LEN(D196)),3))-FIND(",",SUBSTITUTE(D196,"|",REPT(",",LEN(D196)),2))-1)</f>
        <v/>
      </c>
      <c r="K196">
        <f>MID(D196,FIND(";",SUBSTITUTE(D196,"|",REPT(";",LEN(D196)),3))+1,LEN(D196))</f>
        <v/>
      </c>
    </row>
    <row r="197">
      <c r="A197" t="inlineStr">
        <is>
          <t>100401</t>
        </is>
      </c>
      <c r="B197" t="inlineStr">
        <is>
          <t>钢带</t>
        </is>
      </c>
      <c r="C197" t="inlineStr">
        <is>
          <t>601346500</t>
        </is>
      </c>
      <c r="D197" t="inlineStr">
        <is>
          <t>不锈钢带|钢带|12Cr18Ni9|δ0.35</t>
        </is>
      </c>
      <c r="E197" t="inlineStr">
        <is>
          <t xml:space="preserve">物资名称 不锈钢带;物资简称 钢带;牌号 12Cr18Ni9;厚度 δ0.35;宽 ;技术标准号 ;加工工艺 ;热处理工艺 ;特殊要求 ;规格标准号 </t>
        </is>
      </c>
      <c r="F197" t="inlineStr">
        <is>
          <t>千克</t>
        </is>
      </c>
      <c r="G197">
        <f>LEFT(D197,FIND("|",D197,1)-1)</f>
        <v/>
      </c>
      <c r="H197">
        <f>MID(D197,FIND("|",D197,FIND("|",D197,1))+1,FIND("|",D197,FIND("|",D197,1)+1)-FIND("|",D197,FIND("|",D197,1))-1)</f>
        <v/>
      </c>
      <c r="J197">
        <f>MID(D197,FIND(",",SUBSTITUTE(D197,"|",REPT(",",LEN(D197)),2))+1,FIND(",",SUBSTITUTE(D197,"|",REPT(",",LEN(D197)),3))-FIND(",",SUBSTITUTE(D197,"|",REPT(",",LEN(D197)),2))-1)</f>
        <v/>
      </c>
      <c r="K197">
        <f>MID(D197,FIND(";",SUBSTITUTE(D197,"|",REPT(";",LEN(D197)),3))+1,LEN(D197))</f>
        <v/>
      </c>
    </row>
    <row r="198">
      <c r="A198" t="inlineStr">
        <is>
          <t>100401</t>
        </is>
      </c>
      <c r="B198" t="inlineStr">
        <is>
          <t>钢带</t>
        </is>
      </c>
      <c r="C198" t="inlineStr">
        <is>
          <t>601337100</t>
        </is>
      </c>
      <c r="D198" t="inlineStr">
        <is>
          <t>不锈钢带|钢带|1Cr18Ni9|δ0.26</t>
        </is>
      </c>
      <c r="E198" t="inlineStr">
        <is>
          <t xml:space="preserve">物资名称 不锈钢带;物资简称 钢带;牌号 1Cr18Ni9;厚度 δ0.26;宽 ;技术标准号 ;加工工艺 ;热处理工艺 ;特殊要求 ;规格标准号 </t>
        </is>
      </c>
      <c r="F198" t="inlineStr">
        <is>
          <t>千克</t>
        </is>
      </c>
      <c r="G198">
        <f>LEFT(D198,FIND("|",D198,1)-1)</f>
        <v/>
      </c>
      <c r="H198">
        <f>MID(D198,FIND("|",D198,FIND("|",D198,1))+1,FIND("|",D198,FIND("|",D198,1)+1)-FIND("|",D198,FIND("|",D198,1))-1)</f>
        <v/>
      </c>
      <c r="J198">
        <f>MID(D198,FIND(",",SUBSTITUTE(D198,"|",REPT(",",LEN(D198)),2))+1,FIND(",",SUBSTITUTE(D198,"|",REPT(",",LEN(D198)),3))-FIND(",",SUBSTITUTE(D198,"|",REPT(",",LEN(D198)),2))-1)</f>
        <v/>
      </c>
      <c r="K198">
        <f>MID(D198,FIND(";",SUBSTITUTE(D198,"|",REPT(";",LEN(D198)),3))+1,LEN(D198))</f>
        <v/>
      </c>
    </row>
    <row r="199">
      <c r="A199" t="inlineStr">
        <is>
          <t>100401</t>
        </is>
      </c>
      <c r="B199" t="inlineStr">
        <is>
          <t>钢带</t>
        </is>
      </c>
      <c r="C199" t="inlineStr">
        <is>
          <t>601337000</t>
        </is>
      </c>
      <c r="D199" t="inlineStr">
        <is>
          <t>不锈钢带|钢带|1Cr18NiTi？|δ0.7</t>
        </is>
      </c>
      <c r="E199" t="inlineStr">
        <is>
          <t xml:space="preserve">物资名称 不锈钢带;物资简称 钢带;牌号 1Cr18NiTi？;厚度 δ0.7;宽 ;技术标准号 ;加工工艺 ;热处理工艺 ;特殊要求 ;规格标准号 </t>
        </is>
      </c>
      <c r="F199" t="inlineStr">
        <is>
          <t>千克</t>
        </is>
      </c>
      <c r="G199">
        <f>LEFT(D199,FIND("|",D199,1)-1)</f>
        <v/>
      </c>
      <c r="H199">
        <f>MID(D199,FIND("|",D199,FIND("|",D199,1))+1,FIND("|",D199,FIND("|",D199,1)+1)-FIND("|",D199,FIND("|",D199,1))-1)</f>
        <v/>
      </c>
      <c r="J199">
        <f>MID(D199,FIND(",",SUBSTITUTE(D199,"|",REPT(",",LEN(D199)),2))+1,FIND(",",SUBSTITUTE(D199,"|",REPT(",",LEN(D199)),3))-FIND(",",SUBSTITUTE(D199,"|",REPT(",",LEN(D199)),2))-1)</f>
        <v/>
      </c>
      <c r="K199">
        <f>MID(D199,FIND(";",SUBSTITUTE(D199,"|",REPT(";",LEN(D199)),3))+1,LEN(D199))</f>
        <v/>
      </c>
    </row>
    <row r="200">
      <c r="A200" t="inlineStr">
        <is>
          <t>100401</t>
        </is>
      </c>
      <c r="B200" t="inlineStr">
        <is>
          <t>钢带</t>
        </is>
      </c>
      <c r="C200" t="inlineStr">
        <is>
          <t>601336900</t>
        </is>
      </c>
      <c r="D200" t="inlineStr">
        <is>
          <t>不锈钢带|钢带|1Cr18Ni9Ti|δ0.15</t>
        </is>
      </c>
      <c r="E200" t="inlineStr">
        <is>
          <t xml:space="preserve">物资名称 不锈钢带;物资简称 钢带;牌号 1Cr18Ni9Ti;厚度 δ0.15;宽 ;技术标准号 ;加工工艺 ;热处理工艺 ;特殊要求 ;规格标准号 </t>
        </is>
      </c>
      <c r="F200" t="inlineStr">
        <is>
          <t>千克</t>
        </is>
      </c>
      <c r="G200">
        <f>LEFT(D200,FIND("|",D200,1)-1)</f>
        <v/>
      </c>
      <c r="H200">
        <f>MID(D200,FIND("|",D200,FIND("|",D200,1))+1,FIND("|",D200,FIND("|",D200,1)+1)-FIND("|",D200,FIND("|",D200,1))-1)</f>
        <v/>
      </c>
      <c r="J200">
        <f>MID(D200,FIND(",",SUBSTITUTE(D200,"|",REPT(",",LEN(D200)),2))+1,FIND(",",SUBSTITUTE(D200,"|",REPT(",",LEN(D200)),3))-FIND(",",SUBSTITUTE(D200,"|",REPT(",",LEN(D200)),2))-1)</f>
        <v/>
      </c>
      <c r="K200">
        <f>MID(D200,FIND(";",SUBSTITUTE(D200,"|",REPT(";",LEN(D200)),3))+1,LEN(D200))</f>
        <v/>
      </c>
    </row>
    <row r="201">
      <c r="A201" t="inlineStr">
        <is>
          <t>100401</t>
        </is>
      </c>
      <c r="B201" t="inlineStr">
        <is>
          <t>钢带</t>
        </is>
      </c>
      <c r="C201" t="inlineStr">
        <is>
          <t>601336800</t>
        </is>
      </c>
      <c r="D201" t="inlineStr">
        <is>
          <t>不锈钢带|钢带|1Cr18Ni9|δ0.3</t>
        </is>
      </c>
      <c r="E201" t="inlineStr">
        <is>
          <t xml:space="preserve">物资名称 不锈钢带;物资简称 钢带;牌号 1Cr18Ni9;厚度 δ0.3;宽 ;技术标准号 ;加工工艺 ;热处理工艺 ;特殊要求 ;规格标准号 </t>
        </is>
      </c>
      <c r="F201" t="inlineStr">
        <is>
          <t>千克</t>
        </is>
      </c>
      <c r="G201">
        <f>LEFT(D201,FIND("|",D201,1)-1)</f>
        <v/>
      </c>
      <c r="H201">
        <f>MID(D201,FIND("|",D201,FIND("|",D201,1))+1,FIND("|",D201,FIND("|",D201,1)+1)-FIND("|",D201,FIND("|",D201,1))-1)</f>
        <v/>
      </c>
      <c r="J201">
        <f>MID(D201,FIND(",",SUBSTITUTE(D201,"|",REPT(",",LEN(D201)),2))+1,FIND(",",SUBSTITUTE(D201,"|",REPT(",",LEN(D201)),3))-FIND(",",SUBSTITUTE(D201,"|",REPT(",",LEN(D201)),2))-1)</f>
        <v/>
      </c>
      <c r="K201">
        <f>MID(D201,FIND(";",SUBSTITUTE(D201,"|",REPT(";",LEN(D201)),3))+1,LEN(D201))</f>
        <v/>
      </c>
    </row>
    <row r="202">
      <c r="A202" t="inlineStr">
        <is>
          <t>100401</t>
        </is>
      </c>
      <c r="B202" t="inlineStr">
        <is>
          <t>钢带</t>
        </is>
      </c>
      <c r="C202" t="inlineStr">
        <is>
          <t>601336700</t>
        </is>
      </c>
      <c r="D202" t="inlineStr">
        <is>
          <t>不锈钢带|钢带|12Cr18Ni9|δ0.1</t>
        </is>
      </c>
      <c r="E202" t="inlineStr">
        <is>
          <t xml:space="preserve">物资名称 不锈钢带;物资简称 钢带;牌号 12Cr18Ni9;厚度 δ0.1;宽 ;技术标准号 ;加工工艺 ;热处理工艺 ;特殊要求 ;规格标准号 </t>
        </is>
      </c>
      <c r="F202" t="inlineStr">
        <is>
          <t>千克</t>
        </is>
      </c>
      <c r="G202">
        <f>LEFT(D202,FIND("|",D202,1)-1)</f>
        <v/>
      </c>
      <c r="H202">
        <f>MID(D202,FIND("|",D202,FIND("|",D202,1))+1,FIND("|",D202,FIND("|",D202,1)+1)-FIND("|",D202,FIND("|",D202,1))-1)</f>
        <v/>
      </c>
      <c r="J202">
        <f>MID(D202,FIND(",",SUBSTITUTE(D202,"|",REPT(",",LEN(D202)),2))+1,FIND(",",SUBSTITUTE(D202,"|",REPT(",",LEN(D202)),3))-FIND(",",SUBSTITUTE(D202,"|",REPT(",",LEN(D202)),2))-1)</f>
        <v/>
      </c>
      <c r="K202">
        <f>MID(D202,FIND(";",SUBSTITUTE(D202,"|",REPT(";",LEN(D202)),3))+1,LEN(D202))</f>
        <v/>
      </c>
    </row>
    <row r="203">
      <c r="A203" t="inlineStr">
        <is>
          <t>100401</t>
        </is>
      </c>
      <c r="B203" t="inlineStr">
        <is>
          <t>钢带</t>
        </is>
      </c>
      <c r="C203" t="inlineStr">
        <is>
          <t>601336600</t>
        </is>
      </c>
      <c r="D203" t="inlineStr">
        <is>
          <t>不锈钢带|钢带|12Cr18Ni9|δ0.2</t>
        </is>
      </c>
      <c r="E203" t="inlineStr">
        <is>
          <t xml:space="preserve">物资名称 不锈钢带;物资简称 钢带;牌号 12Cr18Ni9;厚度 δ0.2;宽 ;技术标准号 ;加工工艺 ;热处理工艺 ;特殊要求 ;规格标准号 </t>
        </is>
      </c>
      <c r="F203" t="inlineStr">
        <is>
          <t>千克</t>
        </is>
      </c>
      <c r="G203">
        <f>LEFT(D203,FIND("|",D203,1)-1)</f>
        <v/>
      </c>
      <c r="H203">
        <f>MID(D203,FIND("|",D203,FIND("|",D203,1))+1,FIND("|",D203,FIND("|",D203,1)+1)-FIND("|",D203,FIND("|",D203,1))-1)</f>
        <v/>
      </c>
      <c r="J203">
        <f>MID(D203,FIND(",",SUBSTITUTE(D203,"|",REPT(",",LEN(D203)),2))+1,FIND(",",SUBSTITUTE(D203,"|",REPT(",",LEN(D203)),3))-FIND(",",SUBSTITUTE(D203,"|",REPT(",",LEN(D203)),2))-1)</f>
        <v/>
      </c>
      <c r="K203">
        <f>MID(D203,FIND(";",SUBSTITUTE(D203,"|",REPT(";",LEN(D203)),3))+1,LEN(D203))</f>
        <v/>
      </c>
    </row>
    <row r="204">
      <c r="A204" t="inlineStr">
        <is>
          <t>100401</t>
        </is>
      </c>
      <c r="B204" t="inlineStr">
        <is>
          <t>钢带</t>
        </is>
      </c>
      <c r="C204" t="inlineStr">
        <is>
          <t>601336500</t>
        </is>
      </c>
      <c r="D204" t="inlineStr">
        <is>
          <t>磁头用软磁合金带|钢带|1J85|δ0.2|YB/T 086-1996|软态</t>
        </is>
      </c>
      <c r="E204" t="inlineStr">
        <is>
          <t xml:space="preserve">物资名称 磁头用软磁合金带;物资简称 钢带;牌号 1J85;厚度 δ0.2;宽 ;技术标准号 YB/T 086-1996;加工工艺 ;热处理工艺 ;特殊要求 软态;规格标准号 </t>
        </is>
      </c>
      <c r="F204" t="inlineStr">
        <is>
          <t>千克</t>
        </is>
      </c>
      <c r="G204">
        <f>LEFT(D204,FIND("|",D204,1)-1)</f>
        <v/>
      </c>
      <c r="H204">
        <f>MID(D204,FIND("|",D204,FIND("|",D204,1))+1,FIND("|",D204,FIND("|",D204,1)+1)-FIND("|",D204,FIND("|",D204,1))-1)</f>
        <v/>
      </c>
      <c r="J204">
        <f>MID(D204,FIND(",",SUBSTITUTE(D204,"|",REPT(",",LEN(D204)),2))+1,FIND(",",SUBSTITUTE(D204,"|",REPT(",",LEN(D204)),3))-FIND(",",SUBSTITUTE(D204,"|",REPT(",",LEN(D204)),2))-1)</f>
        <v/>
      </c>
      <c r="K204">
        <f>MID(D204,FIND(",",SUBSTITUTE(D204,"|",REPT(",",LEN(D204)),3))+1,FIND(",",SUBSTITUTE(D204,"|",REPT(",",LEN(D204)),4))-FIND(",",SUBSTITUTE(D204,"|",REPT(",",LEN(D204)),3))-1)</f>
        <v/>
      </c>
      <c r="L204">
        <f>MID(D204,FIND(",",SUBSTITUTE(D204,"|",REPT(",",LEN(D204)),4))+1,FIND(",",SUBSTITUTE(D204,"|",REPT(",",LEN(D204)),5))-FIND(",",SUBSTITUTE(D204,"|",REPT(",",LEN(D204)),4))-1)</f>
        <v/>
      </c>
      <c r="P204">
        <f>MID(D204,FIND(";",SUBSTITUTE(D204,"|",REPT(";",LEN(D204)),5))+1,LEN(D204))</f>
        <v/>
      </c>
    </row>
    <row r="205">
      <c r="A205" t="inlineStr">
        <is>
          <t>100401</t>
        </is>
      </c>
      <c r="B205" t="inlineStr">
        <is>
          <t>钢带</t>
        </is>
      </c>
      <c r="C205" t="inlineStr">
        <is>
          <t>601336400</t>
        </is>
      </c>
      <c r="D205" t="inlineStr">
        <is>
          <t>不锈钢带|钢带|12Cr18Ni9|δ0.5,200</t>
        </is>
      </c>
      <c r="E205" t="inlineStr">
        <is>
          <t xml:space="preserve">物资名称 不锈钢带;物资简称 钢带;牌号 12Cr18Ni9;厚度 δ0.5;宽 200;技术标准号 ;加工工艺 ;热处理工艺 ;特殊要求 ;规格标准号 </t>
        </is>
      </c>
      <c r="F205" t="inlineStr">
        <is>
          <t>千克</t>
        </is>
      </c>
      <c r="G205">
        <f>LEFT(D205,FIND("|",D205,1)-1)</f>
        <v/>
      </c>
      <c r="H205">
        <f>MID(D205,FIND("|",D205,FIND("|",D205,1))+1,FIND("|",D205,FIND("|",D205,1)+1)-FIND("|",D205,FIND("|",D205,1))-1)</f>
        <v/>
      </c>
      <c r="J205">
        <f>MID(D205,FIND(",",SUBSTITUTE(D205,"|",REPT(",",LEN(D205)),2))+1,FIND(",",SUBSTITUTE(D205,"|",REPT(",",LEN(D205)),3))-FIND(",",SUBSTITUTE(D205,"|",REPT(",",LEN(D205)),2))-1)</f>
        <v/>
      </c>
      <c r="K205">
        <f>MID(D205,FIND(";",SUBSTITUTE(D205,"|",REPT(";",LEN(D205)),3))+1,LEN(D205))</f>
        <v/>
      </c>
    </row>
    <row r="206">
      <c r="A206" t="inlineStr">
        <is>
          <t>100401</t>
        </is>
      </c>
      <c r="B206" t="inlineStr">
        <is>
          <t>钢带</t>
        </is>
      </c>
      <c r="C206" t="inlineStr">
        <is>
          <t>601336300</t>
        </is>
      </c>
      <c r="D206" t="inlineStr">
        <is>
          <t>不锈钢带|钢带|1Cr17Ni7|δ0.6</t>
        </is>
      </c>
      <c r="E206" t="inlineStr">
        <is>
          <t xml:space="preserve">物资名称 不锈钢带;物资简称 钢带;牌号 1Cr17Ni7;厚度 δ0.6;宽 ;技术标准号 ;加工工艺 ;热处理工艺 ;特殊要求 ;规格标准号 </t>
        </is>
      </c>
      <c r="F206" t="inlineStr">
        <is>
          <t>千克</t>
        </is>
      </c>
      <c r="G206">
        <f>LEFT(D206,FIND("|",D206,1)-1)</f>
        <v/>
      </c>
      <c r="H206">
        <f>MID(D206,FIND("|",D206,FIND("|",D206,1))+1,FIND("|",D206,FIND("|",D206,1)+1)-FIND("|",D206,FIND("|",D206,1))-1)</f>
        <v/>
      </c>
      <c r="J206">
        <f>MID(D206,FIND(",",SUBSTITUTE(D206,"|",REPT(",",LEN(D206)),2))+1,FIND(",",SUBSTITUTE(D206,"|",REPT(",",LEN(D206)),3))-FIND(",",SUBSTITUTE(D206,"|",REPT(",",LEN(D206)),2))-1)</f>
        <v/>
      </c>
      <c r="K206">
        <f>MID(D206,FIND(";",SUBSTITUTE(D206,"|",REPT(";",LEN(D206)),3))+1,LEN(D206))</f>
        <v/>
      </c>
    </row>
    <row r="207">
      <c r="A207" t="inlineStr">
        <is>
          <t>100401</t>
        </is>
      </c>
      <c r="B207" t="inlineStr">
        <is>
          <t>钢带</t>
        </is>
      </c>
      <c r="C207" t="inlineStr">
        <is>
          <t>601336200</t>
        </is>
      </c>
      <c r="D207" t="inlineStr">
        <is>
          <t>磁头用软磁合金带|钢带|1J85|δ0.2|YB/T 086-1996|硬态</t>
        </is>
      </c>
      <c r="E207" t="inlineStr">
        <is>
          <t xml:space="preserve">物资名称 磁头用软磁合金带;物资简称 钢带;牌号 1J85;厚度 δ0.2;宽 ;技术标准号 YB/T 086-1996;加工工艺 ;热处理工艺 ;特殊要求 硬态;规格标准号 </t>
        </is>
      </c>
      <c r="F207" t="inlineStr">
        <is>
          <t>千克</t>
        </is>
      </c>
      <c r="G207">
        <f>LEFT(D207,FIND("|",D207,1)-1)</f>
        <v/>
      </c>
      <c r="H207">
        <f>MID(D207,FIND("|",D207,FIND("|",D207,1))+1,FIND("|",D207,FIND("|",D207,1)+1)-FIND("|",D207,FIND("|",D207,1))-1)</f>
        <v/>
      </c>
      <c r="J207">
        <f>MID(D207,FIND(",",SUBSTITUTE(D207,"|",REPT(",",LEN(D207)),2))+1,FIND(",",SUBSTITUTE(D207,"|",REPT(",",LEN(D207)),3))-FIND(",",SUBSTITUTE(D207,"|",REPT(",",LEN(D207)),2))-1)</f>
        <v/>
      </c>
      <c r="K207">
        <f>MID(D207,FIND(",",SUBSTITUTE(D207,"|",REPT(",",LEN(D207)),3))+1,FIND(",",SUBSTITUTE(D207,"|",REPT(",",LEN(D207)),4))-FIND(",",SUBSTITUTE(D207,"|",REPT(",",LEN(D207)),3))-1)</f>
        <v/>
      </c>
      <c r="L207">
        <f>MID(D207,FIND(",",SUBSTITUTE(D207,"|",REPT(",",LEN(D207)),4))+1,FIND(",",SUBSTITUTE(D207,"|",REPT(",",LEN(D207)),5))-FIND(",",SUBSTITUTE(D207,"|",REPT(",",LEN(D207)),4))-1)</f>
        <v/>
      </c>
      <c r="P207">
        <f>MID(D207,FIND(";",SUBSTITUTE(D207,"|",REPT(";",LEN(D207)),5))+1,LEN(D207))</f>
        <v/>
      </c>
    </row>
    <row r="208">
      <c r="A208" t="inlineStr">
        <is>
          <t>100401</t>
        </is>
      </c>
      <c r="B208" t="inlineStr">
        <is>
          <t>钢带</t>
        </is>
      </c>
      <c r="C208" t="inlineStr">
        <is>
          <t>601336100</t>
        </is>
      </c>
      <c r="D208" t="inlineStr">
        <is>
          <t>不锈钢带|钢带|12Cr18Ni9|δ0.01</t>
        </is>
      </c>
      <c r="E208" t="inlineStr">
        <is>
          <t xml:space="preserve">物资名称 不锈钢带;物资简称 钢带;牌号 12Cr18Ni9;厚度 δ0.01;宽 ;技术标准号 ;加工工艺 ;热处理工艺 ;特殊要求 ;规格标准号 </t>
        </is>
      </c>
      <c r="F208" t="inlineStr">
        <is>
          <t>千克</t>
        </is>
      </c>
      <c r="G208">
        <f>LEFT(D208,FIND("|",D208,1)-1)</f>
        <v/>
      </c>
      <c r="H208">
        <f>MID(D208,FIND("|",D208,FIND("|",D208,1))+1,FIND("|",D208,FIND("|",D208,1)+1)-FIND("|",D208,FIND("|",D208,1))-1)</f>
        <v/>
      </c>
      <c r="J208">
        <f>MID(D208,FIND(",",SUBSTITUTE(D208,"|",REPT(",",LEN(D208)),2))+1,FIND(",",SUBSTITUTE(D208,"|",REPT(",",LEN(D208)),3))-FIND(",",SUBSTITUTE(D208,"|",REPT(",",LEN(D208)),2))-1)</f>
        <v/>
      </c>
      <c r="K208">
        <f>MID(D208,FIND(";",SUBSTITUTE(D208,"|",REPT(";",LEN(D208)),3))+1,LEN(D208))</f>
        <v/>
      </c>
    </row>
    <row r="209">
      <c r="A209" t="inlineStr">
        <is>
          <t>100401</t>
        </is>
      </c>
      <c r="B209" t="inlineStr">
        <is>
          <t>钢带</t>
        </is>
      </c>
      <c r="C209" t="inlineStr">
        <is>
          <t>601336000</t>
        </is>
      </c>
      <c r="D209" t="inlineStr">
        <is>
          <t>不锈钢带|钢带|1Cr18Ni9|δ0.2</t>
        </is>
      </c>
      <c r="E209" t="inlineStr">
        <is>
          <t xml:space="preserve">物资名称 不锈钢带;物资简称 钢带;牌号 1Cr18Ni9;厚度 δ0.2;宽 ;技术标准号 ;加工工艺 ;热处理工艺 ;特殊要求 ;规格标准号 </t>
        </is>
      </c>
      <c r="F209" t="inlineStr">
        <is>
          <t>千克</t>
        </is>
      </c>
      <c r="G209">
        <f>LEFT(D209,FIND("|",D209,1)-1)</f>
        <v/>
      </c>
      <c r="H209">
        <f>MID(D209,FIND("|",D209,FIND("|",D209,1))+1,FIND("|",D209,FIND("|",D209,1)+1)-FIND("|",D209,FIND("|",D209,1))-1)</f>
        <v/>
      </c>
      <c r="J209">
        <f>MID(D209,FIND(",",SUBSTITUTE(D209,"|",REPT(",",LEN(D209)),2))+1,FIND(",",SUBSTITUTE(D209,"|",REPT(",",LEN(D209)),3))-FIND(",",SUBSTITUTE(D209,"|",REPT(",",LEN(D209)),2))-1)</f>
        <v/>
      </c>
      <c r="K209">
        <f>MID(D209,FIND(";",SUBSTITUTE(D209,"|",REPT(";",LEN(D209)),3))+1,LEN(D209))</f>
        <v/>
      </c>
    </row>
    <row r="210">
      <c r="A210" t="inlineStr">
        <is>
          <t>100401</t>
        </is>
      </c>
      <c r="B210" t="inlineStr">
        <is>
          <t>钢带</t>
        </is>
      </c>
      <c r="C210" t="inlineStr">
        <is>
          <t>601335900</t>
        </is>
      </c>
      <c r="D210" t="inlineStr">
        <is>
          <t>弹簧钢带|钢带|T8A-Ⅲ-PT.B-SC|δ0.2,100</t>
        </is>
      </c>
      <c r="E210" t="inlineStr">
        <is>
          <t xml:space="preserve">物资名称 弹簧钢带;物资简称 钢带;牌号 T8A-Ⅲ-PT.B-SC;厚度 δ0.2;宽 100;技术标准号 ;加工工艺 ;热处理工艺 ;特殊要求 ;规格标准号 </t>
        </is>
      </c>
      <c r="F210" t="inlineStr">
        <is>
          <t>千克</t>
        </is>
      </c>
      <c r="G210">
        <f>LEFT(D210,FIND("|",D210,1)-1)</f>
        <v/>
      </c>
      <c r="H210">
        <f>MID(D210,FIND("|",D210,FIND("|",D210,1))+1,FIND("|",D210,FIND("|",D210,1)+1)-FIND("|",D210,FIND("|",D210,1))-1)</f>
        <v/>
      </c>
      <c r="J210">
        <f>MID(D210,FIND(",",SUBSTITUTE(D210,"|",REPT(",",LEN(D210)),2))+1,FIND(",",SUBSTITUTE(D210,"|",REPT(",",LEN(D210)),3))-FIND(",",SUBSTITUTE(D210,"|",REPT(",",LEN(D210)),2))-1)</f>
        <v/>
      </c>
      <c r="K210">
        <f>MID(D210,FIND(";",SUBSTITUTE(D210,"|",REPT(";",LEN(D210)),3))+1,LEN(D210))</f>
        <v/>
      </c>
    </row>
    <row r="211">
      <c r="A211" t="inlineStr">
        <is>
          <t>100401</t>
        </is>
      </c>
      <c r="B211" t="inlineStr">
        <is>
          <t>钢带</t>
        </is>
      </c>
      <c r="C211" t="inlineStr">
        <is>
          <t>601335800</t>
        </is>
      </c>
      <c r="D211" t="inlineStr">
        <is>
          <t>弹性合金钢带|钢带|3J21|δ0.1\0.29,90|502/97-5-41</t>
        </is>
      </c>
      <c r="E211" t="inlineStr">
        <is>
          <t xml:space="preserve">物资名称 弹性合金钢带;物资简称 钢带;牌号 3J21;厚度 δ0.1\0.29;宽 90;技术标准号 502/97-5-41;加工工艺 ;热处理工艺 ;特殊要求 ;规格标准号 </t>
        </is>
      </c>
      <c r="F211" t="inlineStr">
        <is>
          <t>千克</t>
        </is>
      </c>
      <c r="G211">
        <f>LEFT(D211,FIND("|",D211,1)-1)</f>
        <v/>
      </c>
      <c r="H211">
        <f>MID(D211,FIND("|",D211,FIND("|",D211,1))+1,FIND("|",D211,FIND("|",D211,1)+1)-FIND("|",D211,FIND("|",D211,1))-1)</f>
        <v/>
      </c>
      <c r="J211">
        <f>MID(D211,FIND(",",SUBSTITUTE(D211,"|",REPT(",",LEN(D211)),2))+1,FIND(",",SUBSTITUTE(D211,"|",REPT(",",LEN(D211)),3))-FIND(",",SUBSTITUTE(D211,"|",REPT(",",LEN(D211)),2))-1)</f>
        <v/>
      </c>
      <c r="K211">
        <f>MID(D211,FIND(";",SUBSTITUTE(D211,"|",REPT(";",LEN(D211)),3))+1,FIND(";",SUBSTITUTE(D211,"|",REPT(";",LEN(D211)),4))-FIND(";",SUBSTITUTE(D211,"|",REPT(";",LEN(D211)),3))-1)</f>
        <v/>
      </c>
      <c r="L211">
        <f>MID(D211,FIND(";",SUBSTITUTE(D211,"|",REPT(";",LEN(D211)),4))+1,LEN(D211))</f>
        <v/>
      </c>
    </row>
    <row r="212">
      <c r="A212" t="inlineStr">
        <is>
          <t>100401</t>
        </is>
      </c>
      <c r="B212" t="inlineStr">
        <is>
          <t>钢带</t>
        </is>
      </c>
      <c r="C212" t="inlineStr">
        <is>
          <t>601335700</t>
        </is>
      </c>
      <c r="D212" t="inlineStr">
        <is>
          <t>弹性合金钢带|钢带|3J21-B|δ0.29,180|502/2002-7-29</t>
        </is>
      </c>
      <c r="E212" t="inlineStr">
        <is>
          <t xml:space="preserve">物资名称 弹性合金钢带;物资简称 钢带;牌号 3J21-B;厚度 δ0.29;宽 180;技术标准号 502/2002-7-29;加工工艺 ;热处理工艺 ;特殊要求 ;规格标准号 </t>
        </is>
      </c>
      <c r="F212" t="inlineStr">
        <is>
          <t>千克</t>
        </is>
      </c>
      <c r="G212">
        <f>LEFT(D212,FIND("|",D212,1)-1)</f>
        <v/>
      </c>
      <c r="H212">
        <f>MID(D212,FIND("|",D212,FIND("|",D212,1))+1,FIND("|",D212,FIND("|",D212,1)+1)-FIND("|",D212,FIND("|",D212,1))-1)</f>
        <v/>
      </c>
      <c r="J212">
        <f>MID(D212,FIND(",",SUBSTITUTE(D212,"|",REPT(",",LEN(D212)),2))+1,FIND(",",SUBSTITUTE(D212,"|",REPT(",",LEN(D212)),3))-FIND(",",SUBSTITUTE(D212,"|",REPT(",",LEN(D212)),2))-1)</f>
        <v/>
      </c>
      <c r="K212">
        <f>MID(D212,FIND(";",SUBSTITUTE(D212,"|",REPT(";",LEN(D212)),3))+1,FIND(";",SUBSTITUTE(D212,"|",REPT(";",LEN(D212)),4))-FIND(";",SUBSTITUTE(D212,"|",REPT(";",LEN(D212)),3))-1)</f>
        <v/>
      </c>
      <c r="L212">
        <f>MID(D212,FIND(";",SUBSTITUTE(D212,"|",REPT(";",LEN(D212)),4))+1,LEN(D212))</f>
        <v/>
      </c>
    </row>
    <row r="213">
      <c r="A213" t="inlineStr">
        <is>
          <t>100401</t>
        </is>
      </c>
      <c r="B213" t="inlineStr">
        <is>
          <t>钢带</t>
        </is>
      </c>
      <c r="C213" t="inlineStr">
        <is>
          <t>601335600</t>
        </is>
      </c>
      <c r="D213" t="inlineStr">
        <is>
          <t>钢板|钢带|50RM400-AI|δ0.5×1230×1000|101/2003-2-10</t>
        </is>
      </c>
      <c r="E213" t="inlineStr">
        <is>
          <t xml:space="preserve">物资名称 钢板;物资简称 钢带;牌号 50RM400-AI;厚度 δ0.5×1230×1000;宽 ;技术标准号 101/2003-2-10;加工工艺 ;热处理工艺 ;特殊要求 ;规格标准号 </t>
        </is>
      </c>
      <c r="F213" t="inlineStr">
        <is>
          <t>千克</t>
        </is>
      </c>
      <c r="G213">
        <f>LEFT(D213,FIND("|",D213,1)-1)</f>
        <v/>
      </c>
      <c r="H213">
        <f>MID(D213,FIND("|",D213,FIND("|",D213,1))+1,FIND("|",D213,FIND("|",D213,1)+1)-FIND("|",D213,FIND("|",D213,1))-1)</f>
        <v/>
      </c>
      <c r="J213">
        <f>MID(D213,FIND(",",SUBSTITUTE(D213,"|",REPT(",",LEN(D213)),2))+1,FIND(",",SUBSTITUTE(D213,"|",REPT(",",LEN(D213)),3))-FIND(",",SUBSTITUTE(D213,"|",REPT(",",LEN(D213)),2))-1)</f>
        <v/>
      </c>
      <c r="K213">
        <f>MID(D213,FIND(",",SUBSTITUTE(D213,"|",REPT(",",LEN(D213)),3))+1,FIND(",",SUBSTITUTE(D213,"|",REPT(",",LEN(D213)),4))-FIND(",",SUBSTITUTE(D213,"|",REPT(",",LEN(D213)),3))-1)</f>
        <v/>
      </c>
      <c r="L213">
        <f>MID(D213,FIND(";",SUBSTITUTE(D213,"|",REPT(";",LEN(D213)),4))+1,LEN(D213))</f>
        <v/>
      </c>
    </row>
    <row r="214">
      <c r="A214" t="inlineStr">
        <is>
          <t>100401</t>
        </is>
      </c>
      <c r="B214" t="inlineStr">
        <is>
          <t>钢带</t>
        </is>
      </c>
      <c r="C214" t="inlineStr">
        <is>
          <t>601335500</t>
        </is>
      </c>
      <c r="D214" t="inlineStr">
        <is>
          <t>钢板|钢带|35H300|δ0.35×1000×1000|101/2006-3-67</t>
        </is>
      </c>
      <c r="E214" t="inlineStr">
        <is>
          <t xml:space="preserve">物资名称 钢板;物资简称 钢带;牌号 35H300;厚度 δ0.35×1000×1000;宽 ;技术标准号 101/2006-3-67;加工工艺 ;热处理工艺 ;特殊要求 ;规格标准号 </t>
        </is>
      </c>
      <c r="F214" t="inlineStr">
        <is>
          <t>千克</t>
        </is>
      </c>
      <c r="G214">
        <f>LEFT(D214,FIND("|",D214,1)-1)</f>
        <v/>
      </c>
      <c r="H214">
        <f>MID(D214,FIND("|",D214,FIND("|",D214,1))+1,FIND("|",D214,FIND("|",D214,1)+1)-FIND("|",D214,FIND("|",D214,1))-1)</f>
        <v/>
      </c>
      <c r="J214">
        <f>MID(D214,FIND(",",SUBSTITUTE(D214,"|",REPT(",",LEN(D214)),2))+1,FIND(",",SUBSTITUTE(D214,"|",REPT(",",LEN(D214)),3))-FIND(",",SUBSTITUTE(D214,"|",REPT(",",LEN(D214)),2))-1)</f>
        <v/>
      </c>
      <c r="K214">
        <f>MID(D214,FIND(",",SUBSTITUTE(D214,"|",REPT(",",LEN(D214)),3))+1,FIND(",",SUBSTITUTE(D214,"|",REPT(",",LEN(D214)),4))-FIND(",",SUBSTITUTE(D214,"|",REPT(",",LEN(D214)),3))-1)</f>
        <v/>
      </c>
      <c r="L214">
        <f>MID(D214,FIND(";",SUBSTITUTE(D214,"|",REPT(";",LEN(D214)),4))+1,LEN(D214))</f>
        <v/>
      </c>
    </row>
    <row r="215">
      <c r="A215" t="inlineStr">
        <is>
          <t>100401</t>
        </is>
      </c>
      <c r="B215" t="inlineStr">
        <is>
          <t>钢带</t>
        </is>
      </c>
      <c r="C215" t="inlineStr">
        <is>
          <t>601335400</t>
        </is>
      </c>
      <c r="D215" t="inlineStr">
        <is>
          <t>钢带|钢带|0Cr18Ni9|δ0.02</t>
        </is>
      </c>
      <c r="E215" t="inlineStr">
        <is>
          <t xml:space="preserve">物资名称 钢带;物资简称 钢带;牌号 0Cr18Ni9;厚度 δ0.02;宽 ;技术标准号 ;加工工艺 ;热处理工艺 ;特殊要求 ;规格标准号 </t>
        </is>
      </c>
      <c r="F215" t="inlineStr">
        <is>
          <t>千克</t>
        </is>
      </c>
      <c r="G215">
        <f>LEFT(D215,FIND("|",D215,1)-1)</f>
        <v/>
      </c>
      <c r="H215">
        <f>MID(D215,FIND("|",D215,FIND("|",D215,1))+1,FIND("|",D215,FIND("|",D215,1)+1)-FIND("|",D215,FIND("|",D215,1))-1)</f>
        <v/>
      </c>
      <c r="J215">
        <f>MID(D215,FIND(",",SUBSTITUTE(D215,"|",REPT(",",LEN(D215)),2))+1,FIND(",",SUBSTITUTE(D215,"|",REPT(",",LEN(D215)),3))-FIND(",",SUBSTITUTE(D215,"|",REPT(",",LEN(D215)),2))-1)</f>
        <v/>
      </c>
      <c r="K215">
        <f>MID(D215,FIND(";",SUBSTITUTE(D215,"|",REPT(";",LEN(D215)),3))+1,LEN(D215))</f>
        <v/>
      </c>
    </row>
    <row r="216">
      <c r="A216" t="inlineStr">
        <is>
          <t>100401</t>
        </is>
      </c>
      <c r="B216" t="inlineStr">
        <is>
          <t>钢带</t>
        </is>
      </c>
      <c r="C216" t="inlineStr">
        <is>
          <t>601335300</t>
        </is>
      </c>
      <c r="D216" t="inlineStr">
        <is>
          <t>钢带|钢带|0Cr18Ni9|δ0.12</t>
        </is>
      </c>
      <c r="E216" t="inlineStr">
        <is>
          <t xml:space="preserve">物资名称 钢带;物资简称 钢带;牌号 0Cr18Ni9;厚度 δ0.12;宽 ;技术标准号 ;加工工艺 ;热处理工艺 ;特殊要求 ;规格标准号 </t>
        </is>
      </c>
      <c r="F216" t="inlineStr">
        <is>
          <t>千克</t>
        </is>
      </c>
      <c r="G216">
        <f>LEFT(D216,FIND("|",D216,1)-1)</f>
        <v/>
      </c>
      <c r="H216">
        <f>MID(D216,FIND("|",D216,FIND("|",D216,1))+1,FIND("|",D216,FIND("|",D216,1)+1)-FIND("|",D216,FIND("|",D216,1))-1)</f>
        <v/>
      </c>
      <c r="J216">
        <f>MID(D216,FIND(",",SUBSTITUTE(D216,"|",REPT(",",LEN(D216)),2))+1,FIND(",",SUBSTITUTE(D216,"|",REPT(",",LEN(D216)),3))-FIND(",",SUBSTITUTE(D216,"|",REPT(",",LEN(D216)),2))-1)</f>
        <v/>
      </c>
      <c r="K216">
        <f>MID(D216,FIND(";",SUBSTITUTE(D216,"|",REPT(";",LEN(D216)),3))+1,LEN(D216))</f>
        <v/>
      </c>
    </row>
    <row r="217">
      <c r="A217" t="inlineStr">
        <is>
          <t>100401</t>
        </is>
      </c>
      <c r="B217" t="inlineStr">
        <is>
          <t>钢带</t>
        </is>
      </c>
      <c r="C217" t="inlineStr">
        <is>
          <t>601335200</t>
        </is>
      </c>
      <c r="D217" t="inlineStr">
        <is>
          <t>钢带|钢带|0Cr18Ni9|δ0.18</t>
        </is>
      </c>
      <c r="E217" t="inlineStr">
        <is>
          <t xml:space="preserve">物资名称 钢带;物资简称 钢带;牌号 0Cr18Ni9;厚度 δ0.18;宽 ;技术标准号 ;加工工艺 ;热处理工艺 ;特殊要求 ;规格标准号 </t>
        </is>
      </c>
      <c r="F217" t="inlineStr">
        <is>
          <t>千克</t>
        </is>
      </c>
      <c r="G217">
        <f>LEFT(D217,FIND("|",D217,1)-1)</f>
        <v/>
      </c>
      <c r="H217">
        <f>MID(D217,FIND("|",D217,FIND("|",D217,1))+1,FIND("|",D217,FIND("|",D217,1)+1)-FIND("|",D217,FIND("|",D217,1))-1)</f>
        <v/>
      </c>
      <c r="J217">
        <f>MID(D217,FIND(",",SUBSTITUTE(D217,"|",REPT(",",LEN(D217)),2))+1,FIND(",",SUBSTITUTE(D217,"|",REPT(",",LEN(D217)),3))-FIND(",",SUBSTITUTE(D217,"|",REPT(",",LEN(D217)),2))-1)</f>
        <v/>
      </c>
      <c r="K217">
        <f>MID(D217,FIND(";",SUBSTITUTE(D217,"|",REPT(";",LEN(D217)),3))+1,LEN(D217))</f>
        <v/>
      </c>
    </row>
    <row r="218">
      <c r="A218" t="inlineStr">
        <is>
          <t>100401</t>
        </is>
      </c>
      <c r="B218" t="inlineStr">
        <is>
          <t>钢带</t>
        </is>
      </c>
      <c r="C218" t="inlineStr">
        <is>
          <t>601335100</t>
        </is>
      </c>
      <c r="D218" t="inlineStr">
        <is>
          <t>钢带|钢带|10#-H-Q-R|δ0.8×100|101/2003-11-17</t>
        </is>
      </c>
      <c r="E218" t="inlineStr">
        <is>
          <t xml:space="preserve">物资名称 钢带;物资简称 钢带;牌号 10#-H-Q-R;厚度 δ0.8×100;宽 ;技术标准号 101/2003-11-17;加工工艺 ;热处理工艺 ;特殊要求 ;规格标准号 </t>
        </is>
      </c>
      <c r="F218" t="inlineStr">
        <is>
          <t>千克</t>
        </is>
      </c>
      <c r="G218">
        <f>LEFT(D218,FIND("|",D218,1)-1)</f>
        <v/>
      </c>
      <c r="H218">
        <f>MID(D218,FIND("|",D218,FIND("|",D218,1))+1,FIND("|",D218,FIND("|",D218,1)+1)-FIND("|",D218,FIND("|",D218,1))-1)</f>
        <v/>
      </c>
      <c r="J218">
        <f>MID(D218,FIND(",",SUBSTITUTE(D218,"|",REPT(",",LEN(D218)),2))+1,FIND(",",SUBSTITUTE(D218,"|",REPT(",",LEN(D218)),3))-FIND(",",SUBSTITUTE(D218,"|",REPT(",",LEN(D218)),2))-1)</f>
        <v/>
      </c>
      <c r="K218">
        <f>MID(D218,FIND(",",SUBSTITUTE(D218,"|",REPT(",",LEN(D218)),3))+1,FIND(",",SUBSTITUTE(D218,"|",REPT(",",LEN(D218)),4))-FIND(",",SUBSTITUTE(D218,"|",REPT(",",LEN(D218)),3))-1)</f>
        <v/>
      </c>
      <c r="L218">
        <f>MID(D218,FIND(";",SUBSTITUTE(D218,"|",REPT(";",LEN(D218)),4))+1,LEN(D218))</f>
        <v/>
      </c>
    </row>
    <row r="219">
      <c r="A219" t="inlineStr">
        <is>
          <t>100401</t>
        </is>
      </c>
      <c r="B219" t="inlineStr">
        <is>
          <t>钢带</t>
        </is>
      </c>
      <c r="C219" t="inlineStr">
        <is>
          <t>601335000</t>
        </is>
      </c>
      <c r="D219" t="inlineStr">
        <is>
          <t>钢带|钢带|20#|δ0.5|104/75-3-13</t>
        </is>
      </c>
      <c r="E219" t="inlineStr">
        <is>
          <t xml:space="preserve">物资名称 钢带;物资简称 钢带;牌号 20#;厚度 δ0.5;宽 ;技术标准号 104/75-3-13;加工工艺 ;热处理工艺 ;特殊要求 ;规格标准号 </t>
        </is>
      </c>
      <c r="F219" t="inlineStr">
        <is>
          <t>千克</t>
        </is>
      </c>
      <c r="G219">
        <f>LEFT(D219,FIND("|",D219,1)-1)</f>
        <v/>
      </c>
      <c r="H219">
        <f>MID(D219,FIND("|",D219,FIND("|",D219,1))+1,FIND("|",D219,FIND("|",D219,1)+1)-FIND("|",D219,FIND("|",D219,1))-1)</f>
        <v/>
      </c>
      <c r="J219">
        <f>MID(D219,FIND(",",SUBSTITUTE(D219,"|",REPT(",",LEN(D219)),2))+1,FIND(",",SUBSTITUTE(D219,"|",REPT(",",LEN(D219)),3))-FIND(",",SUBSTITUTE(D219,"|",REPT(",",LEN(D219)),2))-1)</f>
        <v/>
      </c>
      <c r="K219">
        <f>MID(D219,FIND(",",SUBSTITUTE(D219,"|",REPT(",",LEN(D219)),3))+1,FIND(",",SUBSTITUTE(D219,"|",REPT(",",LEN(D219)),4))-FIND(",",SUBSTITUTE(D219,"|",REPT(",",LEN(D219)),3))-1)</f>
        <v/>
      </c>
      <c r="L219">
        <f>MID(D219,FIND(";",SUBSTITUTE(D219,"|",REPT(";",LEN(D219)),4))+1,LEN(D219))</f>
        <v/>
      </c>
    </row>
    <row r="220">
      <c r="A220" t="inlineStr">
        <is>
          <t>100401</t>
        </is>
      </c>
      <c r="B220" t="inlineStr">
        <is>
          <t>钢带</t>
        </is>
      </c>
      <c r="C220" t="inlineStr">
        <is>
          <t>601334900</t>
        </is>
      </c>
      <c r="D220" t="inlineStr">
        <is>
          <t>钢带|钢带|20-S-Ⅱ|δ1-140×1000</t>
        </is>
      </c>
      <c r="E220" t="inlineStr">
        <is>
          <t xml:space="preserve">物资名称 钢带;物资简称 钢带;牌号 20-S-Ⅱ;厚度 δ1-140×1000;宽 ;技术标准号 ;加工工艺 ;热处理工艺 ;特殊要求 ;规格标准号 </t>
        </is>
      </c>
      <c r="F220" t="inlineStr">
        <is>
          <t>千克</t>
        </is>
      </c>
      <c r="G220">
        <f>LEFT(D220,FIND("|",D220,1)-1)</f>
        <v/>
      </c>
      <c r="H220">
        <f>MID(D220,FIND("|",D220,FIND("|",D220,1))+1,FIND("|",D220,FIND("|",D220,1)+1)-FIND("|",D220,FIND("|",D220,1))-1)</f>
        <v/>
      </c>
      <c r="J220">
        <f>MID(D220,FIND(",",SUBSTITUTE(D220,"|",REPT(",",LEN(D220)),2))+1,FIND(",",SUBSTITUTE(D220,"|",REPT(",",LEN(D220)),3))-FIND(",",SUBSTITUTE(D220,"|",REPT(",",LEN(D220)),2))-1)</f>
        <v/>
      </c>
      <c r="K220">
        <f>MID(D220,FIND(";",SUBSTITUTE(D220,"|",REPT(";",LEN(D220)),3))+1,LEN(D220))</f>
        <v/>
      </c>
    </row>
    <row r="221">
      <c r="A221" t="inlineStr">
        <is>
          <t>100401</t>
        </is>
      </c>
      <c r="B221" t="inlineStr">
        <is>
          <t>钢带</t>
        </is>
      </c>
      <c r="C221" t="inlineStr">
        <is>
          <t>601334800</t>
        </is>
      </c>
      <c r="D221" t="inlineStr">
        <is>
          <t>钢带|钢带|2Cr13|δ0.4,0.5,0.6|101/83-12-104</t>
        </is>
      </c>
      <c r="E221" t="inlineStr">
        <is>
          <t xml:space="preserve">物资名称 钢带;物资简称 钢带;牌号 2Cr13;厚度 δ0.4,0.5,0.6;宽 ;技术标准号 101/83-12-104;加工工艺 ;热处理工艺 ;特殊要求 ;规格标准号 </t>
        </is>
      </c>
      <c r="F221" t="inlineStr">
        <is>
          <t>千克</t>
        </is>
      </c>
      <c r="G221">
        <f>LEFT(D221,FIND("|",D221,1)-1)</f>
        <v/>
      </c>
      <c r="H221">
        <f>MID(D221,FIND("|",D221,FIND("|",D221,1))+1,FIND("|",D221,FIND("|",D221,1)+1)-FIND("|",D221,FIND("|",D221,1))-1)</f>
        <v/>
      </c>
      <c r="J221">
        <f>MID(D221,FIND(",",SUBSTITUTE(D221,"|",REPT(",",LEN(D221)),2))+1,FIND(",",SUBSTITUTE(D221,"|",REPT(",",LEN(D221)),3))-FIND(",",SUBSTITUTE(D221,"|",REPT(",",LEN(D221)),2))-1)</f>
        <v/>
      </c>
      <c r="K221">
        <f>MID(D221,FIND(",",SUBSTITUTE(D221,"|",REPT(",",LEN(D221)),3))+1,FIND(",",SUBSTITUTE(D221,"|",REPT(",",LEN(D221)),4))-FIND(",",SUBSTITUTE(D221,"|",REPT(",",LEN(D221)),3))-1)</f>
        <v/>
      </c>
      <c r="L221">
        <f>MID(D221,FIND(";",SUBSTITUTE(D221,"|",REPT(";",LEN(D221)),4))+1,LEN(D221))</f>
        <v/>
      </c>
    </row>
    <row r="222">
      <c r="A222" t="inlineStr">
        <is>
          <t>100401</t>
        </is>
      </c>
      <c r="B222" t="inlineStr">
        <is>
          <t>钢带</t>
        </is>
      </c>
      <c r="C222" t="inlineStr">
        <is>
          <t>601334700</t>
        </is>
      </c>
      <c r="D222" t="inlineStr">
        <is>
          <t>钢带|钢带|60Si2MnA|δ0.5|502/92-4-21</t>
        </is>
      </c>
      <c r="E222" t="inlineStr">
        <is>
          <t xml:space="preserve">物资名称 钢带;物资简称 钢带;牌号 60Si2MnA;厚度 δ0.5;宽 ;技术标准号 502/92-4-21;加工工艺 ;热处理工艺 ;特殊要求 ;规格标准号 </t>
        </is>
      </c>
      <c r="F222" t="inlineStr">
        <is>
          <t>千克</t>
        </is>
      </c>
      <c r="G222">
        <f>LEFT(D222,FIND("|",D222,1)-1)</f>
        <v/>
      </c>
      <c r="H222">
        <f>MID(D222,FIND("|",D222,FIND("|",D222,1))+1,FIND("|",D222,FIND("|",D222,1)+1)-FIND("|",D222,FIND("|",D222,1))-1)</f>
        <v/>
      </c>
      <c r="J222">
        <f>MID(D222,FIND(",",SUBSTITUTE(D222,"|",REPT(",",LEN(D222)),2))+1,FIND(",",SUBSTITUTE(D222,"|",REPT(",",LEN(D222)),3))-FIND(",",SUBSTITUTE(D222,"|",REPT(",",LEN(D222)),2))-1)</f>
        <v/>
      </c>
      <c r="K222">
        <f>MID(D222,FIND(",",SUBSTITUTE(D222,"|",REPT(",",LEN(D222)),3))+1,FIND(",",SUBSTITUTE(D222,"|",REPT(",",LEN(D222)),4))-FIND(",",SUBSTITUTE(D222,"|",REPT(",",LEN(D222)),3))-1)</f>
        <v/>
      </c>
      <c r="L222">
        <f>MID(D222,FIND(";",SUBSTITUTE(D222,"|",REPT(";",LEN(D222)),4))+1,LEN(D222))</f>
        <v/>
      </c>
    </row>
    <row r="223">
      <c r="A223" t="inlineStr">
        <is>
          <t>100401</t>
        </is>
      </c>
      <c r="B223" t="inlineStr">
        <is>
          <t>钢带</t>
        </is>
      </c>
      <c r="C223" t="inlineStr">
        <is>
          <t>601334600</t>
        </is>
      </c>
      <c r="D223" t="inlineStr">
        <is>
          <t>钢带|钢带|60Si2MnA|δ0.6×55|502/98-6-39</t>
        </is>
      </c>
      <c r="E223" t="inlineStr">
        <is>
          <t xml:space="preserve">物资名称 钢带;物资简称 钢带;牌号 60Si2MnA;厚度 δ0.6×55;宽 ;技术标准号 502/98-6-39;加工工艺 ;热处理工艺 ;特殊要求 ;规格标准号 </t>
        </is>
      </c>
      <c r="F223" t="inlineStr">
        <is>
          <t>千克</t>
        </is>
      </c>
      <c r="G223">
        <f>LEFT(D223,FIND("|",D223,1)-1)</f>
        <v/>
      </c>
      <c r="H223">
        <f>MID(D223,FIND("|",D223,FIND("|",D223,1))+1,FIND("|",D223,FIND("|",D223,1)+1)-FIND("|",D223,FIND("|",D223,1))-1)</f>
        <v/>
      </c>
      <c r="J223">
        <f>MID(D223,FIND(",",SUBSTITUTE(D223,"|",REPT(",",LEN(D223)),2))+1,FIND(",",SUBSTITUTE(D223,"|",REPT(",",LEN(D223)),3))-FIND(",",SUBSTITUTE(D223,"|",REPT(",",LEN(D223)),2))-1)</f>
        <v/>
      </c>
      <c r="K223">
        <f>MID(D223,FIND(",",SUBSTITUTE(D223,"|",REPT(",",LEN(D223)),3))+1,FIND(",",SUBSTITUTE(D223,"|",REPT(",",LEN(D223)),4))-FIND(",",SUBSTITUTE(D223,"|",REPT(",",LEN(D223)),3))-1)</f>
        <v/>
      </c>
      <c r="L223">
        <f>MID(D223,FIND(";",SUBSTITUTE(D223,"|",REPT(";",LEN(D223)),4))+1,LEN(D223))</f>
        <v/>
      </c>
    </row>
    <row r="224">
      <c r="A224" t="inlineStr">
        <is>
          <t>100401</t>
        </is>
      </c>
      <c r="B224" t="inlineStr">
        <is>
          <t>钢带</t>
        </is>
      </c>
      <c r="C224" t="inlineStr">
        <is>
          <t>601334500</t>
        </is>
      </c>
      <c r="D224" t="inlineStr">
        <is>
          <t>钢带|钢带|60Si2MnA-H-Q-T|δ0.6×70|502/98-10-54</t>
        </is>
      </c>
      <c r="E224" t="inlineStr">
        <is>
          <t xml:space="preserve">物资名称 钢带;物资简称 钢带;牌号 60Si2MnA-H-Q-T;厚度 δ0.6×70;宽 ;技术标准号 502/98-10-54;加工工艺 ;热处理工艺 ;特殊要求 ;规格标准号 </t>
        </is>
      </c>
      <c r="F224" t="inlineStr">
        <is>
          <t>千克</t>
        </is>
      </c>
      <c r="G224">
        <f>LEFT(D224,FIND("|",D224,1)-1)</f>
        <v/>
      </c>
      <c r="H224">
        <f>MID(D224,FIND("|",D224,FIND("|",D224,1))+1,FIND("|",D224,FIND("|",D224,1)+1)-FIND("|",D224,FIND("|",D224,1))-1)</f>
        <v/>
      </c>
      <c r="J224">
        <f>MID(D224,FIND(",",SUBSTITUTE(D224,"|",REPT(",",LEN(D224)),2))+1,FIND(",",SUBSTITUTE(D224,"|",REPT(",",LEN(D224)),3))-FIND(",",SUBSTITUTE(D224,"|",REPT(",",LEN(D224)),2))-1)</f>
        <v/>
      </c>
      <c r="K224">
        <f>MID(D224,FIND(",",SUBSTITUTE(D224,"|",REPT(",",LEN(D224)),3))+1,FIND(",",SUBSTITUTE(D224,"|",REPT(",",LEN(D224)),4))-FIND(",",SUBSTITUTE(D224,"|",REPT(",",LEN(D224)),3))-1)</f>
        <v/>
      </c>
      <c r="L224">
        <f>MID(D224,FIND(";",SUBSTITUTE(D224,"|",REPT(";",LEN(D224)),4))+1,LEN(D224))</f>
        <v/>
      </c>
    </row>
    <row r="225">
      <c r="A225" t="inlineStr">
        <is>
          <t>100401</t>
        </is>
      </c>
      <c r="B225" t="inlineStr">
        <is>
          <t>钢带</t>
        </is>
      </c>
      <c r="C225" t="inlineStr">
        <is>
          <t>601334400</t>
        </is>
      </c>
      <c r="D225" t="inlineStr">
        <is>
          <t>钢带|钢带|60Si2MnA-P-Q-BG-T|δ0.2×40|101/71-9-80</t>
        </is>
      </c>
      <c r="E225" t="inlineStr">
        <is>
          <t xml:space="preserve">物资名称 钢带;物资简称 钢带;牌号 60Si2MnA-P-Q-BG-T;厚度 δ0.2×40;宽 ;技术标准号 101/71-9-80;加工工艺 ;热处理工艺 ;特殊要求 ;规格标准号 </t>
        </is>
      </c>
      <c r="F225" t="inlineStr">
        <is>
          <t>千克</t>
        </is>
      </c>
      <c r="G225">
        <f>LEFT(D225,FIND("|",D225,1)-1)</f>
        <v/>
      </c>
      <c r="H225">
        <f>MID(D225,FIND("|",D225,FIND("|",D225,1))+1,FIND("|",D225,FIND("|",D225,1)+1)-FIND("|",D225,FIND("|",D225,1))-1)</f>
        <v/>
      </c>
      <c r="J225">
        <f>MID(D225,FIND(",",SUBSTITUTE(D225,"|",REPT(",",LEN(D225)),2))+1,FIND(",",SUBSTITUTE(D225,"|",REPT(",",LEN(D225)),3))-FIND(",",SUBSTITUTE(D225,"|",REPT(",",LEN(D225)),2))-1)</f>
        <v/>
      </c>
      <c r="K225">
        <f>MID(D225,FIND(",",SUBSTITUTE(D225,"|",REPT(",",LEN(D225)),3))+1,FIND(",",SUBSTITUTE(D225,"|",REPT(",",LEN(D225)),4))-FIND(",",SUBSTITUTE(D225,"|",REPT(",",LEN(D225)),3))-1)</f>
        <v/>
      </c>
      <c r="L225">
        <f>MID(D225,FIND(";",SUBSTITUTE(D225,"|",REPT(";",LEN(D225)),4))+1,LEN(D225))</f>
        <v/>
      </c>
    </row>
    <row r="226">
      <c r="A226" t="inlineStr">
        <is>
          <t>100401</t>
        </is>
      </c>
      <c r="B226" t="inlineStr">
        <is>
          <t>钢带</t>
        </is>
      </c>
      <c r="C226" t="inlineStr">
        <is>
          <t>601334300</t>
        </is>
      </c>
      <c r="D226" t="inlineStr">
        <is>
          <t>钢带|钢带|65Mn|δ1.5</t>
        </is>
      </c>
      <c r="E226" t="inlineStr">
        <is>
          <t xml:space="preserve">物资名称 钢带;物资简称 钢带;牌号 65Mn;厚度 δ1.5;宽 ;技术标准号 ;加工工艺 ;热处理工艺 ;特殊要求 ;规格标准号 </t>
        </is>
      </c>
      <c r="F226" t="inlineStr">
        <is>
          <t>千克</t>
        </is>
      </c>
      <c r="G226">
        <f>LEFT(D226,FIND("|",D226,1)-1)</f>
        <v/>
      </c>
      <c r="H226">
        <f>MID(D226,FIND("|",D226,FIND("|",D226,1))+1,FIND("|",D226,FIND("|",D226,1)+1)-FIND("|",D226,FIND("|",D226,1))-1)</f>
        <v/>
      </c>
      <c r="J226">
        <f>MID(D226,FIND(",",SUBSTITUTE(D226,"|",REPT(",",LEN(D226)),2))+1,FIND(",",SUBSTITUTE(D226,"|",REPT(",",LEN(D226)),3))-FIND(",",SUBSTITUTE(D226,"|",REPT(",",LEN(D226)),2))-1)</f>
        <v/>
      </c>
      <c r="K226">
        <f>MID(D226,FIND(";",SUBSTITUTE(D226,"|",REPT(";",LEN(D226)),3))+1,LEN(D226))</f>
        <v/>
      </c>
    </row>
    <row r="227">
      <c r="A227" t="inlineStr">
        <is>
          <t>100401</t>
        </is>
      </c>
      <c r="B227" t="inlineStr">
        <is>
          <t>钢带</t>
        </is>
      </c>
      <c r="C227" t="inlineStr">
        <is>
          <t>601334200</t>
        </is>
      </c>
      <c r="D227" t="inlineStr">
        <is>
          <t>钢带|钢带|65Mn-I-P-Y|δ0.2×100</t>
        </is>
      </c>
      <c r="E227" t="inlineStr">
        <is>
          <t xml:space="preserve">物资名称 钢带;物资简称 钢带;牌号 65Mn-I-P-Y;厚度 δ0.2×100;宽 ;技术标准号 ;加工工艺 ;热处理工艺 ;特殊要求 ;规格标准号 </t>
        </is>
      </c>
      <c r="F227" t="inlineStr">
        <is>
          <t>千克</t>
        </is>
      </c>
      <c r="G227">
        <f>LEFT(D227,FIND("|",D227,1)-1)</f>
        <v/>
      </c>
      <c r="H227">
        <f>MID(D227,FIND("|",D227,FIND("|",D227,1))+1,FIND("|",D227,FIND("|",D227,1)+1)-FIND("|",D227,FIND("|",D227,1))-1)</f>
        <v/>
      </c>
      <c r="J227">
        <f>MID(D227,FIND(",",SUBSTITUTE(D227,"|",REPT(",",LEN(D227)),2))+1,FIND(",",SUBSTITUTE(D227,"|",REPT(",",LEN(D227)),3))-FIND(",",SUBSTITUTE(D227,"|",REPT(",",LEN(D227)),2))-1)</f>
        <v/>
      </c>
      <c r="K227">
        <f>MID(D227,FIND(";",SUBSTITUTE(D227,"|",REPT(";",LEN(D227)),3))+1,LEN(D227))</f>
        <v/>
      </c>
    </row>
    <row r="228">
      <c r="A228" t="inlineStr">
        <is>
          <t>100401</t>
        </is>
      </c>
      <c r="B228" t="inlineStr">
        <is>
          <t>钢带</t>
        </is>
      </c>
      <c r="C228" t="inlineStr">
        <is>
          <t>601334100</t>
        </is>
      </c>
      <c r="D228" t="inlineStr">
        <is>
          <t>钢带|钢带|65Mn-J-Ⅱ-Q-S|δ0.1×60|101/2002-2-5</t>
        </is>
      </c>
      <c r="E228" t="inlineStr">
        <is>
          <t xml:space="preserve">物资名称 钢带;物资简称 钢带;牌号 65Mn-J-Ⅱ-Q-S;厚度 δ0.1×60;宽 ;技术标准号 101/2002-2-5;加工工艺 ;热处理工艺 ;特殊要求 ;规格标准号 </t>
        </is>
      </c>
      <c r="F228" t="inlineStr">
        <is>
          <t>千克</t>
        </is>
      </c>
      <c r="G228">
        <f>LEFT(D228,FIND("|",D228,1)-1)</f>
        <v/>
      </c>
      <c r="H228">
        <f>MID(D228,FIND("|",D228,FIND("|",D228,1))+1,FIND("|",D228,FIND("|",D228,1)+1)-FIND("|",D228,FIND("|",D228,1))-1)</f>
        <v/>
      </c>
      <c r="J228">
        <f>MID(D228,FIND(",",SUBSTITUTE(D228,"|",REPT(",",LEN(D228)),2))+1,FIND(",",SUBSTITUTE(D228,"|",REPT(",",LEN(D228)),3))-FIND(",",SUBSTITUTE(D228,"|",REPT(",",LEN(D228)),2))-1)</f>
        <v/>
      </c>
      <c r="K228">
        <f>MID(D228,FIND(",",SUBSTITUTE(D228,"|",REPT(",",LEN(D228)),3))+1,FIND(",",SUBSTITUTE(D228,"|",REPT(",",LEN(D228)),4))-FIND(",",SUBSTITUTE(D228,"|",REPT(",",LEN(D228)),3))-1)</f>
        <v/>
      </c>
      <c r="L228">
        <f>MID(D228,FIND(";",SUBSTITUTE(D228,"|",REPT(";",LEN(D228)),4))+1,LEN(D228))</f>
        <v/>
      </c>
    </row>
    <row r="229">
      <c r="A229" t="inlineStr">
        <is>
          <t>100401</t>
        </is>
      </c>
      <c r="B229" t="inlineStr">
        <is>
          <t>钢带</t>
        </is>
      </c>
      <c r="C229" t="inlineStr">
        <is>
          <t>601334000</t>
        </is>
      </c>
      <c r="D229" t="inlineStr">
        <is>
          <t>钢带|钢带|T10A|δ0.3×100|101/74-7-18</t>
        </is>
      </c>
      <c r="E229" t="inlineStr">
        <is>
          <t xml:space="preserve">物资名称 钢带;物资简称 钢带;牌号 T10A;厚度 δ0.3×100;宽 ;技术标准号 101/74-7-18;加工工艺 ;热处理工艺 ;特殊要求 ;规格标准号 </t>
        </is>
      </c>
      <c r="F229" t="inlineStr">
        <is>
          <t>千克</t>
        </is>
      </c>
      <c r="G229">
        <f>LEFT(D229,FIND("|",D229,1)-1)</f>
        <v/>
      </c>
      <c r="H229">
        <f>MID(D229,FIND("|",D229,FIND("|",D229,1))+1,FIND("|",D229,FIND("|",D229,1)+1)-FIND("|",D229,FIND("|",D229,1))-1)</f>
        <v/>
      </c>
      <c r="J229">
        <f>MID(D229,FIND(",",SUBSTITUTE(D229,"|",REPT(",",LEN(D229)),2))+1,FIND(",",SUBSTITUTE(D229,"|",REPT(",",LEN(D229)),3))-FIND(",",SUBSTITUTE(D229,"|",REPT(",",LEN(D229)),2))-1)</f>
        <v/>
      </c>
      <c r="K229">
        <f>MID(D229,FIND(",",SUBSTITUTE(D229,"|",REPT(",",LEN(D229)),3))+1,FIND(",",SUBSTITUTE(D229,"|",REPT(",",LEN(D229)),4))-FIND(",",SUBSTITUTE(D229,"|",REPT(",",LEN(D229)),3))-1)</f>
        <v/>
      </c>
      <c r="L229">
        <f>MID(D229,FIND(";",SUBSTITUTE(D229,"|",REPT(";",LEN(D229)),4))+1,LEN(D229))</f>
        <v/>
      </c>
    </row>
    <row r="230">
      <c r="A230" t="inlineStr">
        <is>
          <t>100401</t>
        </is>
      </c>
      <c r="B230" t="inlineStr">
        <is>
          <t>钢带</t>
        </is>
      </c>
      <c r="C230" t="inlineStr">
        <is>
          <t>601333900</t>
        </is>
      </c>
      <c r="D230" t="inlineStr">
        <is>
          <t>钢带|钢带|T10A-Ⅱ-J-Q-P-S|δ0.33×5|101/77-10-161</t>
        </is>
      </c>
      <c r="E230" t="inlineStr">
        <is>
          <t xml:space="preserve">物资名称 钢带;物资简称 钢带;牌号 T10A-Ⅱ-J-Q-P-S;厚度 δ0.33×5;宽 ;技术标准号 101/77-10-161;加工工艺 ;热处理工艺 ;特殊要求 ;规格标准号 </t>
        </is>
      </c>
      <c r="F230" t="inlineStr">
        <is>
          <t>千克</t>
        </is>
      </c>
      <c r="G230">
        <f>LEFT(D230,FIND("|",D230,1)-1)</f>
        <v/>
      </c>
      <c r="H230">
        <f>MID(D230,FIND("|",D230,FIND("|",D230,1))+1,FIND("|",D230,FIND("|",D230,1)+1)-FIND("|",D230,FIND("|",D230,1))-1)</f>
        <v/>
      </c>
      <c r="J230">
        <f>MID(D230,FIND(",",SUBSTITUTE(D230,"|",REPT(",",LEN(D230)),2))+1,FIND(",",SUBSTITUTE(D230,"|",REPT(",",LEN(D230)),3))-FIND(",",SUBSTITUTE(D230,"|",REPT(",",LEN(D230)),2))-1)</f>
        <v/>
      </c>
      <c r="K230">
        <f>MID(D230,FIND(",",SUBSTITUTE(D230,"|",REPT(",",LEN(D230)),3))+1,FIND(",",SUBSTITUTE(D230,"|",REPT(",",LEN(D230)),4))-FIND(",",SUBSTITUTE(D230,"|",REPT(",",LEN(D230)),3))-1)</f>
        <v/>
      </c>
      <c r="L230">
        <f>MID(D230,FIND(";",SUBSTITUTE(D230,"|",REPT(";",LEN(D230)),4))+1,LEN(D230))</f>
        <v/>
      </c>
    </row>
    <row r="231">
      <c r="A231" t="inlineStr">
        <is>
          <t>100401</t>
        </is>
      </c>
      <c r="B231" t="inlineStr">
        <is>
          <t>钢带</t>
        </is>
      </c>
      <c r="C231" t="inlineStr">
        <is>
          <t>601333800</t>
        </is>
      </c>
      <c r="D231" t="inlineStr">
        <is>
          <t>钢带|钢带|T10A-Ⅱ-T-M-S|δ0.25×5|69-10-244</t>
        </is>
      </c>
      <c r="E231" t="inlineStr">
        <is>
          <t xml:space="preserve">物资名称 钢带;物资简称 钢带;牌号 T10A-Ⅱ-T-M-S;厚度 δ0.25×5;宽 ;技术标准号 69-10-244;加工工艺 ;热处理工艺 ;特殊要求 ;规格标准号 </t>
        </is>
      </c>
      <c r="F231" t="inlineStr">
        <is>
          <t>千克</t>
        </is>
      </c>
      <c r="G231">
        <f>LEFT(D231,FIND("|",D231,1)-1)</f>
        <v/>
      </c>
      <c r="H231">
        <f>MID(D231,FIND("|",D231,FIND("|",D231,1))+1,FIND("|",D231,FIND("|",D231,1)+1)-FIND("|",D231,FIND("|",D231,1))-1)</f>
        <v/>
      </c>
      <c r="J231">
        <f>MID(D231,FIND(",",SUBSTITUTE(D231,"|",REPT(",",LEN(D231)),2))+1,FIND(",",SUBSTITUTE(D231,"|",REPT(",",LEN(D231)),3))-FIND(",",SUBSTITUTE(D231,"|",REPT(",",LEN(D231)),2))-1)</f>
        <v/>
      </c>
      <c r="K231">
        <f>MID(D231,FIND(",",SUBSTITUTE(D231,"|",REPT(",",LEN(D231)),3))+1,FIND(",",SUBSTITUTE(D231,"|",REPT(",",LEN(D231)),4))-FIND(",",SUBSTITUTE(D231,"|",REPT(",",LEN(D231)),3))-1)</f>
        <v/>
      </c>
      <c r="L231">
        <f>MID(D231,FIND(";",SUBSTITUTE(D231,"|",REPT(";",LEN(D231)),4))+1,LEN(D231))</f>
        <v/>
      </c>
    </row>
    <row r="232">
      <c r="A232" t="inlineStr">
        <is>
          <t>100401</t>
        </is>
      </c>
      <c r="B232" t="inlineStr">
        <is>
          <t>钢带</t>
        </is>
      </c>
      <c r="C232" t="inlineStr">
        <is>
          <t>601333700</t>
        </is>
      </c>
      <c r="D232" t="inlineStr">
        <is>
          <t>钢带|钢带|T10A-P-Q-BG-T|δ0.2×60|101/66-12-504</t>
        </is>
      </c>
      <c r="E232" t="inlineStr">
        <is>
          <t xml:space="preserve">物资名称 钢带;物资简称 钢带;牌号 T10A-P-Q-BG-T;厚度 δ0.2×60;宽 ;技术标准号 101/66-12-504;加工工艺 ;热处理工艺 ;特殊要求 ;规格标准号 </t>
        </is>
      </c>
      <c r="F232" t="inlineStr">
        <is>
          <t>千克</t>
        </is>
      </c>
      <c r="G232">
        <f>LEFT(D232,FIND("|",D232,1)-1)</f>
        <v/>
      </c>
      <c r="H232">
        <f>MID(D232,FIND("|",D232,FIND("|",D232,1))+1,FIND("|",D232,FIND("|",D232,1)+1)-FIND("|",D232,FIND("|",D232,1))-1)</f>
        <v/>
      </c>
      <c r="J232">
        <f>MID(D232,FIND(",",SUBSTITUTE(D232,"|",REPT(",",LEN(D232)),2))+1,FIND(",",SUBSTITUTE(D232,"|",REPT(",",LEN(D232)),3))-FIND(",",SUBSTITUTE(D232,"|",REPT(",",LEN(D232)),2))-1)</f>
        <v/>
      </c>
      <c r="K232">
        <f>MID(D232,FIND(",",SUBSTITUTE(D232,"|",REPT(",",LEN(D232)),3))+1,FIND(",",SUBSTITUTE(D232,"|",REPT(",",LEN(D232)),4))-FIND(",",SUBSTITUTE(D232,"|",REPT(",",LEN(D232)),3))-1)</f>
        <v/>
      </c>
      <c r="L232">
        <f>MID(D232,FIND(";",SUBSTITUTE(D232,"|",REPT(";",LEN(D232)),4))+1,LEN(D232))</f>
        <v/>
      </c>
    </row>
    <row r="233">
      <c r="A233" t="inlineStr">
        <is>
          <t>100401</t>
        </is>
      </c>
      <c r="B233" t="inlineStr">
        <is>
          <t>钢带</t>
        </is>
      </c>
      <c r="C233" t="inlineStr">
        <is>
          <t>601333600</t>
        </is>
      </c>
      <c r="D233" t="inlineStr">
        <is>
          <t>钢带|钢带|T10A-P-Q-BG-T|δ0.4×90|101/70-1-3</t>
        </is>
      </c>
      <c r="E233" t="inlineStr">
        <is>
          <t xml:space="preserve">物资名称 钢带;物资简称 钢带;牌号 T10A-P-Q-BG-T;厚度 δ0.4×90;宽 ;技术标准号 101/70-1-3;加工工艺 ;热处理工艺 ;特殊要求 ;规格标准号 </t>
        </is>
      </c>
      <c r="F233" t="inlineStr">
        <is>
          <t>千克</t>
        </is>
      </c>
      <c r="G233">
        <f>LEFT(D233,FIND("|",D233,1)-1)</f>
        <v/>
      </c>
      <c r="H233">
        <f>MID(D233,FIND("|",D233,FIND("|",D233,1))+1,FIND("|",D233,FIND("|",D233,1)+1)-FIND("|",D233,FIND("|",D233,1))-1)</f>
        <v/>
      </c>
      <c r="J233">
        <f>MID(D233,FIND(",",SUBSTITUTE(D233,"|",REPT(",",LEN(D233)),2))+1,FIND(",",SUBSTITUTE(D233,"|",REPT(",",LEN(D233)),3))-FIND(",",SUBSTITUTE(D233,"|",REPT(",",LEN(D233)),2))-1)</f>
        <v/>
      </c>
      <c r="K233">
        <f>MID(D233,FIND(",",SUBSTITUTE(D233,"|",REPT(",",LEN(D233)),3))+1,FIND(",",SUBSTITUTE(D233,"|",REPT(",",LEN(D233)),4))-FIND(",",SUBSTITUTE(D233,"|",REPT(",",LEN(D233)),3))-1)</f>
        <v/>
      </c>
      <c r="L233">
        <f>MID(D233,FIND(";",SUBSTITUTE(D233,"|",REPT(";",LEN(D233)),4))+1,LEN(D233))</f>
        <v/>
      </c>
    </row>
    <row r="234">
      <c r="A234" t="inlineStr">
        <is>
          <t>100401</t>
        </is>
      </c>
      <c r="B234" t="inlineStr">
        <is>
          <t>钢带</t>
        </is>
      </c>
      <c r="C234" t="inlineStr">
        <is>
          <t>601333500</t>
        </is>
      </c>
      <c r="D234" t="inlineStr">
        <is>
          <t>钢带|钢带|T10A-P-Q-G-T|δ0.8×100|101/76-2-17</t>
        </is>
      </c>
      <c r="E234" t="inlineStr">
        <is>
          <t xml:space="preserve">物资名称 钢带;物资简称 钢带;牌号 T10A-P-Q-G-T;厚度 δ0.8×100;宽 ;技术标准号 101/76-2-17;加工工艺 ;热处理工艺 ;特殊要求 ;规格标准号 </t>
        </is>
      </c>
      <c r="F234" t="inlineStr">
        <is>
          <t>千克</t>
        </is>
      </c>
      <c r="G234">
        <f>LEFT(D234,FIND("|",D234,1)-1)</f>
        <v/>
      </c>
      <c r="H234">
        <f>MID(D234,FIND("|",D234,FIND("|",D234,1))+1,FIND("|",D234,FIND("|",D234,1)+1)-FIND("|",D234,FIND("|",D234,1))-1)</f>
        <v/>
      </c>
      <c r="J234">
        <f>MID(D234,FIND(",",SUBSTITUTE(D234,"|",REPT(",",LEN(D234)),2))+1,FIND(",",SUBSTITUTE(D234,"|",REPT(",",LEN(D234)),3))-FIND(",",SUBSTITUTE(D234,"|",REPT(",",LEN(D234)),2))-1)</f>
        <v/>
      </c>
      <c r="K234">
        <f>MID(D234,FIND(",",SUBSTITUTE(D234,"|",REPT(",",LEN(D234)),3))+1,FIND(",",SUBSTITUTE(D234,"|",REPT(",",LEN(D234)),4))-FIND(",",SUBSTITUTE(D234,"|",REPT(",",LEN(D234)),3))-1)</f>
        <v/>
      </c>
      <c r="L234">
        <f>MID(D234,FIND(";",SUBSTITUTE(D234,"|",REPT(";",LEN(D234)),4))+1,LEN(D234))</f>
        <v/>
      </c>
    </row>
    <row r="235">
      <c r="A235" t="inlineStr">
        <is>
          <t>100401</t>
        </is>
      </c>
      <c r="B235" t="inlineStr">
        <is>
          <t>钢带</t>
        </is>
      </c>
      <c r="C235" t="inlineStr">
        <is>
          <t>601333400</t>
        </is>
      </c>
      <c r="D235" t="inlineStr">
        <is>
          <t>钢带|钢带|T10A-P-Q-G-T|δ0.8×100|101/76-8-85</t>
        </is>
      </c>
      <c r="E235" t="inlineStr">
        <is>
          <t xml:space="preserve">物资名称 钢带;物资简称 钢带;牌号 T10A-P-Q-G-T;厚度 δ0.8×100;宽 ;技术标准号 101/76-8-85;加工工艺 ;热处理工艺 ;特殊要求 ;规格标准号 </t>
        </is>
      </c>
      <c r="F235" t="inlineStr">
        <is>
          <t>千克</t>
        </is>
      </c>
      <c r="G235">
        <f>LEFT(D235,FIND("|",D235,1)-1)</f>
        <v/>
      </c>
      <c r="H235">
        <f>MID(D235,FIND("|",D235,FIND("|",D235,1))+1,FIND("|",D235,FIND("|",D235,1)+1)-FIND("|",D235,FIND("|",D235,1))-1)</f>
        <v/>
      </c>
      <c r="J235">
        <f>MID(D235,FIND(",",SUBSTITUTE(D235,"|",REPT(",",LEN(D235)),2))+1,FIND(",",SUBSTITUTE(D235,"|",REPT(",",LEN(D235)),3))-FIND(",",SUBSTITUTE(D235,"|",REPT(",",LEN(D235)),2))-1)</f>
        <v/>
      </c>
      <c r="K235">
        <f>MID(D235,FIND(",",SUBSTITUTE(D235,"|",REPT(",",LEN(D235)),3))+1,FIND(",",SUBSTITUTE(D235,"|",REPT(",",LEN(D235)),4))-FIND(",",SUBSTITUTE(D235,"|",REPT(",",LEN(D235)),3))-1)</f>
        <v/>
      </c>
      <c r="L235">
        <f>MID(D235,FIND(";",SUBSTITUTE(D235,"|",REPT(";",LEN(D235)),4))+1,LEN(D235))</f>
        <v/>
      </c>
    </row>
    <row r="236">
      <c r="A236" t="inlineStr">
        <is>
          <t>100401</t>
        </is>
      </c>
      <c r="B236" t="inlineStr">
        <is>
          <t>钢带</t>
        </is>
      </c>
      <c r="C236" t="inlineStr">
        <is>
          <t>601333300</t>
        </is>
      </c>
      <c r="D236" t="inlineStr">
        <is>
          <t>钢带|钢带|T10A-P-Q-G-T|δ1×90|101/69-6-171</t>
        </is>
      </c>
      <c r="E236" t="inlineStr">
        <is>
          <t xml:space="preserve">物资名称 钢带;物资简称 钢带;牌号 T10A-P-Q-G-T;厚度 δ1×90;宽 ;技术标准号 101/69-6-171;加工工艺 ;热处理工艺 ;特殊要求 ;规格标准号 </t>
        </is>
      </c>
      <c r="F236" t="inlineStr">
        <is>
          <t>千克</t>
        </is>
      </c>
      <c r="G236">
        <f>LEFT(D236,FIND("|",D236,1)-1)</f>
        <v/>
      </c>
      <c r="H236">
        <f>MID(D236,FIND("|",D236,FIND("|",D236,1))+1,FIND("|",D236,FIND("|",D236,1)+1)-FIND("|",D236,FIND("|",D236,1))-1)</f>
        <v/>
      </c>
      <c r="J236">
        <f>MID(D236,FIND(",",SUBSTITUTE(D236,"|",REPT(",",LEN(D236)),2))+1,FIND(",",SUBSTITUTE(D236,"|",REPT(",",LEN(D236)),3))-FIND(",",SUBSTITUTE(D236,"|",REPT(",",LEN(D236)),2))-1)</f>
        <v/>
      </c>
      <c r="K236">
        <f>MID(D236,FIND(",",SUBSTITUTE(D236,"|",REPT(",",LEN(D236)),3))+1,FIND(",",SUBSTITUTE(D236,"|",REPT(",",LEN(D236)),4))-FIND(",",SUBSTITUTE(D236,"|",REPT(",",LEN(D236)),3))-1)</f>
        <v/>
      </c>
      <c r="L236">
        <f>MID(D236,FIND(";",SUBSTITUTE(D236,"|",REPT(";",LEN(D236)),4))+1,LEN(D236))</f>
        <v/>
      </c>
    </row>
    <row r="237">
      <c r="A237" t="inlineStr">
        <is>
          <t>100401</t>
        </is>
      </c>
      <c r="B237" t="inlineStr">
        <is>
          <t>钢带</t>
        </is>
      </c>
      <c r="C237" t="inlineStr">
        <is>
          <t>601333200</t>
        </is>
      </c>
      <c r="D237" t="inlineStr">
        <is>
          <t>钢带|钢带|T10A-T-Ⅱ-Q-P6-S|δ0.33×5|101/79-12-127</t>
        </is>
      </c>
      <c r="E237" t="inlineStr">
        <is>
          <t xml:space="preserve">物资名称 钢带;物资简称 钢带;牌号 T10A-T-Ⅱ-Q-P6-S;厚度 δ0.33×5;宽 ;技术标准号 101/79-12-127;加工工艺 ;热处理工艺 ;特殊要求 ;规格标准号 </t>
        </is>
      </c>
      <c r="F237" t="inlineStr">
        <is>
          <t>千克</t>
        </is>
      </c>
      <c r="G237">
        <f>LEFT(D237,FIND("|",D237,1)-1)</f>
        <v/>
      </c>
      <c r="H237">
        <f>MID(D237,FIND("|",D237,FIND("|",D237,1))+1,FIND("|",D237,FIND("|",D237,1)+1)-FIND("|",D237,FIND("|",D237,1))-1)</f>
        <v/>
      </c>
      <c r="J237">
        <f>MID(D237,FIND(",",SUBSTITUTE(D237,"|",REPT(",",LEN(D237)),2))+1,FIND(",",SUBSTITUTE(D237,"|",REPT(",",LEN(D237)),3))-FIND(",",SUBSTITUTE(D237,"|",REPT(",",LEN(D237)),2))-1)</f>
        <v/>
      </c>
      <c r="K237">
        <f>MID(D237,FIND(",",SUBSTITUTE(D237,"|",REPT(",",LEN(D237)),3))+1,FIND(",",SUBSTITUTE(D237,"|",REPT(",",LEN(D237)),4))-FIND(",",SUBSTITUTE(D237,"|",REPT(",",LEN(D237)),3))-1)</f>
        <v/>
      </c>
      <c r="L237">
        <f>MID(D237,FIND(";",SUBSTITUTE(D237,"|",REPT(";",LEN(D237)),4))+1,LEN(D237))</f>
        <v/>
      </c>
    </row>
    <row r="238">
      <c r="A238" t="inlineStr">
        <is>
          <t>100401</t>
        </is>
      </c>
      <c r="B238" t="inlineStr">
        <is>
          <t>钢带</t>
        </is>
      </c>
      <c r="C238" t="inlineStr">
        <is>
          <t>601333100</t>
        </is>
      </c>
      <c r="D238" t="inlineStr">
        <is>
          <t>钢带|钢带|T8A|δ0.3×4|101/69-8-210</t>
        </is>
      </c>
      <c r="E238" t="inlineStr">
        <is>
          <t xml:space="preserve">物资名称 钢带;物资简称 钢带;牌号 T8A;厚度 δ0.3×4;宽 ;技术标准号 101/69-8-210;加工工艺 ;热处理工艺 ;特殊要求 ;规格标准号 </t>
        </is>
      </c>
      <c r="F238" t="inlineStr">
        <is>
          <t>千克</t>
        </is>
      </c>
      <c r="G238">
        <f>LEFT(D238,FIND("|",D238,1)-1)</f>
        <v/>
      </c>
      <c r="H238">
        <f>MID(D238,FIND("|",D238,FIND("|",D238,1))+1,FIND("|",D238,FIND("|",D238,1)+1)-FIND("|",D238,FIND("|",D238,1))-1)</f>
        <v/>
      </c>
      <c r="J238">
        <f>MID(D238,FIND(",",SUBSTITUTE(D238,"|",REPT(",",LEN(D238)),2))+1,FIND(",",SUBSTITUTE(D238,"|",REPT(",",LEN(D238)),3))-FIND(",",SUBSTITUTE(D238,"|",REPT(",",LEN(D238)),2))-1)</f>
        <v/>
      </c>
      <c r="K238">
        <f>MID(D238,FIND(",",SUBSTITUTE(D238,"|",REPT(",",LEN(D238)),3))+1,FIND(",",SUBSTITUTE(D238,"|",REPT(",",LEN(D238)),4))-FIND(",",SUBSTITUTE(D238,"|",REPT(",",LEN(D238)),3))-1)</f>
        <v/>
      </c>
      <c r="L238">
        <f>MID(D238,FIND(";",SUBSTITUTE(D238,"|",REPT(";",LEN(D238)),4))+1,LEN(D238))</f>
        <v/>
      </c>
    </row>
    <row r="239">
      <c r="A239" t="inlineStr">
        <is>
          <t>100401</t>
        </is>
      </c>
      <c r="B239" t="inlineStr">
        <is>
          <t>钢带</t>
        </is>
      </c>
      <c r="C239" t="inlineStr">
        <is>
          <t>601333000</t>
        </is>
      </c>
      <c r="D239" t="inlineStr">
        <is>
          <t>钢带|钢带|T8A|δ0.6×50|101/79-3-37</t>
        </is>
      </c>
      <c r="E239" t="inlineStr">
        <is>
          <t xml:space="preserve">物资名称 钢带;物资简称 钢带;牌号 T8A;厚度 δ0.6×50;宽 ;技术标准号 101/79-3-37;加工工艺 ;热处理工艺 ;特殊要求 ;规格标准号 </t>
        </is>
      </c>
      <c r="F239" t="inlineStr">
        <is>
          <t>千克</t>
        </is>
      </c>
      <c r="G239">
        <f>LEFT(D239,FIND("|",D239,1)-1)</f>
        <v/>
      </c>
      <c r="H239">
        <f>MID(D239,FIND("|",D239,FIND("|",D239,1))+1,FIND("|",D239,FIND("|",D239,1)+1)-FIND("|",D239,FIND("|",D239,1))-1)</f>
        <v/>
      </c>
      <c r="J239">
        <f>MID(D239,FIND(",",SUBSTITUTE(D239,"|",REPT(",",LEN(D239)),2))+1,FIND(",",SUBSTITUTE(D239,"|",REPT(",",LEN(D239)),3))-FIND(",",SUBSTITUTE(D239,"|",REPT(",",LEN(D239)),2))-1)</f>
        <v/>
      </c>
      <c r="K239">
        <f>MID(D239,FIND(",",SUBSTITUTE(D239,"|",REPT(",",LEN(D239)),3))+1,FIND(",",SUBSTITUTE(D239,"|",REPT(",",LEN(D239)),4))-FIND(",",SUBSTITUTE(D239,"|",REPT(",",LEN(D239)),3))-1)</f>
        <v/>
      </c>
      <c r="L239">
        <f>MID(D239,FIND(";",SUBSTITUTE(D239,"|",REPT(";",LEN(D239)),4))+1,LEN(D239))</f>
        <v/>
      </c>
    </row>
    <row r="240">
      <c r="A240" t="inlineStr">
        <is>
          <t>100401</t>
        </is>
      </c>
      <c r="B240" t="inlineStr">
        <is>
          <t>钢带</t>
        </is>
      </c>
      <c r="C240" t="inlineStr">
        <is>
          <t>601332900</t>
        </is>
      </c>
      <c r="D240" t="inlineStr">
        <is>
          <t>钢带|钢带|T8A-2n|δ1×6|104/69-2-52</t>
        </is>
      </c>
      <c r="E240" t="inlineStr">
        <is>
          <t xml:space="preserve">物资名称 钢带;物资简称 钢带;牌号 T8A-2n;厚度 δ1×6;宽 ;技术标准号 104/69-2-52;加工工艺 ;热处理工艺 ;特殊要求 ;规格标准号 </t>
        </is>
      </c>
      <c r="F240" t="inlineStr">
        <is>
          <t>千克</t>
        </is>
      </c>
      <c r="G240">
        <f>LEFT(D240,FIND("|",D240,1)-1)</f>
        <v/>
      </c>
      <c r="H240">
        <f>MID(D240,FIND("|",D240,FIND("|",D240,1))+1,FIND("|",D240,FIND("|",D240,1)+1)-FIND("|",D240,FIND("|",D240,1))-1)</f>
        <v/>
      </c>
      <c r="J240">
        <f>MID(D240,FIND(",",SUBSTITUTE(D240,"|",REPT(",",LEN(D240)),2))+1,FIND(",",SUBSTITUTE(D240,"|",REPT(",",LEN(D240)),3))-FIND(",",SUBSTITUTE(D240,"|",REPT(",",LEN(D240)),2))-1)</f>
        <v/>
      </c>
      <c r="K240">
        <f>MID(D240,FIND(",",SUBSTITUTE(D240,"|",REPT(",",LEN(D240)),3))+1,FIND(",",SUBSTITUTE(D240,"|",REPT(",",LEN(D240)),4))-FIND(",",SUBSTITUTE(D240,"|",REPT(",",LEN(D240)),3))-1)</f>
        <v/>
      </c>
      <c r="L240">
        <f>MID(D240,FIND(";",SUBSTITUTE(D240,"|",REPT(";",LEN(D240)),4))+1,LEN(D240))</f>
        <v/>
      </c>
    </row>
    <row r="241">
      <c r="A241" t="inlineStr">
        <is>
          <t>100401</t>
        </is>
      </c>
      <c r="B241" t="inlineStr">
        <is>
          <t>钢带</t>
        </is>
      </c>
      <c r="C241" t="inlineStr">
        <is>
          <t>601332800</t>
        </is>
      </c>
      <c r="D241" t="inlineStr">
        <is>
          <t>钢带|钢带|T8A-2n-BK|δ0.2×40|101/65-7-308</t>
        </is>
      </c>
      <c r="E241" t="inlineStr">
        <is>
          <t xml:space="preserve">物资名称 钢带;物资简称 钢带;牌号 T8A-2n-BK;厚度 δ0.2×40;宽 ;技术标准号 101/65-7-308;加工工艺 ;热处理工艺 ;特殊要求 ;规格标准号 </t>
        </is>
      </c>
      <c r="F241" t="inlineStr">
        <is>
          <t>千克</t>
        </is>
      </c>
      <c r="G241">
        <f>LEFT(D241,FIND("|",D241,1)-1)</f>
        <v/>
      </c>
      <c r="H241">
        <f>MID(D241,FIND("|",D241,FIND("|",D241,1))+1,FIND("|",D241,FIND("|",D241,1)+1)-FIND("|",D241,FIND("|",D241,1))-1)</f>
        <v/>
      </c>
      <c r="J241">
        <f>MID(D241,FIND(",",SUBSTITUTE(D241,"|",REPT(",",LEN(D241)),2))+1,FIND(",",SUBSTITUTE(D241,"|",REPT(",",LEN(D241)),3))-FIND(",",SUBSTITUTE(D241,"|",REPT(",",LEN(D241)),2))-1)</f>
        <v/>
      </c>
      <c r="K241">
        <f>MID(D241,FIND(",",SUBSTITUTE(D241,"|",REPT(",",LEN(D241)),3))+1,FIND(",",SUBSTITUTE(D241,"|",REPT(",",LEN(D241)),4))-FIND(",",SUBSTITUTE(D241,"|",REPT(",",LEN(D241)),3))-1)</f>
        <v/>
      </c>
      <c r="L241">
        <f>MID(D241,FIND(";",SUBSTITUTE(D241,"|",REPT(";",LEN(D241)),4))+1,LEN(D241))</f>
        <v/>
      </c>
    </row>
    <row r="242">
      <c r="A242" t="inlineStr">
        <is>
          <t>100401</t>
        </is>
      </c>
      <c r="B242" t="inlineStr">
        <is>
          <t>钢带</t>
        </is>
      </c>
      <c r="C242" t="inlineStr">
        <is>
          <t>601332700</t>
        </is>
      </c>
      <c r="D242" t="inlineStr">
        <is>
          <t>钢带|钢带|T8A-2n-B-K|δ0.3×50|101/65-12-750</t>
        </is>
      </c>
      <c r="E242" t="inlineStr">
        <is>
          <t xml:space="preserve">物资名称 钢带;物资简称 钢带;牌号 T8A-2n-B-K;厚度 δ0.3×50;宽 ;技术标准号 101/65-12-750;加工工艺 ;热处理工艺 ;特殊要求 ;规格标准号 </t>
        </is>
      </c>
      <c r="F242" t="inlineStr">
        <is>
          <t>千克</t>
        </is>
      </c>
      <c r="G242">
        <f>LEFT(D242,FIND("|",D242,1)-1)</f>
        <v/>
      </c>
      <c r="H242">
        <f>MID(D242,FIND("|",D242,FIND("|",D242,1))+1,FIND("|",D242,FIND("|",D242,1)+1)-FIND("|",D242,FIND("|",D242,1))-1)</f>
        <v/>
      </c>
      <c r="J242">
        <f>MID(D242,FIND(",",SUBSTITUTE(D242,"|",REPT(",",LEN(D242)),2))+1,FIND(",",SUBSTITUTE(D242,"|",REPT(",",LEN(D242)),3))-FIND(",",SUBSTITUTE(D242,"|",REPT(",",LEN(D242)),2))-1)</f>
        <v/>
      </c>
      <c r="K242">
        <f>MID(D242,FIND(",",SUBSTITUTE(D242,"|",REPT(",",LEN(D242)),3))+1,FIND(",",SUBSTITUTE(D242,"|",REPT(",",LEN(D242)),4))-FIND(",",SUBSTITUTE(D242,"|",REPT(",",LEN(D242)),3))-1)</f>
        <v/>
      </c>
      <c r="L242">
        <f>MID(D242,FIND(";",SUBSTITUTE(D242,"|",REPT(";",LEN(D242)),4))+1,LEN(D242))</f>
        <v/>
      </c>
    </row>
    <row r="243">
      <c r="A243" t="inlineStr">
        <is>
          <t>100401</t>
        </is>
      </c>
      <c r="B243" t="inlineStr">
        <is>
          <t>钢带</t>
        </is>
      </c>
      <c r="C243" t="inlineStr">
        <is>
          <t>601332600</t>
        </is>
      </c>
      <c r="D243" t="inlineStr">
        <is>
          <t>钢带|钢带|T8A-2n-K|δ0.4×50|101/65-12-745</t>
        </is>
      </c>
      <c r="E243" t="inlineStr">
        <is>
          <t xml:space="preserve">物资名称 钢带;物资简称 钢带;牌号 T8A-2n-K;厚度 δ0.4×50;宽 ;技术标准号 101/65-12-745;加工工艺 ;热处理工艺 ;特殊要求 ;规格标准号 </t>
        </is>
      </c>
      <c r="F243" t="inlineStr">
        <is>
          <t>千克</t>
        </is>
      </c>
      <c r="G243">
        <f>LEFT(D243,FIND("|",D243,1)-1)</f>
        <v/>
      </c>
      <c r="H243">
        <f>MID(D243,FIND("|",D243,FIND("|",D243,1))+1,FIND("|",D243,FIND("|",D243,1)+1)-FIND("|",D243,FIND("|",D243,1))-1)</f>
        <v/>
      </c>
      <c r="J243">
        <f>MID(D243,FIND(",",SUBSTITUTE(D243,"|",REPT(",",LEN(D243)),2))+1,FIND(",",SUBSTITUTE(D243,"|",REPT(",",LEN(D243)),3))-FIND(",",SUBSTITUTE(D243,"|",REPT(",",LEN(D243)),2))-1)</f>
        <v/>
      </c>
      <c r="K243">
        <f>MID(D243,FIND(",",SUBSTITUTE(D243,"|",REPT(",",LEN(D243)),3))+1,FIND(",",SUBSTITUTE(D243,"|",REPT(",",LEN(D243)),4))-FIND(",",SUBSTITUTE(D243,"|",REPT(",",LEN(D243)),3))-1)</f>
        <v/>
      </c>
      <c r="L243">
        <f>MID(D243,FIND(";",SUBSTITUTE(D243,"|",REPT(";",LEN(D243)),4))+1,LEN(D243))</f>
        <v/>
      </c>
    </row>
    <row r="244">
      <c r="A244" t="inlineStr">
        <is>
          <t>100401</t>
        </is>
      </c>
      <c r="B244" t="inlineStr">
        <is>
          <t>钢带</t>
        </is>
      </c>
      <c r="C244" t="inlineStr">
        <is>
          <t>601332500</t>
        </is>
      </c>
      <c r="D244" t="inlineStr">
        <is>
          <t>钢带|钢带|T8A-2n-K|δ0.5×51|101/67-2-55</t>
        </is>
      </c>
      <c r="E244" t="inlineStr">
        <is>
          <t xml:space="preserve">物资名称 钢带;物资简称 钢带;牌号 T8A-2n-K;厚度 δ0.5×51;宽 ;技术标准号 101/67-2-55;加工工艺 ;热处理工艺 ;特殊要求 ;规格标准号 </t>
        </is>
      </c>
      <c r="F244" t="inlineStr">
        <is>
          <t>千克</t>
        </is>
      </c>
      <c r="G244">
        <f>LEFT(D244,FIND("|",D244,1)-1)</f>
        <v/>
      </c>
      <c r="H244">
        <f>MID(D244,FIND("|",D244,FIND("|",D244,1))+1,FIND("|",D244,FIND("|",D244,1)+1)-FIND("|",D244,FIND("|",D244,1))-1)</f>
        <v/>
      </c>
      <c r="J244">
        <f>MID(D244,FIND(",",SUBSTITUTE(D244,"|",REPT(",",LEN(D244)),2))+1,FIND(",",SUBSTITUTE(D244,"|",REPT(",",LEN(D244)),3))-FIND(",",SUBSTITUTE(D244,"|",REPT(",",LEN(D244)),2))-1)</f>
        <v/>
      </c>
      <c r="K244">
        <f>MID(D244,FIND(",",SUBSTITUTE(D244,"|",REPT(",",LEN(D244)),3))+1,FIND(",",SUBSTITUTE(D244,"|",REPT(",",LEN(D244)),4))-FIND(",",SUBSTITUTE(D244,"|",REPT(",",LEN(D244)),3))-1)</f>
        <v/>
      </c>
      <c r="L244">
        <f>MID(D244,FIND(";",SUBSTITUTE(D244,"|",REPT(";",LEN(D244)),4))+1,LEN(D244))</f>
        <v/>
      </c>
    </row>
    <row r="245">
      <c r="A245" t="inlineStr">
        <is>
          <t>100401</t>
        </is>
      </c>
      <c r="B245" t="inlineStr">
        <is>
          <t>钢带</t>
        </is>
      </c>
      <c r="C245" t="inlineStr">
        <is>
          <t>601332400</t>
        </is>
      </c>
      <c r="D245" t="inlineStr">
        <is>
          <t>钢带|钢带|T8A-2n-K|δ0.6×60|101/65-12-753</t>
        </is>
      </c>
      <c r="E245" t="inlineStr">
        <is>
          <t xml:space="preserve">物资名称 钢带;物资简称 钢带;牌号 T8A-2n-K;厚度 δ0.6×60;宽 ;技术标准号 101/65-12-753;加工工艺 ;热处理工艺 ;特殊要求 ;规格标准号 </t>
        </is>
      </c>
      <c r="F245" t="inlineStr">
        <is>
          <t>千克</t>
        </is>
      </c>
      <c r="G245">
        <f>LEFT(D245,FIND("|",D245,1)-1)</f>
        <v/>
      </c>
      <c r="H245">
        <f>MID(D245,FIND("|",D245,FIND("|",D245,1))+1,FIND("|",D245,FIND("|",D245,1)+1)-FIND("|",D245,FIND("|",D245,1))-1)</f>
        <v/>
      </c>
      <c r="J245">
        <f>MID(D245,FIND(",",SUBSTITUTE(D245,"|",REPT(",",LEN(D245)),2))+1,FIND(",",SUBSTITUTE(D245,"|",REPT(",",LEN(D245)),3))-FIND(",",SUBSTITUTE(D245,"|",REPT(",",LEN(D245)),2))-1)</f>
        <v/>
      </c>
      <c r="K245">
        <f>MID(D245,FIND(",",SUBSTITUTE(D245,"|",REPT(",",LEN(D245)),3))+1,FIND(",",SUBSTITUTE(D245,"|",REPT(",",LEN(D245)),4))-FIND(",",SUBSTITUTE(D245,"|",REPT(",",LEN(D245)),3))-1)</f>
        <v/>
      </c>
      <c r="L245">
        <f>MID(D245,FIND(";",SUBSTITUTE(D245,"|",REPT(";",LEN(D245)),4))+1,LEN(D245))</f>
        <v/>
      </c>
    </row>
    <row r="246">
      <c r="A246" t="inlineStr">
        <is>
          <t>100401</t>
        </is>
      </c>
      <c r="B246" t="inlineStr">
        <is>
          <t>钢带</t>
        </is>
      </c>
      <c r="C246" t="inlineStr">
        <is>
          <t>601332300</t>
        </is>
      </c>
      <c r="D246" t="inlineStr">
        <is>
          <t>钢带|钢带|T8A-3n|δ0.3×4|101/69-8-210</t>
        </is>
      </c>
      <c r="E246" t="inlineStr">
        <is>
          <t xml:space="preserve">物资名称 钢带;物资简称 钢带;牌号 T8A-3n;厚度 δ0.3×4;宽 ;技术标准号 101/69-8-210;加工工艺 ;热处理工艺 ;特殊要求 ;规格标准号 </t>
        </is>
      </c>
      <c r="F246" t="inlineStr">
        <is>
          <t>千克</t>
        </is>
      </c>
      <c r="G246">
        <f>LEFT(D246,FIND("|",D246,1)-1)</f>
        <v/>
      </c>
      <c r="H246">
        <f>MID(D246,FIND("|",D246,FIND("|",D246,1))+1,FIND("|",D246,FIND("|",D246,1)+1)-FIND("|",D246,FIND("|",D246,1))-1)</f>
        <v/>
      </c>
      <c r="J246">
        <f>MID(D246,FIND(",",SUBSTITUTE(D246,"|",REPT(",",LEN(D246)),2))+1,FIND(",",SUBSTITUTE(D246,"|",REPT(",",LEN(D246)),3))-FIND(",",SUBSTITUTE(D246,"|",REPT(",",LEN(D246)),2))-1)</f>
        <v/>
      </c>
      <c r="K246">
        <f>MID(D246,FIND(",",SUBSTITUTE(D246,"|",REPT(",",LEN(D246)),3))+1,FIND(",",SUBSTITUTE(D246,"|",REPT(",",LEN(D246)),4))-FIND(",",SUBSTITUTE(D246,"|",REPT(",",LEN(D246)),3))-1)</f>
        <v/>
      </c>
      <c r="L246">
        <f>MID(D246,FIND(";",SUBSTITUTE(D246,"|",REPT(";",LEN(D246)),4))+1,LEN(D246))</f>
        <v/>
      </c>
    </row>
    <row r="247">
      <c r="A247" t="inlineStr">
        <is>
          <t>100401</t>
        </is>
      </c>
      <c r="B247" t="inlineStr">
        <is>
          <t>钢带</t>
        </is>
      </c>
      <c r="C247" t="inlineStr">
        <is>
          <t>601332200</t>
        </is>
      </c>
      <c r="D247" t="inlineStr">
        <is>
          <t>钢带|钢带|T8A-3n-BK|δ0.3×20|101/66-6-263</t>
        </is>
      </c>
      <c r="E247" t="inlineStr">
        <is>
          <t xml:space="preserve">物资名称 钢带;物资简称 钢带;牌号 T8A-3n-BK;厚度 δ0.3×20;宽 ;技术标准号 101/66-6-263;加工工艺 ;热处理工艺 ;特殊要求 ;规格标准号 </t>
        </is>
      </c>
      <c r="F247" t="inlineStr">
        <is>
          <t>千克</t>
        </is>
      </c>
      <c r="G247">
        <f>LEFT(D247,FIND("|",D247,1)-1)</f>
        <v/>
      </c>
      <c r="H247">
        <f>MID(D247,FIND("|",D247,FIND("|",D247,1))+1,FIND("|",D247,FIND("|",D247,1)+1)-FIND("|",D247,FIND("|",D247,1))-1)</f>
        <v/>
      </c>
      <c r="J247">
        <f>MID(D247,FIND(",",SUBSTITUTE(D247,"|",REPT(",",LEN(D247)),2))+1,FIND(",",SUBSTITUTE(D247,"|",REPT(",",LEN(D247)),3))-FIND(",",SUBSTITUTE(D247,"|",REPT(",",LEN(D247)),2))-1)</f>
        <v/>
      </c>
      <c r="K247">
        <f>MID(D247,FIND(",",SUBSTITUTE(D247,"|",REPT(",",LEN(D247)),3))+1,FIND(",",SUBSTITUTE(D247,"|",REPT(",",LEN(D247)),4))-FIND(",",SUBSTITUTE(D247,"|",REPT(",",LEN(D247)),3))-1)</f>
        <v/>
      </c>
      <c r="L247">
        <f>MID(D247,FIND(";",SUBSTITUTE(D247,"|",REPT(";",LEN(D247)),4))+1,LEN(D247))</f>
        <v/>
      </c>
    </row>
    <row r="248">
      <c r="A248" t="inlineStr">
        <is>
          <t>100401</t>
        </is>
      </c>
      <c r="B248" t="inlineStr">
        <is>
          <t>钢带</t>
        </is>
      </c>
      <c r="C248" t="inlineStr">
        <is>
          <t>601332100</t>
        </is>
      </c>
      <c r="D248" t="inlineStr">
        <is>
          <t>钢带|钢带|T8A-Ⅱ-P-Q-S|δ0.4×30|101/79-3-25</t>
        </is>
      </c>
      <c r="E248" t="inlineStr">
        <is>
          <t xml:space="preserve">物资名称 钢带;物资简称 钢带;牌号 T8A-Ⅱ-P-Q-S;厚度 δ0.4×30;宽 ;技术标准号 101/79-3-25;加工工艺 ;热处理工艺 ;特殊要求 ;规格标准号 </t>
        </is>
      </c>
      <c r="F248" t="inlineStr">
        <is>
          <t>千克</t>
        </is>
      </c>
      <c r="G248">
        <f>LEFT(D248,FIND("|",D248,1)-1)</f>
        <v/>
      </c>
      <c r="H248">
        <f>MID(D248,FIND("|",D248,FIND("|",D248,1))+1,FIND("|",D248,FIND("|",D248,1)+1)-FIND("|",D248,FIND("|",D248,1))-1)</f>
        <v/>
      </c>
      <c r="J248">
        <f>MID(D248,FIND(",",SUBSTITUTE(D248,"|",REPT(",",LEN(D248)),2))+1,FIND(",",SUBSTITUTE(D248,"|",REPT(",",LEN(D248)),3))-FIND(",",SUBSTITUTE(D248,"|",REPT(",",LEN(D248)),2))-1)</f>
        <v/>
      </c>
      <c r="K248">
        <f>MID(D248,FIND(",",SUBSTITUTE(D248,"|",REPT(",",LEN(D248)),3))+1,FIND(",",SUBSTITUTE(D248,"|",REPT(",",LEN(D248)),4))-FIND(",",SUBSTITUTE(D248,"|",REPT(",",LEN(D248)),3))-1)</f>
        <v/>
      </c>
      <c r="L248">
        <f>MID(D248,FIND(";",SUBSTITUTE(D248,"|",REPT(";",LEN(D248)),4))+1,LEN(D248))</f>
        <v/>
      </c>
    </row>
    <row r="249">
      <c r="A249" t="inlineStr">
        <is>
          <t>100401</t>
        </is>
      </c>
      <c r="B249" t="inlineStr">
        <is>
          <t>钢带</t>
        </is>
      </c>
      <c r="C249" t="inlineStr">
        <is>
          <t>601332000</t>
        </is>
      </c>
      <c r="D249" t="inlineStr">
        <is>
          <t>钢带|钢带|T8A-Ⅱ-P-S|δ1×80|101/2003-4-12</t>
        </is>
      </c>
      <c r="E249" t="inlineStr">
        <is>
          <t xml:space="preserve">物资名称 钢带;物资简称 钢带;牌号 T8A-Ⅱ-P-S;厚度 δ1×80;宽 ;技术标准号 101/2003-4-12;加工工艺 ;热处理工艺 ;特殊要求 ;规格标准号 </t>
        </is>
      </c>
      <c r="F249" t="inlineStr">
        <is>
          <t>千克</t>
        </is>
      </c>
      <c r="G249">
        <f>LEFT(D249,FIND("|",D249,1)-1)</f>
        <v/>
      </c>
      <c r="H249">
        <f>MID(D249,FIND("|",D249,FIND("|",D249,1))+1,FIND("|",D249,FIND("|",D249,1)+1)-FIND("|",D249,FIND("|",D249,1))-1)</f>
        <v/>
      </c>
      <c r="J249">
        <f>MID(D249,FIND(",",SUBSTITUTE(D249,"|",REPT(",",LEN(D249)),2))+1,FIND(",",SUBSTITUTE(D249,"|",REPT(",",LEN(D249)),3))-FIND(",",SUBSTITUTE(D249,"|",REPT(",",LEN(D249)),2))-1)</f>
        <v/>
      </c>
      <c r="K249">
        <f>MID(D249,FIND(",",SUBSTITUTE(D249,"|",REPT(",",LEN(D249)),3))+1,FIND(",",SUBSTITUTE(D249,"|",REPT(",",LEN(D249)),4))-FIND(",",SUBSTITUTE(D249,"|",REPT(",",LEN(D249)),3))-1)</f>
        <v/>
      </c>
      <c r="L249">
        <f>MID(D249,FIND(";",SUBSTITUTE(D249,"|",REPT(";",LEN(D249)),4))+1,LEN(D249))</f>
        <v/>
      </c>
    </row>
    <row r="250">
      <c r="A250" t="inlineStr">
        <is>
          <t>100401</t>
        </is>
      </c>
      <c r="B250" t="inlineStr">
        <is>
          <t>钢带</t>
        </is>
      </c>
      <c r="C250" t="inlineStr">
        <is>
          <t>601331900</t>
        </is>
      </c>
      <c r="D250" t="inlineStr">
        <is>
          <t>钢带|钢带|T8A-J-Q-Ⅲ-S|δ0.2×40</t>
        </is>
      </c>
      <c r="E250" t="inlineStr">
        <is>
          <t xml:space="preserve">物资名称 钢带;物资简称 钢带;牌号 T8A-J-Q-Ⅲ-S;厚度 δ0.2×40;宽 ;技术标准号 ;加工工艺 ;热处理工艺 ;特殊要求 ;规格标准号 </t>
        </is>
      </c>
      <c r="F250" t="inlineStr">
        <is>
          <t>千克</t>
        </is>
      </c>
      <c r="G250">
        <f>LEFT(D250,FIND("|",D250,1)-1)</f>
        <v/>
      </c>
      <c r="H250">
        <f>MID(D250,FIND("|",D250,FIND("|",D250,1))+1,FIND("|",D250,FIND("|",D250,1)+1)-FIND("|",D250,FIND("|",D250,1))-1)</f>
        <v/>
      </c>
      <c r="J250">
        <f>MID(D250,FIND(",",SUBSTITUTE(D250,"|",REPT(",",LEN(D250)),2))+1,FIND(",",SUBSTITUTE(D250,"|",REPT(",",LEN(D250)),3))-FIND(",",SUBSTITUTE(D250,"|",REPT(",",LEN(D250)),2))-1)</f>
        <v/>
      </c>
      <c r="K250">
        <f>MID(D250,FIND(";",SUBSTITUTE(D250,"|",REPT(";",LEN(D250)),3))+1,LEN(D250))</f>
        <v/>
      </c>
    </row>
    <row r="251">
      <c r="A251" t="inlineStr">
        <is>
          <t>100401</t>
        </is>
      </c>
      <c r="B251" t="inlineStr">
        <is>
          <t>钢带</t>
        </is>
      </c>
      <c r="C251" t="inlineStr">
        <is>
          <t>601331800</t>
        </is>
      </c>
      <c r="D251" t="inlineStr">
        <is>
          <t>钢带|钢带|T8A-P-Ⅰ-Gn-Q|δ0.5×32|101/75-5-47</t>
        </is>
      </c>
      <c r="E251" t="inlineStr">
        <is>
          <t xml:space="preserve">物资名称 钢带;物资简称 钢带;牌号 T8A-P-Ⅰ-Gn-Q;厚度 δ0.5×32;宽 ;技术标准号 101/75-5-47;加工工艺 ;热处理工艺 ;特殊要求 ;规格标准号 </t>
        </is>
      </c>
      <c r="F251" t="inlineStr">
        <is>
          <t>千克</t>
        </is>
      </c>
      <c r="G251">
        <f>LEFT(D251,FIND("|",D251,1)-1)</f>
        <v/>
      </c>
      <c r="H251">
        <f>MID(D251,FIND("|",D251,FIND("|",D251,1))+1,FIND("|",D251,FIND("|",D251,1)+1)-FIND("|",D251,FIND("|",D251,1))-1)</f>
        <v/>
      </c>
      <c r="J251">
        <f>MID(D251,FIND(",",SUBSTITUTE(D251,"|",REPT(",",LEN(D251)),2))+1,FIND(",",SUBSTITUTE(D251,"|",REPT(",",LEN(D251)),3))-FIND(",",SUBSTITUTE(D251,"|",REPT(",",LEN(D251)),2))-1)</f>
        <v/>
      </c>
      <c r="K251">
        <f>MID(D251,FIND(",",SUBSTITUTE(D251,"|",REPT(",",LEN(D251)),3))+1,FIND(",",SUBSTITUTE(D251,"|",REPT(",",LEN(D251)),4))-FIND(",",SUBSTITUTE(D251,"|",REPT(",",LEN(D251)),3))-1)</f>
        <v/>
      </c>
      <c r="L251">
        <f>MID(D251,FIND(";",SUBSTITUTE(D251,"|",REPT(";",LEN(D251)),4))+1,LEN(D251))</f>
        <v/>
      </c>
    </row>
    <row r="252">
      <c r="A252" t="inlineStr">
        <is>
          <t>100401</t>
        </is>
      </c>
      <c r="B252" t="inlineStr">
        <is>
          <t>钢带</t>
        </is>
      </c>
      <c r="C252" t="inlineStr">
        <is>
          <t>601331700</t>
        </is>
      </c>
      <c r="D252" t="inlineStr">
        <is>
          <t>钢带|钢带|T8A-P-BQ-T|δ1×108|101/69-2-51</t>
        </is>
      </c>
      <c r="E252" t="inlineStr">
        <is>
          <t xml:space="preserve">物资名称 钢带;物资简称 钢带;牌号 T8A-P-BQ-T;厚度 δ1×108;宽 ;技术标准号 101/69-2-51;加工工艺 ;热处理工艺 ;特殊要求 ;规格标准号 </t>
        </is>
      </c>
      <c r="F252" t="inlineStr">
        <is>
          <t>千克</t>
        </is>
      </c>
      <c r="G252">
        <f>LEFT(D252,FIND("|",D252,1)-1)</f>
        <v/>
      </c>
      <c r="H252">
        <f>MID(D252,FIND("|",D252,FIND("|",D252,1))+1,FIND("|",D252,FIND("|",D252,1)+1)-FIND("|",D252,FIND("|",D252,1))-1)</f>
        <v/>
      </c>
      <c r="J252">
        <f>MID(D252,FIND(",",SUBSTITUTE(D252,"|",REPT(",",LEN(D252)),2))+1,FIND(",",SUBSTITUTE(D252,"|",REPT(",",LEN(D252)),3))-FIND(",",SUBSTITUTE(D252,"|",REPT(",",LEN(D252)),2))-1)</f>
        <v/>
      </c>
      <c r="K252">
        <f>MID(D252,FIND(",",SUBSTITUTE(D252,"|",REPT(",",LEN(D252)),3))+1,FIND(",",SUBSTITUTE(D252,"|",REPT(",",LEN(D252)),4))-FIND(",",SUBSTITUTE(D252,"|",REPT(",",LEN(D252)),3))-1)</f>
        <v/>
      </c>
      <c r="L252">
        <f>MID(D252,FIND(";",SUBSTITUTE(D252,"|",REPT(";",LEN(D252)),4))+1,LEN(D252))</f>
        <v/>
      </c>
    </row>
    <row r="253">
      <c r="A253" t="inlineStr">
        <is>
          <t>100401</t>
        </is>
      </c>
      <c r="B253" t="inlineStr">
        <is>
          <t>钢带</t>
        </is>
      </c>
      <c r="C253" t="inlineStr">
        <is>
          <t>601331600</t>
        </is>
      </c>
      <c r="D253" t="inlineStr">
        <is>
          <t>钢带|钢带|T8A-P-G-BG-T|δ0.8×100|104/67-8-222</t>
        </is>
      </c>
      <c r="E253" t="inlineStr">
        <is>
          <t xml:space="preserve">物资名称 钢带;物资简称 钢带;牌号 T8A-P-G-BG-T;厚度 δ0.8×100;宽 ;技术标准号 104/67-8-222;加工工艺 ;热处理工艺 ;特殊要求 ;规格标准号 </t>
        </is>
      </c>
      <c r="F253" t="inlineStr">
        <is>
          <t>千克</t>
        </is>
      </c>
      <c r="G253">
        <f>LEFT(D253,FIND("|",D253,1)-1)</f>
        <v/>
      </c>
      <c r="H253">
        <f>MID(D253,FIND("|",D253,FIND("|",D253,1))+1,FIND("|",D253,FIND("|",D253,1)+1)-FIND("|",D253,FIND("|",D253,1))-1)</f>
        <v/>
      </c>
      <c r="J253">
        <f>MID(D253,FIND(",",SUBSTITUTE(D253,"|",REPT(",",LEN(D253)),2))+1,FIND(",",SUBSTITUTE(D253,"|",REPT(",",LEN(D253)),3))-FIND(",",SUBSTITUTE(D253,"|",REPT(",",LEN(D253)),2))-1)</f>
        <v/>
      </c>
      <c r="K253">
        <f>MID(D253,FIND(",",SUBSTITUTE(D253,"|",REPT(",",LEN(D253)),3))+1,FIND(",",SUBSTITUTE(D253,"|",REPT(",",LEN(D253)),4))-FIND(",",SUBSTITUTE(D253,"|",REPT(",",LEN(D253)),3))-1)</f>
        <v/>
      </c>
      <c r="L253">
        <f>MID(D253,FIND(";",SUBSTITUTE(D253,"|",REPT(";",LEN(D253)),4))+1,LEN(D253))</f>
        <v/>
      </c>
    </row>
    <row r="254">
      <c r="A254" t="inlineStr">
        <is>
          <t>100401</t>
        </is>
      </c>
      <c r="B254" t="inlineStr">
        <is>
          <t>钢带</t>
        </is>
      </c>
      <c r="C254" t="inlineStr">
        <is>
          <t>601331500</t>
        </is>
      </c>
      <c r="D254" t="inlineStr">
        <is>
          <t>钢带|钢带|T8A-P-Q-BG-T|δ0.7×50|工装</t>
        </is>
      </c>
      <c r="E254" t="inlineStr">
        <is>
          <t xml:space="preserve">物资名称 钢带;物资简称 钢带;牌号 T8A-P-Q-BG-T;厚度 δ0.7×50;宽 ;技术标准号 工装;加工工艺 ;热处理工艺 ;特殊要求 ;规格标准号 </t>
        </is>
      </c>
      <c r="F254" t="inlineStr">
        <is>
          <t>千克</t>
        </is>
      </c>
      <c r="G254">
        <f>LEFT(D254,FIND("|",D254,1)-1)</f>
        <v/>
      </c>
      <c r="H254">
        <f>MID(D254,FIND("|",D254,FIND("|",D254,1))+1,FIND("|",D254,FIND("|",D254,1)+1)-FIND("|",D254,FIND("|",D254,1))-1)</f>
        <v/>
      </c>
      <c r="J254">
        <f>MID(D254,FIND(",",SUBSTITUTE(D254,"|",REPT(",",LEN(D254)),2))+1,FIND(",",SUBSTITUTE(D254,"|",REPT(",",LEN(D254)),3))-FIND(",",SUBSTITUTE(D254,"|",REPT(",",LEN(D254)),2))-1)</f>
        <v/>
      </c>
      <c r="K254">
        <f>MID(D254,FIND(",",SUBSTITUTE(D254,"|",REPT(",",LEN(D254)),3))+1,FIND(",",SUBSTITUTE(D254,"|",REPT(",",LEN(D254)),4))-FIND(",",SUBSTITUTE(D254,"|",REPT(",",LEN(D254)),3))-1)</f>
        <v/>
      </c>
      <c r="P254">
        <f>MID(D254,FIND(";",SUBSTITUTE(D254,"|",REPT(";",LEN(D254)),4))+1,LEN(D254))</f>
        <v/>
      </c>
    </row>
    <row r="255">
      <c r="A255" t="inlineStr">
        <is>
          <t>100401</t>
        </is>
      </c>
      <c r="B255" t="inlineStr">
        <is>
          <t>钢带</t>
        </is>
      </c>
      <c r="C255" t="inlineStr">
        <is>
          <t>601331400</t>
        </is>
      </c>
      <c r="D255" t="inlineStr">
        <is>
          <t>钢带|钢带|T8A-P-Q-G-T|δ0.3×4|104/69-2-59</t>
        </is>
      </c>
      <c r="E255" t="inlineStr">
        <is>
          <t xml:space="preserve">物资名称 钢带;物资简称 钢带;牌号 T8A-P-Q-G-T;厚度 δ0.3×4;宽 ;技术标准号 104/69-2-59;加工工艺 ;热处理工艺 ;特殊要求 ;规格标准号 </t>
        </is>
      </c>
      <c r="F255" t="inlineStr">
        <is>
          <t>千克</t>
        </is>
      </c>
      <c r="G255">
        <f>LEFT(D255,FIND("|",D255,1)-1)</f>
        <v/>
      </c>
      <c r="H255">
        <f>MID(D255,FIND("|",D255,FIND("|",D255,1))+1,FIND("|",D255,FIND("|",D255,1)+1)-FIND("|",D255,FIND("|",D255,1))-1)</f>
        <v/>
      </c>
      <c r="J255">
        <f>MID(D255,FIND(",",SUBSTITUTE(D255,"|",REPT(",",LEN(D255)),2))+1,FIND(",",SUBSTITUTE(D255,"|",REPT(",",LEN(D255)),3))-FIND(",",SUBSTITUTE(D255,"|",REPT(",",LEN(D255)),2))-1)</f>
        <v/>
      </c>
      <c r="K255">
        <f>MID(D255,FIND(",",SUBSTITUTE(D255,"|",REPT(",",LEN(D255)),3))+1,FIND(",",SUBSTITUTE(D255,"|",REPT(",",LEN(D255)),4))-FIND(",",SUBSTITUTE(D255,"|",REPT(",",LEN(D255)),3))-1)</f>
        <v/>
      </c>
      <c r="L255">
        <f>MID(D255,FIND(";",SUBSTITUTE(D255,"|",REPT(";",LEN(D255)),4))+1,LEN(D255))</f>
        <v/>
      </c>
    </row>
    <row r="256">
      <c r="A256" t="inlineStr">
        <is>
          <t>100401</t>
        </is>
      </c>
      <c r="B256" t="inlineStr">
        <is>
          <t>钢带</t>
        </is>
      </c>
      <c r="C256" t="inlineStr">
        <is>
          <t>601331300</t>
        </is>
      </c>
      <c r="D256" t="inlineStr">
        <is>
          <t>钢带|钢带|T8A-P-Q-G-T|δ0.5×40|104/75-12-97</t>
        </is>
      </c>
      <c r="E256" t="inlineStr">
        <is>
          <t xml:space="preserve">物资名称 钢带;物资简称 钢带;牌号 T8A-P-Q-G-T;厚度 δ0.5×40;宽 ;技术标准号 104/75-12-97;加工工艺 ;热处理工艺 ;特殊要求 ;规格标准号 </t>
        </is>
      </c>
      <c r="F256" t="inlineStr">
        <is>
          <t>千克</t>
        </is>
      </c>
      <c r="G256">
        <f>LEFT(D256,FIND("|",D256,1)-1)</f>
        <v/>
      </c>
      <c r="H256">
        <f>MID(D256,FIND("|",D256,FIND("|",D256,1))+1,FIND("|",D256,FIND("|",D256,1)+1)-FIND("|",D256,FIND("|",D256,1))-1)</f>
        <v/>
      </c>
      <c r="J256">
        <f>MID(D256,FIND(",",SUBSTITUTE(D256,"|",REPT(",",LEN(D256)),2))+1,FIND(",",SUBSTITUTE(D256,"|",REPT(",",LEN(D256)),3))-FIND(",",SUBSTITUTE(D256,"|",REPT(",",LEN(D256)),2))-1)</f>
        <v/>
      </c>
      <c r="K256">
        <f>MID(D256,FIND(",",SUBSTITUTE(D256,"|",REPT(",",LEN(D256)),3))+1,FIND(",",SUBSTITUTE(D256,"|",REPT(",",LEN(D256)),4))-FIND(",",SUBSTITUTE(D256,"|",REPT(",",LEN(D256)),3))-1)</f>
        <v/>
      </c>
      <c r="L256">
        <f>MID(D256,FIND(";",SUBSTITUTE(D256,"|",REPT(";",LEN(D256)),4))+1,LEN(D256))</f>
        <v/>
      </c>
    </row>
    <row r="257">
      <c r="A257" t="inlineStr">
        <is>
          <t>100401</t>
        </is>
      </c>
      <c r="B257" t="inlineStr">
        <is>
          <t>钢带</t>
        </is>
      </c>
      <c r="C257" t="inlineStr">
        <is>
          <t>601331200</t>
        </is>
      </c>
      <c r="D257" t="inlineStr">
        <is>
          <t>钢带|钢带|T8A-P-Q-G-T|δ0.5×90|104/69-2-56</t>
        </is>
      </c>
      <c r="E257" t="inlineStr">
        <is>
          <t xml:space="preserve">物资名称 钢带;物资简称 钢带;牌号 T8A-P-Q-G-T;厚度 δ0.5×90;宽 ;技术标准号 104/69-2-56;加工工艺 ;热处理工艺 ;特殊要求 ;规格标准号 </t>
        </is>
      </c>
      <c r="F257" t="inlineStr">
        <is>
          <t>千克</t>
        </is>
      </c>
      <c r="G257">
        <f>LEFT(D257,FIND("|",D257,1)-1)</f>
        <v/>
      </c>
      <c r="H257">
        <f>MID(D257,FIND("|",D257,FIND("|",D257,1))+1,FIND("|",D257,FIND("|",D257,1)+1)-FIND("|",D257,FIND("|",D257,1))-1)</f>
        <v/>
      </c>
      <c r="J257">
        <f>MID(D257,FIND(",",SUBSTITUTE(D257,"|",REPT(",",LEN(D257)),2))+1,FIND(",",SUBSTITUTE(D257,"|",REPT(",",LEN(D257)),3))-FIND(",",SUBSTITUTE(D257,"|",REPT(",",LEN(D257)),2))-1)</f>
        <v/>
      </c>
      <c r="K257">
        <f>MID(D257,FIND(",",SUBSTITUTE(D257,"|",REPT(",",LEN(D257)),3))+1,FIND(",",SUBSTITUTE(D257,"|",REPT(",",LEN(D257)),4))-FIND(",",SUBSTITUTE(D257,"|",REPT(",",LEN(D257)),3))-1)</f>
        <v/>
      </c>
      <c r="L257">
        <f>MID(D257,FIND(";",SUBSTITUTE(D257,"|",REPT(";",LEN(D257)),4))+1,LEN(D257))</f>
        <v/>
      </c>
    </row>
    <row r="258">
      <c r="A258" t="inlineStr">
        <is>
          <t>100401</t>
        </is>
      </c>
      <c r="B258" t="inlineStr">
        <is>
          <t>钢带</t>
        </is>
      </c>
      <c r="C258" t="inlineStr">
        <is>
          <t>601331100</t>
        </is>
      </c>
      <c r="D258" t="inlineStr">
        <is>
          <t>钢带|钢带|T8A-P-Q-T|δ0.3×90|104/76-11-106</t>
        </is>
      </c>
      <c r="E258" t="inlineStr">
        <is>
          <t xml:space="preserve">物资名称 钢带;物资简称 钢带;牌号 T8A-P-Q-T;厚度 δ0.3×90;宽 ;技术标准号 104/76-11-106;加工工艺 ;热处理工艺 ;特殊要求 ;规格标准号 </t>
        </is>
      </c>
      <c r="F258" t="inlineStr">
        <is>
          <t>千克</t>
        </is>
      </c>
      <c r="G258">
        <f>LEFT(D258,FIND("|",D258,1)-1)</f>
        <v/>
      </c>
      <c r="H258">
        <f>MID(D258,FIND("|",D258,FIND("|",D258,1))+1,FIND("|",D258,FIND("|",D258,1)+1)-FIND("|",D258,FIND("|",D258,1))-1)</f>
        <v/>
      </c>
      <c r="J258">
        <f>MID(D258,FIND(",",SUBSTITUTE(D258,"|",REPT(",",LEN(D258)),2))+1,FIND(",",SUBSTITUTE(D258,"|",REPT(",",LEN(D258)),3))-FIND(",",SUBSTITUTE(D258,"|",REPT(",",LEN(D258)),2))-1)</f>
        <v/>
      </c>
      <c r="K258">
        <f>MID(D258,FIND(",",SUBSTITUTE(D258,"|",REPT(",",LEN(D258)),3))+1,FIND(",",SUBSTITUTE(D258,"|",REPT(",",LEN(D258)),4))-FIND(",",SUBSTITUTE(D258,"|",REPT(",",LEN(D258)),3))-1)</f>
        <v/>
      </c>
      <c r="L258">
        <f>MID(D258,FIND(";",SUBSTITUTE(D258,"|",REPT(";",LEN(D258)),4))+1,LEN(D258))</f>
        <v/>
      </c>
    </row>
    <row r="259">
      <c r="A259" t="inlineStr">
        <is>
          <t>100401</t>
        </is>
      </c>
      <c r="B259" t="inlineStr">
        <is>
          <t>钢带</t>
        </is>
      </c>
      <c r="C259" t="inlineStr">
        <is>
          <t>601331000</t>
        </is>
      </c>
      <c r="D259" t="inlineStr">
        <is>
          <t>钢带|钢带|T8A-P-Q-T|δ0.4×90|104/73-2-24</t>
        </is>
      </c>
      <c r="E259" t="inlineStr">
        <is>
          <t xml:space="preserve">物资名称 钢带;物资简称 钢带;牌号 T8A-P-Q-T;厚度 δ0.4×90;宽 ;技术标准号 104/73-2-24;加工工艺 ;热处理工艺 ;特殊要求 ;规格标准号 </t>
        </is>
      </c>
      <c r="F259" t="inlineStr">
        <is>
          <t>千克</t>
        </is>
      </c>
      <c r="G259">
        <f>LEFT(D259,FIND("|",D259,1)-1)</f>
        <v/>
      </c>
      <c r="H259">
        <f>MID(D259,FIND("|",D259,FIND("|",D259,1))+1,FIND("|",D259,FIND("|",D259,1)+1)-FIND("|",D259,FIND("|",D259,1))-1)</f>
        <v/>
      </c>
      <c r="J259">
        <f>MID(D259,FIND(",",SUBSTITUTE(D259,"|",REPT(",",LEN(D259)),2))+1,FIND(",",SUBSTITUTE(D259,"|",REPT(",",LEN(D259)),3))-FIND(",",SUBSTITUTE(D259,"|",REPT(",",LEN(D259)),2))-1)</f>
        <v/>
      </c>
      <c r="K259">
        <f>MID(D259,FIND(",",SUBSTITUTE(D259,"|",REPT(",",LEN(D259)),3))+1,FIND(",",SUBSTITUTE(D259,"|",REPT(",",LEN(D259)),4))-FIND(",",SUBSTITUTE(D259,"|",REPT(",",LEN(D259)),3))-1)</f>
        <v/>
      </c>
      <c r="L259">
        <f>MID(D259,FIND(";",SUBSTITUTE(D259,"|",REPT(";",LEN(D259)),4))+1,LEN(D259))</f>
        <v/>
      </c>
    </row>
    <row r="260">
      <c r="A260" t="inlineStr">
        <is>
          <t>100401</t>
        </is>
      </c>
      <c r="B260" t="inlineStr">
        <is>
          <t>钢带</t>
        </is>
      </c>
      <c r="C260" t="inlineStr">
        <is>
          <t>601330900</t>
        </is>
      </c>
      <c r="D260" t="inlineStr">
        <is>
          <t>钢带|钢带|T8A-Q-G-T|δ0.15×50|维修</t>
        </is>
      </c>
      <c r="E260" t="inlineStr">
        <is>
          <t xml:space="preserve">物资名称 钢带;物资简称 钢带;牌号 T8A-Q-G-T;厚度 δ0.15×50;宽 ;技术标准号 维修;加工工艺 ;热处理工艺 ;特殊要求 ;规格标准号 </t>
        </is>
      </c>
      <c r="F260" t="inlineStr">
        <is>
          <t>千克</t>
        </is>
      </c>
      <c r="G260">
        <f>LEFT(D260,FIND("|",D260,1)-1)</f>
        <v/>
      </c>
      <c r="H260">
        <f>MID(D260,FIND("|",D260,FIND("|",D260,1))+1,FIND("|",D260,FIND("|",D260,1)+1)-FIND("|",D260,FIND("|",D260,1))-1)</f>
        <v/>
      </c>
      <c r="J260">
        <f>MID(D260,FIND(",",SUBSTITUTE(D260,"|",REPT(",",LEN(D260)),2))+1,FIND(",",SUBSTITUTE(D260,"|",REPT(",",LEN(D260)),3))-FIND(",",SUBSTITUTE(D260,"|",REPT(",",LEN(D260)),2))-1)</f>
        <v/>
      </c>
      <c r="K260">
        <f>MID(D260,FIND(",",SUBSTITUTE(D260,"|",REPT(",",LEN(D260)),3))+1,FIND(",",SUBSTITUTE(D260,"|",REPT(",",LEN(D260)),4))-FIND(",",SUBSTITUTE(D260,"|",REPT(",",LEN(D260)),3))-1)</f>
        <v/>
      </c>
      <c r="P260">
        <f>MID(D260,FIND(";",SUBSTITUTE(D260,"|",REPT(";",LEN(D260)),4))+1,LEN(D260))</f>
        <v/>
      </c>
    </row>
    <row r="261">
      <c r="A261" t="inlineStr">
        <is>
          <t>100401</t>
        </is>
      </c>
      <c r="B261" t="inlineStr">
        <is>
          <t>钢带</t>
        </is>
      </c>
      <c r="C261" t="inlineStr">
        <is>
          <t>601330800</t>
        </is>
      </c>
      <c r="D261" t="inlineStr">
        <is>
          <t>钢带|钢带|1Cr18Ni9Ti|δ0.05</t>
        </is>
      </c>
      <c r="E261" t="inlineStr">
        <is>
          <t xml:space="preserve">物资名称 钢带;物资简称 钢带;牌号 1Cr18Ni9Ti;厚度 δ0.05;宽 ;技术标准号 ;加工工艺 ;热处理工艺 ;特殊要求 ;规格标准号 </t>
        </is>
      </c>
      <c r="F261" t="inlineStr">
        <is>
          <t>千克</t>
        </is>
      </c>
      <c r="G261">
        <f>LEFT(D261,FIND("|",D261,1)-1)</f>
        <v/>
      </c>
      <c r="H261">
        <f>MID(D261,FIND("|",D261,FIND("|",D261,1))+1,FIND("|",D261,FIND("|",D261,1)+1)-FIND("|",D261,FIND("|",D261,1))-1)</f>
        <v/>
      </c>
      <c r="J261">
        <f>MID(D261,FIND(",",SUBSTITUTE(D261,"|",REPT(",",LEN(D261)),2))+1,FIND(",",SUBSTITUTE(D261,"|",REPT(",",LEN(D261)),3))-FIND(",",SUBSTITUTE(D261,"|",REPT(",",LEN(D261)),2))-1)</f>
        <v/>
      </c>
      <c r="K261">
        <f>MID(D261,FIND(";",SUBSTITUTE(D261,"|",REPT(";",LEN(D261)),3))+1,LEN(D261))</f>
        <v/>
      </c>
    </row>
    <row r="262">
      <c r="A262" t="inlineStr">
        <is>
          <t>100401</t>
        </is>
      </c>
      <c r="B262" t="inlineStr">
        <is>
          <t>钢带</t>
        </is>
      </c>
      <c r="C262" t="inlineStr">
        <is>
          <t>601330700</t>
        </is>
      </c>
      <c r="D262" t="inlineStr">
        <is>
          <t>钢带|钢带|LT50|δ0.35|工装</t>
        </is>
      </c>
      <c r="E262" t="inlineStr">
        <is>
          <t xml:space="preserve">物资名称 钢带;物资简称 钢带;牌号 LT50;厚度 δ0.35;宽 ;技术标准号 工装;加工工艺 ;热处理工艺 ;特殊要求 ;规格标准号 </t>
        </is>
      </c>
      <c r="F262" t="inlineStr">
        <is>
          <t>千克</t>
        </is>
      </c>
      <c r="G262">
        <f>LEFT(D262,FIND("|",D262,1)-1)</f>
        <v/>
      </c>
      <c r="H262">
        <f>MID(D262,FIND("|",D262,FIND("|",D262,1))+1,FIND("|",D262,FIND("|",D262,1)+1)-FIND("|",D262,FIND("|",D262,1))-1)</f>
        <v/>
      </c>
      <c r="J262">
        <f>MID(D262,FIND(",",SUBSTITUTE(D262,"|",REPT(",",LEN(D262)),2))+1,FIND(",",SUBSTITUTE(D262,"|",REPT(",",LEN(D262)),3))-FIND(",",SUBSTITUTE(D262,"|",REPT(",",LEN(D262)),2))-1)</f>
        <v/>
      </c>
      <c r="K262">
        <f>MID(D262,FIND(",",SUBSTITUTE(D262,"|",REPT(",",LEN(D262)),3))+1,FIND(",",SUBSTITUTE(D262,"|",REPT(",",LEN(D262)),4))-FIND(",",SUBSTITUTE(D262,"|",REPT(",",LEN(D262)),3))-1)</f>
        <v/>
      </c>
      <c r="P262">
        <f>MID(D262,FIND(";",SUBSTITUTE(D262,"|",REPT(";",LEN(D262)),4))+1,LEN(D262))</f>
        <v/>
      </c>
    </row>
    <row r="263">
      <c r="A263" t="inlineStr">
        <is>
          <t>100401</t>
        </is>
      </c>
      <c r="B263" t="inlineStr">
        <is>
          <t>钢带</t>
        </is>
      </c>
      <c r="C263" t="inlineStr">
        <is>
          <t>601330600</t>
        </is>
      </c>
      <c r="D263" t="inlineStr">
        <is>
          <t>钢带|钢带|RS-3|δ0.25×80|101/69-11-317</t>
        </is>
      </c>
      <c r="E263" t="inlineStr">
        <is>
          <t xml:space="preserve">物资名称 钢带;物资简称 钢带;牌号 RS-3;厚度 δ0.25×80;宽 ;技术标准号 101/69-11-317;加工工艺 ;热处理工艺 ;特殊要求 ;规格标准号 </t>
        </is>
      </c>
      <c r="F263" t="inlineStr">
        <is>
          <t>千克</t>
        </is>
      </c>
      <c r="G263">
        <f>LEFT(D263,FIND("|",D263,1)-1)</f>
        <v/>
      </c>
      <c r="H263">
        <f>MID(D263,FIND("|",D263,FIND("|",D263,1))+1,FIND("|",D263,FIND("|",D263,1)+1)-FIND("|",D263,FIND("|",D263,1))-1)</f>
        <v/>
      </c>
      <c r="J263">
        <f>MID(D263,FIND(",",SUBSTITUTE(D263,"|",REPT(",",LEN(D263)),2))+1,FIND(",",SUBSTITUTE(D263,"|",REPT(",",LEN(D263)),3))-FIND(",",SUBSTITUTE(D263,"|",REPT(",",LEN(D263)),2))-1)</f>
        <v/>
      </c>
      <c r="K263">
        <f>MID(D263,FIND(",",SUBSTITUTE(D263,"|",REPT(",",LEN(D263)),3))+1,FIND(",",SUBSTITUTE(D263,"|",REPT(",",LEN(D263)),4))-FIND(",",SUBSTITUTE(D263,"|",REPT(",",LEN(D263)),3))-1)</f>
        <v/>
      </c>
      <c r="L263">
        <f>MID(D263,FIND(";",SUBSTITUTE(D263,"|",REPT(";",LEN(D263)),4))+1,LEN(D263))</f>
        <v/>
      </c>
    </row>
    <row r="264">
      <c r="A264" t="inlineStr">
        <is>
          <t>100401</t>
        </is>
      </c>
      <c r="B264" t="inlineStr">
        <is>
          <t>钢带</t>
        </is>
      </c>
      <c r="C264" t="inlineStr">
        <is>
          <t>601330500</t>
        </is>
      </c>
      <c r="D264" t="inlineStr">
        <is>
          <t>钢带|钢带|RS-3|δ0.3×120|101/65-10-680</t>
        </is>
      </c>
      <c r="E264" t="inlineStr">
        <is>
          <t xml:space="preserve">物资名称 钢带;物资简称 钢带;牌号 RS-3;厚度 δ0.3×120;宽 ;技术标准号 101/65-10-680;加工工艺 ;热处理工艺 ;特殊要求 ;规格标准号 </t>
        </is>
      </c>
      <c r="F264" t="inlineStr">
        <is>
          <t>千克</t>
        </is>
      </c>
      <c r="G264">
        <f>LEFT(D264,FIND("|",D264,1)-1)</f>
        <v/>
      </c>
      <c r="H264">
        <f>MID(D264,FIND("|",D264,FIND("|",D264,1))+1,FIND("|",D264,FIND("|",D264,1)+1)-FIND("|",D264,FIND("|",D264,1))-1)</f>
        <v/>
      </c>
      <c r="J264">
        <f>MID(D264,FIND(",",SUBSTITUTE(D264,"|",REPT(",",LEN(D264)),2))+1,FIND(",",SUBSTITUTE(D264,"|",REPT(",",LEN(D264)),3))-FIND(",",SUBSTITUTE(D264,"|",REPT(",",LEN(D264)),2))-1)</f>
        <v/>
      </c>
      <c r="K264">
        <f>MID(D264,FIND(",",SUBSTITUTE(D264,"|",REPT(",",LEN(D264)),3))+1,FIND(",",SUBSTITUTE(D264,"|",REPT(",",LEN(D264)),4))-FIND(",",SUBSTITUTE(D264,"|",REPT(",",LEN(D264)),3))-1)</f>
        <v/>
      </c>
      <c r="L264">
        <f>MID(D264,FIND(";",SUBSTITUTE(D264,"|",REPT(";",LEN(D264)),4))+1,LEN(D264))</f>
        <v/>
      </c>
    </row>
    <row r="265">
      <c r="A265" t="inlineStr">
        <is>
          <t>100401</t>
        </is>
      </c>
      <c r="B265" t="inlineStr">
        <is>
          <t>钢带</t>
        </is>
      </c>
      <c r="C265" t="inlineStr">
        <is>
          <t>601330400</t>
        </is>
      </c>
      <c r="D265" t="inlineStr">
        <is>
          <t>钢带|钢带|RS-3|δ0.3×80|101/69-12-273</t>
        </is>
      </c>
      <c r="E265" t="inlineStr">
        <is>
          <t xml:space="preserve">物资名称 钢带;物资简称 钢带;牌号 RS-3;厚度 δ0.3×80;宽 ;技术标准号 101/69-12-273;加工工艺 ;热处理工艺 ;特殊要求 ;规格标准号 </t>
        </is>
      </c>
      <c r="F265" t="inlineStr">
        <is>
          <t>千克</t>
        </is>
      </c>
      <c r="G265">
        <f>LEFT(D265,FIND("|",D265,1)-1)</f>
        <v/>
      </c>
      <c r="H265">
        <f>MID(D265,FIND("|",D265,FIND("|",D265,1))+1,FIND("|",D265,FIND("|",D265,1)+1)-FIND("|",D265,FIND("|",D265,1))-1)</f>
        <v/>
      </c>
      <c r="J265">
        <f>MID(D265,FIND(",",SUBSTITUTE(D265,"|",REPT(",",LEN(D265)),2))+1,FIND(",",SUBSTITUTE(D265,"|",REPT(",",LEN(D265)),3))-FIND(",",SUBSTITUTE(D265,"|",REPT(",",LEN(D265)),2))-1)</f>
        <v/>
      </c>
      <c r="K265">
        <f>MID(D265,FIND(",",SUBSTITUTE(D265,"|",REPT(",",LEN(D265)),3))+1,FIND(",",SUBSTITUTE(D265,"|",REPT(",",LEN(D265)),4))-FIND(",",SUBSTITUTE(D265,"|",REPT(",",LEN(D265)),3))-1)</f>
        <v/>
      </c>
      <c r="L265">
        <f>MID(D265,FIND(";",SUBSTITUTE(D265,"|",REPT(";",LEN(D265)),4))+1,LEN(D265))</f>
        <v/>
      </c>
    </row>
    <row r="266">
      <c r="A266" t="inlineStr">
        <is>
          <t>100401</t>
        </is>
      </c>
      <c r="B266" t="inlineStr">
        <is>
          <t>钢带</t>
        </is>
      </c>
      <c r="C266" t="inlineStr">
        <is>
          <t>601330300</t>
        </is>
      </c>
      <c r="D266" t="inlineStr">
        <is>
          <t>碳素弹簧钢带|钢带|65Mn|δ0.4</t>
        </is>
      </c>
      <c r="E266" t="inlineStr">
        <is>
          <t xml:space="preserve">物资名称 碳素弹簧钢带;物资简称 钢带;牌号 65Mn;厚度 δ0.4;宽 ;技术标准号 ;加工工艺 ;热处理工艺 ;特殊要求 ;规格标准号 </t>
        </is>
      </c>
      <c r="F266" t="inlineStr">
        <is>
          <t>千克</t>
        </is>
      </c>
      <c r="G266">
        <f>LEFT(D266,FIND("|",D266,1)-1)</f>
        <v/>
      </c>
      <c r="H266">
        <f>MID(D266,FIND("|",D266,FIND("|",D266,1))+1,FIND("|",D266,FIND("|",D266,1)+1)-FIND("|",D266,FIND("|",D266,1))-1)</f>
        <v/>
      </c>
      <c r="J266">
        <f>MID(D266,FIND(",",SUBSTITUTE(D266,"|",REPT(",",LEN(D266)),2))+1,FIND(",",SUBSTITUTE(D266,"|",REPT(",",LEN(D266)),3))-FIND(",",SUBSTITUTE(D266,"|",REPT(",",LEN(D266)),2))-1)</f>
        <v/>
      </c>
      <c r="K266">
        <f>MID(D266,FIND(";",SUBSTITUTE(D266,"|",REPT(";",LEN(D266)),3))+1,LEN(D266))</f>
        <v/>
      </c>
    </row>
    <row r="267">
      <c r="A267" t="inlineStr">
        <is>
          <t>100401</t>
        </is>
      </c>
      <c r="B267" t="inlineStr">
        <is>
          <t>钢带</t>
        </is>
      </c>
      <c r="C267" t="inlineStr">
        <is>
          <t>601330200</t>
        </is>
      </c>
      <c r="D267" t="inlineStr">
        <is>
          <t>不锈钢带|钢带|12Cr18Ni9|δ0.02</t>
        </is>
      </c>
      <c r="E267" t="inlineStr">
        <is>
          <t xml:space="preserve">物资名称 不锈钢带;物资简称 钢带;牌号 12Cr18Ni9;厚度 δ0.02;宽 ;技术标准号 ;加工工艺 ;热处理工艺 ;特殊要求 ;规格标准号 </t>
        </is>
      </c>
      <c r="F267" t="inlineStr">
        <is>
          <t>千克</t>
        </is>
      </c>
      <c r="G267">
        <f>LEFT(D267,FIND("|",D267,1)-1)</f>
        <v/>
      </c>
      <c r="H267">
        <f>MID(D267,FIND("|",D267,FIND("|",D267,1))+1,FIND("|",D267,FIND("|",D267,1)+1)-FIND("|",D267,FIND("|",D267,1))-1)</f>
        <v/>
      </c>
      <c r="J267">
        <f>MID(D267,FIND(",",SUBSTITUTE(D267,"|",REPT(",",LEN(D267)),2))+1,FIND(",",SUBSTITUTE(D267,"|",REPT(",",LEN(D267)),3))-FIND(",",SUBSTITUTE(D267,"|",REPT(",",LEN(D267)),2))-1)</f>
        <v/>
      </c>
      <c r="K267">
        <f>MID(D267,FIND(";",SUBSTITUTE(D267,"|",REPT(";",LEN(D267)),3))+1,LEN(D267))</f>
        <v/>
      </c>
    </row>
    <row r="268">
      <c r="A268" t="inlineStr">
        <is>
          <t>100401</t>
        </is>
      </c>
      <c r="B268" t="inlineStr">
        <is>
          <t>钢带</t>
        </is>
      </c>
      <c r="C268" t="inlineStr">
        <is>
          <t>601330100</t>
        </is>
      </c>
      <c r="D268" t="inlineStr">
        <is>
          <t>不锈钢带|钢带|12Cr18Ni9|δ0.05|GB/T 3280-2007</t>
        </is>
      </c>
      <c r="E268" t="inlineStr">
        <is>
          <t xml:space="preserve">物资名称 不锈钢带;物资简称 钢带;牌号 12Cr18Ni9;厚度 δ0.05;宽 ;技术标准号 GB/T 3280-2007;加工工艺 ;热处理工艺 ;特殊要求 ;规格标准号 </t>
        </is>
      </c>
      <c r="F268" t="inlineStr">
        <is>
          <t>千克</t>
        </is>
      </c>
      <c r="G268">
        <f>LEFT(D268,FIND("|",D268,1)-1)</f>
        <v/>
      </c>
      <c r="H268">
        <f>MID(D268,FIND("|",D268,FIND("|",D268,1))+1,FIND("|",D268,FIND("|",D268,1)+1)-FIND("|",D268,FIND("|",D268,1))-1)</f>
        <v/>
      </c>
      <c r="J268">
        <f>MID(D268,FIND(",",SUBSTITUTE(D268,"|",REPT(",",LEN(D268)),2))+1,FIND(",",SUBSTITUTE(D268,"|",REPT(",",LEN(D268)),3))-FIND(",",SUBSTITUTE(D268,"|",REPT(",",LEN(D268)),2))-1)</f>
        <v/>
      </c>
      <c r="K268">
        <f>MID(D268,FIND(",",SUBSTITUTE(D268,"|",REPT(",",LEN(D268)),3))+1,FIND(",",SUBSTITUTE(D268,"|",REPT(",",LEN(D268)),4))-FIND(",",SUBSTITUTE(D268,"|",REPT(",",LEN(D268)),3))-1)</f>
        <v/>
      </c>
      <c r="L268">
        <f>MID(D268,FIND(";",SUBSTITUTE(D268,"|",REPT(";",LEN(D268)),4))+1,LEN(D268))</f>
        <v/>
      </c>
    </row>
    <row r="269">
      <c r="A269" t="inlineStr">
        <is>
          <t>100401</t>
        </is>
      </c>
      <c r="B269" t="inlineStr">
        <is>
          <t>钢带</t>
        </is>
      </c>
      <c r="C269" t="inlineStr">
        <is>
          <t>601330000</t>
        </is>
      </c>
      <c r="D269" t="inlineStr">
        <is>
          <t>合金弹簧钢带|钢带|60Si2Mn|δ1.5</t>
        </is>
      </c>
      <c r="E269" t="inlineStr">
        <is>
          <t xml:space="preserve">物资名称 合金弹簧钢带;物资简称 钢带;牌号 60Si2Mn;厚度 δ1.5;宽 ;技术标准号 ;加工工艺 ;热处理工艺 ;特殊要求 ;规格标准号 </t>
        </is>
      </c>
      <c r="F269" t="inlineStr">
        <is>
          <t>千克</t>
        </is>
      </c>
      <c r="G269">
        <f>LEFT(D269,FIND("|",D269,1)-1)</f>
        <v/>
      </c>
      <c r="H269">
        <f>MID(D269,FIND("|",D269,FIND("|",D269,1))+1,FIND("|",D269,FIND("|",D269,1)+1)-FIND("|",D269,FIND("|",D269,1))-1)</f>
        <v/>
      </c>
      <c r="J269">
        <f>MID(D269,FIND(",",SUBSTITUTE(D269,"|",REPT(",",LEN(D269)),2))+1,FIND(",",SUBSTITUTE(D269,"|",REPT(",",LEN(D269)),3))-FIND(",",SUBSTITUTE(D269,"|",REPT(",",LEN(D269)),2))-1)</f>
        <v/>
      </c>
      <c r="K269">
        <f>MID(D269,FIND(";",SUBSTITUTE(D269,"|",REPT(";",LEN(D269)),3))+1,LEN(D269))</f>
        <v/>
      </c>
    </row>
    <row r="270">
      <c r="A270" t="inlineStr">
        <is>
          <t>100401</t>
        </is>
      </c>
      <c r="B270" t="inlineStr">
        <is>
          <t>钢带</t>
        </is>
      </c>
      <c r="C270" t="inlineStr">
        <is>
          <t>601329900</t>
        </is>
      </c>
      <c r="D270" t="inlineStr">
        <is>
          <t>不锈钢带|钢带|12Cr18Ni9|δ0.04,200</t>
        </is>
      </c>
      <c r="E270" t="inlineStr">
        <is>
          <t xml:space="preserve">物资名称 不锈钢带;物资简称 钢带;牌号 12Cr18Ni9;厚度 δ0.04;宽 200;技术标准号 ;加工工艺 ;热处理工艺 ;特殊要求 ;规格标准号 </t>
        </is>
      </c>
      <c r="F270" t="inlineStr">
        <is>
          <t>千克</t>
        </is>
      </c>
      <c r="G270">
        <f>LEFT(D270,FIND("|",D270,1)-1)</f>
        <v/>
      </c>
      <c r="H270">
        <f>MID(D270,FIND("|",D270,FIND("|",D270,1))+1,FIND("|",D270,FIND("|",D270,1)+1)-FIND("|",D270,FIND("|",D270,1))-1)</f>
        <v/>
      </c>
      <c r="J270">
        <f>MID(D270,FIND(",",SUBSTITUTE(D270,"|",REPT(",",LEN(D270)),2))+1,FIND(",",SUBSTITUTE(D270,"|",REPT(",",LEN(D270)),3))-FIND(",",SUBSTITUTE(D270,"|",REPT(",",LEN(D270)),2))-1)</f>
        <v/>
      </c>
      <c r="K270">
        <f>MID(D270,FIND(";",SUBSTITUTE(D270,"|",REPT(";",LEN(D270)),3))+1,LEN(D270))</f>
        <v/>
      </c>
    </row>
    <row r="271">
      <c r="A271" t="inlineStr">
        <is>
          <t>100401</t>
        </is>
      </c>
      <c r="B271" t="inlineStr">
        <is>
          <t>钢带</t>
        </is>
      </c>
      <c r="C271" t="inlineStr">
        <is>
          <t>601000000</t>
        </is>
      </c>
      <c r="D271" t="inlineStr">
        <is>
          <t>冷轧不锈钢带|钢带|1Cr18Ni19Ti|δ0.35|GB/T 3280-1992|冷轧|GB/T 708-2006</t>
        </is>
      </c>
      <c r="E271" t="inlineStr">
        <is>
          <t>物资名称 冷轧不锈钢带;物资简称 钢带;牌号 1Cr18Ni19Ti;厚度 δ0.35;宽 ;技术标准号 GB/T 3280-1992;加工工艺 冷轧;热处理工艺 ;特殊要求 ;规格标准号 GB/T 708-2006</t>
        </is>
      </c>
      <c r="F271" t="inlineStr">
        <is>
          <t>千克</t>
        </is>
      </c>
      <c r="G271">
        <f>LEFT(D271,FIND("|",D271,1)-1)</f>
        <v/>
      </c>
      <c r="H271">
        <f>MID(D271,FIND("|",D271,FIND("|",D271,1))+1,FIND("|",D271,FIND("|",D271,1)+1)-FIND("|",D271,FIND("|",D271,1))-1)</f>
        <v/>
      </c>
      <c r="J271">
        <f>MID(D271,FIND(",",SUBSTITUTE(D271,"|",REPT(",",LEN(D271)),2))+1,FIND(",",SUBSTITUTE(D271,"|",REPT(",",LEN(D271)),3))-FIND(",",SUBSTITUTE(D271,"|",REPT(",",LEN(D271)),2))-1)</f>
        <v/>
      </c>
      <c r="K271">
        <f>MID(D271,FIND(",",SUBSTITUTE(D271,"|",REPT(",",LEN(D271)),3))+1,FIND(",",SUBSTITUTE(D271,"|",REPT(",",LEN(D271)),4))-FIND(",",SUBSTITUTE(D271,"|",REPT(",",LEN(D271)),3))-1)</f>
        <v/>
      </c>
      <c r="L271">
        <f>MID(D271,FIND(";",SUBSTITUTE(D271,"|",REPT(";",LEN(D271)),4))+1,FIND(";",SUBSTITUTE(D271,"|",REPT(";",LEN(D271)),5))-FIND(";",SUBSTITUTE(D271,"|",REPT(";",LEN(D271)),4))-1)</f>
        <v/>
      </c>
      <c r="M271">
        <f>MID(D271,FIND(";",SUBSTITUTE(D271,"|",REPT(";",LEN(D271)),6))+1,LEN(D271))</f>
        <v/>
      </c>
      <c r="N271">
        <f>MID(D271,FIND(";",SUBSTITUTE(D271,"|",REPT(";",LEN(D271)),5))+1,FIND(";",SUBSTITUTE(D271,"|",REPT(";",LEN(D271)),6))-FIND(";",SUBSTITUTE(D271,"|",REPT(";",LEN(D271)),5))-1)</f>
        <v/>
      </c>
    </row>
    <row r="272">
      <c r="A272" t="inlineStr">
        <is>
          <t>100401</t>
        </is>
      </c>
      <c r="B272" t="inlineStr">
        <is>
          <t>钢带</t>
        </is>
      </c>
      <c r="C272" t="inlineStr">
        <is>
          <t>600997300</t>
        </is>
      </c>
      <c r="D272" t="inlineStr">
        <is>
          <t>冷轧不锈钢带|钢带|1Cr18Ni19Ti|δ0.48|GB/T 3280-1992|冷轧|GB/T 708-2006</t>
        </is>
      </c>
      <c r="E272" t="inlineStr">
        <is>
          <t>物资名称 冷轧不锈钢带;物资简称 钢带;牌号 1Cr18Ni19Ti;厚度 δ0.48;宽 ;技术标准号 GB/T 3280-1992;加工工艺 冷轧;热处理工艺 ;特殊要求 ;规格标准号 GB/T 708-2006</t>
        </is>
      </c>
      <c r="F272" t="inlineStr">
        <is>
          <t>千克</t>
        </is>
      </c>
      <c r="G272">
        <f>LEFT(D272,FIND("|",D272,1)-1)</f>
        <v/>
      </c>
      <c r="H272">
        <f>MID(D272,FIND("|",D272,FIND("|",D272,1))+1,FIND("|",D272,FIND("|",D272,1)+1)-FIND("|",D272,FIND("|",D272,1))-1)</f>
        <v/>
      </c>
      <c r="J272">
        <f>MID(D272,FIND(",",SUBSTITUTE(D272,"|",REPT(",",LEN(D272)),2))+1,FIND(",",SUBSTITUTE(D272,"|",REPT(",",LEN(D272)),3))-FIND(",",SUBSTITUTE(D272,"|",REPT(",",LEN(D272)),2))-1)</f>
        <v/>
      </c>
      <c r="K272">
        <f>MID(D272,FIND(",",SUBSTITUTE(D272,"|",REPT(",",LEN(D272)),3))+1,FIND(",",SUBSTITUTE(D272,"|",REPT(",",LEN(D272)),4))-FIND(",",SUBSTITUTE(D272,"|",REPT(",",LEN(D272)),3))-1)</f>
        <v/>
      </c>
      <c r="L272">
        <f>MID(D272,FIND(";",SUBSTITUTE(D272,"|",REPT(";",LEN(D272)),4))+1,FIND(";",SUBSTITUTE(D272,"|",REPT(";",LEN(D272)),5))-FIND(";",SUBSTITUTE(D272,"|",REPT(";",LEN(D272)),4))-1)</f>
        <v/>
      </c>
      <c r="M272">
        <f>MID(D272,FIND(";",SUBSTITUTE(D272,"|",REPT(";",LEN(D272)),6))+1,LEN(D272))</f>
        <v/>
      </c>
      <c r="N272">
        <f>MID(D272,FIND(";",SUBSTITUTE(D272,"|",REPT(";",LEN(D272)),5))+1,FIND(";",SUBSTITUTE(D272,"|",REPT(";",LEN(D272)),6))-FIND(";",SUBSTITUTE(D272,"|",REPT(";",LEN(D272)),5))-1)</f>
        <v/>
      </c>
    </row>
    <row r="273">
      <c r="A273" t="inlineStr">
        <is>
          <t>100401</t>
        </is>
      </c>
      <c r="B273" t="inlineStr">
        <is>
          <t>钢带</t>
        </is>
      </c>
      <c r="C273" t="inlineStr">
        <is>
          <t>600997200</t>
        </is>
      </c>
      <c r="D273" t="inlineStr">
        <is>
          <t>冷轧不锈钢带|钢带|1Cr18Ni19Ti|δ0.5|GB/T 3280-1992|冷轧|GB/T 708-2006</t>
        </is>
      </c>
      <c r="E273" t="inlineStr">
        <is>
          <t>物资名称 冷轧不锈钢带;物资简称 钢带;牌号 1Cr18Ni19Ti;厚度 δ0.5;宽 ;技术标准号 GB/T 3280-1992;加工工艺 冷轧;热处理工艺 ;特殊要求 ;规格标准号 GB/T 708-2006</t>
        </is>
      </c>
      <c r="F273" t="inlineStr">
        <is>
          <t>千克</t>
        </is>
      </c>
      <c r="G273">
        <f>LEFT(D273,FIND("|",D273,1)-1)</f>
        <v/>
      </c>
      <c r="H273">
        <f>MID(D273,FIND("|",D273,FIND("|",D273,1))+1,FIND("|",D273,FIND("|",D273,1)+1)-FIND("|",D273,FIND("|",D273,1))-1)</f>
        <v/>
      </c>
      <c r="J273">
        <f>MID(D273,FIND(",",SUBSTITUTE(D273,"|",REPT(",",LEN(D273)),2))+1,FIND(",",SUBSTITUTE(D273,"|",REPT(",",LEN(D273)),3))-FIND(",",SUBSTITUTE(D273,"|",REPT(",",LEN(D273)),2))-1)</f>
        <v/>
      </c>
      <c r="K273">
        <f>MID(D273,FIND(",",SUBSTITUTE(D273,"|",REPT(",",LEN(D273)),3))+1,FIND(",",SUBSTITUTE(D273,"|",REPT(",",LEN(D273)),4))-FIND(",",SUBSTITUTE(D273,"|",REPT(",",LEN(D273)),3))-1)</f>
        <v/>
      </c>
      <c r="L273">
        <f>MID(D273,FIND(";",SUBSTITUTE(D273,"|",REPT(";",LEN(D273)),4))+1,FIND(";",SUBSTITUTE(D273,"|",REPT(";",LEN(D273)),5))-FIND(";",SUBSTITUTE(D273,"|",REPT(";",LEN(D273)),4))-1)</f>
        <v/>
      </c>
      <c r="M273">
        <f>MID(D273,FIND(";",SUBSTITUTE(D273,"|",REPT(";",LEN(D273)),6))+1,LEN(D273))</f>
        <v/>
      </c>
      <c r="N273">
        <f>MID(D273,FIND(";",SUBSTITUTE(D273,"|",REPT(";",LEN(D273)),5))+1,FIND(";",SUBSTITUTE(D273,"|",REPT(";",LEN(D273)),6))-FIND(";",SUBSTITUTE(D273,"|",REPT(";",LEN(D273)),5))-1)</f>
        <v/>
      </c>
    </row>
    <row r="274">
      <c r="A274" t="inlineStr">
        <is>
          <t>100401</t>
        </is>
      </c>
      <c r="B274" t="inlineStr">
        <is>
          <t>钢带</t>
        </is>
      </c>
      <c r="C274" t="inlineStr">
        <is>
          <t>600997100</t>
        </is>
      </c>
      <c r="D274" t="inlineStr">
        <is>
          <t>冷轧不锈钢带|钢带|1Cr18Ni19Ti|δ0.1|GB/T 3280-1992|冷轧|GB/T 708-2006</t>
        </is>
      </c>
      <c r="E274" t="inlineStr">
        <is>
          <t>物资名称 冷轧不锈钢带;物资简称 钢带;牌号 1Cr18Ni19Ti;厚度 δ0.1;宽 ;技术标准号 GB/T 3280-1992;加工工艺 冷轧;热处理工艺 ;特殊要求 ;规格标准号 GB/T 708-2006</t>
        </is>
      </c>
      <c r="F274" t="inlineStr">
        <is>
          <t>千克</t>
        </is>
      </c>
      <c r="G274">
        <f>LEFT(D274,FIND("|",D274,1)-1)</f>
        <v/>
      </c>
      <c r="H274">
        <f>MID(D274,FIND("|",D274,FIND("|",D274,1))+1,FIND("|",D274,FIND("|",D274,1)+1)-FIND("|",D274,FIND("|",D274,1))-1)</f>
        <v/>
      </c>
      <c r="J274">
        <f>MID(D274,FIND(",",SUBSTITUTE(D274,"|",REPT(",",LEN(D274)),2))+1,FIND(",",SUBSTITUTE(D274,"|",REPT(",",LEN(D274)),3))-FIND(",",SUBSTITUTE(D274,"|",REPT(",",LEN(D274)),2))-1)</f>
        <v/>
      </c>
      <c r="K274">
        <f>MID(D274,FIND(",",SUBSTITUTE(D274,"|",REPT(",",LEN(D274)),3))+1,FIND(",",SUBSTITUTE(D274,"|",REPT(",",LEN(D274)),4))-FIND(",",SUBSTITUTE(D274,"|",REPT(",",LEN(D274)),3))-1)</f>
        <v/>
      </c>
      <c r="L274">
        <f>MID(D274,FIND(";",SUBSTITUTE(D274,"|",REPT(";",LEN(D274)),4))+1,FIND(";",SUBSTITUTE(D274,"|",REPT(";",LEN(D274)),5))-FIND(";",SUBSTITUTE(D274,"|",REPT(";",LEN(D274)),4))-1)</f>
        <v/>
      </c>
      <c r="M274">
        <f>MID(D274,FIND(";",SUBSTITUTE(D274,"|",REPT(";",LEN(D274)),6))+1,LEN(D274))</f>
        <v/>
      </c>
      <c r="N274">
        <f>MID(D274,FIND(";",SUBSTITUTE(D274,"|",REPT(";",LEN(D274)),5))+1,FIND(";",SUBSTITUTE(D274,"|",REPT(";",LEN(D274)),6))-FIND(";",SUBSTITUTE(D274,"|",REPT(";",LEN(D274)),5))-1)</f>
        <v/>
      </c>
    </row>
    <row r="275">
      <c r="A275" t="inlineStr">
        <is>
          <t>100401</t>
        </is>
      </c>
      <c r="B275" t="inlineStr">
        <is>
          <t>钢带</t>
        </is>
      </c>
      <c r="C275" t="inlineStr">
        <is>
          <t>600997000</t>
        </is>
      </c>
      <c r="D275" t="inlineStr">
        <is>
          <t>冷轧不锈钢带|钢带|1Cr18Ni19Ti|δ0.15|GB/T 3280-1992|冷轧|GB/T 708-2006</t>
        </is>
      </c>
      <c r="E275" t="inlineStr">
        <is>
          <t>物资名称 冷轧不锈钢带;物资简称 钢带;牌号 1Cr18Ni19Ti;厚度 δ0.15;宽 ;技术标准号 GB/T 3280-1992;加工工艺 冷轧;热处理工艺 ;特殊要求 ;规格标准号 GB/T 708-2006</t>
        </is>
      </c>
      <c r="F275" t="inlineStr">
        <is>
          <t>千克</t>
        </is>
      </c>
      <c r="G275">
        <f>LEFT(D275,FIND("|",D275,1)-1)</f>
        <v/>
      </c>
      <c r="H275">
        <f>MID(D275,FIND("|",D275,FIND("|",D275,1))+1,FIND("|",D275,FIND("|",D275,1)+1)-FIND("|",D275,FIND("|",D275,1))-1)</f>
        <v/>
      </c>
      <c r="J275">
        <f>MID(D275,FIND(",",SUBSTITUTE(D275,"|",REPT(",",LEN(D275)),2))+1,FIND(",",SUBSTITUTE(D275,"|",REPT(",",LEN(D275)),3))-FIND(",",SUBSTITUTE(D275,"|",REPT(",",LEN(D275)),2))-1)</f>
        <v/>
      </c>
      <c r="K275">
        <f>MID(D275,FIND(",",SUBSTITUTE(D275,"|",REPT(",",LEN(D275)),3))+1,FIND(",",SUBSTITUTE(D275,"|",REPT(",",LEN(D275)),4))-FIND(",",SUBSTITUTE(D275,"|",REPT(",",LEN(D275)),3))-1)</f>
        <v/>
      </c>
      <c r="L275">
        <f>MID(D275,FIND(";",SUBSTITUTE(D275,"|",REPT(";",LEN(D275)),4))+1,FIND(";",SUBSTITUTE(D275,"|",REPT(";",LEN(D275)),5))-FIND(";",SUBSTITUTE(D275,"|",REPT(";",LEN(D275)),4))-1)</f>
        <v/>
      </c>
      <c r="M275">
        <f>MID(D275,FIND(";",SUBSTITUTE(D275,"|",REPT(";",LEN(D275)),6))+1,LEN(D275))</f>
        <v/>
      </c>
      <c r="N275">
        <f>MID(D275,FIND(";",SUBSTITUTE(D275,"|",REPT(";",LEN(D275)),5))+1,FIND(";",SUBSTITUTE(D275,"|",REPT(";",LEN(D275)),6))-FIND(";",SUBSTITUTE(D275,"|",REPT(";",LEN(D275)),5))-1)</f>
        <v/>
      </c>
    </row>
    <row r="276">
      <c r="A276" t="inlineStr">
        <is>
          <t>100401</t>
        </is>
      </c>
      <c r="B276" t="inlineStr">
        <is>
          <t>钢带</t>
        </is>
      </c>
      <c r="C276" t="inlineStr">
        <is>
          <t>600996900</t>
        </is>
      </c>
      <c r="D276" t="inlineStr">
        <is>
          <t>冷轧不锈钢带|钢带|1Cr18Ni19Ti|δ0.25|GB/T 3280-1992|冷轧|GB/T 708-2006</t>
        </is>
      </c>
      <c r="E276" t="inlineStr">
        <is>
          <t>物资名称 冷轧不锈钢带;物资简称 钢带;牌号 1Cr18Ni19Ti;厚度 δ0.25;宽 ;技术标准号 GB/T 3280-1992;加工工艺 冷轧;热处理工艺 ;特殊要求 ;规格标准号 GB/T 708-2006</t>
        </is>
      </c>
      <c r="F276" t="inlineStr">
        <is>
          <t>千克</t>
        </is>
      </c>
      <c r="G276">
        <f>LEFT(D276,FIND("|",D276,1)-1)</f>
        <v/>
      </c>
      <c r="H276">
        <f>MID(D276,FIND("|",D276,FIND("|",D276,1))+1,FIND("|",D276,FIND("|",D276,1)+1)-FIND("|",D276,FIND("|",D276,1))-1)</f>
        <v/>
      </c>
      <c r="J276">
        <f>MID(D276,FIND(",",SUBSTITUTE(D276,"|",REPT(",",LEN(D276)),2))+1,FIND(",",SUBSTITUTE(D276,"|",REPT(",",LEN(D276)),3))-FIND(",",SUBSTITUTE(D276,"|",REPT(",",LEN(D276)),2))-1)</f>
        <v/>
      </c>
      <c r="K276">
        <f>MID(D276,FIND(",",SUBSTITUTE(D276,"|",REPT(",",LEN(D276)),3))+1,FIND(",",SUBSTITUTE(D276,"|",REPT(",",LEN(D276)),4))-FIND(",",SUBSTITUTE(D276,"|",REPT(",",LEN(D276)),3))-1)</f>
        <v/>
      </c>
      <c r="L276">
        <f>MID(D276,FIND(";",SUBSTITUTE(D276,"|",REPT(";",LEN(D276)),4))+1,FIND(";",SUBSTITUTE(D276,"|",REPT(";",LEN(D276)),5))-FIND(";",SUBSTITUTE(D276,"|",REPT(";",LEN(D276)),4))-1)</f>
        <v/>
      </c>
      <c r="M276">
        <f>MID(D276,FIND(";",SUBSTITUTE(D276,"|",REPT(";",LEN(D276)),6))+1,LEN(D276))</f>
        <v/>
      </c>
      <c r="N276">
        <f>MID(D276,FIND(";",SUBSTITUTE(D276,"|",REPT(";",LEN(D276)),5))+1,FIND(";",SUBSTITUTE(D276,"|",REPT(";",LEN(D276)),6))-FIND(";",SUBSTITUTE(D276,"|",REPT(";",LEN(D276)),5))-1)</f>
        <v/>
      </c>
    </row>
    <row r="277">
      <c r="A277" t="inlineStr">
        <is>
          <t>100401</t>
        </is>
      </c>
      <c r="B277" t="inlineStr">
        <is>
          <t>钢带</t>
        </is>
      </c>
      <c r="C277" t="inlineStr">
        <is>
          <t>600996800</t>
        </is>
      </c>
      <c r="D277" t="inlineStr">
        <is>
          <t>冷轧不锈钢带|钢带|1Cr18Ni19Ti|δ0.46|GB/T 3280-1992|冷轧|GB/T 708-2006</t>
        </is>
      </c>
      <c r="E277" t="inlineStr">
        <is>
          <t>物资名称 冷轧不锈钢带;物资简称 钢带;牌号 1Cr18Ni19Ti;厚度 δ0.46;宽 ;技术标准号 GB/T 3280-1992;加工工艺 冷轧;热处理工艺 ;特殊要求 ;规格标准号 GB/T 708-2006</t>
        </is>
      </c>
      <c r="F277" t="inlineStr">
        <is>
          <t>千克</t>
        </is>
      </c>
      <c r="G277">
        <f>LEFT(D277,FIND("|",D277,1)-1)</f>
        <v/>
      </c>
      <c r="H277">
        <f>MID(D277,FIND("|",D277,FIND("|",D277,1))+1,FIND("|",D277,FIND("|",D277,1)+1)-FIND("|",D277,FIND("|",D277,1))-1)</f>
        <v/>
      </c>
      <c r="J277">
        <f>MID(D277,FIND(",",SUBSTITUTE(D277,"|",REPT(",",LEN(D277)),2))+1,FIND(",",SUBSTITUTE(D277,"|",REPT(",",LEN(D277)),3))-FIND(",",SUBSTITUTE(D277,"|",REPT(",",LEN(D277)),2))-1)</f>
        <v/>
      </c>
      <c r="K277">
        <f>MID(D277,FIND(",",SUBSTITUTE(D277,"|",REPT(",",LEN(D277)),3))+1,FIND(",",SUBSTITUTE(D277,"|",REPT(",",LEN(D277)),4))-FIND(",",SUBSTITUTE(D277,"|",REPT(",",LEN(D277)),3))-1)</f>
        <v/>
      </c>
      <c r="L277">
        <f>MID(D277,FIND(";",SUBSTITUTE(D277,"|",REPT(";",LEN(D277)),4))+1,FIND(";",SUBSTITUTE(D277,"|",REPT(";",LEN(D277)),5))-FIND(";",SUBSTITUTE(D277,"|",REPT(";",LEN(D277)),4))-1)</f>
        <v/>
      </c>
      <c r="M277">
        <f>MID(D277,FIND(";",SUBSTITUTE(D277,"|",REPT(";",LEN(D277)),6))+1,LEN(D277))</f>
        <v/>
      </c>
      <c r="N277">
        <f>MID(D277,FIND(";",SUBSTITUTE(D277,"|",REPT(";",LEN(D277)),5))+1,FIND(";",SUBSTITUTE(D277,"|",REPT(";",LEN(D277)),6))-FIND(";",SUBSTITUTE(D277,"|",REPT(";",LEN(D277)),5))-1)</f>
        <v/>
      </c>
    </row>
    <row r="278">
      <c r="A278" t="inlineStr">
        <is>
          <t>100401</t>
        </is>
      </c>
      <c r="B278" t="inlineStr">
        <is>
          <t>钢带</t>
        </is>
      </c>
      <c r="C278" t="inlineStr">
        <is>
          <t>600996700</t>
        </is>
      </c>
      <c r="D278" t="inlineStr">
        <is>
          <t>冷轧不锈钢带|钢带|1Cr18Ni19Ti|δ0.3|GB/T 3280-1992|冷轧|GB/T 708-2006</t>
        </is>
      </c>
      <c r="E278" t="inlineStr">
        <is>
          <t>物资名称 冷轧不锈钢带;物资简称 钢带;牌号 1Cr18Ni19Ti;厚度 δ0.3;宽 ;技术标准号 GB/T 3280-1992;加工工艺 冷轧;热处理工艺 ;特殊要求 ;规格标准号 GB/T 708-2006</t>
        </is>
      </c>
      <c r="F278" t="inlineStr">
        <is>
          <t>千克</t>
        </is>
      </c>
      <c r="G278">
        <f>LEFT(D278,FIND("|",D278,1)-1)</f>
        <v/>
      </c>
      <c r="H278">
        <f>MID(D278,FIND("|",D278,FIND("|",D278,1))+1,FIND("|",D278,FIND("|",D278,1)+1)-FIND("|",D278,FIND("|",D278,1))-1)</f>
        <v/>
      </c>
      <c r="J278">
        <f>MID(D278,FIND(",",SUBSTITUTE(D278,"|",REPT(",",LEN(D278)),2))+1,FIND(",",SUBSTITUTE(D278,"|",REPT(",",LEN(D278)),3))-FIND(",",SUBSTITUTE(D278,"|",REPT(",",LEN(D278)),2))-1)</f>
        <v/>
      </c>
      <c r="K278">
        <f>MID(D278,FIND(",",SUBSTITUTE(D278,"|",REPT(",",LEN(D278)),3))+1,FIND(",",SUBSTITUTE(D278,"|",REPT(",",LEN(D278)),4))-FIND(",",SUBSTITUTE(D278,"|",REPT(",",LEN(D278)),3))-1)</f>
        <v/>
      </c>
      <c r="L278">
        <f>MID(D278,FIND(";",SUBSTITUTE(D278,"|",REPT(";",LEN(D278)),4))+1,FIND(";",SUBSTITUTE(D278,"|",REPT(";",LEN(D278)),5))-FIND(";",SUBSTITUTE(D278,"|",REPT(";",LEN(D278)),4))-1)</f>
        <v/>
      </c>
      <c r="M278">
        <f>MID(D278,FIND(";",SUBSTITUTE(D278,"|",REPT(";",LEN(D278)),6))+1,LEN(D278))</f>
        <v/>
      </c>
      <c r="N278">
        <f>MID(D278,FIND(";",SUBSTITUTE(D278,"|",REPT(";",LEN(D278)),5))+1,FIND(";",SUBSTITUTE(D278,"|",REPT(";",LEN(D278)),6))-FIND(";",SUBSTITUTE(D278,"|",REPT(";",LEN(D278)),5))-1)</f>
        <v/>
      </c>
    </row>
    <row r="279">
      <c r="A279" t="inlineStr">
        <is>
          <t>100401</t>
        </is>
      </c>
      <c r="B279" t="inlineStr">
        <is>
          <t>钢带</t>
        </is>
      </c>
      <c r="C279" t="inlineStr">
        <is>
          <t>600842300</t>
        </is>
      </c>
      <c r="D279" t="inlineStr">
        <is>
          <t>特种钢带|钢带|XSVS-7C27Mo2|δ0.203|厂家约定</t>
        </is>
      </c>
      <c r="E279" t="inlineStr">
        <is>
          <t xml:space="preserve">物资名称 特种钢带;物资简称 钢带;牌号 XSVS-7C27Mo2;厚度 δ0.203;宽 ;技术标准号 ;加工工艺 ;热处理工艺 ;特殊要求 厂家约定;规格标准号 </t>
        </is>
      </c>
      <c r="F279" t="inlineStr">
        <is>
          <t>千克</t>
        </is>
      </c>
      <c r="G279">
        <f>LEFT(D279,FIND("|",D279,1)-1)</f>
        <v/>
      </c>
      <c r="H279">
        <f>MID(D279,FIND("|",D279,FIND("|",D279,1))+1,FIND("|",D279,FIND("|",D279,1)+1)-FIND("|",D279,FIND("|",D279,1))-1)</f>
        <v/>
      </c>
      <c r="J279">
        <f>MID(D279,FIND(",",SUBSTITUTE(D279,"|",REPT(",",LEN(D279)),2))+1,FIND(",",SUBSTITUTE(D279,"|",REPT(",",LEN(D279)),3))-FIND(",",SUBSTITUTE(D279,"|",REPT(",",LEN(D279)),2))-1)</f>
        <v/>
      </c>
      <c r="K279">
        <f>MID(D279,FIND(",",SUBSTITUTE(D279,"|",REPT(",",LEN(D279)),3))+1,FIND(",",SUBSTITUTE(D279,"|",REPT(",",LEN(D279)),4))-FIND(",",SUBSTITUTE(D279,"|",REPT(",",LEN(D279)),3))-1)</f>
        <v/>
      </c>
      <c r="P279">
        <f>MID(D279,FIND(";",SUBSTITUTE(D279,"|",REPT(";",LEN(D279)),4))+1,LEN(D279))</f>
        <v/>
      </c>
    </row>
    <row r="280">
      <c r="A280" t="inlineStr">
        <is>
          <t>100401</t>
        </is>
      </c>
      <c r="B280" t="inlineStr">
        <is>
          <t>钢带</t>
        </is>
      </c>
      <c r="C280" t="inlineStr">
        <is>
          <t>600632100</t>
        </is>
      </c>
      <c r="D280" t="inlineStr">
        <is>
          <t>冷轧不锈钢带|钢带|1Cr18Ni19Ti|GB/T 3280-1992|GB/T 708-2006</t>
        </is>
      </c>
      <c r="E280" t="inlineStr">
        <is>
          <t>物资名称 冷轧不锈钢带;物资简称 钢带;牌号 1Cr18Ni19Ti;厚度 ;宽 ;技术标准号 GB/T 3280-1992;加工工艺 ;热处理工艺 ;特殊要求 ;规格标准号 GB/T 708-2006</t>
        </is>
      </c>
      <c r="F280" t="inlineStr">
        <is>
          <t>千克</t>
        </is>
      </c>
      <c r="G280">
        <f>LEFT(D280,FIND("|",D280,1)-1)</f>
        <v/>
      </c>
      <c r="H280">
        <f>MID(D280,FIND("|",D280,FIND("|",D280,1))+1,FIND("|",D280,FIND("|",D280,1)+1)-FIND("|",D280,FIND("|",D280,1))-1)</f>
        <v/>
      </c>
      <c r="J280">
        <f>MID(D280,FIND(",",SUBSTITUTE(D280,"|",REPT(",",LEN(D280)),2))+1,FIND(",",SUBSTITUTE(D280,"|",REPT(",",LEN(D280)),3))-FIND(",",SUBSTITUTE(D280,"|",REPT(",",LEN(D280)),2))-1)</f>
        <v/>
      </c>
      <c r="L280">
        <f>MID(D280,FIND(",",SUBSTITUTE(D280,"|",REPT(",",LEN(D280)),3))+1,FIND(",",SUBSTITUTE(D280,"|",REPT(",",LEN(D280)),4))-FIND(",",SUBSTITUTE(D280,"|",REPT(",",LEN(D280)),3))-1)</f>
        <v/>
      </c>
      <c r="M280">
        <f>MID(D280,FIND(";",SUBSTITUTE(D280,"|",REPT(";",LEN(D280)),4))+1,LEN(D280))</f>
        <v/>
      </c>
    </row>
    <row r="281">
      <c r="A281" t="inlineStr">
        <is>
          <t>100401</t>
        </is>
      </c>
      <c r="B281" t="inlineStr">
        <is>
          <t>钢带</t>
        </is>
      </c>
      <c r="C281" t="inlineStr">
        <is>
          <t>600632000</t>
        </is>
      </c>
      <c r="D281" t="inlineStr">
        <is>
          <t>冷轧不锈钢带|钢带|1Cr18Ni19Ti|δ0.2|GB/T 3280-1992|冷轧|GB/T 708-2006</t>
        </is>
      </c>
      <c r="E281" t="inlineStr">
        <is>
          <t>物资名称 冷轧不锈钢带;物资简称 钢带;牌号 1Cr18Ni19Ti;厚度 δ0.2;宽 ;技术标准号 GB/T 3280-1992;加工工艺 冷轧;热处理工艺 ;特殊要求 ;规格标准号 GB/T 708-2006</t>
        </is>
      </c>
      <c r="F281" t="inlineStr">
        <is>
          <t>千克</t>
        </is>
      </c>
      <c r="G281">
        <f>LEFT(D281,FIND("|",D281,1)-1)</f>
        <v/>
      </c>
      <c r="H281">
        <f>MID(D281,FIND("|",D281,FIND("|",D281,1))+1,FIND("|",D281,FIND("|",D281,1)+1)-FIND("|",D281,FIND("|",D281,1))-1)</f>
        <v/>
      </c>
      <c r="J281">
        <f>MID(D281,FIND(",",SUBSTITUTE(D281,"|",REPT(",",LEN(D281)),2))+1,FIND(",",SUBSTITUTE(D281,"|",REPT(",",LEN(D281)),3))-FIND(",",SUBSTITUTE(D281,"|",REPT(",",LEN(D281)),2))-1)</f>
        <v/>
      </c>
      <c r="K281">
        <f>MID(D281,FIND(",",SUBSTITUTE(D281,"|",REPT(",",LEN(D281)),3))+1,FIND(",",SUBSTITUTE(D281,"|",REPT(",",LEN(D281)),4))-FIND(",",SUBSTITUTE(D281,"|",REPT(",",LEN(D281)),3))-1)</f>
        <v/>
      </c>
      <c r="L281">
        <f>MID(D281,FIND(";",SUBSTITUTE(D281,"|",REPT(";",LEN(D281)),4))+1,FIND(";",SUBSTITUTE(D281,"|",REPT(";",LEN(D281)),5))-FIND(";",SUBSTITUTE(D281,"|",REPT(";",LEN(D281)),4))-1)</f>
        <v/>
      </c>
      <c r="M281">
        <f>MID(D281,FIND(";",SUBSTITUTE(D281,"|",REPT(";",LEN(D281)),6))+1,LEN(D281))</f>
        <v/>
      </c>
      <c r="N281">
        <f>MID(D281,FIND(";",SUBSTITUTE(D281,"|",REPT(";",LEN(D281)),5))+1,FIND(";",SUBSTITUTE(D281,"|",REPT(";",LEN(D281)),6))-FIND(";",SUBSTITUTE(D281,"|",REPT(";",LEN(D281)),5))-1)</f>
        <v/>
      </c>
    </row>
    <row r="282">
      <c r="A282" t="inlineStr">
        <is>
          <t>100401</t>
        </is>
      </c>
      <c r="B282" t="inlineStr">
        <is>
          <t>钢带</t>
        </is>
      </c>
      <c r="C282" t="inlineStr">
        <is>
          <t>600631900</t>
        </is>
      </c>
      <c r="D282" t="inlineStr">
        <is>
          <t>冷轧不锈钢带|钢带|12Cr18Ni9|GB/T 3280-2007|GB/T 708-2006</t>
        </is>
      </c>
      <c r="E282" t="inlineStr">
        <is>
          <t>物资名称 冷轧不锈钢带;物资简称 钢带;牌号 12Cr18Ni9;厚度 ;宽 ;技术标准号 GB/T 3280-2007;加工工艺 ;热处理工艺 ;特殊要求 ;规格标准号 GB/T 708-2006</t>
        </is>
      </c>
      <c r="F282" t="inlineStr">
        <is>
          <t>千克</t>
        </is>
      </c>
      <c r="G282">
        <f>LEFT(D282,FIND("|",D282,1)-1)</f>
        <v/>
      </c>
      <c r="H282">
        <f>MID(D282,FIND("|",D282,FIND("|",D282,1))+1,FIND("|",D282,FIND("|",D282,1)+1)-FIND("|",D282,FIND("|",D282,1))-1)</f>
        <v/>
      </c>
      <c r="J282">
        <f>MID(D282,FIND(",",SUBSTITUTE(D282,"|",REPT(",",LEN(D282)),2))+1,FIND(",",SUBSTITUTE(D282,"|",REPT(",",LEN(D282)),3))-FIND(",",SUBSTITUTE(D282,"|",REPT(",",LEN(D282)),2))-1)</f>
        <v/>
      </c>
      <c r="L282">
        <f>MID(D282,FIND(",",SUBSTITUTE(D282,"|",REPT(",",LEN(D282)),3))+1,FIND(",",SUBSTITUTE(D282,"|",REPT(",",LEN(D282)),4))-FIND(",",SUBSTITUTE(D282,"|",REPT(",",LEN(D282)),3))-1)</f>
        <v/>
      </c>
      <c r="M282">
        <f>MID(D282,FIND(";",SUBSTITUTE(D282,"|",REPT(";",LEN(D282)),4))+1,LEN(D282))</f>
        <v/>
      </c>
    </row>
    <row r="283">
      <c r="A283" t="inlineStr">
        <is>
          <t>100401</t>
        </is>
      </c>
      <c r="B283" t="inlineStr">
        <is>
          <t>钢带</t>
        </is>
      </c>
      <c r="C283" t="inlineStr">
        <is>
          <t>600631800</t>
        </is>
      </c>
      <c r="D283" t="inlineStr">
        <is>
          <t>冷轧不锈钢带|钢带|12Cr18Ni9|δ0.1|GB/T 3280-2007|冷轧|H1/4|GB/T 708-2006</t>
        </is>
      </c>
      <c r="E283" t="inlineStr">
        <is>
          <t>物资名称 冷轧不锈钢带;物资简称 钢带;牌号 12Cr18Ni9;厚度 δ0.1;宽 ;技术标准号 GB/T 3280-2007;加工工艺 冷轧;热处理工艺 H1/4;特殊要求 ;规格标准号 GB/T 708-2006</t>
        </is>
      </c>
      <c r="F283" t="inlineStr">
        <is>
          <t>千克</t>
        </is>
      </c>
      <c r="G283">
        <f>LEFT(D283,FIND("|",D283,1)-1)</f>
        <v/>
      </c>
      <c r="H283">
        <f>MID(D283,FIND("|",D283,FIND("|",D283,1))+1,FIND("|",D283,FIND("|",D283,1)+1)-FIND("|",D283,FIND("|",D283,1))-1)</f>
        <v/>
      </c>
      <c r="J283">
        <f>MID(D283,FIND(",",SUBSTITUTE(D283,"|",REPT(",",LEN(D283)),2))+1,FIND(",",SUBSTITUTE(D283,"|",REPT(",",LEN(D283)),3))-FIND(",",SUBSTITUTE(D283,"|",REPT(",",LEN(D283)),2))-1)</f>
        <v/>
      </c>
      <c r="K283">
        <f>MID(D283,FIND(",",SUBSTITUTE(D283,"|",REPT(",",LEN(D283)),3))+1,FIND(",",SUBSTITUTE(D283,"|",REPT(",",LEN(D283)),4))-FIND(",",SUBSTITUTE(D283,"|",REPT(",",LEN(D283)),3))-1)</f>
        <v/>
      </c>
      <c r="L283">
        <f>MID(D283,FIND(";",SUBSTITUTE(D283,"|",REPT(";",LEN(D283)),4))+1,FIND(";",SUBSTITUTE(D283,"|",REPT(";",LEN(D283)),5))-FIND(";",SUBSTITUTE(D283,"|",REPT(";",LEN(D283)),4))-1)</f>
        <v/>
      </c>
      <c r="N283">
        <f>MID(D283,FIND(";",SUBSTITUTE(D283,"|",REPT(";",LEN(D283)),5))+1,FIND(";",SUBSTITUTE(D283,"|",REPT(";",LEN(D283)),6))-FIND(";",SUBSTITUTE(D283,"|",REPT(";",LEN(D283)),5))-1)</f>
        <v/>
      </c>
      <c r="O283">
        <f>MID(D283,FIND(";",SUBSTITUTE(D283,"|",REPT(";",LEN(D283)),6))+1,FIND(";",SUBSTITUTE(D283,"|",REPT(";",LEN(D283)),7))-FIND(";",SUBSTITUTE(D283,"|",REPT(";",LEN(D283)),6))-1)</f>
        <v/>
      </c>
    </row>
    <row r="284">
      <c r="A284" t="inlineStr">
        <is>
          <t>100401</t>
        </is>
      </c>
      <c r="B284" t="inlineStr">
        <is>
          <t>钢带</t>
        </is>
      </c>
      <c r="C284" t="inlineStr">
        <is>
          <t>600631700</t>
        </is>
      </c>
      <c r="D284" t="inlineStr">
        <is>
          <t>冷轧不锈钢带|钢带|12Cr18Ni9|δ0.2|GB/T 3280-2007|冷轧|H1/4|GB/T 708-2006</t>
        </is>
      </c>
      <c r="E284" t="inlineStr">
        <is>
          <t>物资名称 冷轧不锈钢带;物资简称 钢带;牌号 12Cr18Ni9;厚度 δ0.2;宽 ;技术标准号 GB/T 3280-2007;加工工艺 冷轧;热处理工艺 H1/4;特殊要求 ;规格标准号 GB/T 708-2006</t>
        </is>
      </c>
      <c r="F284" t="inlineStr">
        <is>
          <t>千克</t>
        </is>
      </c>
      <c r="G284">
        <f>LEFT(D284,FIND("|",D284,1)-1)</f>
        <v/>
      </c>
      <c r="H284">
        <f>MID(D284,FIND("|",D284,FIND("|",D284,1))+1,FIND("|",D284,FIND("|",D284,1)+1)-FIND("|",D284,FIND("|",D284,1))-1)</f>
        <v/>
      </c>
      <c r="J284">
        <f>MID(D284,FIND(",",SUBSTITUTE(D284,"|",REPT(",",LEN(D284)),2))+1,FIND(",",SUBSTITUTE(D284,"|",REPT(",",LEN(D284)),3))-FIND(",",SUBSTITUTE(D284,"|",REPT(",",LEN(D284)),2))-1)</f>
        <v/>
      </c>
      <c r="K284">
        <f>MID(D284,FIND(",",SUBSTITUTE(D284,"|",REPT(",",LEN(D284)),3))+1,FIND(",",SUBSTITUTE(D284,"|",REPT(",",LEN(D284)),4))-FIND(",",SUBSTITUTE(D284,"|",REPT(",",LEN(D284)),3))-1)</f>
        <v/>
      </c>
      <c r="L284">
        <f>MID(D284,FIND(";",SUBSTITUTE(D284,"|",REPT(";",LEN(D284)),4))+1,FIND(";",SUBSTITUTE(D284,"|",REPT(";",LEN(D284)),5))-FIND(";",SUBSTITUTE(D284,"|",REPT(";",LEN(D284)),4))-1)</f>
        <v/>
      </c>
      <c r="N284">
        <f>MID(D284,FIND(";",SUBSTITUTE(D284,"|",REPT(";",LEN(D284)),5))+1,FIND(";",SUBSTITUTE(D284,"|",REPT(";",LEN(D284)),6))-FIND(";",SUBSTITUTE(D284,"|",REPT(";",LEN(D284)),5))-1)</f>
        <v/>
      </c>
      <c r="O284">
        <f>MID(D284,FIND(";",SUBSTITUTE(D284,"|",REPT(";",LEN(D284)),6))+1,FIND(";",SUBSTITUTE(D284,"|",REPT(";",LEN(D284)),7))-FIND(";",SUBSTITUTE(D284,"|",REPT(";",LEN(D284)),6))-1)</f>
        <v/>
      </c>
    </row>
    <row r="285">
      <c r="A285" t="inlineStr">
        <is>
          <t>100401</t>
        </is>
      </c>
      <c r="B285" t="inlineStr">
        <is>
          <t>钢带</t>
        </is>
      </c>
      <c r="C285" t="inlineStr">
        <is>
          <t>600631600</t>
        </is>
      </c>
      <c r="D285" t="inlineStr">
        <is>
          <t>冷轧不锈钢带|钢带|12Cr18Ni9|δ0.5|GB/T 3280-2007|冷轧|H1/4|GB/T 708-2006</t>
        </is>
      </c>
      <c r="E285" t="inlineStr">
        <is>
          <t>物资名称 冷轧不锈钢带;物资简称 钢带;牌号 12Cr18Ni9;厚度 δ0.5;宽 ;技术标准号 GB/T 3280-2007;加工工艺 冷轧;热处理工艺 H1/4;特殊要求 ;规格标准号 GB/T 708-2006</t>
        </is>
      </c>
      <c r="F285" t="inlineStr">
        <is>
          <t>千克</t>
        </is>
      </c>
      <c r="G285">
        <f>LEFT(D285,FIND("|",D285,1)-1)</f>
        <v/>
      </c>
      <c r="H285">
        <f>MID(D285,FIND("|",D285,FIND("|",D285,1))+1,FIND("|",D285,FIND("|",D285,1)+1)-FIND("|",D285,FIND("|",D285,1))-1)</f>
        <v/>
      </c>
      <c r="J285">
        <f>MID(D285,FIND(",",SUBSTITUTE(D285,"|",REPT(",",LEN(D285)),2))+1,FIND(",",SUBSTITUTE(D285,"|",REPT(",",LEN(D285)),3))-FIND(",",SUBSTITUTE(D285,"|",REPT(",",LEN(D285)),2))-1)</f>
        <v/>
      </c>
      <c r="K285">
        <f>MID(D285,FIND(",",SUBSTITUTE(D285,"|",REPT(",",LEN(D285)),3))+1,FIND(",",SUBSTITUTE(D285,"|",REPT(",",LEN(D285)),4))-FIND(",",SUBSTITUTE(D285,"|",REPT(",",LEN(D285)),3))-1)</f>
        <v/>
      </c>
      <c r="L285">
        <f>MID(D285,FIND(";",SUBSTITUTE(D285,"|",REPT(";",LEN(D285)),4))+1,FIND(";",SUBSTITUTE(D285,"|",REPT(";",LEN(D285)),5))-FIND(";",SUBSTITUTE(D285,"|",REPT(";",LEN(D285)),4))-1)</f>
        <v/>
      </c>
      <c r="N285">
        <f>MID(D285,FIND(";",SUBSTITUTE(D285,"|",REPT(";",LEN(D285)),5))+1,FIND(";",SUBSTITUTE(D285,"|",REPT(";",LEN(D285)),6))-FIND(";",SUBSTITUTE(D285,"|",REPT(";",LEN(D285)),5))-1)</f>
        <v/>
      </c>
      <c r="O285">
        <f>MID(D285,FIND(";",SUBSTITUTE(D285,"|",REPT(";",LEN(D285)),6))+1,FIND(";",SUBSTITUTE(D285,"|",REPT(";",LEN(D285)),7))-FIND(";",SUBSTITUTE(D285,"|",REPT(";",LEN(D285)),6))-1)</f>
        <v/>
      </c>
    </row>
    <row r="286">
      <c r="A286" t="inlineStr">
        <is>
          <t>100401</t>
        </is>
      </c>
      <c r="B286" t="inlineStr">
        <is>
          <t>钢带</t>
        </is>
      </c>
      <c r="C286" t="inlineStr">
        <is>
          <t>600631500</t>
        </is>
      </c>
      <c r="D286" t="inlineStr">
        <is>
          <t>冷轧不锈钢带|钢带|12Cr18Ni9|δ1.2|GB/T 3280-2007|冷轧|H1/4|N|GB/T 708-2006</t>
        </is>
      </c>
      <c r="E286" t="inlineStr">
        <is>
          <t>物资名称 冷轧不锈钢带;物资简称 钢带;牌号 12Cr18Ni9;厚度 δ1.2;宽 ;技术标准号 GB/T 3280-2007;加工工艺 冷轧;热处理工艺 H1/4;特殊要求 N;规格标准号 GB/T 708-2006</t>
        </is>
      </c>
      <c r="F286" t="inlineStr">
        <is>
          <t>千克</t>
        </is>
      </c>
      <c r="G286">
        <f>LEFT(D286,FIND("|",D286,1)-1)</f>
        <v/>
      </c>
      <c r="H286">
        <f>MID(D286,FIND("|",D286,FIND("|",D286,1))+1,FIND("|",D286,FIND("|",D286,1)+1)-FIND("|",D286,FIND("|",D286,1))-1)</f>
        <v/>
      </c>
      <c r="J286">
        <f>MID(D286,FIND(",",SUBSTITUTE(D286,"|",REPT(",",LEN(D286)),2))+1,FIND(",",SUBSTITUTE(D286,"|",REPT(",",LEN(D286)),3))-FIND(",",SUBSTITUTE(D286,"|",REPT(",",LEN(D286)),2))-1)</f>
        <v/>
      </c>
      <c r="K286">
        <f>MID(D286,FIND(",",SUBSTITUTE(D286,"|",REPT(",",LEN(D286)),3))+1,FIND(",",SUBSTITUTE(D286,"|",REPT(",",LEN(D286)),4))-FIND(",",SUBSTITUTE(D286,"|",REPT(",",LEN(D286)),3))-1)</f>
        <v/>
      </c>
      <c r="L286">
        <f>MID(D286,FIND(";",SUBSTITUTE(D286,"|",REPT(";",LEN(D286)),4))+1,FIND(";",SUBSTITUTE(D286,"|",REPT(";",LEN(D286)),5))-FIND(";",SUBSTITUTE(D286,"|",REPT(";",LEN(D286)),4))-1)</f>
        <v/>
      </c>
      <c r="N286">
        <f>MID(D286,FIND(";",SUBSTITUTE(D286,"|",REPT(";",LEN(D286)),5))+1,FIND(";",SUBSTITUTE(D286,"|",REPT(";",LEN(D286)),6))-FIND(";",SUBSTITUTE(D286,"|",REPT(";",LEN(D286)),5))-1)</f>
        <v/>
      </c>
      <c r="O286">
        <f>MID(D286,FIND(";",SUBSTITUTE(D286,"|",REPT(";",LEN(D286)),6))+1,FIND(";",SUBSTITUTE(D286,"|",REPT(";",LEN(D286)),7))-FIND(";",SUBSTITUTE(D286,"|",REPT(";",LEN(D286)),6))-1)</f>
        <v/>
      </c>
    </row>
    <row r="287">
      <c r="A287" t="inlineStr">
        <is>
          <t>100401</t>
        </is>
      </c>
      <c r="B287" t="inlineStr">
        <is>
          <t>钢带</t>
        </is>
      </c>
      <c r="C287" t="inlineStr">
        <is>
          <t>600631400</t>
        </is>
      </c>
      <c r="D287" t="inlineStr">
        <is>
          <t>冷轧耐热钢带|钢带|1Cr18Ni9Ti|GB  4239-1991</t>
        </is>
      </c>
      <c r="E287" t="inlineStr">
        <is>
          <t xml:space="preserve">物资名称 冷轧耐热钢带;物资简称 钢带;牌号 1Cr18Ni9Ti;厚度 ;宽 ;技术标准号 GB  4239-1991;加工工艺 ;热处理工艺 ;特殊要求 ;规格标准号 </t>
        </is>
      </c>
      <c r="F287" t="inlineStr">
        <is>
          <t>千克</t>
        </is>
      </c>
      <c r="G287">
        <f>LEFT(D287,FIND("|",D287,1)-1)</f>
        <v/>
      </c>
      <c r="H287">
        <f>MID(D287,FIND("|",D287,FIND("|",D287,1))+1,FIND("|",D287,FIND("|",D287,1)+1)-FIND("|",D287,FIND("|",D287,1))-1)</f>
        <v/>
      </c>
      <c r="J287">
        <f>MID(D287,FIND(",",SUBSTITUTE(D287,"|",REPT(",",LEN(D287)),2))+1,FIND(",",SUBSTITUTE(D287,"|",REPT(",",LEN(D287)),3))-FIND(",",SUBSTITUTE(D287,"|",REPT(",",LEN(D287)),2))-1)</f>
        <v/>
      </c>
      <c r="L287">
        <f>MID(D287,FIND(";",SUBSTITUTE(D287,"|",REPT(";",LEN(D287)),3))+1,LEN(D287))</f>
        <v/>
      </c>
    </row>
    <row r="288">
      <c r="A288" t="inlineStr">
        <is>
          <t>100401</t>
        </is>
      </c>
      <c r="B288" t="inlineStr">
        <is>
          <t>钢带</t>
        </is>
      </c>
      <c r="C288" t="inlineStr">
        <is>
          <t>600631300</t>
        </is>
      </c>
      <c r="D288" t="inlineStr">
        <is>
          <t>冷轧耐热钢带|钢带|1Cr18Ni9Ti|δ0.05|GB  4239-1991|冷轧</t>
        </is>
      </c>
      <c r="E288" t="inlineStr">
        <is>
          <t xml:space="preserve">物资名称 冷轧耐热钢带;物资简称 钢带;牌号 1Cr18Ni9Ti;厚度 δ0.05;宽 ;技术标准号 GB  4239-1991;加工工艺 冷轧;热处理工艺 ;特殊要求 ;规格标准号 </t>
        </is>
      </c>
      <c r="F288" t="inlineStr">
        <is>
          <t>千克</t>
        </is>
      </c>
      <c r="G288">
        <f>LEFT(D288,FIND("|",D288,1)-1)</f>
        <v/>
      </c>
      <c r="H288">
        <f>MID(D288,FIND("|",D288,FIND("|",D288,1))+1,FIND("|",D288,FIND("|",D288,1)+1)-FIND("|",D288,FIND("|",D288,1))-1)</f>
        <v/>
      </c>
      <c r="J288">
        <f>MID(D288,FIND(",",SUBSTITUTE(D288,"|",REPT(",",LEN(D288)),2))+1,FIND(",",SUBSTITUTE(D288,"|",REPT(",",LEN(D288)),3))-FIND(",",SUBSTITUTE(D288,"|",REPT(",",LEN(D288)),2))-1)</f>
        <v/>
      </c>
      <c r="K288">
        <f>MID(D288,FIND(",",SUBSTITUTE(D288,"|",REPT(",",LEN(D288)),3))+1,FIND(",",SUBSTITUTE(D288,"|",REPT(",",LEN(D288)),4))-FIND(",",SUBSTITUTE(D288,"|",REPT(",",LEN(D288)),3))-1)</f>
        <v/>
      </c>
      <c r="L288">
        <f>MID(D288,FIND(";",SUBSTITUTE(D288,"|",REPT(";",LEN(D288)),4))+1,FIND(";",SUBSTITUTE(D288,"|",REPT(";",LEN(D288)),5))-FIND(";",SUBSTITUTE(D288,"|",REPT(";",LEN(D288)),4))-1)</f>
        <v/>
      </c>
      <c r="N288">
        <f>MID(D288,FIND(";",SUBSTITUTE(D288,"|",REPT(";",LEN(D288)),5))+1,LEN(D288))</f>
        <v/>
      </c>
    </row>
    <row r="289">
      <c r="A289" t="inlineStr">
        <is>
          <t>100401</t>
        </is>
      </c>
      <c r="B289" t="inlineStr">
        <is>
          <t>钢带</t>
        </is>
      </c>
      <c r="C289" t="inlineStr">
        <is>
          <t>600631200</t>
        </is>
      </c>
      <c r="D289" t="inlineStr">
        <is>
          <t>冷轧耐热钢带|钢带|1Cr18Ni9Ti|δ0.15|GB  4239-1991|冷轧</t>
        </is>
      </c>
      <c r="E289" t="inlineStr">
        <is>
          <t xml:space="preserve">物资名称 冷轧耐热钢带;物资简称 钢带;牌号 1Cr18Ni9Ti;厚度 δ0.15;宽 ;技术标准号 GB  4239-1991;加工工艺 冷轧;热处理工艺 ;特殊要求 ;规格标准号 </t>
        </is>
      </c>
      <c r="F289" t="inlineStr">
        <is>
          <t>千克</t>
        </is>
      </c>
      <c r="G289">
        <f>LEFT(D289,FIND("|",D289,1)-1)</f>
        <v/>
      </c>
      <c r="H289">
        <f>MID(D289,FIND("|",D289,FIND("|",D289,1))+1,FIND("|",D289,FIND("|",D289,1)+1)-FIND("|",D289,FIND("|",D289,1))-1)</f>
        <v/>
      </c>
      <c r="J289">
        <f>MID(D289,FIND(",",SUBSTITUTE(D289,"|",REPT(",",LEN(D289)),2))+1,FIND(",",SUBSTITUTE(D289,"|",REPT(",",LEN(D289)),3))-FIND(",",SUBSTITUTE(D289,"|",REPT(",",LEN(D289)),2))-1)</f>
        <v/>
      </c>
      <c r="K289">
        <f>MID(D289,FIND(",",SUBSTITUTE(D289,"|",REPT(",",LEN(D289)),3))+1,FIND(",",SUBSTITUTE(D289,"|",REPT(",",LEN(D289)),4))-FIND(",",SUBSTITUTE(D289,"|",REPT(",",LEN(D289)),3))-1)</f>
        <v/>
      </c>
      <c r="L289">
        <f>MID(D289,FIND(";",SUBSTITUTE(D289,"|",REPT(";",LEN(D289)),4))+1,FIND(";",SUBSTITUTE(D289,"|",REPT(";",LEN(D289)),5))-FIND(";",SUBSTITUTE(D289,"|",REPT(";",LEN(D289)),4))-1)</f>
        <v/>
      </c>
      <c r="N289">
        <f>MID(D289,FIND(";",SUBSTITUTE(D289,"|",REPT(";",LEN(D289)),5))+1,LEN(D289))</f>
        <v/>
      </c>
    </row>
    <row r="290">
      <c r="A290" t="inlineStr">
        <is>
          <t>100401</t>
        </is>
      </c>
      <c r="B290" t="inlineStr">
        <is>
          <t>钢带</t>
        </is>
      </c>
      <c r="C290" t="inlineStr">
        <is>
          <t>600631100</t>
        </is>
      </c>
      <c r="D290" t="inlineStr">
        <is>
          <t>冷轧耐热钢带|钢带|1Cr18Ni9Ti|δ0.2|GB  4239-1991|冷轧</t>
        </is>
      </c>
      <c r="E290" t="inlineStr">
        <is>
          <t xml:space="preserve">物资名称 冷轧耐热钢带;物资简称 钢带;牌号 1Cr18Ni9Ti;厚度 δ0.2;宽 ;技术标准号 GB  4239-1991;加工工艺 冷轧;热处理工艺 ;特殊要求 ;规格标准号 </t>
        </is>
      </c>
      <c r="F290" t="inlineStr">
        <is>
          <t>千克</t>
        </is>
      </c>
      <c r="G290">
        <f>LEFT(D290,FIND("|",D290,1)-1)</f>
        <v/>
      </c>
      <c r="H290">
        <f>MID(D290,FIND("|",D290,FIND("|",D290,1))+1,FIND("|",D290,FIND("|",D290,1)+1)-FIND("|",D290,FIND("|",D290,1))-1)</f>
        <v/>
      </c>
      <c r="J290">
        <f>MID(D290,FIND(",",SUBSTITUTE(D290,"|",REPT(",",LEN(D290)),2))+1,FIND(",",SUBSTITUTE(D290,"|",REPT(",",LEN(D290)),3))-FIND(",",SUBSTITUTE(D290,"|",REPT(",",LEN(D290)),2))-1)</f>
        <v/>
      </c>
      <c r="K290">
        <f>MID(D290,FIND(",",SUBSTITUTE(D290,"|",REPT(",",LEN(D290)),3))+1,FIND(",",SUBSTITUTE(D290,"|",REPT(",",LEN(D290)),4))-FIND(",",SUBSTITUTE(D290,"|",REPT(",",LEN(D290)),3))-1)</f>
        <v/>
      </c>
      <c r="L290">
        <f>MID(D290,FIND(";",SUBSTITUTE(D290,"|",REPT(";",LEN(D290)),4))+1,FIND(";",SUBSTITUTE(D290,"|",REPT(";",LEN(D290)),5))-FIND(";",SUBSTITUTE(D290,"|",REPT(";",LEN(D290)),4))-1)</f>
        <v/>
      </c>
      <c r="N290">
        <f>MID(D290,FIND(";",SUBSTITUTE(D290,"|",REPT(";",LEN(D290)),5))+1,LEN(D290))</f>
        <v/>
      </c>
    </row>
    <row r="291">
      <c r="A291" t="inlineStr">
        <is>
          <t>100401</t>
        </is>
      </c>
      <c r="B291" t="inlineStr">
        <is>
          <t>钢带</t>
        </is>
      </c>
      <c r="C291" t="inlineStr">
        <is>
          <t>600631000</t>
        </is>
      </c>
      <c r="D291" t="inlineStr">
        <is>
          <t>冷轧耐热钢带|钢带|1Cr18Ni9Ti|δ0.2|GB  4239-1991|冷轧|硬态</t>
        </is>
      </c>
      <c r="E291" t="inlineStr">
        <is>
          <t xml:space="preserve">物资名称 冷轧耐热钢带;物资简称 钢带;牌号 1Cr18Ni9Ti;厚度 δ0.2;宽 ;技术标准号 GB  4239-1991;加工工艺 冷轧;热处理工艺 ;特殊要求 硬态;规格标准号 </t>
        </is>
      </c>
      <c r="F291" t="inlineStr">
        <is>
          <t>千克</t>
        </is>
      </c>
      <c r="G291">
        <f>LEFT(D291,FIND("|",D291,1)-1)</f>
        <v/>
      </c>
      <c r="H291">
        <f>MID(D291,FIND("|",D291,FIND("|",D291,1))+1,FIND("|",D291,FIND("|",D291,1)+1)-FIND("|",D291,FIND("|",D291,1))-1)</f>
        <v/>
      </c>
      <c r="J291">
        <f>MID(D291,FIND(",",SUBSTITUTE(D291,"|",REPT(",",LEN(D291)),2))+1,FIND(",",SUBSTITUTE(D291,"|",REPT(",",LEN(D291)),3))-FIND(",",SUBSTITUTE(D291,"|",REPT(",",LEN(D291)),2))-1)</f>
        <v/>
      </c>
      <c r="K291">
        <f>MID(D291,FIND(",",SUBSTITUTE(D291,"|",REPT(",",LEN(D291)),3))+1,FIND(",",SUBSTITUTE(D291,"|",REPT(",",LEN(D291)),4))-FIND(",",SUBSTITUTE(D291,"|",REPT(",",LEN(D291)),3))-1)</f>
        <v/>
      </c>
      <c r="L291">
        <f>MID(D291,FIND(";",SUBSTITUTE(D291,"|",REPT(";",LEN(D291)),4))+1,FIND(";",SUBSTITUTE(D291,"|",REPT(";",LEN(D291)),5))-FIND(";",SUBSTITUTE(D291,"|",REPT(";",LEN(D291)),4))-1)</f>
        <v/>
      </c>
      <c r="N291">
        <f>MID(D291,FIND(";",SUBSTITUTE(D291,"|",REPT(";",LEN(D291)),5))+1,FIND(";",SUBSTITUTE(D291,"|",REPT(";",LEN(D291)),6))-FIND(";",SUBSTITUTE(D291,"|",REPT(";",LEN(D291)),5))-1)</f>
        <v/>
      </c>
      <c r="P291">
        <f>MID(D291,FIND(";",SUBSTITUTE(D291,"|",REPT(";",LEN(D291)),6))+1,LEN(D291))</f>
        <v/>
      </c>
    </row>
    <row r="292">
      <c r="A292" t="inlineStr">
        <is>
          <t>100401</t>
        </is>
      </c>
      <c r="B292" t="inlineStr">
        <is>
          <t>钢带</t>
        </is>
      </c>
      <c r="C292" t="inlineStr">
        <is>
          <t>600630900</t>
        </is>
      </c>
      <c r="D292" t="inlineStr">
        <is>
          <t>冷轧耐热钢带|钢带|1Cr18Ni9Ti|δ0.3|GB  4239-1991|冷轧</t>
        </is>
      </c>
      <c r="E292" t="inlineStr">
        <is>
          <t xml:space="preserve">物资名称 冷轧耐热钢带;物资简称 钢带;牌号 1Cr18Ni9Ti;厚度 δ0.3;宽 ;技术标准号 GB  4239-1991;加工工艺 冷轧;热处理工艺 ;特殊要求 ;规格标准号 </t>
        </is>
      </c>
      <c r="F292" t="inlineStr">
        <is>
          <t>千克</t>
        </is>
      </c>
      <c r="G292">
        <f>LEFT(D292,FIND("|",D292,1)-1)</f>
        <v/>
      </c>
      <c r="H292">
        <f>MID(D292,FIND("|",D292,FIND("|",D292,1))+1,FIND("|",D292,FIND("|",D292,1)+1)-FIND("|",D292,FIND("|",D292,1))-1)</f>
        <v/>
      </c>
      <c r="J292">
        <f>MID(D292,FIND(",",SUBSTITUTE(D292,"|",REPT(",",LEN(D292)),2))+1,FIND(",",SUBSTITUTE(D292,"|",REPT(",",LEN(D292)),3))-FIND(",",SUBSTITUTE(D292,"|",REPT(",",LEN(D292)),2))-1)</f>
        <v/>
      </c>
      <c r="K292">
        <f>MID(D292,FIND(",",SUBSTITUTE(D292,"|",REPT(",",LEN(D292)),3))+1,FIND(",",SUBSTITUTE(D292,"|",REPT(",",LEN(D292)),4))-FIND(",",SUBSTITUTE(D292,"|",REPT(",",LEN(D292)),3))-1)</f>
        <v/>
      </c>
      <c r="L292">
        <f>MID(D292,FIND(";",SUBSTITUTE(D292,"|",REPT(";",LEN(D292)),4))+1,FIND(";",SUBSTITUTE(D292,"|",REPT(";",LEN(D292)),5))-FIND(";",SUBSTITUTE(D292,"|",REPT(";",LEN(D292)),4))-1)</f>
        <v/>
      </c>
      <c r="N292">
        <f>MID(D292,FIND(";",SUBSTITUTE(D292,"|",REPT(";",LEN(D292)),5))+1,LEN(D292))</f>
        <v/>
      </c>
    </row>
    <row r="293">
      <c r="A293" t="inlineStr">
        <is>
          <t>100401</t>
        </is>
      </c>
      <c r="B293" t="inlineStr">
        <is>
          <t>钢带</t>
        </is>
      </c>
      <c r="C293" t="inlineStr">
        <is>
          <t>600630800</t>
        </is>
      </c>
      <c r="D293" t="inlineStr">
        <is>
          <t>冷轧耐热钢带|钢带|1Cr18Ni9Ti|δ0.4|GB  4239-1991|冷轧|R</t>
        </is>
      </c>
      <c r="E293" t="inlineStr">
        <is>
          <t xml:space="preserve">物资名称 冷轧耐热钢带;物资简称 钢带;牌号 1Cr18Ni9Ti;厚度 δ0.4;宽 ;技术标准号 GB  4239-1991;加工工艺 冷轧;热处理工艺 ;特殊要求 R;规格标准号 </t>
        </is>
      </c>
      <c r="F293" t="inlineStr">
        <is>
          <t>千克</t>
        </is>
      </c>
      <c r="G293">
        <f>LEFT(D293,FIND("|",D293,1)-1)</f>
        <v/>
      </c>
      <c r="H293">
        <f>MID(D293,FIND("|",D293,FIND("|",D293,1))+1,FIND("|",D293,FIND("|",D293,1)+1)-FIND("|",D293,FIND("|",D293,1))-1)</f>
        <v/>
      </c>
      <c r="J293">
        <f>MID(D293,FIND(",",SUBSTITUTE(D293,"|",REPT(",",LEN(D293)),2))+1,FIND(",",SUBSTITUTE(D293,"|",REPT(",",LEN(D293)),3))-FIND(",",SUBSTITUTE(D293,"|",REPT(",",LEN(D293)),2))-1)</f>
        <v/>
      </c>
      <c r="K293">
        <f>MID(D293,FIND(",",SUBSTITUTE(D293,"|",REPT(",",LEN(D293)),3))+1,FIND(",",SUBSTITUTE(D293,"|",REPT(",",LEN(D293)),4))-FIND(",",SUBSTITUTE(D293,"|",REPT(",",LEN(D293)),3))-1)</f>
        <v/>
      </c>
      <c r="L293">
        <f>MID(D293,FIND(";",SUBSTITUTE(D293,"|",REPT(";",LEN(D293)),4))+1,FIND(";",SUBSTITUTE(D293,"|",REPT(";",LEN(D293)),5))-FIND(";",SUBSTITUTE(D293,"|",REPT(";",LEN(D293)),4))-1)</f>
        <v/>
      </c>
      <c r="N293">
        <f>MID(D293,FIND(";",SUBSTITUTE(D293,"|",REPT(";",LEN(D293)),5))+1,FIND(";",SUBSTITUTE(D293,"|",REPT(";",LEN(D293)),6))-FIND(";",SUBSTITUTE(D293,"|",REPT(";",LEN(D293)),5))-1)</f>
        <v/>
      </c>
      <c r="P293">
        <f>MID(D293,FIND(";",SUBSTITUTE(D293,"|",REPT(";",LEN(D293)),6))+1,LEN(D293))</f>
        <v/>
      </c>
    </row>
    <row r="294">
      <c r="A294" t="inlineStr">
        <is>
          <t>100401</t>
        </is>
      </c>
      <c r="B294" t="inlineStr">
        <is>
          <t>钢带</t>
        </is>
      </c>
      <c r="C294" t="inlineStr">
        <is>
          <t>600630700</t>
        </is>
      </c>
      <c r="D294" t="inlineStr">
        <is>
          <t>冷轧耐热钢带|钢带|1Cr18Ni9Ti|δ0.4|GB  4239-1991|冷轧</t>
        </is>
      </c>
      <c r="E294" t="inlineStr">
        <is>
          <t xml:space="preserve">物资名称 冷轧耐热钢带;物资简称 钢带;牌号 1Cr18Ni9Ti;厚度 δ0.4;宽 ;技术标准号 GB  4239-1991;加工工艺 冷轧;热处理工艺 ;特殊要求 ;规格标准号 </t>
        </is>
      </c>
      <c r="F294" t="inlineStr">
        <is>
          <t>千克</t>
        </is>
      </c>
      <c r="G294">
        <f>LEFT(D294,FIND("|",D294,1)-1)</f>
        <v/>
      </c>
      <c r="H294">
        <f>MID(D294,FIND("|",D294,FIND("|",D294,1))+1,FIND("|",D294,FIND("|",D294,1)+1)-FIND("|",D294,FIND("|",D294,1))-1)</f>
        <v/>
      </c>
      <c r="J294">
        <f>MID(D294,FIND(",",SUBSTITUTE(D294,"|",REPT(",",LEN(D294)),2))+1,FIND(",",SUBSTITUTE(D294,"|",REPT(",",LEN(D294)),3))-FIND(",",SUBSTITUTE(D294,"|",REPT(",",LEN(D294)),2))-1)</f>
        <v/>
      </c>
      <c r="K294">
        <f>MID(D294,FIND(",",SUBSTITUTE(D294,"|",REPT(",",LEN(D294)),3))+1,FIND(",",SUBSTITUTE(D294,"|",REPT(",",LEN(D294)),4))-FIND(",",SUBSTITUTE(D294,"|",REPT(",",LEN(D294)),3))-1)</f>
        <v/>
      </c>
      <c r="L294">
        <f>MID(D294,FIND(";",SUBSTITUTE(D294,"|",REPT(";",LEN(D294)),4))+1,FIND(";",SUBSTITUTE(D294,"|",REPT(";",LEN(D294)),5))-FIND(";",SUBSTITUTE(D294,"|",REPT(";",LEN(D294)),4))-1)</f>
        <v/>
      </c>
      <c r="N294">
        <f>MID(D294,FIND(";",SUBSTITUTE(D294,"|",REPT(";",LEN(D294)),5))+1,LEN(D294))</f>
        <v/>
      </c>
    </row>
    <row r="295">
      <c r="A295" t="inlineStr">
        <is>
          <t>100401</t>
        </is>
      </c>
      <c r="B295" t="inlineStr">
        <is>
          <t>钢带</t>
        </is>
      </c>
      <c r="C295" t="inlineStr">
        <is>
          <t>600630600</t>
        </is>
      </c>
      <c r="D295" t="inlineStr">
        <is>
          <t>冷轧耐热钢带|钢带|1Cr18Ni9Ti|δ0.8|GB  4239-1991|冷轧</t>
        </is>
      </c>
      <c r="E295" t="inlineStr">
        <is>
          <t xml:space="preserve">物资名称 冷轧耐热钢带;物资简称 钢带;牌号 1Cr18Ni9Ti;厚度 δ0.8;宽 ;技术标准号 GB  4239-1991;加工工艺 冷轧;热处理工艺 ;特殊要求 ;规格标准号 </t>
        </is>
      </c>
      <c r="F295" t="inlineStr">
        <is>
          <t>千克</t>
        </is>
      </c>
      <c r="G295">
        <f>LEFT(D295,FIND("|",D295,1)-1)</f>
        <v/>
      </c>
      <c r="H295">
        <f>MID(D295,FIND("|",D295,FIND("|",D295,1))+1,FIND("|",D295,FIND("|",D295,1)+1)-FIND("|",D295,FIND("|",D295,1))-1)</f>
        <v/>
      </c>
      <c r="J295">
        <f>MID(D295,FIND(",",SUBSTITUTE(D295,"|",REPT(",",LEN(D295)),2))+1,FIND(",",SUBSTITUTE(D295,"|",REPT(",",LEN(D295)),3))-FIND(",",SUBSTITUTE(D295,"|",REPT(",",LEN(D295)),2))-1)</f>
        <v/>
      </c>
      <c r="K295">
        <f>MID(D295,FIND(",",SUBSTITUTE(D295,"|",REPT(",",LEN(D295)),3))+1,FIND(",",SUBSTITUTE(D295,"|",REPT(",",LEN(D295)),4))-FIND(",",SUBSTITUTE(D295,"|",REPT(",",LEN(D295)),3))-1)</f>
        <v/>
      </c>
      <c r="L295">
        <f>MID(D295,FIND(";",SUBSTITUTE(D295,"|",REPT(";",LEN(D295)),4))+1,FIND(";",SUBSTITUTE(D295,"|",REPT(";",LEN(D295)),5))-FIND(";",SUBSTITUTE(D295,"|",REPT(";",LEN(D295)),4))-1)</f>
        <v/>
      </c>
      <c r="N295">
        <f>MID(D295,FIND(";",SUBSTITUTE(D295,"|",REPT(";",LEN(D295)),5))+1,LEN(D295))</f>
        <v/>
      </c>
    </row>
    <row r="296">
      <c r="A296" t="inlineStr">
        <is>
          <t>100401</t>
        </is>
      </c>
      <c r="B296" t="inlineStr">
        <is>
          <t>钢带</t>
        </is>
      </c>
      <c r="C296" t="inlineStr">
        <is>
          <t>600630500</t>
        </is>
      </c>
      <c r="D296" t="inlineStr">
        <is>
          <t>冷轧弹簧钢带|钢带|65Mn|YB/T 5058-2005|GB/T 15391-1994</t>
        </is>
      </c>
      <c r="E296" t="inlineStr">
        <is>
          <t>物资名称 冷轧弹簧钢带;物资简称 钢带;牌号 65Mn;厚度 ;宽 ;技术标准号 YB/T 5058-2005;加工工艺 ;热处理工艺 ;特殊要求 ;规格标准号 GB/T 15391-1994</t>
        </is>
      </c>
      <c r="F296" t="inlineStr">
        <is>
          <t>千克</t>
        </is>
      </c>
      <c r="G296">
        <f>LEFT(D296,FIND("|",D296,1)-1)</f>
        <v/>
      </c>
      <c r="H296">
        <f>MID(D296,FIND("|",D296,FIND("|",D296,1))+1,FIND("|",D296,FIND("|",D296,1)+1)-FIND("|",D296,FIND("|",D296,1))-1)</f>
        <v/>
      </c>
      <c r="J296">
        <f>MID(D296,FIND(",",SUBSTITUTE(D296,"|",REPT(",",LEN(D296)),2))+1,FIND(",",SUBSTITUTE(D296,"|",REPT(",",LEN(D296)),3))-FIND(",",SUBSTITUTE(D296,"|",REPT(",",LEN(D296)),2))-1)</f>
        <v/>
      </c>
      <c r="L296">
        <f>MID(D296,FIND(",",SUBSTITUTE(D296,"|",REPT(",",LEN(D296)),3))+1,FIND(",",SUBSTITUTE(D296,"|",REPT(",",LEN(D296)),4))-FIND(",",SUBSTITUTE(D296,"|",REPT(",",LEN(D296)),3))-1)</f>
        <v/>
      </c>
      <c r="M296">
        <f>MID(D296,FIND(";",SUBSTITUTE(D296,"|",REPT(";",LEN(D296)),4))+1,LEN(D296))</f>
        <v/>
      </c>
    </row>
    <row r="297">
      <c r="A297" t="inlineStr">
        <is>
          <t>100401</t>
        </is>
      </c>
      <c r="B297" t="inlineStr">
        <is>
          <t>钢带</t>
        </is>
      </c>
      <c r="C297" t="inlineStr">
        <is>
          <t>600630400</t>
        </is>
      </c>
      <c r="D297" t="inlineStr">
        <is>
          <t>冷轧弹簧钢带|钢带|65Mn|δ0.1|YB/T 5058-2005|冷轧|EC、FB|GB/T 15391-1994</t>
        </is>
      </c>
      <c r="E297" t="inlineStr">
        <is>
          <t>物资名称 冷轧弹簧钢带;物资简称 钢带;牌号 65Mn;厚度 δ0.1;宽 ;技术标准号 YB/T 5058-2005;加工工艺 冷轧;热处理工艺 ;特殊要求 EC、FB;规格标准号 GB/T 15391-1994</t>
        </is>
      </c>
      <c r="F297" t="inlineStr">
        <is>
          <t>千克</t>
        </is>
      </c>
      <c r="G297">
        <f>LEFT(D297,FIND("|",D297,1)-1)</f>
        <v/>
      </c>
      <c r="H297">
        <f>MID(D297,FIND("|",D297,FIND("|",D297,1))+1,FIND("|",D297,FIND("|",D297,1)+1)-FIND("|",D297,FIND("|",D297,1))-1)</f>
        <v/>
      </c>
      <c r="J297">
        <f>MID(D297,FIND(",",SUBSTITUTE(D297,"|",REPT(",",LEN(D297)),2))+1,FIND(",",SUBSTITUTE(D297,"|",REPT(",",LEN(D297)),3))-FIND(",",SUBSTITUTE(D297,"|",REPT(",",LEN(D297)),2))-1)</f>
        <v/>
      </c>
      <c r="K297">
        <f>MID(D297,FIND(",",SUBSTITUTE(D297,"|",REPT(",",LEN(D297)),3))+1,FIND(",",SUBSTITUTE(D297,"|",REPT(",",LEN(D297)),4))-FIND(",",SUBSTITUTE(D297,"|",REPT(",",LEN(D297)),3))-1)</f>
        <v/>
      </c>
      <c r="L297">
        <f>MID(D297,FIND(";",SUBSTITUTE(D297,"|",REPT(";",LEN(D297)),4))+1,FIND(";",SUBSTITUTE(D297,"|",REPT(";",LEN(D297)),5))-FIND(";",SUBSTITUTE(D297,"|",REPT(";",LEN(D297)),4))-1)</f>
        <v/>
      </c>
      <c r="M297">
        <f>MID(D297,FIND(";",SUBSTITUTE(D297,"|",REPT(";",LEN(D297)),7))+1,LEN(D297))</f>
        <v/>
      </c>
      <c r="N297">
        <f>MID(D297,FIND(";",SUBSTITUTE(D297,"|",REPT(";",LEN(D297)),5))+1,FIND(";",SUBSTITUTE(D297,"|",REPT(";",LEN(D297)),6))-FIND(";",SUBSTITUTE(D297,"|",REPT(";",LEN(D297)),5))-1)</f>
        <v/>
      </c>
      <c r="P297">
        <f>MID(D297,FIND(";",SUBSTITUTE(D297,"|",REPT(";",LEN(D297)),6))+1,FIND(";",SUBSTITUTE(D297,"|",REPT(";",LEN(D297)),7))-FIND(";",SUBSTITUTE(D297,"|",REPT(";",LEN(D297)),6))-1)</f>
        <v/>
      </c>
    </row>
    <row r="298">
      <c r="A298" t="inlineStr">
        <is>
          <t>100401</t>
        </is>
      </c>
      <c r="B298" t="inlineStr">
        <is>
          <t>钢带</t>
        </is>
      </c>
      <c r="C298" t="inlineStr">
        <is>
          <t>600630300</t>
        </is>
      </c>
      <c r="D298" t="inlineStr">
        <is>
          <t>冷轧弹簧钢带|钢带|65Mn|δ0.2|YB/T 5058-2005|冷轧|FB、PT.A、PT.B|GB/T 15391-1994</t>
        </is>
      </c>
      <c r="E298" t="inlineStr">
        <is>
          <t>物资名称 冷轧弹簧钢带;物资简称 钢带;牌号 65Mn;厚度 δ0.2;宽 ;技术标准号 YB/T 5058-2005;加工工艺 冷轧;热处理工艺 ;特殊要求 FB、PT.A、PT.B;规格标准号 GB/T 15391-1994</t>
        </is>
      </c>
      <c r="F298" t="inlineStr">
        <is>
          <t>千克</t>
        </is>
      </c>
      <c r="G298">
        <f>LEFT(D298,FIND("|",D298,1)-1)</f>
        <v/>
      </c>
      <c r="H298">
        <f>MID(D298,FIND("|",D298,FIND("|",D298,1))+1,FIND("|",D298,FIND("|",D298,1)+1)-FIND("|",D298,FIND("|",D298,1))-1)</f>
        <v/>
      </c>
      <c r="J298">
        <f>MID(D298,FIND(",",SUBSTITUTE(D298,"|",REPT(",",LEN(D298)),2))+1,FIND(",",SUBSTITUTE(D298,"|",REPT(",",LEN(D298)),3))-FIND(",",SUBSTITUTE(D298,"|",REPT(",",LEN(D298)),2))-1)</f>
        <v/>
      </c>
      <c r="K298">
        <f>MID(D298,FIND(",",SUBSTITUTE(D298,"|",REPT(",",LEN(D298)),3))+1,FIND(",",SUBSTITUTE(D298,"|",REPT(",",LEN(D298)),4))-FIND(",",SUBSTITUTE(D298,"|",REPT(",",LEN(D298)),3))-1)</f>
        <v/>
      </c>
      <c r="L298">
        <f>MID(D298,FIND(";",SUBSTITUTE(D298,"|",REPT(";",LEN(D298)),4))+1,FIND(";",SUBSTITUTE(D298,"|",REPT(";",LEN(D298)),5))-FIND(";",SUBSTITUTE(D298,"|",REPT(";",LEN(D298)),4))-1)</f>
        <v/>
      </c>
      <c r="M298">
        <f>MID(D298,FIND(";",SUBSTITUTE(D298,"|",REPT(";",LEN(D298)),7))+1,LEN(D298))</f>
        <v/>
      </c>
      <c r="N298">
        <f>MID(D298,FIND(";",SUBSTITUTE(D298,"|",REPT(";",LEN(D298)),5))+1,FIND(";",SUBSTITUTE(D298,"|",REPT(";",LEN(D298)),6))-FIND(";",SUBSTITUTE(D298,"|",REPT(";",LEN(D298)),5))-1)</f>
        <v/>
      </c>
      <c r="P298">
        <f>MID(D298,FIND(";",SUBSTITUTE(D298,"|",REPT(";",LEN(D298)),6))+1,FIND(";",SUBSTITUTE(D298,"|",REPT(";",LEN(D298)),7))-FIND(";",SUBSTITUTE(D298,"|",REPT(";",LEN(D298)),6))-1)</f>
        <v/>
      </c>
    </row>
    <row r="299">
      <c r="A299" t="inlineStr">
        <is>
          <t>100401</t>
        </is>
      </c>
      <c r="B299" t="inlineStr">
        <is>
          <t>钢带</t>
        </is>
      </c>
      <c r="C299" t="inlineStr">
        <is>
          <t>600630200</t>
        </is>
      </c>
      <c r="D299" t="inlineStr">
        <is>
          <t>冷轧弹簧钢带|钢带|65Mn|δ0.5|YB/T 5058-2005|冷轧|PT.B、FB、EC|GB/T 15391-1994</t>
        </is>
      </c>
      <c r="E299" t="inlineStr">
        <is>
          <t>物资名称 冷轧弹簧钢带;物资简称 钢带;牌号 65Mn;厚度 δ0.5;宽 ;技术标准号 YB/T 5058-2005;加工工艺 冷轧;热处理工艺 ;特殊要求 PT.B、FB、EC;规格标准号 GB/T 15391-1994</t>
        </is>
      </c>
      <c r="F299" t="inlineStr">
        <is>
          <t>千克</t>
        </is>
      </c>
      <c r="G299">
        <f>LEFT(D299,FIND("|",D299,1)-1)</f>
        <v/>
      </c>
      <c r="H299">
        <f>MID(D299,FIND("|",D299,FIND("|",D299,1))+1,FIND("|",D299,FIND("|",D299,1)+1)-FIND("|",D299,FIND("|",D299,1))-1)</f>
        <v/>
      </c>
      <c r="J299">
        <f>MID(D299,FIND(",",SUBSTITUTE(D299,"|",REPT(",",LEN(D299)),2))+1,FIND(",",SUBSTITUTE(D299,"|",REPT(",",LEN(D299)),3))-FIND(",",SUBSTITUTE(D299,"|",REPT(",",LEN(D299)),2))-1)</f>
        <v/>
      </c>
      <c r="K299">
        <f>MID(D299,FIND(",",SUBSTITUTE(D299,"|",REPT(",",LEN(D299)),3))+1,FIND(",",SUBSTITUTE(D299,"|",REPT(",",LEN(D299)),4))-FIND(",",SUBSTITUTE(D299,"|",REPT(",",LEN(D299)),3))-1)</f>
        <v/>
      </c>
      <c r="L299">
        <f>MID(D299,FIND(";",SUBSTITUTE(D299,"|",REPT(";",LEN(D299)),4))+1,FIND(";",SUBSTITUTE(D299,"|",REPT(";",LEN(D299)),5))-FIND(";",SUBSTITUTE(D299,"|",REPT(";",LEN(D299)),4))-1)</f>
        <v/>
      </c>
      <c r="M299">
        <f>MID(D299,FIND(";",SUBSTITUTE(D299,"|",REPT(";",LEN(D299)),7))+1,LEN(D299))</f>
        <v/>
      </c>
      <c r="N299">
        <f>MID(D299,FIND(";",SUBSTITUTE(D299,"|",REPT(";",LEN(D299)),5))+1,FIND(";",SUBSTITUTE(D299,"|",REPT(";",LEN(D299)),6))-FIND(";",SUBSTITUTE(D299,"|",REPT(";",LEN(D299)),5))-1)</f>
        <v/>
      </c>
      <c r="P299">
        <f>MID(D299,FIND(";",SUBSTITUTE(D299,"|",REPT(";",LEN(D299)),6))+1,FIND(";",SUBSTITUTE(D299,"|",REPT(";",LEN(D299)),7))-FIND(";",SUBSTITUTE(D299,"|",REPT(";",LEN(D299)),6))-1)</f>
        <v/>
      </c>
    </row>
    <row r="300">
      <c r="A300" t="inlineStr">
        <is>
          <t>100401</t>
        </is>
      </c>
      <c r="B300" t="inlineStr">
        <is>
          <t>钢带</t>
        </is>
      </c>
      <c r="C300" t="inlineStr">
        <is>
          <t>600630100</t>
        </is>
      </c>
      <c r="D300" t="inlineStr">
        <is>
          <t>冷轧弹簧钢带|钢带|65Mn|δ0.5|YB/T 5058-2005|冷轧|GB/T 15391-1994</t>
        </is>
      </c>
      <c r="E300" t="inlineStr">
        <is>
          <t>物资名称 冷轧弹簧钢带;物资简称 钢带;牌号 65Mn;厚度 δ0.5;宽 ;技术标准号 YB/T 5058-2005;加工工艺 冷轧;热处理工艺 ;特殊要求 ;规格标准号 GB/T 15391-1994</t>
        </is>
      </c>
      <c r="F300" t="inlineStr">
        <is>
          <t>千克</t>
        </is>
      </c>
      <c r="G300">
        <f>LEFT(D300,FIND("|",D300,1)-1)</f>
        <v/>
      </c>
      <c r="H300">
        <f>MID(D300,FIND("|",D300,FIND("|",D300,1))+1,FIND("|",D300,FIND("|",D300,1)+1)-FIND("|",D300,FIND("|",D300,1))-1)</f>
        <v/>
      </c>
      <c r="J300">
        <f>MID(D300,FIND(",",SUBSTITUTE(D300,"|",REPT(",",LEN(D300)),2))+1,FIND(",",SUBSTITUTE(D300,"|",REPT(",",LEN(D300)),3))-FIND(",",SUBSTITUTE(D300,"|",REPT(",",LEN(D300)),2))-1)</f>
        <v/>
      </c>
      <c r="K300">
        <f>MID(D300,FIND(",",SUBSTITUTE(D300,"|",REPT(",",LEN(D300)),3))+1,FIND(",",SUBSTITUTE(D300,"|",REPT(",",LEN(D300)),4))-FIND(",",SUBSTITUTE(D300,"|",REPT(",",LEN(D300)),3))-1)</f>
        <v/>
      </c>
      <c r="L300">
        <f>MID(D300,FIND(";",SUBSTITUTE(D300,"|",REPT(";",LEN(D300)),4))+1,FIND(";",SUBSTITUTE(D300,"|",REPT(";",LEN(D300)),5))-FIND(";",SUBSTITUTE(D300,"|",REPT(";",LEN(D300)),4))-1)</f>
        <v/>
      </c>
      <c r="M300">
        <f>MID(D300,FIND(";",SUBSTITUTE(D300,"|",REPT(";",LEN(D300)),6))+1,LEN(D300))</f>
        <v/>
      </c>
      <c r="N300">
        <f>MID(D300,FIND(";",SUBSTITUTE(D300,"|",REPT(";",LEN(D300)),5))+1,FIND(";",SUBSTITUTE(D300,"|",REPT(";",LEN(D300)),6))-FIND(";",SUBSTITUTE(D300,"|",REPT(";",LEN(D300)),5))-1)</f>
        <v/>
      </c>
    </row>
    <row r="301">
      <c r="A301" t="inlineStr">
        <is>
          <t>100401</t>
        </is>
      </c>
      <c r="B301" t="inlineStr">
        <is>
          <t>钢带</t>
        </is>
      </c>
      <c r="C301" t="inlineStr">
        <is>
          <t>600630000</t>
        </is>
      </c>
      <c r="D301" t="inlineStr">
        <is>
          <t>冷轧弹簧钢带|钢带|65Mn|δ0.6|YB/T 5058-2005|冷轧|GB/T 15391-1994</t>
        </is>
      </c>
      <c r="E301" t="inlineStr">
        <is>
          <t>物资名称 冷轧弹簧钢带;物资简称 钢带;牌号 65Mn;厚度 δ0.6;宽 ;技术标准号 YB/T 5058-2005;加工工艺 冷轧;热处理工艺 ;特殊要求 ;规格标准号 GB/T 15391-1994</t>
        </is>
      </c>
      <c r="F301" t="inlineStr">
        <is>
          <t>千克</t>
        </is>
      </c>
      <c r="G301">
        <f>LEFT(D301,FIND("|",D301,1)-1)</f>
        <v/>
      </c>
      <c r="H301">
        <f>MID(D301,FIND("|",D301,FIND("|",D301,1))+1,FIND("|",D301,FIND("|",D301,1)+1)-FIND("|",D301,FIND("|",D301,1))-1)</f>
        <v/>
      </c>
      <c r="J301">
        <f>MID(D301,FIND(",",SUBSTITUTE(D301,"|",REPT(",",LEN(D301)),2))+1,FIND(",",SUBSTITUTE(D301,"|",REPT(",",LEN(D301)),3))-FIND(",",SUBSTITUTE(D301,"|",REPT(",",LEN(D301)),2))-1)</f>
        <v/>
      </c>
      <c r="K301">
        <f>MID(D301,FIND(",",SUBSTITUTE(D301,"|",REPT(",",LEN(D301)),3))+1,FIND(",",SUBSTITUTE(D301,"|",REPT(",",LEN(D301)),4))-FIND(",",SUBSTITUTE(D301,"|",REPT(",",LEN(D301)),3))-1)</f>
        <v/>
      </c>
      <c r="L301">
        <f>MID(D301,FIND(";",SUBSTITUTE(D301,"|",REPT(";",LEN(D301)),4))+1,FIND(";",SUBSTITUTE(D301,"|",REPT(";",LEN(D301)),5))-FIND(";",SUBSTITUTE(D301,"|",REPT(";",LEN(D301)),4))-1)</f>
        <v/>
      </c>
      <c r="M301">
        <f>MID(D301,FIND(";",SUBSTITUTE(D301,"|",REPT(";",LEN(D301)),6))+1,LEN(D301))</f>
        <v/>
      </c>
      <c r="N301">
        <f>MID(D301,FIND(";",SUBSTITUTE(D301,"|",REPT(";",LEN(D301)),5))+1,FIND(";",SUBSTITUTE(D301,"|",REPT(";",LEN(D301)),6))-FIND(";",SUBSTITUTE(D301,"|",REPT(";",LEN(D301)),5))-1)</f>
        <v/>
      </c>
    </row>
    <row r="302">
      <c r="A302" t="inlineStr">
        <is>
          <t>100401</t>
        </is>
      </c>
      <c r="B302" t="inlineStr">
        <is>
          <t>钢带</t>
        </is>
      </c>
      <c r="C302" t="inlineStr">
        <is>
          <t>600629900</t>
        </is>
      </c>
      <c r="D302" t="inlineStr">
        <is>
          <t>特种钢带|钢带|XSVS-7C27Mo2|δ0.508|厂家约定</t>
        </is>
      </c>
      <c r="E302" t="inlineStr">
        <is>
          <t xml:space="preserve">物资名称 特种钢带;物资简称 钢带;牌号 XSVS-7C27Mo2;厚度 δ0.508;宽 ;技术标准号 ;加工工艺 ;热处理工艺 ;特殊要求 厂家约定;规格标准号 </t>
        </is>
      </c>
      <c r="F302" t="inlineStr">
        <is>
          <t>千克</t>
        </is>
      </c>
      <c r="G302">
        <f>LEFT(D302,FIND("|",D302,1)-1)</f>
        <v/>
      </c>
      <c r="H302">
        <f>MID(D302,FIND("|",D302,FIND("|",D302,1))+1,FIND("|",D302,FIND("|",D302,1)+1)-FIND("|",D302,FIND("|",D302,1))-1)</f>
        <v/>
      </c>
      <c r="J302">
        <f>MID(D302,FIND(",",SUBSTITUTE(D302,"|",REPT(",",LEN(D302)),2))+1,FIND(",",SUBSTITUTE(D302,"|",REPT(",",LEN(D302)),3))-FIND(",",SUBSTITUTE(D302,"|",REPT(",",LEN(D302)),2))-1)</f>
        <v/>
      </c>
      <c r="K302">
        <f>MID(D302,FIND(",",SUBSTITUTE(D302,"|",REPT(",",LEN(D302)),3))+1,FIND(",",SUBSTITUTE(D302,"|",REPT(",",LEN(D302)),4))-FIND(",",SUBSTITUTE(D302,"|",REPT(",",LEN(D302)),3))-1)</f>
        <v/>
      </c>
      <c r="M302">
        <f>MID(D302,FIND(";",SUBSTITUTE(D302,"|",REPT(";",LEN(D302)),3))+1,LEN(D302))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规格标准号</t>
        </is>
      </c>
      <c r="N1" t="inlineStr">
        <is>
          <t>加工工艺</t>
        </is>
      </c>
      <c r="O1" t="inlineStr">
        <is>
          <t>热处理工艺</t>
        </is>
      </c>
      <c r="P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  <c r="P3" t="inlineStr">
        <is>
          <t>〇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长度</t>
        </is>
      </c>
      <c r="M1" t="inlineStr">
        <is>
          <t>技术标准号</t>
        </is>
      </c>
      <c r="N1" t="inlineStr">
        <is>
          <t>规格标准号</t>
        </is>
      </c>
      <c r="O1" t="inlineStr">
        <is>
          <t>加工工艺</t>
        </is>
      </c>
      <c r="P1" t="inlineStr">
        <is>
          <t>热处理工艺</t>
        </is>
      </c>
      <c r="Q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  <c r="P3" t="inlineStr">
        <is>
          <t>〇</t>
        </is>
      </c>
      <c r="Q3" t="inlineStr">
        <is>
          <t>〇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长度</t>
        </is>
      </c>
      <c r="M1" t="inlineStr">
        <is>
          <t>技术标准号</t>
        </is>
      </c>
      <c r="N1" t="inlineStr">
        <is>
          <t>规格标准号</t>
        </is>
      </c>
      <c r="O1" t="inlineStr">
        <is>
          <t>加工工艺</t>
        </is>
      </c>
      <c r="P1" t="inlineStr">
        <is>
          <t>热处理工艺</t>
        </is>
      </c>
      <c r="Q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  <c r="P3" t="inlineStr">
        <is>
          <t>〇</t>
        </is>
      </c>
      <c r="Q3" t="inlineStr">
        <is>
          <t>〇</t>
        </is>
      </c>
    </row>
    <row r="4">
      <c r="A4" t="inlineStr">
        <is>
          <t>100201</t>
        </is>
      </c>
      <c r="B4" t="inlineStr">
        <is>
          <t>圆钢</t>
        </is>
      </c>
      <c r="C4" t="inlineStr">
        <is>
          <t>603571900</t>
        </is>
      </c>
      <c r="D4" t="inlineStr">
        <is>
          <t>热轧航空用不锈圆钢|圆钢|2Cr13Ni2|Φ18|YB675-1973|热轧</t>
        </is>
      </c>
      <c r="E4" t="inlineStr">
        <is>
          <t>物资名称 热轧航空用不锈圆钢;物资简称 圆钢;牌号 2Cr13Ni2;直径 Φ18;技术标准号 YB675-1973;加工工艺 热轧;热处理工艺 ;特殊要求 ;规格标准号</t>
        </is>
      </c>
      <c r="F4" t="inlineStr">
        <is>
          <t>千克</t>
        </is>
      </c>
      <c r="G4">
        <f>LEFT(D4,FIND("|",D4,1)-1)</f>
        <v/>
      </c>
      <c r="H4">
        <f>MID(D4,FIND("|",D4,FIND("|",D4,1))+1,FIND("|",D4,FIND("|",D4,1)+1)-FIND("|",D4,FIND("|",D4,1))-1)</f>
        <v/>
      </c>
      <c r="J4">
        <f>MID(D4,FIND(";",SUBSTITUTE(D4,"|",REPT(";",LEN(D4)),2))+1,FIND(";",SUBSTITUTE(D4,"|",REPT(";",LEN(D4)),3))-FIND(";",SUBSTITUTE(D4,"|",REPT(";",LEN(D4)),2))-1)</f>
        <v/>
      </c>
      <c r="K4">
        <f>MID(D4,FIND(";",SUBSTITUTE(D4,"|",REPT(";",LEN(D4)),3))+1,FIND(";",SUBSTITUTE(D4,"|",REPT(";",LEN(D4)),4))-FIND(";",SUBSTITUTE(D4,"|",REPT(";",LEN(D4)),3))-1)</f>
        <v/>
      </c>
      <c r="M4">
        <f>MID(D4,FIND(";",SUBSTITUTE(D4,"|",REPT(";",LEN(D4)),4))+1,FIND(";",SUBSTITUTE(D4,"|",REPT(";",LEN(D4)),5))-FIND(";",SUBSTITUTE(D4,"|",REPT(";",LEN(D4)),4))-1)</f>
        <v/>
      </c>
      <c r="O4">
        <f>MID(D4,FIND(";",SUBSTITUTE(D4,"|",REPT(";",LEN(D4)),5))+1,LEN(D4))</f>
        <v/>
      </c>
    </row>
    <row r="5">
      <c r="A5" t="inlineStr">
        <is>
          <t>100201</t>
        </is>
      </c>
      <c r="B5" t="inlineStr">
        <is>
          <t>圆钢</t>
        </is>
      </c>
      <c r="C5" t="inlineStr">
        <is>
          <t>603571800</t>
        </is>
      </c>
      <c r="D5" t="inlineStr">
        <is>
          <t>热轧优质碳素结构圆钢|圆钢|45|Φ60|GB/T 699-2015|热轧|GB/T 702-2017</t>
        </is>
      </c>
      <c r="E5" t="inlineStr">
        <is>
          <t>物资名称 热轧优质碳素结构圆钢;物资简称 圆钢;牌号 45;直径 Φ60;技术标准号 GB/T 699-2015;加工工艺 热轧;热处理工艺 ;特殊要求 ;规格标准号 GB/T 702-2017</t>
        </is>
      </c>
      <c r="F5" t="inlineStr">
        <is>
          <t>千克</t>
        </is>
      </c>
      <c r="G5">
        <f>LEFT(D5,FIND("|",D5,1)-1)</f>
        <v/>
      </c>
      <c r="H5">
        <f>MID(D5,FIND("|",D5,FIND("|",D5,1))+1,FIND("|",D5,FIND("|",D5,1)+1)-FIND("|",D5,FIND("|",D5,1))-1)</f>
        <v/>
      </c>
      <c r="J5">
        <f>MID(D5,FIND(";",SUBSTITUTE(D5,"|",REPT(";",LEN(D5)),2))+1,FIND(";",SUBSTITUTE(D5,"|",REPT(";",LEN(D5)),3))-FIND(";",SUBSTITUTE(D5,"|",REPT(";",LEN(D5)),2))-1)</f>
        <v/>
      </c>
      <c r="K5">
        <f>MID(D5,FIND(";",SUBSTITUTE(D5,"|",REPT(";",LEN(D5)),3))+1,FIND(";",SUBSTITUTE(D5,"|",REPT(";",LEN(D5)),4))-FIND(";",SUBSTITUTE(D5,"|",REPT(";",LEN(D5)),3))-1)</f>
        <v/>
      </c>
      <c r="M5">
        <f>MID(D5,FIND(";",SUBSTITUTE(D5,"|",REPT(";",LEN(D5)),4))+1,FIND(";",SUBSTITUTE(D5,"|",REPT(";",LEN(D5)),5))-FIND(";",SUBSTITUTE(D5,"|",REPT(";",LEN(D5)),4))-1)</f>
        <v/>
      </c>
      <c r="N5">
        <f>MID(D5,FIND(";",SUBSTITUTE(D5,"|",REPT(";",LEN(D5)),6))+1,LEN(D5))</f>
        <v/>
      </c>
      <c r="O5">
        <f>MID(D5,FIND(";",SUBSTITUTE(D5,"|",REPT(";",LEN(D5)),5))+1,FIND(";",SUBSTITUTE(D5,"|",REPT(";",LEN(D5)),6))-FIND(";",SUBSTITUTE(D5,"|",REPT(";",LEN(D5)),5))-1)</f>
        <v/>
      </c>
    </row>
    <row r="6">
      <c r="A6" t="inlineStr">
        <is>
          <t>100201</t>
        </is>
      </c>
      <c r="B6" t="inlineStr">
        <is>
          <t>圆钢</t>
        </is>
      </c>
      <c r="C6" t="inlineStr">
        <is>
          <t>603571700</t>
        </is>
      </c>
      <c r="D6" t="inlineStr">
        <is>
          <t>热轧航空用不锈圆钢|圆钢|2Cr13Ni2|Φ26|YB675-1973|热轧</t>
        </is>
      </c>
      <c r="E6" t="inlineStr">
        <is>
          <t>物资名称 热轧航空用不锈圆钢;物资简称 圆钢;牌号 2Cr13Ni2;直径 Φ26;技术标准号 YB675-1973;加工工艺 热轧;热处理工艺 ;特殊要求 ;规格标准号</t>
        </is>
      </c>
      <c r="F6" t="inlineStr">
        <is>
          <t>千克</t>
        </is>
      </c>
      <c r="G6">
        <f>LEFT(D6,FIND("|",D6,1)-1)</f>
        <v/>
      </c>
      <c r="H6">
        <f>MID(D6,FIND("|",D6,FIND("|",D6,1))+1,FIND("|",D6,FIND("|",D6,1)+1)-FIND("|",D6,FIND("|",D6,1))-1)</f>
        <v/>
      </c>
      <c r="J6">
        <f>MID(D6,FIND(";",SUBSTITUTE(D6,"|",REPT(";",LEN(D6)),2))+1,FIND(";",SUBSTITUTE(D6,"|",REPT(";",LEN(D6)),3))-FIND(";",SUBSTITUTE(D6,"|",REPT(";",LEN(D6)),2))-1)</f>
        <v/>
      </c>
      <c r="K6">
        <f>MID(D6,FIND(";",SUBSTITUTE(D6,"|",REPT(";",LEN(D6)),3))+1,FIND(";",SUBSTITUTE(D6,"|",REPT(";",LEN(D6)),4))-FIND(";",SUBSTITUTE(D6,"|",REPT(";",LEN(D6)),3))-1)</f>
        <v/>
      </c>
      <c r="M6">
        <f>MID(D6,FIND(";",SUBSTITUTE(D6,"|",REPT(";",LEN(D6)),4))+1,FIND(";",SUBSTITUTE(D6,"|",REPT(";",LEN(D6)),5))-FIND(";",SUBSTITUTE(D6,"|",REPT(";",LEN(D6)),4))-1)</f>
        <v/>
      </c>
      <c r="O6">
        <f>MID(D6,FIND(";",SUBSTITUTE(D6,"|",REPT(";",LEN(D6)),5))+1,LEN(D6))</f>
        <v/>
      </c>
    </row>
    <row r="7">
      <c r="A7" t="inlineStr">
        <is>
          <t>100201</t>
        </is>
      </c>
      <c r="B7" t="inlineStr">
        <is>
          <t>圆钢</t>
        </is>
      </c>
      <c r="C7" t="inlineStr">
        <is>
          <t>603571600</t>
        </is>
      </c>
      <c r="D7" t="inlineStr">
        <is>
          <t>热轧航空用不锈圆钢|圆钢|2Cr13Ni2|Φ40|YB675-1973|热轧</t>
        </is>
      </c>
      <c r="E7" t="inlineStr">
        <is>
          <t>物资名称 热轧航空用不锈圆钢;物资简称 圆钢;牌号 2Cr13Ni2;直径 Φ40;技术标准号 YB675-1973;加工工艺 热轧;热处理工艺 ;特殊要求 ;规格标准号</t>
        </is>
      </c>
      <c r="F7" t="inlineStr">
        <is>
          <t>千克</t>
        </is>
      </c>
      <c r="G7">
        <f>LEFT(D7,FIND("|",D7,1)-1)</f>
        <v/>
      </c>
      <c r="H7">
        <f>MID(D7,FIND("|",D7,FIND("|",D7,1))+1,FIND("|",D7,FIND("|",D7,1)+1)-FIND("|",D7,FIND("|",D7,1))-1)</f>
        <v/>
      </c>
      <c r="J7">
        <f>MID(D7,FIND(";",SUBSTITUTE(D7,"|",REPT(";",LEN(D7)),2))+1,FIND(";",SUBSTITUTE(D7,"|",REPT(";",LEN(D7)),3))-FIND(";",SUBSTITUTE(D7,"|",REPT(";",LEN(D7)),2))-1)</f>
        <v/>
      </c>
      <c r="K7">
        <f>MID(D7,FIND(";",SUBSTITUTE(D7,"|",REPT(";",LEN(D7)),3))+1,FIND(";",SUBSTITUTE(D7,"|",REPT(";",LEN(D7)),4))-FIND(";",SUBSTITUTE(D7,"|",REPT(";",LEN(D7)),3))-1)</f>
        <v/>
      </c>
      <c r="M7">
        <f>MID(D7,FIND(";",SUBSTITUTE(D7,"|",REPT(";",LEN(D7)),4))+1,FIND(";",SUBSTITUTE(D7,"|",REPT(";",LEN(D7)),5))-FIND(";",SUBSTITUTE(D7,"|",REPT(";",LEN(D7)),4))-1)</f>
        <v/>
      </c>
      <c r="O7">
        <f>MID(D7,FIND(";",SUBSTITUTE(D7,"|",REPT(";",LEN(D7)),5))+1,LEN(D7))</f>
        <v/>
      </c>
    </row>
    <row r="8">
      <c r="A8" t="inlineStr">
        <is>
          <t>100201</t>
        </is>
      </c>
      <c r="B8" t="inlineStr">
        <is>
          <t>圆钢</t>
        </is>
      </c>
      <c r="C8" t="inlineStr">
        <is>
          <t>603571500</t>
        </is>
      </c>
      <c r="D8" t="inlineStr">
        <is>
          <t>热轧航空用不锈圆钢|圆钢|2Cr13Ni2|Φ24|YB675-1973|热轧</t>
        </is>
      </c>
      <c r="E8" t="inlineStr">
        <is>
          <t>物资名称 热轧航空用不锈圆钢;物资简称 圆钢;牌号 2Cr13Ni2;直径 Φ24;技术标准号 YB675-1973;加工工艺 热轧;热处理工艺 ;特殊要求 ;规格标准号</t>
        </is>
      </c>
      <c r="F8" t="inlineStr">
        <is>
          <t>千克</t>
        </is>
      </c>
      <c r="G8">
        <f>LEFT(D8,FIND("|",D8,1)-1)</f>
        <v/>
      </c>
      <c r="H8">
        <f>MID(D8,FIND("|",D8,FIND("|",D8,1))+1,FIND("|",D8,FIND("|",D8,1)+1)-FIND("|",D8,FIND("|",D8,1))-1)</f>
        <v/>
      </c>
      <c r="J8">
        <f>MID(D8,FIND(";",SUBSTITUTE(D8,"|",REPT(";",LEN(D8)),2))+1,FIND(";",SUBSTITUTE(D8,"|",REPT(";",LEN(D8)),3))-FIND(";",SUBSTITUTE(D8,"|",REPT(";",LEN(D8)),2))-1)</f>
        <v/>
      </c>
      <c r="K8">
        <f>MID(D8,FIND(";",SUBSTITUTE(D8,"|",REPT(";",LEN(D8)),3))+1,FIND(";",SUBSTITUTE(D8,"|",REPT(";",LEN(D8)),4))-FIND(";",SUBSTITUTE(D8,"|",REPT(";",LEN(D8)),3))-1)</f>
        <v/>
      </c>
      <c r="M8">
        <f>MID(D8,FIND(";",SUBSTITUTE(D8,"|",REPT(";",LEN(D8)),4))+1,FIND(";",SUBSTITUTE(D8,"|",REPT(";",LEN(D8)),5))-FIND(";",SUBSTITUTE(D8,"|",REPT(";",LEN(D8)),4))-1)</f>
        <v/>
      </c>
      <c r="O8">
        <f>MID(D8,FIND(";",SUBSTITUTE(D8,"|",REPT(";",LEN(D8)),5))+1,LEN(D8))</f>
        <v/>
      </c>
    </row>
    <row r="9">
      <c r="A9" t="inlineStr">
        <is>
          <t>100201</t>
        </is>
      </c>
      <c r="B9" t="inlineStr">
        <is>
          <t>圆钢</t>
        </is>
      </c>
      <c r="C9" t="inlineStr">
        <is>
          <t>603569200</t>
        </is>
      </c>
      <c r="D9" t="inlineStr">
        <is>
          <t>热轧优质碳素结构圆钢|圆钢|45|Φ235|GB/T 699-2015|热轧|GB/T 702-2017</t>
        </is>
      </c>
      <c r="E9" t="inlineStr">
        <is>
          <t>物资名称 热轧优质碳素结构圆钢;物资简称 圆钢;牌号 45;直径 Φ235;技术标准号 GB/T 699-2015;加工工艺 热轧;热处理工艺 ;特殊要求 ;规格标准号 GB/T 702-2017</t>
        </is>
      </c>
      <c r="F9" t="inlineStr">
        <is>
          <t>千克</t>
        </is>
      </c>
      <c r="G9">
        <f>LEFT(D9,FIND("|",D9,1)-1)</f>
        <v/>
      </c>
      <c r="H9">
        <f>MID(D9,FIND("|",D9,FIND("|",D9,1))+1,FIND("|",D9,FIND("|",D9,1)+1)-FIND("|",D9,FIND("|",D9,1))-1)</f>
        <v/>
      </c>
      <c r="J9">
        <f>MID(D9,FIND(";",SUBSTITUTE(D9,"|",REPT(";",LEN(D9)),2))+1,FIND(";",SUBSTITUTE(D9,"|",REPT(";",LEN(D9)),3))-FIND(";",SUBSTITUTE(D9,"|",REPT(";",LEN(D9)),2))-1)</f>
        <v/>
      </c>
      <c r="K9">
        <f>MID(D9,FIND(";",SUBSTITUTE(D9,"|",REPT(";",LEN(D9)),3))+1,FIND(";",SUBSTITUTE(D9,"|",REPT(";",LEN(D9)),4))-FIND(";",SUBSTITUTE(D9,"|",REPT(";",LEN(D9)),3))-1)</f>
        <v/>
      </c>
      <c r="M9">
        <f>MID(D9,FIND(";",SUBSTITUTE(D9,"|",REPT(";",LEN(D9)),4))+1,FIND(";",SUBSTITUTE(D9,"|",REPT(";",LEN(D9)),5))-FIND(";",SUBSTITUTE(D9,"|",REPT(";",LEN(D9)),4))-1)</f>
        <v/>
      </c>
      <c r="N9">
        <f>MID(D9,FIND(";",SUBSTITUTE(D9,"|",REPT(";",LEN(D9)),6))+1,LEN(D9))</f>
        <v/>
      </c>
      <c r="O9">
        <f>MID(D9,FIND(";",SUBSTITUTE(D9,"|",REPT(";",LEN(D9)),5))+1,FIND(";",SUBSTITUTE(D9,"|",REPT(";",LEN(D9)),6))-FIND(";",SUBSTITUTE(D9,"|",REPT(";",LEN(D9)),5))-1)</f>
        <v/>
      </c>
    </row>
    <row r="10">
      <c r="A10" t="inlineStr">
        <is>
          <t>100201</t>
        </is>
      </c>
      <c r="B10" t="inlineStr">
        <is>
          <t>圆钢</t>
        </is>
      </c>
      <c r="C10" t="inlineStr">
        <is>
          <t>603568700</t>
        </is>
      </c>
      <c r="D10" t="inlineStr">
        <is>
          <t>合金结构钢棒|钢棒|30CrMnSiA|Φ6|GB/T 3077-2015</t>
        </is>
      </c>
      <c r="E10" t="inlineStr">
        <is>
          <t>物资名称 合金结构钢棒;物资简称 钢棒;牌号 30CrMnSiA;直径 Φ6;技术标准号 GB/T 3077-2015;加工工艺 ;热处理工艺 ;特殊要求 ;规格标准号</t>
        </is>
      </c>
      <c r="F10" t="inlineStr">
        <is>
          <t>千克</t>
        </is>
      </c>
      <c r="G10">
        <f>LEFT(D10,FIND("|",D10,1)-1)</f>
        <v/>
      </c>
      <c r="H10">
        <f>MID(D10,FIND("|",D10,FIND("|",D10,1))+1,FIND("|",D10,FIND("|",D10,1)+1)-FIND("|",D10,FIND("|",D10,1))-1)</f>
        <v/>
      </c>
      <c r="J10">
        <f>MID(D10,FIND(";",SUBSTITUTE(D10,"|",REPT(";",LEN(D10)),2))+1,FIND(";",SUBSTITUTE(D10,"|",REPT(";",LEN(D10)),3))-FIND(";",SUBSTITUTE(D10,"|",REPT(";",LEN(D10)),2))-1)</f>
        <v/>
      </c>
      <c r="K10">
        <f>MID(D10,FIND(";",SUBSTITUTE(D10,"|",REPT(";",LEN(D10)),3))+1,FIND(";",SUBSTITUTE(D10,"|",REPT(";",LEN(D10)),4))-FIND(";",SUBSTITUTE(D10,"|",REPT(";",LEN(D10)),3))-1)</f>
        <v/>
      </c>
      <c r="M10">
        <f>MID(D10,FIND(";",SUBSTITUTE(D10,"|",REPT(";",LEN(D10)),4))+1,LEN(D10))</f>
        <v/>
      </c>
    </row>
    <row r="11">
      <c r="A11" t="inlineStr">
        <is>
          <t>100201</t>
        </is>
      </c>
      <c r="B11" t="inlineStr">
        <is>
          <t>圆钢</t>
        </is>
      </c>
      <c r="C11" t="inlineStr">
        <is>
          <t>603568400</t>
        </is>
      </c>
      <c r="D11" t="inlineStr">
        <is>
          <t>合金结构钢棒|钢棒|30CrMnSiA|Φ5|GB/T 3077-2015</t>
        </is>
      </c>
      <c r="E11" t="inlineStr">
        <is>
          <t>物资名称 合金结构钢棒;物资简称 钢棒;牌号 30CrMnSiA;直径 Φ5;技术标准号 GB/T 3077-2015;加工工艺 ;热处理工艺 ;特殊要求 ;规格标准号</t>
        </is>
      </c>
      <c r="F11" t="inlineStr">
        <is>
          <t>千克</t>
        </is>
      </c>
      <c r="G11">
        <f>LEFT(D11,FIND("|",D11,1)-1)</f>
        <v/>
      </c>
      <c r="H11">
        <f>MID(D11,FIND("|",D11,FIND("|",D11,1))+1,FIND("|",D11,FIND("|",D11,1)+1)-FIND("|",D11,FIND("|",D11,1))-1)</f>
        <v/>
      </c>
      <c r="J11">
        <f>MID(D11,FIND(";",SUBSTITUTE(D11,"|",REPT(";",LEN(D11)),2))+1,FIND(";",SUBSTITUTE(D11,"|",REPT(";",LEN(D11)),3))-FIND(";",SUBSTITUTE(D11,"|",REPT(";",LEN(D11)),2))-1)</f>
        <v/>
      </c>
      <c r="K11">
        <f>MID(D11,FIND(";",SUBSTITUTE(D11,"|",REPT(";",LEN(D11)),3))+1,FIND(";",SUBSTITUTE(D11,"|",REPT(";",LEN(D11)),4))-FIND(";",SUBSTITUTE(D11,"|",REPT(";",LEN(D11)),3))-1)</f>
        <v/>
      </c>
      <c r="M11">
        <f>MID(D11,FIND(";",SUBSTITUTE(D11,"|",REPT(";",LEN(D11)),4))+1,LEN(D11))</f>
        <v/>
      </c>
    </row>
    <row r="12">
      <c r="A12" t="inlineStr">
        <is>
          <t>100201</t>
        </is>
      </c>
      <c r="B12" t="inlineStr">
        <is>
          <t>圆钢</t>
        </is>
      </c>
      <c r="C12" t="inlineStr">
        <is>
          <t>603568100</t>
        </is>
      </c>
      <c r="D12" t="inlineStr">
        <is>
          <t>合金结构钢棒|钢棒|30CrMnSiA|Φ12|GB/T 3077-2015</t>
        </is>
      </c>
      <c r="E12" t="inlineStr">
        <is>
          <t>物资名称 合金结构钢棒;物资简称 钢棒;牌号 30CrMnSiA;直径 Φ12;技术标准号 GB/T 3077-2015;加工工艺 ;热处理工艺 ;特殊要求 ;规格标准号</t>
        </is>
      </c>
      <c r="F12" t="inlineStr">
        <is>
          <t>千克</t>
        </is>
      </c>
      <c r="G12">
        <f>LEFT(D12,FIND("|",D12,1)-1)</f>
        <v/>
      </c>
      <c r="H12">
        <f>MID(D12,FIND("|",D12,FIND("|",D12,1))+1,FIND("|",D12,FIND("|",D12,1)+1)-FIND("|",D12,FIND("|",D12,1))-1)</f>
        <v/>
      </c>
      <c r="J12">
        <f>MID(D12,FIND(";",SUBSTITUTE(D12,"|",REPT(";",LEN(D12)),2))+1,FIND(";",SUBSTITUTE(D12,"|",REPT(";",LEN(D12)),3))-FIND(";",SUBSTITUTE(D12,"|",REPT(";",LEN(D12)),2))-1)</f>
        <v/>
      </c>
      <c r="K12">
        <f>MID(D12,FIND(";",SUBSTITUTE(D12,"|",REPT(";",LEN(D12)),3))+1,FIND(";",SUBSTITUTE(D12,"|",REPT(";",LEN(D12)),4))-FIND(";",SUBSTITUTE(D12,"|",REPT(";",LEN(D12)),3))-1)</f>
        <v/>
      </c>
      <c r="M12">
        <f>MID(D12,FIND(";",SUBSTITUTE(D12,"|",REPT(";",LEN(D12)),4))+1,LEN(D12))</f>
        <v/>
      </c>
    </row>
    <row r="13">
      <c r="A13" t="inlineStr">
        <is>
          <t>100201</t>
        </is>
      </c>
      <c r="B13" t="inlineStr">
        <is>
          <t>圆钢</t>
        </is>
      </c>
      <c r="C13" t="inlineStr">
        <is>
          <t>603568000</t>
        </is>
      </c>
      <c r="D13" t="inlineStr">
        <is>
          <t>合金结构钢棒|钢棒|30CrMnSiA|Φ10|GB/T 3077-2015</t>
        </is>
      </c>
      <c r="E13" t="inlineStr">
        <is>
          <t>物资名称 合金结构钢棒;物资简称 钢棒;牌号 30CrMnSiA;直径 Φ10;技术标准号 GB/T 3077-2015;加工工艺 ;热处理工艺 ;特殊要求 ;规格标准号</t>
        </is>
      </c>
      <c r="F13" t="inlineStr">
        <is>
          <t>千克</t>
        </is>
      </c>
      <c r="G13">
        <f>LEFT(D13,FIND("|",D13,1)-1)</f>
        <v/>
      </c>
      <c r="H13">
        <f>MID(D13,FIND("|",D13,FIND("|",D13,1))+1,FIND("|",D13,FIND("|",D13,1)+1)-FIND("|",D13,FIND("|",D13,1))-1)</f>
        <v/>
      </c>
      <c r="J13">
        <f>MID(D13,FIND(";",SUBSTITUTE(D13,"|",REPT(";",LEN(D13)),2))+1,FIND(";",SUBSTITUTE(D13,"|",REPT(";",LEN(D13)),3))-FIND(";",SUBSTITUTE(D13,"|",REPT(";",LEN(D13)),2))-1)</f>
        <v/>
      </c>
      <c r="K13">
        <f>MID(D13,FIND(";",SUBSTITUTE(D13,"|",REPT(";",LEN(D13)),3))+1,FIND(";",SUBSTITUTE(D13,"|",REPT(";",LEN(D13)),4))-FIND(";",SUBSTITUTE(D13,"|",REPT(";",LEN(D13)),3))-1)</f>
        <v/>
      </c>
      <c r="M13">
        <f>MID(D13,FIND(";",SUBSTITUTE(D13,"|",REPT(";",LEN(D13)),4))+1,LEN(D13))</f>
        <v/>
      </c>
    </row>
    <row r="14">
      <c r="A14" t="inlineStr">
        <is>
          <t>100201</t>
        </is>
      </c>
      <c r="B14" t="inlineStr">
        <is>
          <t>圆钢</t>
        </is>
      </c>
      <c r="C14" t="inlineStr">
        <is>
          <t>603567300</t>
        </is>
      </c>
      <c r="D14" t="inlineStr">
        <is>
          <t>热轧优质碳素结构圆钢|圆钢|45|Φ55|GB/T 699-2015|热轧|GB/T 702-2017</t>
        </is>
      </c>
      <c r="E14" t="inlineStr">
        <is>
          <t>物资名称 热轧优质碳素结构圆钢;物资简称 圆钢;牌号 45;直径 Φ55;技术标准号 GB/T 699-2015;加工工艺 热轧;热处理工艺 ;特殊要求 ;规格标准号 GB/T 702-2017</t>
        </is>
      </c>
      <c r="F14" t="inlineStr">
        <is>
          <t>千克</t>
        </is>
      </c>
      <c r="G14">
        <f>LEFT(D14,FIND("|",D14,1)-1)</f>
        <v/>
      </c>
      <c r="H14">
        <f>MID(D14,FIND("|",D14,FIND("|",D14,1))+1,FIND("|",D14,FIND("|",D14,1)+1)-FIND("|",D14,FIND("|",D14,1))-1)</f>
        <v/>
      </c>
      <c r="J14">
        <f>MID(D14,FIND(";",SUBSTITUTE(D14,"|",REPT(";",LEN(D14)),2))+1,FIND(";",SUBSTITUTE(D14,"|",REPT(";",LEN(D14)),3))-FIND(";",SUBSTITUTE(D14,"|",REPT(";",LEN(D14)),2))-1)</f>
        <v/>
      </c>
      <c r="K14">
        <f>MID(D14,FIND(";",SUBSTITUTE(D14,"|",REPT(";",LEN(D14)),3))+1,FIND(";",SUBSTITUTE(D14,"|",REPT(";",LEN(D14)),4))-FIND(";",SUBSTITUTE(D14,"|",REPT(";",LEN(D14)),3))-1)</f>
        <v/>
      </c>
      <c r="M14">
        <f>MID(D14,FIND(";",SUBSTITUTE(D14,"|",REPT(";",LEN(D14)),4))+1,FIND(";",SUBSTITUTE(D14,"|",REPT(";",LEN(D14)),5))-FIND(";",SUBSTITUTE(D14,"|",REPT(";",LEN(D14)),4))-1)</f>
        <v/>
      </c>
      <c r="N14">
        <f>MID(D14,FIND(";",SUBSTITUTE(D14,"|",REPT(";",LEN(D14)),6))+1,LEN(D14))</f>
        <v/>
      </c>
      <c r="O14">
        <f>MID(D14,FIND(";",SUBSTITUTE(D14,"|",REPT(";",LEN(D14)),5))+1,FIND(";",SUBSTITUTE(D14,"|",REPT(";",LEN(D14)),6))-FIND(";",SUBSTITUTE(D14,"|",REPT(";",LEN(D14)),5))-1)</f>
        <v/>
      </c>
    </row>
    <row r="15">
      <c r="A15" t="inlineStr">
        <is>
          <t>100201</t>
        </is>
      </c>
      <c r="B15" t="inlineStr">
        <is>
          <t>圆钢</t>
        </is>
      </c>
      <c r="C15" t="inlineStr">
        <is>
          <t>603564000</t>
        </is>
      </c>
      <c r="D15" t="inlineStr">
        <is>
          <t>热轧不锈圆钢|圆钢|14Cr17Ni2|Φ55|GB/T 1220-2007|热轧|GB/T 702-2008</t>
        </is>
      </c>
      <c r="E15" t="inlineStr">
        <is>
          <t>物资名称 热轧不锈圆钢;物资简称 圆钢;牌号 14Cr17Ni2;直径 Φ55;技术标准号 GB/T 1220-2007;加工工艺 热轧;热处理工艺 ;特殊要求 ;规格标准号 GB/T 702-2008</t>
        </is>
      </c>
      <c r="F15" t="inlineStr">
        <is>
          <t>千克</t>
        </is>
      </c>
      <c r="G15">
        <f>LEFT(D15,FIND("|",D15,1)-1)</f>
        <v/>
      </c>
      <c r="H15">
        <f>MID(D15,FIND("|",D15,FIND("|",D15,1))+1,FIND("|",D15,FIND("|",D15,1)+1)-FIND("|",D15,FIND("|",D15,1))-1)</f>
        <v/>
      </c>
      <c r="J15">
        <f>MID(D15,FIND(";",SUBSTITUTE(D15,"|",REPT(";",LEN(D15)),2))+1,FIND(";",SUBSTITUTE(D15,"|",REPT(";",LEN(D15)),3))-FIND(";",SUBSTITUTE(D15,"|",REPT(";",LEN(D15)),2))-1)</f>
        <v/>
      </c>
      <c r="K15">
        <f>MID(D15,FIND(";",SUBSTITUTE(D15,"|",REPT(";",LEN(D15)),3))+1,FIND(";",SUBSTITUTE(D15,"|",REPT(";",LEN(D15)),4))-FIND(";",SUBSTITUTE(D15,"|",REPT(";",LEN(D15)),3))-1)</f>
        <v/>
      </c>
      <c r="M15">
        <f>MID(D15,FIND(";",SUBSTITUTE(D15,"|",REPT(";",LEN(D15)),4))+1,FIND(";",SUBSTITUTE(D15,"|",REPT(";",LEN(D15)),5))-FIND(";",SUBSTITUTE(D15,"|",REPT(";",LEN(D15)),4))-1)</f>
        <v/>
      </c>
      <c r="N15">
        <f>MID(D15,FIND(";",SUBSTITUTE(D15,"|",REPT(";",LEN(D15)),6))+1,LEN(D15))</f>
        <v/>
      </c>
      <c r="O15">
        <f>MID(D15,FIND(";",SUBSTITUTE(D15,"|",REPT(";",LEN(D15)),5))+1,FIND(";",SUBSTITUTE(D15,"|",REPT(";",LEN(D15)),6))-FIND(";",SUBSTITUTE(D15,"|",REPT(";",LEN(D15)),5))-1)</f>
        <v/>
      </c>
    </row>
    <row r="16">
      <c r="A16" t="inlineStr">
        <is>
          <t>100201</t>
        </is>
      </c>
      <c r="B16" t="inlineStr">
        <is>
          <t>圆钢</t>
        </is>
      </c>
      <c r="C16" t="inlineStr">
        <is>
          <t>603563900</t>
        </is>
      </c>
      <c r="D16" t="inlineStr">
        <is>
          <t>热轧不锈圆钢|圆钢|14Cr17Ni2|Φ36|GB/T 1220-2007|热轧|GB/T 702-2008</t>
        </is>
      </c>
      <c r="E16" t="inlineStr">
        <is>
          <t>物资名称 热轧不锈圆钢;物资简称 圆钢;牌号 14Cr17Ni2;直径 Φ36;技术标准号 GB/T 1220-2007;加工工艺 热轧;热处理工艺 ;特殊要求 ;规格标准号 GB/T 702-2008</t>
        </is>
      </c>
      <c r="F16" t="inlineStr">
        <is>
          <t>千克</t>
        </is>
      </c>
      <c r="G16">
        <f>LEFT(D16,FIND("|",D16,1)-1)</f>
        <v/>
      </c>
      <c r="H16">
        <f>MID(D16,FIND("|",D16,FIND("|",D16,1))+1,FIND("|",D16,FIND("|",D16,1)+1)-FIND("|",D16,FIND("|",D16,1))-1)</f>
        <v/>
      </c>
      <c r="J16">
        <f>MID(D16,FIND(";",SUBSTITUTE(D16,"|",REPT(";",LEN(D16)),2))+1,FIND(";",SUBSTITUTE(D16,"|",REPT(";",LEN(D16)),3))-FIND(";",SUBSTITUTE(D16,"|",REPT(";",LEN(D16)),2))-1)</f>
        <v/>
      </c>
      <c r="K16">
        <f>MID(D16,FIND(";",SUBSTITUTE(D16,"|",REPT(";",LEN(D16)),3))+1,FIND(";",SUBSTITUTE(D16,"|",REPT(";",LEN(D16)),4))-FIND(";",SUBSTITUTE(D16,"|",REPT(";",LEN(D16)),3))-1)</f>
        <v/>
      </c>
      <c r="M16">
        <f>MID(D16,FIND(";",SUBSTITUTE(D16,"|",REPT(";",LEN(D16)),4))+1,FIND(";",SUBSTITUTE(D16,"|",REPT(";",LEN(D16)),5))-FIND(";",SUBSTITUTE(D16,"|",REPT(";",LEN(D16)),4))-1)</f>
        <v/>
      </c>
      <c r="N16">
        <f>MID(D16,FIND(";",SUBSTITUTE(D16,"|",REPT(";",LEN(D16)),6))+1,LEN(D16))</f>
        <v/>
      </c>
      <c r="O16">
        <f>MID(D16,FIND(";",SUBSTITUTE(D16,"|",REPT(";",LEN(D16)),5))+1,FIND(";",SUBSTITUTE(D16,"|",REPT(";",LEN(D16)),6))-FIND(";",SUBSTITUTE(D16,"|",REPT(";",LEN(D16)),5))-1)</f>
        <v/>
      </c>
    </row>
    <row r="17">
      <c r="A17" t="inlineStr">
        <is>
          <t>100201</t>
        </is>
      </c>
      <c r="B17" t="inlineStr">
        <is>
          <t>圆钢</t>
        </is>
      </c>
      <c r="C17" t="inlineStr">
        <is>
          <t>603563800</t>
        </is>
      </c>
      <c r="D17" t="inlineStr">
        <is>
          <t>热轧不锈圆钢|圆钢|14Cr17Ni2|Φ70|GB/T 1220-2007|热轧|GB/T 702-2008</t>
        </is>
      </c>
      <c r="E17" t="inlineStr">
        <is>
          <t>物资名称 热轧不锈圆钢;物资简称 圆钢;牌号 14Cr17Ni2;直径 Φ70;技术标准号 GB/T 1220-2007;加工工艺 热轧;热处理工艺 ;特殊要求 ;规格标准号 GB/T 702-2008</t>
        </is>
      </c>
      <c r="F17" t="inlineStr">
        <is>
          <t>千克</t>
        </is>
      </c>
      <c r="G17">
        <f>LEFT(D17,FIND("|",D17,1)-1)</f>
        <v/>
      </c>
      <c r="H17">
        <f>MID(D17,FIND("|",D17,FIND("|",D17,1))+1,FIND("|",D17,FIND("|",D17,1)+1)-FIND("|",D17,FIND("|",D17,1))-1)</f>
        <v/>
      </c>
      <c r="J17">
        <f>MID(D17,FIND(";",SUBSTITUTE(D17,"|",REPT(";",LEN(D17)),2))+1,FIND(";",SUBSTITUTE(D17,"|",REPT(";",LEN(D17)),3))-FIND(";",SUBSTITUTE(D17,"|",REPT(";",LEN(D17)),2))-1)</f>
        <v/>
      </c>
      <c r="K17">
        <f>MID(D17,FIND(";",SUBSTITUTE(D17,"|",REPT(";",LEN(D17)),3))+1,FIND(";",SUBSTITUTE(D17,"|",REPT(";",LEN(D17)),4))-FIND(";",SUBSTITUTE(D17,"|",REPT(";",LEN(D17)),3))-1)</f>
        <v/>
      </c>
      <c r="M17">
        <f>MID(D17,FIND(";",SUBSTITUTE(D17,"|",REPT(";",LEN(D17)),4))+1,FIND(";",SUBSTITUTE(D17,"|",REPT(";",LEN(D17)),5))-FIND(";",SUBSTITUTE(D17,"|",REPT(";",LEN(D17)),4))-1)</f>
        <v/>
      </c>
      <c r="N17">
        <f>MID(D17,FIND(";",SUBSTITUTE(D17,"|",REPT(";",LEN(D17)),6))+1,LEN(D17))</f>
        <v/>
      </c>
      <c r="O17">
        <f>MID(D17,FIND(";",SUBSTITUTE(D17,"|",REPT(";",LEN(D17)),5))+1,FIND(";",SUBSTITUTE(D17,"|",REPT(";",LEN(D17)),6))-FIND(";",SUBSTITUTE(D17,"|",REPT(";",LEN(D17)),5))-1)</f>
        <v/>
      </c>
    </row>
    <row r="18">
      <c r="A18" t="inlineStr">
        <is>
          <t>100201</t>
        </is>
      </c>
      <c r="B18" t="inlineStr">
        <is>
          <t>圆钢</t>
        </is>
      </c>
      <c r="C18" t="inlineStr">
        <is>
          <t>603563700</t>
        </is>
      </c>
      <c r="D18" t="inlineStr">
        <is>
          <t>热轧不锈圆钢|圆钢|14Cr17Ni2|Φ80|GB/T 1220-2007|热轧|GB/T 702-2008</t>
        </is>
      </c>
      <c r="E18" t="inlineStr">
        <is>
          <t>物资名称 热轧不锈圆钢;物资简称 圆钢;牌号 14Cr17Ni2;直径 Φ80;技术标准号 GB/T 1220-2007;加工工艺 热轧;热处理工艺 ;特殊要求 ;规格标准号 GB/T 702-2008</t>
        </is>
      </c>
      <c r="F18" t="inlineStr">
        <is>
          <t>千克</t>
        </is>
      </c>
      <c r="G18">
        <f>LEFT(D18,FIND("|",D18,1)-1)</f>
        <v/>
      </c>
      <c r="H18">
        <f>MID(D18,FIND("|",D18,FIND("|",D18,1))+1,FIND("|",D18,FIND("|",D18,1)+1)-FIND("|",D18,FIND("|",D18,1))-1)</f>
        <v/>
      </c>
      <c r="J18">
        <f>MID(D18,FIND(";",SUBSTITUTE(D18,"|",REPT(";",LEN(D18)),2))+1,FIND(";",SUBSTITUTE(D18,"|",REPT(";",LEN(D18)),3))-FIND(";",SUBSTITUTE(D18,"|",REPT(";",LEN(D18)),2))-1)</f>
        <v/>
      </c>
      <c r="K18">
        <f>MID(D18,FIND(";",SUBSTITUTE(D18,"|",REPT(";",LEN(D18)),3))+1,FIND(";",SUBSTITUTE(D18,"|",REPT(";",LEN(D18)),4))-FIND(";",SUBSTITUTE(D18,"|",REPT(";",LEN(D18)),3))-1)</f>
        <v/>
      </c>
      <c r="M18">
        <f>MID(D18,FIND(";",SUBSTITUTE(D18,"|",REPT(";",LEN(D18)),4))+1,FIND(";",SUBSTITUTE(D18,"|",REPT(";",LEN(D18)),5))-FIND(";",SUBSTITUTE(D18,"|",REPT(";",LEN(D18)),4))-1)</f>
        <v/>
      </c>
      <c r="N18">
        <f>MID(D18,FIND(";",SUBSTITUTE(D18,"|",REPT(";",LEN(D18)),6))+1,LEN(D18))</f>
        <v/>
      </c>
      <c r="O18">
        <f>MID(D18,FIND(";",SUBSTITUTE(D18,"|",REPT(";",LEN(D18)),5))+1,FIND(";",SUBSTITUTE(D18,"|",REPT(";",LEN(D18)),6))-FIND(";",SUBSTITUTE(D18,"|",REPT(";",LEN(D18)),5))-1)</f>
        <v/>
      </c>
    </row>
    <row r="19">
      <c r="A19" t="inlineStr">
        <is>
          <t>100201</t>
        </is>
      </c>
      <c r="B19" t="inlineStr">
        <is>
          <t>圆钢</t>
        </is>
      </c>
      <c r="C19" t="inlineStr">
        <is>
          <t>603563600</t>
        </is>
      </c>
      <c r="D19" t="inlineStr">
        <is>
          <t>热轧合金结构圆钢|圆钢|30CrMnSiA|Φ80|GB/T 3077-2015|热轧|GB/T 702-2008</t>
        </is>
      </c>
      <c r="E19" t="inlineStr">
        <is>
          <t>物资名称 热轧合金结构圆钢;物资简称 圆钢;牌号 30CrMnSiA;直径 Φ80;技术标准号 GB/T 3077-2015;加工工艺 热轧;热处理工艺 ;特殊要求 ;规格标准号 GB/T 702-2008</t>
        </is>
      </c>
      <c r="F19" t="inlineStr">
        <is>
          <t>千克</t>
        </is>
      </c>
      <c r="G19">
        <f>LEFT(D19,FIND("|",D19,1)-1)</f>
        <v/>
      </c>
      <c r="H19">
        <f>MID(D19,FIND("|",D19,FIND("|",D19,1))+1,FIND("|",D19,FIND("|",D19,1)+1)-FIND("|",D19,FIND("|",D19,1))-1)</f>
        <v/>
      </c>
      <c r="J19">
        <f>MID(D19,FIND(";",SUBSTITUTE(D19,"|",REPT(";",LEN(D19)),2))+1,FIND(";",SUBSTITUTE(D19,"|",REPT(";",LEN(D19)),3))-FIND(";",SUBSTITUTE(D19,"|",REPT(";",LEN(D19)),2))-1)</f>
        <v/>
      </c>
      <c r="K19">
        <f>MID(D19,FIND(";",SUBSTITUTE(D19,"|",REPT(";",LEN(D19)),3))+1,FIND(";",SUBSTITUTE(D19,"|",REPT(";",LEN(D19)),4))-FIND(";",SUBSTITUTE(D19,"|",REPT(";",LEN(D19)),3))-1)</f>
        <v/>
      </c>
      <c r="M19">
        <f>MID(D19,FIND(";",SUBSTITUTE(D19,"|",REPT(";",LEN(D19)),4))+1,FIND(";",SUBSTITUTE(D19,"|",REPT(";",LEN(D19)),5))-FIND(";",SUBSTITUTE(D19,"|",REPT(";",LEN(D19)),4))-1)</f>
        <v/>
      </c>
      <c r="N19">
        <f>MID(D19,FIND(";",SUBSTITUTE(D19,"|",REPT(";",LEN(D19)),6))+1,LEN(D19))</f>
        <v/>
      </c>
      <c r="O19">
        <f>MID(D19,FIND(";",SUBSTITUTE(D19,"|",REPT(";",LEN(D19)),5))+1,FIND(";",SUBSTITUTE(D19,"|",REPT(";",LEN(D19)),6))-FIND(";",SUBSTITUTE(D19,"|",REPT(";",LEN(D19)),5))-1)</f>
        <v/>
      </c>
    </row>
    <row r="20">
      <c r="A20" t="inlineStr">
        <is>
          <t>100201</t>
        </is>
      </c>
      <c r="B20" t="inlineStr">
        <is>
          <t>圆钢</t>
        </is>
      </c>
      <c r="C20" t="inlineStr">
        <is>
          <t>603558300</t>
        </is>
      </c>
      <c r="D20" t="inlineStr">
        <is>
          <t>合金结构钢棒|钢棒|30CrMnSiA|Φ80|GB/T 3077-2015</t>
        </is>
      </c>
      <c r="E20" t="inlineStr">
        <is>
          <t>物资名称 合金结构钢棒;物资简称 钢棒;牌号 30CrMnSiA;直径 Φ80;技术标准号 GB/T 3077-2015;加工工艺 ;热处理工艺 ;特殊要求 ;规格标准号</t>
        </is>
      </c>
      <c r="F20" t="inlineStr">
        <is>
          <t>千克</t>
        </is>
      </c>
      <c r="G20">
        <f>LEFT(D20,FIND("|",D20,1)-1)</f>
        <v/>
      </c>
      <c r="H20">
        <f>MID(D20,FIND("|",D20,FIND("|",D20,1))+1,FIND("|",D20,FIND("|",D20,1)+1)-FIND("|",D20,FIND("|",D20,1))-1)</f>
        <v/>
      </c>
      <c r="J20">
        <f>MID(D20,FIND(";",SUBSTITUTE(D20,"|",REPT(";",LEN(D20)),2))+1,FIND(";",SUBSTITUTE(D20,"|",REPT(";",LEN(D20)),3))-FIND(";",SUBSTITUTE(D20,"|",REPT(";",LEN(D20)),2))-1)</f>
        <v/>
      </c>
      <c r="K20">
        <f>MID(D20,FIND(";",SUBSTITUTE(D20,"|",REPT(";",LEN(D20)),3))+1,FIND(";",SUBSTITUTE(D20,"|",REPT(";",LEN(D20)),4))-FIND(";",SUBSTITUTE(D20,"|",REPT(";",LEN(D20)),3))-1)</f>
        <v/>
      </c>
      <c r="M20">
        <f>MID(D20,FIND(";",SUBSTITUTE(D20,"|",REPT(";",LEN(D20)),4))+1,LEN(D20))</f>
        <v/>
      </c>
    </row>
    <row r="21">
      <c r="A21" t="inlineStr">
        <is>
          <t>100201</t>
        </is>
      </c>
      <c r="B21" t="inlineStr">
        <is>
          <t>圆钢</t>
        </is>
      </c>
      <c r="C21" t="inlineStr">
        <is>
          <t>603558200</t>
        </is>
      </c>
      <c r="D21" t="inlineStr">
        <is>
          <t>热轧合金结构圆钢|圆钢|35CrMnSiA|Φ70|GB/T 3077-2015|热轧</t>
        </is>
      </c>
      <c r="E21" t="inlineStr">
        <is>
          <t>物资名称 热轧合金结构圆钢;物资简称 圆钢;牌号 35CrMnSiA;直径 Φ70;技术标准号 GB/T 3077-2015;加工工艺 热轧;热处理工艺 ;特殊要求 ;规格标准号</t>
        </is>
      </c>
      <c r="F21" t="inlineStr">
        <is>
          <t>千克</t>
        </is>
      </c>
      <c r="G21">
        <f>LEFT(D21,FIND("|",D21,1)-1)</f>
        <v/>
      </c>
      <c r="H21">
        <f>MID(D21,FIND("|",D21,FIND("|",D21,1))+1,FIND("|",D21,FIND("|",D21,1)+1)-FIND("|",D21,FIND("|",D21,1))-1)</f>
        <v/>
      </c>
      <c r="J21">
        <f>MID(D21,FIND(";",SUBSTITUTE(D21,"|",REPT(";",LEN(D21)),2))+1,FIND(";",SUBSTITUTE(D21,"|",REPT(";",LEN(D21)),3))-FIND(";",SUBSTITUTE(D21,"|",REPT(";",LEN(D21)),2))-1)</f>
        <v/>
      </c>
      <c r="K21">
        <f>MID(D21,FIND(";",SUBSTITUTE(D21,"|",REPT(";",LEN(D21)),3))+1,FIND(";",SUBSTITUTE(D21,"|",REPT(";",LEN(D21)),4))-FIND(";",SUBSTITUTE(D21,"|",REPT(";",LEN(D21)),3))-1)</f>
        <v/>
      </c>
      <c r="M21">
        <f>MID(D21,FIND(";",SUBSTITUTE(D21,"|",REPT(";",LEN(D21)),4))+1,FIND(";",SUBSTITUTE(D21,"|",REPT(";",LEN(D21)),5))-FIND(";",SUBSTITUTE(D21,"|",REPT(";",LEN(D21)),4))-1)</f>
        <v/>
      </c>
      <c r="O21">
        <f>MID(D21,FIND(";",SUBSTITUTE(D21,"|",REPT(";",LEN(D21)),5))+1,LEN(D21))</f>
        <v/>
      </c>
    </row>
    <row r="22">
      <c r="A22" t="inlineStr">
        <is>
          <t>100201</t>
        </is>
      </c>
      <c r="B22" t="inlineStr">
        <is>
          <t>圆钢</t>
        </is>
      </c>
      <c r="C22" t="inlineStr">
        <is>
          <t>603550100</t>
        </is>
      </c>
      <c r="D22" t="inlineStr">
        <is>
          <t>热轧合金结构圆钢|圆钢|30CrMnSi|Φ50|GB/T 3077-2015|热轧|GB/T 702-2017</t>
        </is>
      </c>
      <c r="E22" t="inlineStr">
        <is>
          <t>物资名称 热轧合金结构圆钢;物资简称 圆钢;牌号 30CrMnSi;直径 Φ50;技术标准号 GB/T 3077-2015;加工工艺 热轧;热处理工艺 ;特殊要求 ;规格标准号 GB/T 702-2017</t>
        </is>
      </c>
      <c r="F22" t="inlineStr">
        <is>
          <t>千克</t>
        </is>
      </c>
      <c r="G22">
        <f>LEFT(D22,FIND("|",D22,1)-1)</f>
        <v/>
      </c>
      <c r="H22">
        <f>MID(D22,FIND("|",D22,FIND("|",D22,1))+1,FIND("|",D22,FIND("|",D22,1)+1)-FIND("|",D22,FIND("|",D22,1))-1)</f>
        <v/>
      </c>
      <c r="J22">
        <f>MID(D22,FIND(";",SUBSTITUTE(D22,"|",REPT(";",LEN(D22)),2))+1,FIND(";",SUBSTITUTE(D22,"|",REPT(";",LEN(D22)),3))-FIND(";",SUBSTITUTE(D22,"|",REPT(";",LEN(D22)),2))-1)</f>
        <v/>
      </c>
      <c r="K22">
        <f>MID(D22,FIND(";",SUBSTITUTE(D22,"|",REPT(";",LEN(D22)),3))+1,FIND(";",SUBSTITUTE(D22,"|",REPT(";",LEN(D22)),4))-FIND(";",SUBSTITUTE(D22,"|",REPT(";",LEN(D22)),3))-1)</f>
        <v/>
      </c>
      <c r="M22">
        <f>MID(D22,FIND(";",SUBSTITUTE(D22,"|",REPT(";",LEN(D22)),4))+1,FIND(";",SUBSTITUTE(D22,"|",REPT(";",LEN(D22)),5))-FIND(";",SUBSTITUTE(D22,"|",REPT(";",LEN(D22)),4))-1)</f>
        <v/>
      </c>
      <c r="N22">
        <f>MID(D22,FIND(";",SUBSTITUTE(D22,"|",REPT(";",LEN(D22)),6))+1,LEN(D22))</f>
        <v/>
      </c>
      <c r="O22">
        <f>MID(D22,FIND(";",SUBSTITUTE(D22,"|",REPT(";",LEN(D22)),5))+1,FIND(";",SUBSTITUTE(D22,"|",REPT(";",LEN(D22)),6))-FIND(";",SUBSTITUTE(D22,"|",REPT(";",LEN(D22)),5))-1)</f>
        <v/>
      </c>
    </row>
    <row r="23">
      <c r="A23" t="inlineStr">
        <is>
          <t>100201</t>
        </is>
      </c>
      <c r="B23" t="inlineStr">
        <is>
          <t>圆钢</t>
        </is>
      </c>
      <c r="C23" t="inlineStr">
        <is>
          <t>603545500</t>
        </is>
      </c>
      <c r="D23" t="inlineStr">
        <is>
          <t>热轧不锈圆钢|圆钢|20Cr13|GB/T 1220-2007|热轧|GB/T 702-2017</t>
        </is>
      </c>
      <c r="E23" t="inlineStr">
        <is>
          <t>物资名称 热轧不锈圆钢;物资简称 圆钢;牌号 20Cr13;直径 Φ;技术标准号 GB/T 1220-2007;加工工艺 热轧;热处理工艺 ;特殊要求 ;规格标准号 GB/T 702-2017</t>
        </is>
      </c>
      <c r="F23" t="inlineStr">
        <is>
          <t>千克</t>
        </is>
      </c>
      <c r="G23">
        <f>LEFT(D23,FIND("|",D23,1)-1)</f>
        <v/>
      </c>
      <c r="H23">
        <f>MID(D23,FIND("|",D23,FIND("|",D23,1))+1,FIND("|",D23,FIND("|",D23,1)+1)-FIND("|",D23,FIND("|",D23,1))-1)</f>
        <v/>
      </c>
      <c r="J23">
        <f>MID(D23,FIND(";",SUBSTITUTE(D23,"|",REPT(";",LEN(D23)),2))+1,FIND(";",SUBSTITUTE(D23,"|",REPT(";",LEN(D23)),3))-FIND(";",SUBSTITUTE(D23,"|",REPT(";",LEN(D23)),2))-1)</f>
        <v/>
      </c>
      <c r="M23">
        <f>MID(D23,FIND(";",SUBSTITUTE(D23,"|",REPT(";",LEN(D23)),3))+1,FIND(";",SUBSTITUTE(D23,"|",REPT(";",LEN(D23)),4))-FIND(";",SUBSTITUTE(D23,"|",REPT(";",LEN(D23)),3))-1)</f>
        <v/>
      </c>
      <c r="N23">
        <f>MID(D23,FIND(";",SUBSTITUTE(D23,"|",REPT(";",LEN(D23)),5))+1,LEN(D23))</f>
        <v/>
      </c>
      <c r="O23">
        <f>MID(D23,FIND(";",SUBSTITUTE(D23,"|",REPT(";",LEN(D23)),4))+1,FIND(";",SUBSTITUTE(D23,"|",REPT(";",LEN(D23)),5))-FIND(";",SUBSTITUTE(D23,"|",REPT(";",LEN(D23)),4))-1)</f>
        <v/>
      </c>
    </row>
    <row r="24">
      <c r="A24" t="inlineStr">
        <is>
          <t>100201</t>
        </is>
      </c>
      <c r="B24" t="inlineStr">
        <is>
          <t>圆钢</t>
        </is>
      </c>
      <c r="C24" t="inlineStr">
        <is>
          <t>603542200</t>
        </is>
      </c>
      <c r="D24" t="inlineStr">
        <is>
          <t>热轧航空用优质结构圆钢|圆钢|30CrMnSiNi2A|Φ80|GJB 1951-1994|热轧|GB/T 702-2017</t>
        </is>
      </c>
      <c r="E24" t="inlineStr">
        <is>
          <t>物资名称 热轧航空用优质结构圆钢;物资简称 圆钢;牌号 30CrMnSiNi2A;直径 Φ80;技术标准号 GJB 1951-1994;加工工艺 热轧;热处理工艺 ;特殊要求 ;规格标准号 GB/T 702-2017</t>
        </is>
      </c>
      <c r="F24" t="inlineStr">
        <is>
          <t>千克</t>
        </is>
      </c>
      <c r="G24">
        <f>LEFT(D24,FIND("|",D24,1)-1)</f>
        <v/>
      </c>
      <c r="H24">
        <f>MID(D24,FIND("|",D24,FIND("|",D24,1))+1,FIND("|",D24,FIND("|",D24,1)+1)-FIND("|",D24,FIND("|",D24,1))-1)</f>
        <v/>
      </c>
      <c r="J24">
        <f>MID(D24,FIND(";",SUBSTITUTE(D24,"|",REPT(";",LEN(D24)),2))+1,FIND(";",SUBSTITUTE(D24,"|",REPT(";",LEN(D24)),3))-FIND(";",SUBSTITUTE(D24,"|",REPT(";",LEN(D24)),2))-1)</f>
        <v/>
      </c>
      <c r="K24">
        <f>MID(D24,FIND(";",SUBSTITUTE(D24,"|",REPT(";",LEN(D24)),3))+1,FIND(";",SUBSTITUTE(D24,"|",REPT(";",LEN(D24)),4))-FIND(";",SUBSTITUTE(D24,"|",REPT(";",LEN(D24)),3))-1)</f>
        <v/>
      </c>
      <c r="M24">
        <f>MID(D24,FIND(";",SUBSTITUTE(D24,"|",REPT(";",LEN(D24)),4))+1,FIND(";",SUBSTITUTE(D24,"|",REPT(";",LEN(D24)),5))-FIND(";",SUBSTITUTE(D24,"|",REPT(";",LEN(D24)),4))-1)</f>
        <v/>
      </c>
      <c r="N24">
        <f>MID(D24,FIND(";",SUBSTITUTE(D24,"|",REPT(";",LEN(D24)),6))+1,LEN(D24))</f>
        <v/>
      </c>
      <c r="O24">
        <f>MID(D24,FIND(";",SUBSTITUTE(D24,"|",REPT(";",LEN(D24)),5))+1,FIND(";",SUBSTITUTE(D24,"|",REPT(";",LEN(D24)),6))-FIND(";",SUBSTITUTE(D24,"|",REPT(";",LEN(D24)),5))-1)</f>
        <v/>
      </c>
    </row>
    <row r="25">
      <c r="A25" t="inlineStr">
        <is>
          <t>100201</t>
        </is>
      </c>
      <c r="B25" t="inlineStr">
        <is>
          <t>圆钢</t>
        </is>
      </c>
      <c r="C25" t="inlineStr">
        <is>
          <t>603541700</t>
        </is>
      </c>
      <c r="D25" t="inlineStr">
        <is>
          <t>合金结构钢棒|钢棒|30CrMnSiA|GB/T 3077-2015</t>
        </is>
      </c>
      <c r="E25" t="inlineStr">
        <is>
          <t>物资名称 合金结构钢棒;物资简称 钢棒;牌号 30CrMnSiA;直径 Φ;技术标准号 GB/T 3077-2015;加工工艺 ;热处理工艺 ;特殊要求 ;规格标准号</t>
        </is>
      </c>
      <c r="F25" t="inlineStr">
        <is>
          <t>千克</t>
        </is>
      </c>
      <c r="G25">
        <f>LEFT(D25,FIND("|",D25,1)-1)</f>
        <v/>
      </c>
      <c r="H25">
        <f>MID(D25,FIND("|",D25,FIND("|",D25,1))+1,FIND("|",D25,FIND("|",D25,1)+1)-FIND("|",D25,FIND("|",D25,1))-1)</f>
        <v/>
      </c>
      <c r="J25">
        <f>MID(D25,FIND(";",SUBSTITUTE(D25,"|",REPT(";",LEN(D25)),2))+1,FIND(";",SUBSTITUTE(D25,"|",REPT(";",LEN(D25)),3))-FIND(";",SUBSTITUTE(D25,"|",REPT(";",LEN(D25)),2))-1)</f>
        <v/>
      </c>
      <c r="M25">
        <f>MID(D25,FIND(";",SUBSTITUTE(D25,"|",REPT(";",LEN(D25)),3))+1,LEN(D25))</f>
        <v/>
      </c>
    </row>
    <row r="26">
      <c r="A26" t="inlineStr">
        <is>
          <t>100201</t>
        </is>
      </c>
      <c r="B26" t="inlineStr">
        <is>
          <t>圆钢</t>
        </is>
      </c>
      <c r="C26" t="inlineStr">
        <is>
          <t>603541200</t>
        </is>
      </c>
      <c r="D26" t="inlineStr">
        <is>
          <t>热轧不锈圆钢|圆钢|12Cr18Ni9|Φ90|GB/T 1220-2007|热轧|GB/T 702-2008</t>
        </is>
      </c>
      <c r="E26" t="inlineStr">
        <is>
          <t>物资名称 热轧不锈圆钢;物资简称 圆钢;牌号 12Cr18Ni9;直径 Φ90;技术标准号 GB/T 1220-2007;加工工艺 热轧;热处理工艺 ;特殊要求 ;规格标准号 GB/T 702-2008</t>
        </is>
      </c>
      <c r="F26" t="inlineStr">
        <is>
          <t>千克</t>
        </is>
      </c>
      <c r="G26">
        <f>LEFT(D26,FIND("|",D26,1)-1)</f>
        <v/>
      </c>
      <c r="H26">
        <f>MID(D26,FIND("|",D26,FIND("|",D26,1))+1,FIND("|",D26,FIND("|",D26,1)+1)-FIND("|",D26,FIND("|",D26,1))-1)</f>
        <v/>
      </c>
      <c r="J26">
        <f>MID(D26,FIND(";",SUBSTITUTE(D26,"|",REPT(";",LEN(D26)),2))+1,FIND(";",SUBSTITUTE(D26,"|",REPT(";",LEN(D26)),3))-FIND(";",SUBSTITUTE(D26,"|",REPT(";",LEN(D26)),2))-1)</f>
        <v/>
      </c>
      <c r="K26">
        <f>MID(D26,FIND(";",SUBSTITUTE(D26,"|",REPT(";",LEN(D26)),3))+1,FIND(";",SUBSTITUTE(D26,"|",REPT(";",LEN(D26)),4))-FIND(";",SUBSTITUTE(D26,"|",REPT(";",LEN(D26)),3))-1)</f>
        <v/>
      </c>
      <c r="M26">
        <f>MID(D26,FIND(";",SUBSTITUTE(D26,"|",REPT(";",LEN(D26)),4))+1,FIND(";",SUBSTITUTE(D26,"|",REPT(";",LEN(D26)),5))-FIND(";",SUBSTITUTE(D26,"|",REPT(";",LEN(D26)),4))-1)</f>
        <v/>
      </c>
      <c r="N26">
        <f>MID(D26,FIND(";",SUBSTITUTE(D26,"|",REPT(";",LEN(D26)),6))+1,LEN(D26))</f>
        <v/>
      </c>
      <c r="O26">
        <f>MID(D26,FIND(";",SUBSTITUTE(D26,"|",REPT(";",LEN(D26)),5))+1,FIND(";",SUBSTITUTE(D26,"|",REPT(";",LEN(D26)),6))-FIND(";",SUBSTITUTE(D26,"|",REPT(";",LEN(D26)),5))-1)</f>
        <v/>
      </c>
    </row>
    <row r="27">
      <c r="A27" t="inlineStr">
        <is>
          <t>100201</t>
        </is>
      </c>
      <c r="B27" t="inlineStr">
        <is>
          <t>圆钢</t>
        </is>
      </c>
      <c r="C27" t="inlineStr">
        <is>
          <t>603540400</t>
        </is>
      </c>
      <c r="D27" t="inlineStr">
        <is>
          <t>热轧合金结构圆钢|圆钢|30CrMnSiA|Φ15|GB/T 3077-1999|热轧|GB/T 702-2008</t>
        </is>
      </c>
      <c r="E27" t="inlineStr">
        <is>
          <t>物资名称 热轧合金结构圆钢;物资简称 圆钢;牌号 30CrMnSiA;直径 Φ15;技术标准号 GB/T 3077-1999;加工工艺 热轧;热处理工艺 ;特殊要求 ;规格标准号 GB/T 702-2008</t>
        </is>
      </c>
      <c r="F27" t="inlineStr">
        <is>
          <t>千克</t>
        </is>
      </c>
      <c r="G27">
        <f>LEFT(D27,FIND("|",D27,1)-1)</f>
        <v/>
      </c>
      <c r="H27">
        <f>MID(D27,FIND("|",D27,FIND("|",D27,1))+1,FIND("|",D27,FIND("|",D27,1)+1)-FIND("|",D27,FIND("|",D27,1))-1)</f>
        <v/>
      </c>
      <c r="J27">
        <f>MID(D27,FIND(";",SUBSTITUTE(D27,"|",REPT(";",LEN(D27)),2))+1,FIND(";",SUBSTITUTE(D27,"|",REPT(";",LEN(D27)),3))-FIND(";",SUBSTITUTE(D27,"|",REPT(";",LEN(D27)),2))-1)</f>
        <v/>
      </c>
      <c r="K27">
        <f>MID(D27,FIND(";",SUBSTITUTE(D27,"|",REPT(";",LEN(D27)),3))+1,FIND(";",SUBSTITUTE(D27,"|",REPT(";",LEN(D27)),4))-FIND(";",SUBSTITUTE(D27,"|",REPT(";",LEN(D27)),3))-1)</f>
        <v/>
      </c>
      <c r="M27">
        <f>MID(D27,FIND(";",SUBSTITUTE(D27,"|",REPT(";",LEN(D27)),4))+1,FIND(";",SUBSTITUTE(D27,"|",REPT(";",LEN(D27)),5))-FIND(";",SUBSTITUTE(D27,"|",REPT(";",LEN(D27)),4))-1)</f>
        <v/>
      </c>
      <c r="N27">
        <f>MID(D27,FIND(";",SUBSTITUTE(D27,"|",REPT(";",LEN(D27)),6))+1,LEN(D27))</f>
        <v/>
      </c>
      <c r="O27">
        <f>MID(D27,FIND(";",SUBSTITUTE(D27,"|",REPT(";",LEN(D27)),5))+1,FIND(";",SUBSTITUTE(D27,"|",REPT(";",LEN(D27)),6))-FIND(";",SUBSTITUTE(D27,"|",REPT(";",LEN(D27)),5))-1)</f>
        <v/>
      </c>
    </row>
    <row r="28">
      <c r="A28" t="inlineStr">
        <is>
          <t>100201</t>
        </is>
      </c>
      <c r="B28" t="inlineStr">
        <is>
          <t>圆钢</t>
        </is>
      </c>
      <c r="C28" t="inlineStr">
        <is>
          <t>603538900</t>
        </is>
      </c>
      <c r="D28" t="inlineStr">
        <is>
          <t>热轧合金结构圆钢|圆钢|30CrMnSiA|GB/T 3077-2015|热轧|GB/T 702-2017</t>
        </is>
      </c>
      <c r="E28" t="inlineStr">
        <is>
          <t>物资名称 热轧合金结构圆钢;物资简称 圆钢;牌号 30CrMnSiA;直径 Φ;技术标准号 GB/T 3077-2015;加工工艺 热轧;热处理工艺 ;特殊要求 ;规格标准号 GB/T 702-2017</t>
        </is>
      </c>
      <c r="F28" t="inlineStr">
        <is>
          <t>千克</t>
        </is>
      </c>
      <c r="G28">
        <f>LEFT(D28,FIND("|",D28,1)-1)</f>
        <v/>
      </c>
      <c r="H28">
        <f>MID(D28,FIND("|",D28,FIND("|",D28,1))+1,FIND("|",D28,FIND("|",D28,1)+1)-FIND("|",D28,FIND("|",D28,1))-1)</f>
        <v/>
      </c>
      <c r="J28">
        <f>MID(D28,FIND(";",SUBSTITUTE(D28,"|",REPT(";",LEN(D28)),2))+1,FIND(";",SUBSTITUTE(D28,"|",REPT(";",LEN(D28)),3))-FIND(";",SUBSTITUTE(D28,"|",REPT(";",LEN(D28)),2))-1)</f>
        <v/>
      </c>
      <c r="M28">
        <f>MID(D28,FIND(";",SUBSTITUTE(D28,"|",REPT(";",LEN(D28)),3))+1,FIND(";",SUBSTITUTE(D28,"|",REPT(";",LEN(D28)),4))-FIND(";",SUBSTITUTE(D28,"|",REPT(";",LEN(D28)),3))-1)</f>
        <v/>
      </c>
      <c r="N28">
        <f>MID(D28,FIND(";",SUBSTITUTE(D28,"|",REPT(";",LEN(D28)),5))+1,LEN(D28))</f>
        <v/>
      </c>
      <c r="O28">
        <f>MID(D28,FIND(";",SUBSTITUTE(D28,"|",REPT(";",LEN(D28)),4))+1,FIND(";",SUBSTITUTE(D28,"|",REPT(";",LEN(D28)),5))-FIND(";",SUBSTITUTE(D28,"|",REPT(";",LEN(D28)),4))-1)</f>
        <v/>
      </c>
    </row>
    <row r="29">
      <c r="A29" t="inlineStr">
        <is>
          <t>100201</t>
        </is>
      </c>
      <c r="B29" t="inlineStr">
        <is>
          <t>圆钢</t>
        </is>
      </c>
      <c r="C29" t="inlineStr">
        <is>
          <t>603537700</t>
        </is>
      </c>
      <c r="D29" t="inlineStr">
        <is>
          <t>热轧不锈圆钢|圆钢|06Cr19Ni10|GB/T 1220-2007|热轧|GB/T 702-2017</t>
        </is>
      </c>
      <c r="E29" t="inlineStr">
        <is>
          <t>物资名称 热轧不锈圆钢;物资简称 圆钢;牌号 06Cr19Ni10;直径 Φ;技术标准号 GB/T 1220-2007;加工工艺 热轧;热处理工艺 ;特殊要求 ;规格标准号 GB/T 702-2017</t>
        </is>
      </c>
      <c r="F29" t="inlineStr">
        <is>
          <t>千克</t>
        </is>
      </c>
      <c r="G29">
        <f>LEFT(D29,FIND("|",D29,1)-1)</f>
        <v/>
      </c>
      <c r="H29">
        <f>MID(D29,FIND("|",D29,FIND("|",D29,1))+1,FIND("|",D29,FIND("|",D29,1)+1)-FIND("|",D29,FIND("|",D29,1))-1)</f>
        <v/>
      </c>
      <c r="J29">
        <f>MID(D29,FIND(";",SUBSTITUTE(D29,"|",REPT(";",LEN(D29)),2))+1,FIND(";",SUBSTITUTE(D29,"|",REPT(";",LEN(D29)),3))-FIND(";",SUBSTITUTE(D29,"|",REPT(";",LEN(D29)),2))-1)</f>
        <v/>
      </c>
      <c r="M29">
        <f>MID(D29,FIND(";",SUBSTITUTE(D29,"|",REPT(";",LEN(D29)),3))+1,FIND(";",SUBSTITUTE(D29,"|",REPT(";",LEN(D29)),4))-FIND(";",SUBSTITUTE(D29,"|",REPT(";",LEN(D29)),3))-1)</f>
        <v/>
      </c>
      <c r="N29">
        <f>MID(D29,FIND(";",SUBSTITUTE(D29,"|",REPT(";",LEN(D29)),5))+1,LEN(D29))</f>
        <v/>
      </c>
      <c r="O29">
        <f>MID(D29,FIND(";",SUBSTITUTE(D29,"|",REPT(";",LEN(D29)),4))+1,FIND(";",SUBSTITUTE(D29,"|",REPT(";",LEN(D29)),5))-FIND(";",SUBSTITUTE(D29,"|",REPT(";",LEN(D29)),4))-1)</f>
        <v/>
      </c>
    </row>
    <row r="30">
      <c r="A30" t="inlineStr">
        <is>
          <t>100201</t>
        </is>
      </c>
      <c r="B30" t="inlineStr">
        <is>
          <t>圆钢</t>
        </is>
      </c>
      <c r="C30" t="inlineStr">
        <is>
          <t>603537500</t>
        </is>
      </c>
      <c r="D30" t="inlineStr">
        <is>
          <t>热轧合金结构圆钢|圆钢|35CrMnSiA|GB/T 3077-2015|热轧|GB/T 702-2017</t>
        </is>
      </c>
      <c r="E30" t="inlineStr">
        <is>
          <t>物资名称 热轧合金结构圆钢;物资简称 圆钢;牌号 35CrMnSiA;直径 Φ;技术标准号 GB/T 3077-2015;加工工艺 热轧;热处理工艺 ;特殊要求 ;规格标准号 GB/T 702-2017</t>
        </is>
      </c>
      <c r="F30" t="inlineStr">
        <is>
          <t>千克</t>
        </is>
      </c>
      <c r="G30">
        <f>LEFT(D30,FIND("|",D30,1)-1)</f>
        <v/>
      </c>
      <c r="H30">
        <f>MID(D30,FIND("|",D30,FIND("|",D30,1))+1,FIND("|",D30,FIND("|",D30,1)+1)-FIND("|",D30,FIND("|",D30,1))-1)</f>
        <v/>
      </c>
      <c r="J30">
        <f>MID(D30,FIND(";",SUBSTITUTE(D30,"|",REPT(";",LEN(D30)),2))+1,FIND(";",SUBSTITUTE(D30,"|",REPT(";",LEN(D30)),3))-FIND(";",SUBSTITUTE(D30,"|",REPT(";",LEN(D30)),2))-1)</f>
        <v/>
      </c>
      <c r="M30">
        <f>MID(D30,FIND(";",SUBSTITUTE(D30,"|",REPT(";",LEN(D30)),3))+1,FIND(";",SUBSTITUTE(D30,"|",REPT(";",LEN(D30)),4))-FIND(";",SUBSTITUTE(D30,"|",REPT(";",LEN(D30)),3))-1)</f>
        <v/>
      </c>
      <c r="N30">
        <f>MID(D30,FIND(";",SUBSTITUTE(D30,"|",REPT(";",LEN(D30)),5))+1,LEN(D30))</f>
        <v/>
      </c>
      <c r="O30">
        <f>MID(D30,FIND(";",SUBSTITUTE(D30,"|",REPT(";",LEN(D30)),4))+1,FIND(";",SUBSTITUTE(D30,"|",REPT(";",LEN(D30)),5))-FIND(";",SUBSTITUTE(D30,"|",REPT(";",LEN(D30)),4))-1)</f>
        <v/>
      </c>
    </row>
    <row r="31">
      <c r="A31" t="inlineStr">
        <is>
          <t>100201</t>
        </is>
      </c>
      <c r="B31" t="inlineStr">
        <is>
          <t>圆钢</t>
        </is>
      </c>
      <c r="C31" t="inlineStr">
        <is>
          <t>603519700</t>
        </is>
      </c>
      <c r="D31" t="inlineStr">
        <is>
          <t>热轧不锈圆钢|圆钢|06Cr19Ni10|Φ160|GB/T 1220-2007|热轧|GB/T 702-2017</t>
        </is>
      </c>
      <c r="E31" t="inlineStr">
        <is>
          <t>物资名称 热轧不锈圆钢;物资简称 圆钢;牌号 06Cr19Ni10;直径 Φ160;技术标准号 GB/T 1220-2007;加工工艺 热轧;热处理工艺 ;特殊要求 ;规格标准号 GB/T 702-2017</t>
        </is>
      </c>
      <c r="F31" t="inlineStr">
        <is>
          <t>千克</t>
        </is>
      </c>
      <c r="G31">
        <f>LEFT(D31,FIND("|",D31,1)-1)</f>
        <v/>
      </c>
      <c r="H31">
        <f>MID(D31,FIND("|",D31,FIND("|",D31,1))+1,FIND("|",D31,FIND("|",D31,1)+1)-FIND("|",D31,FIND("|",D31,1))-1)</f>
        <v/>
      </c>
      <c r="J31">
        <f>MID(D31,FIND(";",SUBSTITUTE(D31,"|",REPT(";",LEN(D31)),2))+1,FIND(";",SUBSTITUTE(D31,"|",REPT(";",LEN(D31)),3))-FIND(";",SUBSTITUTE(D31,"|",REPT(";",LEN(D31)),2))-1)</f>
        <v/>
      </c>
      <c r="K31">
        <f>MID(D31,FIND(";",SUBSTITUTE(D31,"|",REPT(";",LEN(D31)),3))+1,FIND(";",SUBSTITUTE(D31,"|",REPT(";",LEN(D31)),4))-FIND(";",SUBSTITUTE(D31,"|",REPT(";",LEN(D31)),3))-1)</f>
        <v/>
      </c>
      <c r="M31">
        <f>MID(D31,FIND(";",SUBSTITUTE(D31,"|",REPT(";",LEN(D31)),4))+1,FIND(";",SUBSTITUTE(D31,"|",REPT(";",LEN(D31)),5))-FIND(";",SUBSTITUTE(D31,"|",REPT(";",LEN(D31)),4))-1)</f>
        <v/>
      </c>
      <c r="N31">
        <f>MID(D31,FIND(";",SUBSTITUTE(D31,"|",REPT(";",LEN(D31)),6))+1,LEN(D31))</f>
        <v/>
      </c>
      <c r="O31">
        <f>MID(D31,FIND(";",SUBSTITUTE(D31,"|",REPT(";",LEN(D31)),5))+1,FIND(";",SUBSTITUTE(D31,"|",REPT(";",LEN(D31)),6))-FIND(";",SUBSTITUTE(D31,"|",REPT(";",LEN(D31)),5))-1)</f>
        <v/>
      </c>
    </row>
    <row r="32">
      <c r="A32" t="inlineStr">
        <is>
          <t>100201</t>
        </is>
      </c>
      <c r="B32" t="inlineStr">
        <is>
          <t>圆钢</t>
        </is>
      </c>
      <c r="C32" t="inlineStr">
        <is>
          <t>603415800</t>
        </is>
      </c>
      <c r="D32" t="inlineStr">
        <is>
          <t>热轧不锈圆钢|圆钢|20Cr13|Φ95|GB/T 1220-2007|热轧|GB/T 702-2008</t>
        </is>
      </c>
      <c r="E32" t="inlineStr">
        <is>
          <t>物资名称 热轧不锈圆钢;物资简称 圆钢;牌号 20Cr13;直径 Φ95;技术标准号 GB/T 1220-2007;加工工艺 热轧;热处理工艺 ;特殊要求 ;规格标准号 GB/T 702-2008</t>
        </is>
      </c>
      <c r="F32" t="inlineStr">
        <is>
          <t>千克</t>
        </is>
      </c>
      <c r="G32">
        <f>LEFT(D32,FIND("|",D32,1)-1)</f>
        <v/>
      </c>
      <c r="H32">
        <f>MID(D32,FIND("|",D32,FIND("|",D32,1))+1,FIND("|",D32,FIND("|",D32,1)+1)-FIND("|",D32,FIND("|",D32,1))-1)</f>
        <v/>
      </c>
      <c r="J32">
        <f>MID(D32,FIND(";",SUBSTITUTE(D32,"|",REPT(";",LEN(D32)),2))+1,FIND(";",SUBSTITUTE(D32,"|",REPT(";",LEN(D32)),3))-FIND(";",SUBSTITUTE(D32,"|",REPT(";",LEN(D32)),2))-1)</f>
        <v/>
      </c>
      <c r="K32">
        <f>MID(D32,FIND(";",SUBSTITUTE(D32,"|",REPT(";",LEN(D32)),3))+1,FIND(";",SUBSTITUTE(D32,"|",REPT(";",LEN(D32)),4))-FIND(";",SUBSTITUTE(D32,"|",REPT(";",LEN(D32)),3))-1)</f>
        <v/>
      </c>
      <c r="M32">
        <f>MID(D32,FIND(";",SUBSTITUTE(D32,"|",REPT(";",LEN(D32)),4))+1,FIND(";",SUBSTITUTE(D32,"|",REPT(";",LEN(D32)),5))-FIND(";",SUBSTITUTE(D32,"|",REPT(";",LEN(D32)),4))-1)</f>
        <v/>
      </c>
      <c r="N32">
        <f>MID(D32,FIND(";",SUBSTITUTE(D32,"|",REPT(";",LEN(D32)),6))+1,LEN(D32))</f>
        <v/>
      </c>
      <c r="O32">
        <f>MID(D32,FIND(";",SUBSTITUTE(D32,"|",REPT(";",LEN(D32)),5))+1,FIND(";",SUBSTITUTE(D32,"|",REPT(";",LEN(D32)),6))-FIND(";",SUBSTITUTE(D32,"|",REPT(";",LEN(D32)),5))-1)</f>
        <v/>
      </c>
    </row>
    <row r="33">
      <c r="A33" t="inlineStr">
        <is>
          <t>100201</t>
        </is>
      </c>
      <c r="B33" t="inlineStr">
        <is>
          <t>圆钢</t>
        </is>
      </c>
      <c r="C33" t="inlineStr">
        <is>
          <t>603186400</t>
        </is>
      </c>
      <c r="D33" t="inlineStr">
        <is>
          <t>热轧合金结构圆钢|圆钢|30CrMnSiA|Φ54|GB/T 3077-1999|热轧|GB/T 702-2008</t>
        </is>
      </c>
      <c r="E33" t="inlineStr">
        <is>
          <t>物资名称 热轧合金结构圆钢;物资简称 圆钢;牌号 30CrMnSiA;直径 Φ54;技术标准号 GB/T 3077-1999;加工工艺 热轧;热处理工艺 ;特殊要求 ;规格标准号 GB/T 702-2008</t>
        </is>
      </c>
      <c r="F33" t="inlineStr">
        <is>
          <t>千克</t>
        </is>
      </c>
      <c r="G33">
        <f>LEFT(D33,FIND("|",D33,1)-1)</f>
        <v/>
      </c>
      <c r="H33">
        <f>MID(D33,FIND("|",D33,FIND("|",D33,1))+1,FIND("|",D33,FIND("|",D33,1)+1)-FIND("|",D33,FIND("|",D33,1))-1)</f>
        <v/>
      </c>
      <c r="J33">
        <f>MID(D33,FIND(";",SUBSTITUTE(D33,"|",REPT(";",LEN(D33)),2))+1,FIND(";",SUBSTITUTE(D33,"|",REPT(";",LEN(D33)),3))-FIND(";",SUBSTITUTE(D33,"|",REPT(";",LEN(D33)),2))-1)</f>
        <v/>
      </c>
      <c r="K33">
        <f>MID(D33,FIND(";",SUBSTITUTE(D33,"|",REPT(";",LEN(D33)),3))+1,FIND(";",SUBSTITUTE(D33,"|",REPT(";",LEN(D33)),4))-FIND(";",SUBSTITUTE(D33,"|",REPT(";",LEN(D33)),3))-1)</f>
        <v/>
      </c>
      <c r="M33">
        <f>MID(D33,FIND(";",SUBSTITUTE(D33,"|",REPT(";",LEN(D33)),4))+1,FIND(";",SUBSTITUTE(D33,"|",REPT(";",LEN(D33)),5))-FIND(";",SUBSTITUTE(D33,"|",REPT(";",LEN(D33)),4))-1)</f>
        <v/>
      </c>
      <c r="N33">
        <f>MID(D33,FIND(";",SUBSTITUTE(D33,"|",REPT(";",LEN(D33)),6))+1,LEN(D33))</f>
        <v/>
      </c>
      <c r="O33">
        <f>MID(D33,FIND(";",SUBSTITUTE(D33,"|",REPT(";",LEN(D33)),5))+1,FIND(";",SUBSTITUTE(D33,"|",REPT(";",LEN(D33)),6))-FIND(";",SUBSTITUTE(D33,"|",REPT(";",LEN(D33)),5))-1)</f>
        <v/>
      </c>
    </row>
    <row r="34">
      <c r="A34" t="inlineStr">
        <is>
          <t>100201</t>
        </is>
      </c>
      <c r="B34" t="inlineStr">
        <is>
          <t>圆钢</t>
        </is>
      </c>
      <c r="C34" t="inlineStr">
        <is>
          <t>603164500</t>
        </is>
      </c>
      <c r="D34" t="inlineStr">
        <is>
          <t>热轧不锈圆钢|圆钢|1Cr17Ni2|Φ12|GB/T 1220-1992|热轧|GB/T 702-2008</t>
        </is>
      </c>
      <c r="E34" t="inlineStr">
        <is>
          <t>物资名称 热轧不锈圆钢;物资简称 圆钢;牌号 1Cr17Ni2;直径 Φ12;技术标准号 GB/T 1220-1992;加工工艺 热轧;热处理工艺 ;特殊要求 ;规格标准号 GB/T 702-2008</t>
        </is>
      </c>
      <c r="F34" t="inlineStr">
        <is>
          <t>千克</t>
        </is>
      </c>
      <c r="G34">
        <f>LEFT(D34,FIND("|",D34,1)-1)</f>
        <v/>
      </c>
      <c r="H34">
        <f>MID(D34,FIND("|",D34,FIND("|",D34,1))+1,FIND("|",D34,FIND("|",D34,1)+1)-FIND("|",D34,FIND("|",D34,1))-1)</f>
        <v/>
      </c>
      <c r="J34">
        <f>MID(D34,FIND(";",SUBSTITUTE(D34,"|",REPT(";",LEN(D34)),2))+1,FIND(";",SUBSTITUTE(D34,"|",REPT(";",LEN(D34)),3))-FIND(";",SUBSTITUTE(D34,"|",REPT(";",LEN(D34)),2))-1)</f>
        <v/>
      </c>
      <c r="K34">
        <f>MID(D34,FIND(";",SUBSTITUTE(D34,"|",REPT(";",LEN(D34)),3))+1,FIND(";",SUBSTITUTE(D34,"|",REPT(";",LEN(D34)),4))-FIND(";",SUBSTITUTE(D34,"|",REPT(";",LEN(D34)),3))-1)</f>
        <v/>
      </c>
      <c r="M34">
        <f>MID(D34,FIND(";",SUBSTITUTE(D34,"|",REPT(";",LEN(D34)),4))+1,FIND(";",SUBSTITUTE(D34,"|",REPT(";",LEN(D34)),5))-FIND(";",SUBSTITUTE(D34,"|",REPT(";",LEN(D34)),4))-1)</f>
        <v/>
      </c>
      <c r="N34">
        <f>MID(D34,FIND(";",SUBSTITUTE(D34,"|",REPT(";",LEN(D34)),6))+1,LEN(D34))</f>
        <v/>
      </c>
      <c r="O34">
        <f>MID(D34,FIND(";",SUBSTITUTE(D34,"|",REPT(";",LEN(D34)),5))+1,FIND(";",SUBSTITUTE(D34,"|",REPT(";",LEN(D34)),6))-FIND(";",SUBSTITUTE(D34,"|",REPT(";",LEN(D34)),5))-1)</f>
        <v/>
      </c>
    </row>
    <row r="35">
      <c r="A35" t="inlineStr">
        <is>
          <t>100201</t>
        </is>
      </c>
      <c r="B35" t="inlineStr">
        <is>
          <t>圆钢</t>
        </is>
      </c>
      <c r="C35" t="inlineStr">
        <is>
          <t>603161300</t>
        </is>
      </c>
      <c r="D35" t="inlineStr">
        <is>
          <t>热轧航空用不锈圆钢|圆钢|1Cr18Ni9Ti|Φ95|GJB 2294A-2014|热轧|GB/T 702-2008</t>
        </is>
      </c>
      <c r="E35" t="inlineStr">
        <is>
          <t>物资名称 热轧航空用不锈圆钢;物资简称 圆钢;牌号 1Cr18Ni9Ti;直径 Φ95;技术标准号 GJB 2294A-2014;加工工艺 热轧;热处理工艺 ;特殊要求 ;规格标准号 GB/T 702-2008</t>
        </is>
      </c>
      <c r="F35" t="inlineStr">
        <is>
          <t>千克</t>
        </is>
      </c>
      <c r="G35">
        <f>LEFT(D35,FIND("|",D35,1)-1)</f>
        <v/>
      </c>
      <c r="H35">
        <f>MID(D35,FIND("|",D35,FIND("|",D35,1))+1,FIND("|",D35,FIND("|",D35,1)+1)-FIND("|",D35,FIND("|",D35,1))-1)</f>
        <v/>
      </c>
      <c r="J35">
        <f>MID(D35,FIND(";",SUBSTITUTE(D35,"|",REPT(";",LEN(D35)),2))+1,FIND(";",SUBSTITUTE(D35,"|",REPT(";",LEN(D35)),3))-FIND(";",SUBSTITUTE(D35,"|",REPT(";",LEN(D35)),2))-1)</f>
        <v/>
      </c>
      <c r="K35">
        <f>MID(D35,FIND(";",SUBSTITUTE(D35,"|",REPT(";",LEN(D35)),3))+1,FIND(";",SUBSTITUTE(D35,"|",REPT(";",LEN(D35)),4))-FIND(";",SUBSTITUTE(D35,"|",REPT(";",LEN(D35)),3))-1)</f>
        <v/>
      </c>
      <c r="M35">
        <f>MID(D35,FIND(";",SUBSTITUTE(D35,"|",REPT(";",LEN(D35)),4))+1,FIND(";",SUBSTITUTE(D35,"|",REPT(";",LEN(D35)),5))-FIND(";",SUBSTITUTE(D35,"|",REPT(";",LEN(D35)),4))-1)</f>
        <v/>
      </c>
      <c r="N35">
        <f>MID(D35,FIND(";",SUBSTITUTE(D35,"|",REPT(";",LEN(D35)),6))+1,LEN(D35))</f>
        <v/>
      </c>
      <c r="O35">
        <f>MID(D35,FIND(";",SUBSTITUTE(D35,"|",REPT(";",LEN(D35)),5))+1,FIND(";",SUBSTITUTE(D35,"|",REPT(";",LEN(D35)),6))-FIND(";",SUBSTITUTE(D35,"|",REPT(";",LEN(D35)),5))-1)</f>
        <v/>
      </c>
    </row>
    <row r="36">
      <c r="A36" t="inlineStr">
        <is>
          <t>100201</t>
        </is>
      </c>
      <c r="B36" t="inlineStr">
        <is>
          <t>圆钢</t>
        </is>
      </c>
      <c r="C36" t="inlineStr">
        <is>
          <t>603152900</t>
        </is>
      </c>
      <c r="D36" t="inlineStr">
        <is>
          <t>热轧航空用不锈圆钢|圆钢|1Cr18Ni9Ti|Φ132|GJB 2294A-2014|热轧|GB/T 702-2008</t>
        </is>
      </c>
      <c r="E36" t="inlineStr">
        <is>
          <t>物资名称 热轧航空用不锈圆钢;物资简称 圆钢;牌号 1Cr18Ni9Ti;直径 Φ132;技术标准号 GJB 2294A-2014;加工工艺 热轧;热处理工艺 ;特殊要求 ;规格标准号 GB/T 702-2008</t>
        </is>
      </c>
      <c r="F36" t="inlineStr">
        <is>
          <t>千克</t>
        </is>
      </c>
      <c r="G36">
        <f>LEFT(D36,FIND("|",D36,1)-1)</f>
        <v/>
      </c>
      <c r="H36">
        <f>MID(D36,FIND("|",D36,FIND("|",D36,1))+1,FIND("|",D36,FIND("|",D36,1)+1)-FIND("|",D36,FIND("|",D36,1))-1)</f>
        <v/>
      </c>
      <c r="J36">
        <f>MID(D36,FIND(";",SUBSTITUTE(D36,"|",REPT(";",LEN(D36)),2))+1,FIND(";",SUBSTITUTE(D36,"|",REPT(";",LEN(D36)),3))-FIND(";",SUBSTITUTE(D36,"|",REPT(";",LEN(D36)),2))-1)</f>
        <v/>
      </c>
      <c r="K36">
        <f>MID(D36,FIND(";",SUBSTITUTE(D36,"|",REPT(";",LEN(D36)),3))+1,FIND(";",SUBSTITUTE(D36,"|",REPT(";",LEN(D36)),4))-FIND(";",SUBSTITUTE(D36,"|",REPT(";",LEN(D36)),3))-1)</f>
        <v/>
      </c>
      <c r="M36">
        <f>MID(D36,FIND(";",SUBSTITUTE(D36,"|",REPT(";",LEN(D36)),4))+1,FIND(";",SUBSTITUTE(D36,"|",REPT(";",LEN(D36)),5))-FIND(";",SUBSTITUTE(D36,"|",REPT(";",LEN(D36)),4))-1)</f>
        <v/>
      </c>
      <c r="N36">
        <f>MID(D36,FIND(";",SUBSTITUTE(D36,"|",REPT(";",LEN(D36)),6))+1,LEN(D36))</f>
        <v/>
      </c>
      <c r="O36">
        <f>MID(D36,FIND(";",SUBSTITUTE(D36,"|",REPT(";",LEN(D36)),5))+1,FIND(";",SUBSTITUTE(D36,"|",REPT(";",LEN(D36)),6))-FIND(";",SUBSTITUTE(D36,"|",REPT(";",LEN(D36)),5))-1)</f>
        <v/>
      </c>
    </row>
    <row r="37">
      <c r="A37" t="inlineStr">
        <is>
          <t>100201</t>
        </is>
      </c>
      <c r="B37" t="inlineStr">
        <is>
          <t>圆钢</t>
        </is>
      </c>
      <c r="C37" t="inlineStr">
        <is>
          <t>603122200</t>
        </is>
      </c>
      <c r="D37" t="inlineStr">
        <is>
          <t>热轧合金结构圆钢|圆钢|40Cr|Φ16|GB/T 3077-2015|热轧|GB/T 702-2008</t>
        </is>
      </c>
      <c r="E37" t="inlineStr">
        <is>
          <t>物资名称 热轧合金结构圆钢;物资简称 圆钢;牌号 40Cr;直径 Φ16;技术标准号 GB/T 3077-2015;加工工艺 热轧;热处理工艺 ;特殊要求 ;规格标准号 GB/T 702-2008</t>
        </is>
      </c>
      <c r="F37" t="inlineStr">
        <is>
          <t>千克</t>
        </is>
      </c>
      <c r="G37">
        <f>LEFT(D37,FIND("|",D37,1)-1)</f>
        <v/>
      </c>
      <c r="H37">
        <f>MID(D37,FIND("|",D37,FIND("|",D37,1))+1,FIND("|",D37,FIND("|",D37,1)+1)-FIND("|",D37,FIND("|",D37,1))-1)</f>
        <v/>
      </c>
      <c r="J37">
        <f>MID(D37,FIND(";",SUBSTITUTE(D37,"|",REPT(";",LEN(D37)),2))+1,FIND(";",SUBSTITUTE(D37,"|",REPT(";",LEN(D37)),3))-FIND(";",SUBSTITUTE(D37,"|",REPT(";",LEN(D37)),2))-1)</f>
        <v/>
      </c>
      <c r="K37">
        <f>MID(D37,FIND(";",SUBSTITUTE(D37,"|",REPT(";",LEN(D37)),3))+1,FIND(";",SUBSTITUTE(D37,"|",REPT(";",LEN(D37)),4))-FIND(";",SUBSTITUTE(D37,"|",REPT(";",LEN(D37)),3))-1)</f>
        <v/>
      </c>
      <c r="M37">
        <f>MID(D37,FIND(";",SUBSTITUTE(D37,"|",REPT(";",LEN(D37)),4))+1,FIND(";",SUBSTITUTE(D37,"|",REPT(";",LEN(D37)),5))-FIND(";",SUBSTITUTE(D37,"|",REPT(";",LEN(D37)),4))-1)</f>
        <v/>
      </c>
      <c r="N37">
        <f>MID(D37,FIND(";",SUBSTITUTE(D37,"|",REPT(";",LEN(D37)),6))+1,LEN(D37))</f>
        <v/>
      </c>
      <c r="O37">
        <f>MID(D37,FIND(";",SUBSTITUTE(D37,"|",REPT(";",LEN(D37)),5))+1,FIND(";",SUBSTITUTE(D37,"|",REPT(";",LEN(D37)),6))-FIND(";",SUBSTITUTE(D37,"|",REPT(";",LEN(D37)),5))-1)</f>
        <v/>
      </c>
    </row>
    <row r="38">
      <c r="A38" t="inlineStr">
        <is>
          <t>100201</t>
        </is>
      </c>
      <c r="B38" t="inlineStr">
        <is>
          <t>圆钢</t>
        </is>
      </c>
      <c r="C38" t="inlineStr">
        <is>
          <t>603121900</t>
        </is>
      </c>
      <c r="D38" t="inlineStr">
        <is>
          <t>热轧合金结构圆钢|圆钢|30CrMnSiA|Φ55|GB/T 3077-1999|热轧|GB/T 702-2008</t>
        </is>
      </c>
      <c r="E38" t="inlineStr">
        <is>
          <t>物资名称 热轧合金结构圆钢;物资简称 圆钢;牌号 30CrMnSiA;直径 Φ55;技术标准号 GB/T 3077-1999;加工工艺 热轧;热处理工艺 ;特殊要求 ;规格标准号 GB/T 702-2008</t>
        </is>
      </c>
      <c r="F38" t="inlineStr">
        <is>
          <t>千克</t>
        </is>
      </c>
      <c r="G38">
        <f>LEFT(D38,FIND("|",D38,1)-1)</f>
        <v/>
      </c>
      <c r="H38">
        <f>MID(D38,FIND("|",D38,FIND("|",D38,1))+1,FIND("|",D38,FIND("|",D38,1)+1)-FIND("|",D38,FIND("|",D38,1))-1)</f>
        <v/>
      </c>
      <c r="J38">
        <f>MID(D38,FIND(";",SUBSTITUTE(D38,"|",REPT(";",LEN(D38)),2))+1,FIND(";",SUBSTITUTE(D38,"|",REPT(";",LEN(D38)),3))-FIND(";",SUBSTITUTE(D38,"|",REPT(";",LEN(D38)),2))-1)</f>
        <v/>
      </c>
      <c r="K38">
        <f>MID(D38,FIND(";",SUBSTITUTE(D38,"|",REPT(";",LEN(D38)),3))+1,FIND(";",SUBSTITUTE(D38,"|",REPT(";",LEN(D38)),4))-FIND(";",SUBSTITUTE(D38,"|",REPT(";",LEN(D38)),3))-1)</f>
        <v/>
      </c>
      <c r="M38">
        <f>MID(D38,FIND(";",SUBSTITUTE(D38,"|",REPT(";",LEN(D38)),4))+1,FIND(";",SUBSTITUTE(D38,"|",REPT(";",LEN(D38)),5))-FIND(";",SUBSTITUTE(D38,"|",REPT(";",LEN(D38)),4))-1)</f>
        <v/>
      </c>
      <c r="N38">
        <f>MID(D38,FIND(";",SUBSTITUTE(D38,"|",REPT(";",LEN(D38)),6))+1,LEN(D38))</f>
        <v/>
      </c>
      <c r="O38">
        <f>MID(D38,FIND(";",SUBSTITUTE(D38,"|",REPT(";",LEN(D38)),5))+1,FIND(";",SUBSTITUTE(D38,"|",REPT(";",LEN(D38)),6))-FIND(";",SUBSTITUTE(D38,"|",REPT(";",LEN(D38)),5))-1)</f>
        <v/>
      </c>
    </row>
    <row r="39">
      <c r="A39" t="inlineStr">
        <is>
          <t>100201</t>
        </is>
      </c>
      <c r="B39" t="inlineStr">
        <is>
          <t>圆钢</t>
        </is>
      </c>
      <c r="C39" t="inlineStr">
        <is>
          <t>603108600</t>
        </is>
      </c>
      <c r="D39" t="inlineStr">
        <is>
          <t>冷拉弹簧圆钢|圆钢|60Si2MnA|Φ6|GB/T 1222-2016|冷拉|GB/T 905-1994</t>
        </is>
      </c>
      <c r="E39" t="inlineStr">
        <is>
          <t>物资名称 冷拉弹簧圆钢;物资简称 圆钢;牌号 60Si2MnA;直径 Φ6;技术标准号 GB/T 1222-2016;加工工艺 冷拉;热处理工艺 ;特殊要求 ;规格标准号 GB/T 905-1994</t>
        </is>
      </c>
      <c r="F39" t="inlineStr">
        <is>
          <t>千克</t>
        </is>
      </c>
      <c r="G39">
        <f>LEFT(D39,FIND("|",D39,1)-1)</f>
        <v/>
      </c>
      <c r="H39">
        <f>MID(D39,FIND("|",D39,FIND("|",D39,1))+1,FIND("|",D39,FIND("|",D39,1)+1)-FIND("|",D39,FIND("|",D39,1))-1)</f>
        <v/>
      </c>
      <c r="J39">
        <f>MID(D39,FIND(";",SUBSTITUTE(D39,"|",REPT(";",LEN(D39)),2))+1,FIND(";",SUBSTITUTE(D39,"|",REPT(";",LEN(D39)),3))-FIND(";",SUBSTITUTE(D39,"|",REPT(";",LEN(D39)),2))-1)</f>
        <v/>
      </c>
      <c r="K39">
        <f>MID(D39,FIND(";",SUBSTITUTE(D39,"|",REPT(";",LEN(D39)),3))+1,FIND(";",SUBSTITUTE(D39,"|",REPT(";",LEN(D39)),4))-FIND(";",SUBSTITUTE(D39,"|",REPT(";",LEN(D39)),3))-1)</f>
        <v/>
      </c>
      <c r="M39">
        <f>MID(D39,FIND(";",SUBSTITUTE(D39,"|",REPT(";",LEN(D39)),4))+1,FIND(";",SUBSTITUTE(D39,"|",REPT(";",LEN(D39)),5))-FIND(";",SUBSTITUTE(D39,"|",REPT(";",LEN(D39)),4))-1)</f>
        <v/>
      </c>
      <c r="N39">
        <f>MID(D39,FIND(";",SUBSTITUTE(D39,"|",REPT(";",LEN(D39)),6))+1,LEN(D39))</f>
        <v/>
      </c>
      <c r="O39">
        <f>MID(D39,FIND(";",SUBSTITUTE(D39,"|",REPT(";",LEN(D39)),5))+1,FIND(";",SUBSTITUTE(D39,"|",REPT(";",LEN(D39)),6))-FIND(";",SUBSTITUTE(D39,"|",REPT(";",LEN(D39)),5))-1)</f>
        <v/>
      </c>
    </row>
    <row r="40">
      <c r="A40" t="inlineStr">
        <is>
          <t>100201</t>
        </is>
      </c>
      <c r="B40" t="inlineStr">
        <is>
          <t>圆钢</t>
        </is>
      </c>
      <c r="C40" t="inlineStr">
        <is>
          <t>603010600</t>
        </is>
      </c>
      <c r="D40" t="inlineStr">
        <is>
          <t>热轧合金结构圆钢|圆钢|40Cr|Φ25|GB/T 3077-2015|热轧|GB/T 702-2008</t>
        </is>
      </c>
      <c r="E40" t="inlineStr">
        <is>
          <t>物资名称 热轧合金结构圆钢;物资简称 圆钢;牌号 40Cr;直径 Φ25;技术标准号 GB/T 3077-2015;加工工艺 热轧;热处理工艺 ;特殊要求 ;规格标准号 GB/T 702-2008</t>
        </is>
      </c>
      <c r="F40" t="inlineStr">
        <is>
          <t>千克</t>
        </is>
      </c>
      <c r="G40">
        <f>LEFT(D40,FIND("|",D40,1)-1)</f>
        <v/>
      </c>
      <c r="H40">
        <f>MID(D40,FIND("|",D40,FIND("|",D40,1))+1,FIND("|",D40,FIND("|",D40,1)+1)-FIND("|",D40,FIND("|",D40,1))-1)</f>
        <v/>
      </c>
      <c r="J40">
        <f>MID(D40,FIND(";",SUBSTITUTE(D40,"|",REPT(";",LEN(D40)),2))+1,FIND(";",SUBSTITUTE(D40,"|",REPT(";",LEN(D40)),3))-FIND(";",SUBSTITUTE(D40,"|",REPT(";",LEN(D40)),2))-1)</f>
        <v/>
      </c>
      <c r="K40">
        <f>MID(D40,FIND(";",SUBSTITUTE(D40,"|",REPT(";",LEN(D40)),3))+1,FIND(";",SUBSTITUTE(D40,"|",REPT(";",LEN(D40)),4))-FIND(";",SUBSTITUTE(D40,"|",REPT(";",LEN(D40)),3))-1)</f>
        <v/>
      </c>
      <c r="M40">
        <f>MID(D40,FIND(";",SUBSTITUTE(D40,"|",REPT(";",LEN(D40)),4))+1,FIND(";",SUBSTITUTE(D40,"|",REPT(";",LEN(D40)),5))-FIND(";",SUBSTITUTE(D40,"|",REPT(";",LEN(D40)),4))-1)</f>
        <v/>
      </c>
      <c r="N40">
        <f>MID(D40,FIND(";",SUBSTITUTE(D40,"|",REPT(";",LEN(D40)),6))+1,LEN(D40))</f>
        <v/>
      </c>
      <c r="O40">
        <f>MID(D40,FIND(";",SUBSTITUTE(D40,"|",REPT(";",LEN(D40)),5))+1,FIND(";",SUBSTITUTE(D40,"|",REPT(";",LEN(D40)),6))-FIND(";",SUBSTITUTE(D40,"|",REPT(";",LEN(D40)),5))-1)</f>
        <v/>
      </c>
    </row>
    <row r="41">
      <c r="A41" t="inlineStr">
        <is>
          <t>100201</t>
        </is>
      </c>
      <c r="B41" t="inlineStr">
        <is>
          <t>圆钢</t>
        </is>
      </c>
      <c r="C41" t="inlineStr">
        <is>
          <t>603010500</t>
        </is>
      </c>
      <c r="D41" t="inlineStr">
        <is>
          <t>热轧合金结构圆钢|圆钢|40Cr|Φ30|GB/T 3077-2015|热轧|GB/T 702-2008</t>
        </is>
      </c>
      <c r="E41" t="inlineStr">
        <is>
          <t>物资名称 热轧合金结构圆钢;物资简称 圆钢;牌号 40Cr;直径 Φ30;技术标准号 GB/T 3077-2015;加工工艺 热轧;热处理工艺 ;特殊要求 ;规格标准号 GB/T 702-2008</t>
        </is>
      </c>
      <c r="F41" t="inlineStr">
        <is>
          <t>千克</t>
        </is>
      </c>
      <c r="G41">
        <f>LEFT(D41,FIND("|",D41,1)-1)</f>
        <v/>
      </c>
      <c r="H41">
        <f>MID(D41,FIND("|",D41,FIND("|",D41,1))+1,FIND("|",D41,FIND("|",D41,1)+1)-FIND("|",D41,FIND("|",D41,1))-1)</f>
        <v/>
      </c>
      <c r="J41">
        <f>MID(D41,FIND(";",SUBSTITUTE(D41,"|",REPT(";",LEN(D41)),2))+1,FIND(";",SUBSTITUTE(D41,"|",REPT(";",LEN(D41)),3))-FIND(";",SUBSTITUTE(D41,"|",REPT(";",LEN(D41)),2))-1)</f>
        <v/>
      </c>
      <c r="K41">
        <f>MID(D41,FIND(";",SUBSTITUTE(D41,"|",REPT(";",LEN(D41)),3))+1,FIND(";",SUBSTITUTE(D41,"|",REPT(";",LEN(D41)),4))-FIND(";",SUBSTITUTE(D41,"|",REPT(";",LEN(D41)),3))-1)</f>
        <v/>
      </c>
      <c r="M41">
        <f>MID(D41,FIND(";",SUBSTITUTE(D41,"|",REPT(";",LEN(D41)),4))+1,FIND(";",SUBSTITUTE(D41,"|",REPT(";",LEN(D41)),5))-FIND(";",SUBSTITUTE(D41,"|",REPT(";",LEN(D41)),4))-1)</f>
        <v/>
      </c>
      <c r="N41">
        <f>MID(D41,FIND(";",SUBSTITUTE(D41,"|",REPT(";",LEN(D41)),6))+1,LEN(D41))</f>
        <v/>
      </c>
      <c r="O41">
        <f>MID(D41,FIND(";",SUBSTITUTE(D41,"|",REPT(";",LEN(D41)),5))+1,FIND(";",SUBSTITUTE(D41,"|",REPT(";",LEN(D41)),6))-FIND(";",SUBSTITUTE(D41,"|",REPT(";",LEN(D41)),5))-1)</f>
        <v/>
      </c>
    </row>
    <row r="42">
      <c r="A42" t="inlineStr">
        <is>
          <t>100201</t>
        </is>
      </c>
      <c r="B42" t="inlineStr">
        <is>
          <t>圆钢</t>
        </is>
      </c>
      <c r="C42" t="inlineStr">
        <is>
          <t>603010300</t>
        </is>
      </c>
      <c r="D42" t="inlineStr">
        <is>
          <t>热轧不锈圆钢|圆钢|20Cr13|Φ100|GB/T 1220-2007|热轧|GB/T 702-2008</t>
        </is>
      </c>
      <c r="E42" t="inlineStr">
        <is>
          <t>物资名称 热轧不锈圆钢;物资简称 圆钢;牌号 20Cr13;直径 Φ100;技术标准号 GB/T 1220-2007;加工工艺 热轧;热处理工艺 ;特殊要求 ;规格标准号 GB/T 702-2008</t>
        </is>
      </c>
      <c r="F42" t="inlineStr">
        <is>
          <t>千克</t>
        </is>
      </c>
      <c r="G42">
        <f>LEFT(D42,FIND("|",D42,1)-1)</f>
        <v/>
      </c>
      <c r="H42">
        <f>MID(D42,FIND("|",D42,FIND("|",D42,1))+1,FIND("|",D42,FIND("|",D42,1)+1)-FIND("|",D42,FIND("|",D42,1))-1)</f>
        <v/>
      </c>
      <c r="J42">
        <f>MID(D42,FIND(";",SUBSTITUTE(D42,"|",REPT(";",LEN(D42)),2))+1,FIND(";",SUBSTITUTE(D42,"|",REPT(";",LEN(D42)),3))-FIND(";",SUBSTITUTE(D42,"|",REPT(";",LEN(D42)),2))-1)</f>
        <v/>
      </c>
      <c r="K42">
        <f>MID(D42,FIND(";",SUBSTITUTE(D42,"|",REPT(";",LEN(D42)),3))+1,FIND(";",SUBSTITUTE(D42,"|",REPT(";",LEN(D42)),4))-FIND(";",SUBSTITUTE(D42,"|",REPT(";",LEN(D42)),3))-1)</f>
        <v/>
      </c>
      <c r="M42">
        <f>MID(D42,FIND(";",SUBSTITUTE(D42,"|",REPT(";",LEN(D42)),4))+1,FIND(";",SUBSTITUTE(D42,"|",REPT(";",LEN(D42)),5))-FIND(";",SUBSTITUTE(D42,"|",REPT(";",LEN(D42)),4))-1)</f>
        <v/>
      </c>
      <c r="N42">
        <f>MID(D42,FIND(";",SUBSTITUTE(D42,"|",REPT(";",LEN(D42)),6))+1,LEN(D42))</f>
        <v/>
      </c>
      <c r="O42">
        <f>MID(D42,FIND(";",SUBSTITUTE(D42,"|",REPT(";",LEN(D42)),5))+1,FIND(";",SUBSTITUTE(D42,"|",REPT(";",LEN(D42)),6))-FIND(";",SUBSTITUTE(D42,"|",REPT(";",LEN(D42)),5))-1)</f>
        <v/>
      </c>
    </row>
    <row r="43">
      <c r="A43" t="inlineStr">
        <is>
          <t>100201</t>
        </is>
      </c>
      <c r="B43" t="inlineStr">
        <is>
          <t>圆钢</t>
        </is>
      </c>
      <c r="C43" t="inlineStr">
        <is>
          <t>602974900</t>
        </is>
      </c>
      <c r="D43" t="inlineStr">
        <is>
          <t>碳素工具圆钢|圆钢|T10A|Φ260|北京兵工</t>
        </is>
      </c>
      <c r="E43" t="inlineStr">
        <is>
          <t>物资名称 碳素工具圆钢;物资简称 圆钢;牌号 T10A;直径 Φ260;技术标准号 空;加工工艺 ;热处理工艺 ;特殊要求 北京兵工;规格标准号</t>
        </is>
      </c>
      <c r="F43" t="inlineStr">
        <is>
          <t>千克</t>
        </is>
      </c>
      <c r="G43">
        <f>LEFT(D43,FIND("|",D43,1)-1)</f>
        <v/>
      </c>
      <c r="H43">
        <f>MID(D43,FIND("|",D43,FIND("|",D43,1))+1,FIND("|",D43,FIND("|",D43,1)+1)-FIND("|",D43,FIND("|",D43,1))-1)</f>
        <v/>
      </c>
      <c r="J43">
        <f>MID(D43,FIND(";",SUBSTITUTE(D43,"|",REPT(";",LEN(D43)),2))+1,FIND(";",SUBSTITUTE(D43,"|",REPT(";",LEN(D43)),3))-FIND(";",SUBSTITUTE(D43,"|",REPT(";",LEN(D43)),2))-1)</f>
        <v/>
      </c>
      <c r="K43">
        <f>MID(D43,FIND(";",SUBSTITUTE(D43,"|",REPT(";",LEN(D43)),3))+1,FIND(";",SUBSTITUTE(D43,"|",REPT(";",LEN(D43)),4))-FIND(";",SUBSTITUTE(D43,"|",REPT(";",LEN(D43)),3))-1)</f>
        <v/>
      </c>
      <c r="Q43">
        <f>MID(D43,FIND(";",SUBSTITUTE(D43,"|",REPT(";",LEN(D43)),4))+1,LEN(D43))</f>
        <v/>
      </c>
    </row>
    <row r="44">
      <c r="A44" t="inlineStr">
        <is>
          <t>100201</t>
        </is>
      </c>
      <c r="B44" t="inlineStr">
        <is>
          <t>圆钢</t>
        </is>
      </c>
      <c r="C44" t="inlineStr">
        <is>
          <t>602974800</t>
        </is>
      </c>
      <c r="D44" t="inlineStr">
        <is>
          <t>碳素工具圆钢|圆钢|T10A|Φ250|北京兵工</t>
        </is>
      </c>
      <c r="E44" t="inlineStr">
        <is>
          <t>物资名称 碳素工具圆钢;物资简称 圆钢;牌号 T10A;直径 Φ250;技术标准号 空;加工工艺 ;热处理工艺 ;特殊要求 北京兵工;规格标准号</t>
        </is>
      </c>
      <c r="F44" t="inlineStr">
        <is>
          <t>千克</t>
        </is>
      </c>
      <c r="G44">
        <f>LEFT(D44,FIND("|",D44,1)-1)</f>
        <v/>
      </c>
      <c r="H44">
        <f>MID(D44,FIND("|",D44,FIND("|",D44,1))+1,FIND("|",D44,FIND("|",D44,1)+1)-FIND("|",D44,FIND("|",D44,1))-1)</f>
        <v/>
      </c>
      <c r="J44">
        <f>MID(D44,FIND(";",SUBSTITUTE(D44,"|",REPT(";",LEN(D44)),2))+1,FIND(";",SUBSTITUTE(D44,"|",REPT(";",LEN(D44)),3))-FIND(";",SUBSTITUTE(D44,"|",REPT(";",LEN(D44)),2))-1)</f>
        <v/>
      </c>
      <c r="K44">
        <f>MID(D44,FIND(";",SUBSTITUTE(D44,"|",REPT(";",LEN(D44)),3))+1,FIND(";",SUBSTITUTE(D44,"|",REPT(";",LEN(D44)),4))-FIND(";",SUBSTITUTE(D44,"|",REPT(";",LEN(D44)),3))-1)</f>
        <v/>
      </c>
      <c r="Q44">
        <f>MID(D44,FIND(";",SUBSTITUTE(D44,"|",REPT(";",LEN(D44)),4))+1,LEN(D44))</f>
        <v/>
      </c>
    </row>
    <row r="45">
      <c r="A45" t="inlineStr">
        <is>
          <t>100201</t>
        </is>
      </c>
      <c r="B45" t="inlineStr">
        <is>
          <t>圆钢</t>
        </is>
      </c>
      <c r="C45" t="inlineStr">
        <is>
          <t>602948300</t>
        </is>
      </c>
      <c r="D45" t="inlineStr">
        <is>
          <t>热轧优质碳素结构圆钢|圆钢|45|Φ220|GB/T 699-1999|热轧|GB/T 702-2008</t>
        </is>
      </c>
      <c r="E45" t="inlineStr">
        <is>
          <t>物资名称 热轧优质碳素结构圆钢;物资简称 圆钢;牌号 45;直径 Φ220;技术标准号 GB/T 699-1999;加工工艺 热轧;热处理工艺 ;特殊要求 ;规格标准号 GB/T 702-2008</t>
        </is>
      </c>
      <c r="F45" t="inlineStr">
        <is>
          <t>千克</t>
        </is>
      </c>
      <c r="G45">
        <f>LEFT(D45,FIND("|",D45,1)-1)</f>
        <v/>
      </c>
      <c r="H45">
        <f>MID(D45,FIND("|",D45,FIND("|",D45,1))+1,FIND("|",D45,FIND("|",D45,1)+1)-FIND("|",D45,FIND("|",D45,1))-1)</f>
        <v/>
      </c>
      <c r="J45">
        <f>MID(D45,FIND(";",SUBSTITUTE(D45,"|",REPT(";",LEN(D45)),2))+1,FIND(";",SUBSTITUTE(D45,"|",REPT(";",LEN(D45)),3))-FIND(";",SUBSTITUTE(D45,"|",REPT(";",LEN(D45)),2))-1)</f>
        <v/>
      </c>
      <c r="K45">
        <f>MID(D45,FIND(";",SUBSTITUTE(D45,"|",REPT(";",LEN(D45)),3))+1,FIND(";",SUBSTITUTE(D45,"|",REPT(";",LEN(D45)),4))-FIND(";",SUBSTITUTE(D45,"|",REPT(";",LEN(D45)),3))-1)</f>
        <v/>
      </c>
      <c r="M45">
        <f>MID(D45,FIND(";",SUBSTITUTE(D45,"|",REPT(";",LEN(D45)),4))+1,FIND(";",SUBSTITUTE(D45,"|",REPT(";",LEN(D45)),5))-FIND(";",SUBSTITUTE(D45,"|",REPT(";",LEN(D45)),4))-1)</f>
        <v/>
      </c>
      <c r="N45">
        <f>MID(D45,FIND(";",SUBSTITUTE(D45,"|",REPT(";",LEN(D45)),6))+1,LEN(D45))</f>
        <v/>
      </c>
      <c r="O45">
        <f>MID(D45,FIND(";",SUBSTITUTE(D45,"|",REPT(";",LEN(D45)),5))+1,FIND(";",SUBSTITUTE(D45,"|",REPT(";",LEN(D45)),6))-FIND(";",SUBSTITUTE(D45,"|",REPT(";",LEN(D45)),5))-1)</f>
        <v/>
      </c>
    </row>
    <row r="46">
      <c r="A46" t="inlineStr">
        <is>
          <t>100201</t>
        </is>
      </c>
      <c r="B46" t="inlineStr">
        <is>
          <t>圆钢</t>
        </is>
      </c>
      <c r="C46" t="inlineStr">
        <is>
          <t>602887100</t>
        </is>
      </c>
      <c r="D46" t="inlineStr">
        <is>
          <t>热轧合金结构圆钢|圆钢|40Cr|Φ60|GB/T 3077-2015|热轧|GB/T 702-2008</t>
        </is>
      </c>
      <c r="E46" t="inlineStr">
        <is>
          <t>物资名称 热轧合金结构圆钢;物资简称 圆钢;牌号 40Cr;直径 Φ60;技术标准号 GB/T 3077-2015;加工工艺 热轧;热处理工艺 ;特殊要求 ;规格标准号 GB/T 702-2008</t>
        </is>
      </c>
      <c r="F46" t="inlineStr">
        <is>
          <t>千克</t>
        </is>
      </c>
      <c r="G46">
        <f>LEFT(D46,FIND("|",D46,1)-1)</f>
        <v/>
      </c>
      <c r="H46">
        <f>MID(D46,FIND("|",D46,FIND("|",D46,1))+1,FIND("|",D46,FIND("|",D46,1)+1)-FIND("|",D46,FIND("|",D46,1))-1)</f>
        <v/>
      </c>
      <c r="J46">
        <f>MID(D46,FIND(";",SUBSTITUTE(D46,"|",REPT(";",LEN(D46)),2))+1,FIND(";",SUBSTITUTE(D46,"|",REPT(";",LEN(D46)),3))-FIND(";",SUBSTITUTE(D46,"|",REPT(";",LEN(D46)),2))-1)</f>
        <v/>
      </c>
      <c r="K46">
        <f>MID(D46,FIND(";",SUBSTITUTE(D46,"|",REPT(";",LEN(D46)),3))+1,FIND(";",SUBSTITUTE(D46,"|",REPT(";",LEN(D46)),4))-FIND(";",SUBSTITUTE(D46,"|",REPT(";",LEN(D46)),3))-1)</f>
        <v/>
      </c>
      <c r="M46">
        <f>MID(D46,FIND(";",SUBSTITUTE(D46,"|",REPT(";",LEN(D46)),4))+1,FIND(";",SUBSTITUTE(D46,"|",REPT(";",LEN(D46)),5))-FIND(";",SUBSTITUTE(D46,"|",REPT(";",LEN(D46)),4))-1)</f>
        <v/>
      </c>
      <c r="N46">
        <f>MID(D46,FIND(";",SUBSTITUTE(D46,"|",REPT(";",LEN(D46)),6))+1,LEN(D46))</f>
        <v/>
      </c>
      <c r="O46">
        <f>MID(D46,FIND(";",SUBSTITUTE(D46,"|",REPT(";",LEN(D46)),5))+1,FIND(";",SUBSTITUTE(D46,"|",REPT(";",LEN(D46)),6))-FIND(";",SUBSTITUTE(D46,"|",REPT(";",LEN(D46)),5))-1)</f>
        <v/>
      </c>
    </row>
    <row r="47">
      <c r="A47" t="inlineStr">
        <is>
          <t>100201</t>
        </is>
      </c>
      <c r="B47" t="inlineStr">
        <is>
          <t>圆钢</t>
        </is>
      </c>
      <c r="C47" t="inlineStr">
        <is>
          <t>602886800</t>
        </is>
      </c>
      <c r="D47" t="inlineStr">
        <is>
          <t>热轧航空用不锈圆钢|圆钢|1Cr18Ni9Ti|Φ75|GJB 2294A-2014|热轧|GB/T 702-2008</t>
        </is>
      </c>
      <c r="E47" t="inlineStr">
        <is>
          <t>物资名称 热轧航空用不锈圆钢;物资简称 圆钢;牌号 1Cr18Ni9Ti;直径 Φ75;技术标准号 GJB 2294A-2014;加工工艺 热轧;热处理工艺 ;特殊要求 ;规格标准号 GB/T 702-2008</t>
        </is>
      </c>
      <c r="F47" t="inlineStr">
        <is>
          <t>千克</t>
        </is>
      </c>
      <c r="G47">
        <f>LEFT(D47,FIND("|",D47,1)-1)</f>
        <v/>
      </c>
      <c r="H47">
        <f>MID(D47,FIND("|",D47,FIND("|",D47,1))+1,FIND("|",D47,FIND("|",D47,1)+1)-FIND("|",D47,FIND("|",D47,1))-1)</f>
        <v/>
      </c>
      <c r="J47">
        <f>MID(D47,FIND(";",SUBSTITUTE(D47,"|",REPT(";",LEN(D47)),2))+1,FIND(";",SUBSTITUTE(D47,"|",REPT(";",LEN(D47)),3))-FIND(";",SUBSTITUTE(D47,"|",REPT(";",LEN(D47)),2))-1)</f>
        <v/>
      </c>
      <c r="K47">
        <f>MID(D47,FIND(";",SUBSTITUTE(D47,"|",REPT(";",LEN(D47)),3))+1,FIND(";",SUBSTITUTE(D47,"|",REPT(";",LEN(D47)),4))-FIND(";",SUBSTITUTE(D47,"|",REPT(";",LEN(D47)),3))-1)</f>
        <v/>
      </c>
      <c r="M47">
        <f>MID(D47,FIND(";",SUBSTITUTE(D47,"|",REPT(";",LEN(D47)),4))+1,FIND(";",SUBSTITUTE(D47,"|",REPT(";",LEN(D47)),5))-FIND(";",SUBSTITUTE(D47,"|",REPT(";",LEN(D47)),4))-1)</f>
        <v/>
      </c>
      <c r="N47">
        <f>MID(D47,FIND(";",SUBSTITUTE(D47,"|",REPT(";",LEN(D47)),6))+1,LEN(D47))</f>
        <v/>
      </c>
      <c r="O47">
        <f>MID(D47,FIND(";",SUBSTITUTE(D47,"|",REPT(";",LEN(D47)),5))+1,FIND(";",SUBSTITUTE(D47,"|",REPT(";",LEN(D47)),6))-FIND(";",SUBSTITUTE(D47,"|",REPT(";",LEN(D47)),5))-1)</f>
        <v/>
      </c>
    </row>
    <row r="48">
      <c r="A48" t="inlineStr">
        <is>
          <t>100201</t>
        </is>
      </c>
      <c r="B48" t="inlineStr">
        <is>
          <t>圆钢</t>
        </is>
      </c>
      <c r="C48" t="inlineStr">
        <is>
          <t>602886700</t>
        </is>
      </c>
      <c r="D48" t="inlineStr">
        <is>
          <t>热轧航空用不锈圆钢|圆钢|1Cr18Ni9Ti|Φ80|GJB 2294A-2014|热轧|GB/T 702-2008</t>
        </is>
      </c>
      <c r="E48" t="inlineStr">
        <is>
          <t>物资名称 热轧航空用不锈圆钢;物资简称 圆钢;牌号 1Cr18Ni9Ti;直径 Φ80;技术标准号 GJB 2294A-2014;加工工艺 热轧;热处理工艺 ;特殊要求 ;规格标准号 GB/T 702-2008</t>
        </is>
      </c>
      <c r="F48" t="inlineStr">
        <is>
          <t>千克</t>
        </is>
      </c>
      <c r="G48">
        <f>LEFT(D48,FIND("|",D48,1)-1)</f>
        <v/>
      </c>
      <c r="H48">
        <f>MID(D48,FIND("|",D48,FIND("|",D48,1))+1,FIND("|",D48,FIND("|",D48,1)+1)-FIND("|",D48,FIND("|",D48,1))-1)</f>
        <v/>
      </c>
      <c r="J48">
        <f>MID(D48,FIND(";",SUBSTITUTE(D48,"|",REPT(";",LEN(D48)),2))+1,FIND(";",SUBSTITUTE(D48,"|",REPT(";",LEN(D48)),3))-FIND(";",SUBSTITUTE(D48,"|",REPT(";",LEN(D48)),2))-1)</f>
        <v/>
      </c>
      <c r="K48">
        <f>MID(D48,FIND(";",SUBSTITUTE(D48,"|",REPT(";",LEN(D48)),3))+1,FIND(";",SUBSTITUTE(D48,"|",REPT(";",LEN(D48)),4))-FIND(";",SUBSTITUTE(D48,"|",REPT(";",LEN(D48)),3))-1)</f>
        <v/>
      </c>
      <c r="M48">
        <f>MID(D48,FIND(";",SUBSTITUTE(D48,"|",REPT(";",LEN(D48)),4))+1,FIND(";",SUBSTITUTE(D48,"|",REPT(";",LEN(D48)),5))-FIND(";",SUBSTITUTE(D48,"|",REPT(";",LEN(D48)),4))-1)</f>
        <v/>
      </c>
      <c r="N48">
        <f>MID(D48,FIND(";",SUBSTITUTE(D48,"|",REPT(";",LEN(D48)),6))+1,LEN(D48))</f>
        <v/>
      </c>
      <c r="O48">
        <f>MID(D48,FIND(";",SUBSTITUTE(D48,"|",REPT(";",LEN(D48)),5))+1,FIND(";",SUBSTITUTE(D48,"|",REPT(";",LEN(D48)),6))-FIND(";",SUBSTITUTE(D48,"|",REPT(";",LEN(D48)),5))-1)</f>
        <v/>
      </c>
    </row>
    <row r="49">
      <c r="A49" t="inlineStr">
        <is>
          <t>100201</t>
        </is>
      </c>
      <c r="B49" t="inlineStr">
        <is>
          <t>圆钢</t>
        </is>
      </c>
      <c r="C49" t="inlineStr">
        <is>
          <t>602886600</t>
        </is>
      </c>
      <c r="D49" t="inlineStr">
        <is>
          <t>热轧航空用不锈圆钢|圆钢|1Cr18Ni9Ti|Φ45|GJB 2294A-2014|热轧|GB/T 702-2008</t>
        </is>
      </c>
      <c r="E49" t="inlineStr">
        <is>
          <t>物资名称 热轧航空用不锈圆钢;物资简称 圆钢;牌号 1Cr18Ni9Ti;直径 Φ45;技术标准号 GJB 2294A-2014;加工工艺 热轧;热处理工艺 ;特殊要求 ;规格标准号 GB/T 702-2008</t>
        </is>
      </c>
      <c r="F49" t="inlineStr">
        <is>
          <t>千克</t>
        </is>
      </c>
      <c r="G49">
        <f>LEFT(D49,FIND("|",D49,1)-1)</f>
        <v/>
      </c>
      <c r="H49">
        <f>MID(D49,FIND("|",D49,FIND("|",D49,1))+1,FIND("|",D49,FIND("|",D49,1)+1)-FIND("|",D49,FIND("|",D49,1))-1)</f>
        <v/>
      </c>
      <c r="J49">
        <f>MID(D49,FIND(";",SUBSTITUTE(D49,"|",REPT(";",LEN(D49)),2))+1,FIND(";",SUBSTITUTE(D49,"|",REPT(";",LEN(D49)),3))-FIND(";",SUBSTITUTE(D49,"|",REPT(";",LEN(D49)),2))-1)</f>
        <v/>
      </c>
      <c r="K49">
        <f>MID(D49,FIND(";",SUBSTITUTE(D49,"|",REPT(";",LEN(D49)),3))+1,FIND(";",SUBSTITUTE(D49,"|",REPT(";",LEN(D49)),4))-FIND(";",SUBSTITUTE(D49,"|",REPT(";",LEN(D49)),3))-1)</f>
        <v/>
      </c>
      <c r="M49">
        <f>MID(D49,FIND(";",SUBSTITUTE(D49,"|",REPT(";",LEN(D49)),4))+1,FIND(";",SUBSTITUTE(D49,"|",REPT(";",LEN(D49)),5))-FIND(";",SUBSTITUTE(D49,"|",REPT(";",LEN(D49)),4))-1)</f>
        <v/>
      </c>
      <c r="N49">
        <f>MID(D49,FIND(";",SUBSTITUTE(D49,"|",REPT(";",LEN(D49)),6))+1,LEN(D49))</f>
        <v/>
      </c>
      <c r="O49">
        <f>MID(D49,FIND(";",SUBSTITUTE(D49,"|",REPT(";",LEN(D49)),5))+1,FIND(";",SUBSTITUTE(D49,"|",REPT(";",LEN(D49)),6))-FIND(";",SUBSTITUTE(D49,"|",REPT(";",LEN(D49)),5))-1)</f>
        <v/>
      </c>
    </row>
    <row r="50">
      <c r="A50" t="inlineStr">
        <is>
          <t>100201</t>
        </is>
      </c>
      <c r="B50" t="inlineStr">
        <is>
          <t>圆钢</t>
        </is>
      </c>
      <c r="C50" t="inlineStr">
        <is>
          <t>602886500</t>
        </is>
      </c>
      <c r="D50" t="inlineStr">
        <is>
          <t>热轧航空用不锈圆钢|圆钢|1Cr18Ni9Ti|Φ30|GJB 2294A-2014|热轧|GB/T 702-2008</t>
        </is>
      </c>
      <c r="E50" t="inlineStr">
        <is>
          <t>物资名称 热轧航空用不锈圆钢;物资简称 圆钢;牌号 1Cr18Ni9Ti;直径 Φ30;技术标准号 GJB 2294A-2014;加工工艺 热轧;热处理工艺 ;特殊要求 ;规格标准号 GB/T 702-2008</t>
        </is>
      </c>
      <c r="F50" t="inlineStr">
        <is>
          <t>千克</t>
        </is>
      </c>
      <c r="G50">
        <f>LEFT(D50,FIND("|",D50,1)-1)</f>
        <v/>
      </c>
      <c r="H50">
        <f>MID(D50,FIND("|",D50,FIND("|",D50,1))+1,FIND("|",D50,FIND("|",D50,1)+1)-FIND("|",D50,FIND("|",D50,1))-1)</f>
        <v/>
      </c>
      <c r="J50">
        <f>MID(D50,FIND(";",SUBSTITUTE(D50,"|",REPT(";",LEN(D50)),2))+1,FIND(";",SUBSTITUTE(D50,"|",REPT(";",LEN(D50)),3))-FIND(";",SUBSTITUTE(D50,"|",REPT(";",LEN(D50)),2))-1)</f>
        <v/>
      </c>
      <c r="K50">
        <f>MID(D50,FIND(";",SUBSTITUTE(D50,"|",REPT(";",LEN(D50)),3))+1,FIND(";",SUBSTITUTE(D50,"|",REPT(";",LEN(D50)),4))-FIND(";",SUBSTITUTE(D50,"|",REPT(";",LEN(D50)),3))-1)</f>
        <v/>
      </c>
      <c r="M50">
        <f>MID(D50,FIND(";",SUBSTITUTE(D50,"|",REPT(";",LEN(D50)),4))+1,FIND(";",SUBSTITUTE(D50,"|",REPT(";",LEN(D50)),5))-FIND(";",SUBSTITUTE(D50,"|",REPT(";",LEN(D50)),4))-1)</f>
        <v/>
      </c>
      <c r="N50">
        <f>MID(D50,FIND(";",SUBSTITUTE(D50,"|",REPT(";",LEN(D50)),6))+1,LEN(D50))</f>
        <v/>
      </c>
      <c r="O50">
        <f>MID(D50,FIND(";",SUBSTITUTE(D50,"|",REPT(";",LEN(D50)),5))+1,FIND(";",SUBSTITUTE(D50,"|",REPT(";",LEN(D50)),6))-FIND(";",SUBSTITUTE(D50,"|",REPT(";",LEN(D50)),5))-1)</f>
        <v/>
      </c>
    </row>
    <row r="51">
      <c r="A51" t="inlineStr">
        <is>
          <t>100201</t>
        </is>
      </c>
      <c r="B51" t="inlineStr">
        <is>
          <t>圆钢</t>
        </is>
      </c>
      <c r="C51" t="inlineStr">
        <is>
          <t>602642300</t>
        </is>
      </c>
      <c r="D51" t="inlineStr">
        <is>
          <t>热轧航空用不锈圆钢|圆钢|1Cr18Ni9Ti|Φ50|GJB 2294A-2014|热轧|GB/T 702-2008</t>
        </is>
      </c>
      <c r="E51" t="inlineStr">
        <is>
          <t>物资名称 热轧航空用不锈圆钢;物资简称 圆钢;牌号 1Cr18Ni9Ti;直径 Φ50;技术标准号 GJB 2294A-2014;加工工艺 热轧;热处理工艺 ;特殊要求 ;规格标准号 GB/T 702-2008</t>
        </is>
      </c>
      <c r="F51" t="inlineStr">
        <is>
          <t>千克</t>
        </is>
      </c>
      <c r="G51">
        <f>LEFT(D51,FIND("|",D51,1)-1)</f>
        <v/>
      </c>
      <c r="H51">
        <f>MID(D51,FIND("|",D51,FIND("|",D51,1))+1,FIND("|",D51,FIND("|",D51,1)+1)-FIND("|",D51,FIND("|",D51,1))-1)</f>
        <v/>
      </c>
      <c r="J51">
        <f>MID(D51,FIND(";",SUBSTITUTE(D51,"|",REPT(";",LEN(D51)),2))+1,FIND(";",SUBSTITUTE(D51,"|",REPT(";",LEN(D51)),3))-FIND(";",SUBSTITUTE(D51,"|",REPT(";",LEN(D51)),2))-1)</f>
        <v/>
      </c>
      <c r="K51">
        <f>MID(D51,FIND(";",SUBSTITUTE(D51,"|",REPT(";",LEN(D51)),3))+1,FIND(";",SUBSTITUTE(D51,"|",REPT(";",LEN(D51)),4))-FIND(";",SUBSTITUTE(D51,"|",REPT(";",LEN(D51)),3))-1)</f>
        <v/>
      </c>
      <c r="M51">
        <f>MID(D51,FIND(";",SUBSTITUTE(D51,"|",REPT(";",LEN(D51)),4))+1,FIND(";",SUBSTITUTE(D51,"|",REPT(";",LEN(D51)),5))-FIND(";",SUBSTITUTE(D51,"|",REPT(";",LEN(D51)),4))-1)</f>
        <v/>
      </c>
      <c r="N51">
        <f>MID(D51,FIND(";",SUBSTITUTE(D51,"|",REPT(";",LEN(D51)),6))+1,LEN(D51))</f>
        <v/>
      </c>
      <c r="O51">
        <f>MID(D51,FIND(";",SUBSTITUTE(D51,"|",REPT(";",LEN(D51)),5))+1,FIND(";",SUBSTITUTE(D51,"|",REPT(";",LEN(D51)),6))-FIND(";",SUBSTITUTE(D51,"|",REPT(";",LEN(D51)),5))-1)</f>
        <v/>
      </c>
    </row>
    <row r="52">
      <c r="A52" t="inlineStr">
        <is>
          <t>100201</t>
        </is>
      </c>
      <c r="B52" t="inlineStr">
        <is>
          <t>圆钢</t>
        </is>
      </c>
      <c r="C52" t="inlineStr">
        <is>
          <t>602640500</t>
        </is>
      </c>
      <c r="D52" t="inlineStr">
        <is>
          <t>冷拉高碳铬轴承圆钢|圆钢|GCr15|Φ4.8|GB/T 18254-2002|冷拉</t>
        </is>
      </c>
      <c r="E52" t="inlineStr">
        <is>
          <t>物资名称 冷拉高碳铬轴承圆钢;物资简称 圆钢;牌号 GCr15;直径 Φ4.8;技术标准号 GB/T 18254-2002;加工工艺 冷拉;热处理工艺 ;特殊要求 ;规格标准号</t>
        </is>
      </c>
      <c r="F52" t="inlineStr">
        <is>
          <t>千克</t>
        </is>
      </c>
      <c r="G52">
        <f>LEFT(D52,FIND("|",D52,1)-1)</f>
        <v/>
      </c>
      <c r="H52">
        <f>MID(D52,FIND("|",D52,FIND("|",D52,1))+1,FIND("|",D52,FIND("|",D52,1)+1)-FIND("|",D52,FIND("|",D52,1))-1)</f>
        <v/>
      </c>
      <c r="J52">
        <f>MID(D52,FIND(";",SUBSTITUTE(D52,"|",REPT(";",LEN(D52)),2))+1,FIND(";",SUBSTITUTE(D52,"|",REPT(";",LEN(D52)),3))-FIND(";",SUBSTITUTE(D52,"|",REPT(";",LEN(D52)),2))-1)</f>
        <v/>
      </c>
      <c r="K52">
        <f>MID(D52,FIND(";",SUBSTITUTE(D52,"|",REPT(";",LEN(D52)),3))+1,FIND(";",SUBSTITUTE(D52,"|",REPT(";",LEN(D52)),4))-FIND(";",SUBSTITUTE(D52,"|",REPT(";",LEN(D52)),3))-1)</f>
        <v/>
      </c>
      <c r="M52">
        <f>MID(D52,FIND(";",SUBSTITUTE(D52,"|",REPT(";",LEN(D52)),4))+1,FIND(";",SUBSTITUTE(D52,"|",REPT(";",LEN(D52)),5))-FIND(";",SUBSTITUTE(D52,"|",REPT(";",LEN(D52)),4))-1)</f>
        <v/>
      </c>
      <c r="O52">
        <f>MID(D52,FIND(";",SUBSTITUTE(D52,"|",REPT(";",LEN(D52)),5))+1,LEN(D52))</f>
        <v/>
      </c>
    </row>
    <row r="53">
      <c r="A53" t="inlineStr">
        <is>
          <t>100201</t>
        </is>
      </c>
      <c r="B53" t="inlineStr">
        <is>
          <t>圆钢</t>
        </is>
      </c>
      <c r="C53" t="inlineStr">
        <is>
          <t>602631700</t>
        </is>
      </c>
      <c r="D53" t="inlineStr">
        <is>
          <t>热轧优质碳素结构圆钢|圆钢|45|Φ6|GB/T 699-1999|热轧|GB/T 702-2008</t>
        </is>
      </c>
      <c r="E53" t="inlineStr">
        <is>
          <t>物资名称 热轧优质碳素结构圆钢;物资简称 圆钢;牌号 45;直径 Φ6;技术标准号 GB/T 699-1999;加工工艺 热轧;热处理工艺 ;特殊要求 ;规格标准号 GB/T 702-2008</t>
        </is>
      </c>
      <c r="F53" t="inlineStr">
        <is>
          <t>千克</t>
        </is>
      </c>
      <c r="G53">
        <f>LEFT(D53,FIND("|",D53,1)-1)</f>
        <v/>
      </c>
      <c r="H53">
        <f>MID(D53,FIND("|",D53,FIND("|",D53,1))+1,FIND("|",D53,FIND("|",D53,1)+1)-FIND("|",D53,FIND("|",D53,1))-1)</f>
        <v/>
      </c>
      <c r="J53">
        <f>MID(D53,FIND(";",SUBSTITUTE(D53,"|",REPT(";",LEN(D53)),2))+1,FIND(";",SUBSTITUTE(D53,"|",REPT(";",LEN(D53)),3))-FIND(";",SUBSTITUTE(D53,"|",REPT(";",LEN(D53)),2))-1)</f>
        <v/>
      </c>
      <c r="K53">
        <f>MID(D53,FIND(";",SUBSTITUTE(D53,"|",REPT(";",LEN(D53)),3))+1,FIND(";",SUBSTITUTE(D53,"|",REPT(";",LEN(D53)),4))-FIND(";",SUBSTITUTE(D53,"|",REPT(";",LEN(D53)),3))-1)</f>
        <v/>
      </c>
      <c r="M53">
        <f>MID(D53,FIND(";",SUBSTITUTE(D53,"|",REPT(";",LEN(D53)),4))+1,FIND(";",SUBSTITUTE(D53,"|",REPT(";",LEN(D53)),5))-FIND(";",SUBSTITUTE(D53,"|",REPT(";",LEN(D53)),4))-1)</f>
        <v/>
      </c>
      <c r="N53">
        <f>MID(D53,FIND(";",SUBSTITUTE(D53,"|",REPT(";",LEN(D53)),6))+1,LEN(D53))</f>
        <v/>
      </c>
      <c r="O53">
        <f>MID(D53,FIND(";",SUBSTITUTE(D53,"|",REPT(";",LEN(D53)),5))+1,FIND(";",SUBSTITUTE(D53,"|",REPT(";",LEN(D53)),6))-FIND(";",SUBSTITUTE(D53,"|",REPT(";",LEN(D53)),5))-1)</f>
        <v/>
      </c>
    </row>
    <row r="54">
      <c r="A54" t="inlineStr">
        <is>
          <t>100201</t>
        </is>
      </c>
      <c r="B54" t="inlineStr">
        <is>
          <t>圆钢</t>
        </is>
      </c>
      <c r="C54" t="inlineStr">
        <is>
          <t>602356800</t>
        </is>
      </c>
      <c r="D54" t="inlineStr">
        <is>
          <t>热轧合金结构圆钢|圆钢|45CrNiMoVA|Φ70|GB/T 3077-2015|热轧|GB/T 702-2017</t>
        </is>
      </c>
      <c r="E54" t="inlineStr">
        <is>
          <t>物资名称 热轧合金结构圆钢;物资简称 圆钢;牌号 45CrNiMoVA;直径 Φ70;技术标准号 GB/T 3077-2015;加工工艺 热轧;热处理工艺 ;特殊要求 ;规格标准号 GB/T 702-2017</t>
        </is>
      </c>
      <c r="F54" t="inlineStr">
        <is>
          <t>千克</t>
        </is>
      </c>
      <c r="G54">
        <f>LEFT(D54,FIND("|",D54,1)-1)</f>
        <v/>
      </c>
      <c r="H54">
        <f>MID(D54,FIND("|",D54,FIND("|",D54,1))+1,FIND("|",D54,FIND("|",D54,1)+1)-FIND("|",D54,FIND("|",D54,1))-1)</f>
        <v/>
      </c>
      <c r="J54">
        <f>MID(D54,FIND(";",SUBSTITUTE(D54,"|",REPT(";",LEN(D54)),2))+1,FIND(";",SUBSTITUTE(D54,"|",REPT(";",LEN(D54)),3))-FIND(";",SUBSTITUTE(D54,"|",REPT(";",LEN(D54)),2))-1)</f>
        <v/>
      </c>
      <c r="K54">
        <f>MID(D54,FIND(";",SUBSTITUTE(D54,"|",REPT(";",LEN(D54)),3))+1,FIND(";",SUBSTITUTE(D54,"|",REPT(";",LEN(D54)),4))-FIND(";",SUBSTITUTE(D54,"|",REPT(";",LEN(D54)),3))-1)</f>
        <v/>
      </c>
      <c r="M54">
        <f>MID(D54,FIND(";",SUBSTITUTE(D54,"|",REPT(";",LEN(D54)),4))+1,FIND(";",SUBSTITUTE(D54,"|",REPT(";",LEN(D54)),5))-FIND(";",SUBSTITUTE(D54,"|",REPT(";",LEN(D54)),4))-1)</f>
        <v/>
      </c>
      <c r="N54">
        <f>MID(D54,FIND(";",SUBSTITUTE(D54,"|",REPT(";",LEN(D54)),6))+1,LEN(D54))</f>
        <v/>
      </c>
      <c r="O54">
        <f>MID(D54,FIND(";",SUBSTITUTE(D54,"|",REPT(";",LEN(D54)),5))+1,FIND(";",SUBSTITUTE(D54,"|",REPT(";",LEN(D54)),6))-FIND(";",SUBSTITUTE(D54,"|",REPT(";",LEN(D54)),5))-1)</f>
        <v/>
      </c>
    </row>
    <row r="55">
      <c r="A55" t="inlineStr">
        <is>
          <t>100201</t>
        </is>
      </c>
      <c r="B55" t="inlineStr">
        <is>
          <t>圆钢</t>
        </is>
      </c>
      <c r="C55" t="inlineStr">
        <is>
          <t>602356700</t>
        </is>
      </c>
      <c r="D55" t="inlineStr">
        <is>
          <t>热轧不锈圆钢|圆钢|40Cr13|Φ12|GB/T 1220-2007|热轧|GB/T 702-2008</t>
        </is>
      </c>
      <c r="E55" t="inlineStr">
        <is>
          <t>物资名称 热轧不锈圆钢;物资简称 圆钢;牌号 40Cr13;直径 Φ12;技术标准号 GB/T 1220-2007;加工工艺 热轧;热处理工艺 ;特殊要求 ;规格标准号 GB/T 702-2008</t>
        </is>
      </c>
      <c r="F55" t="inlineStr">
        <is>
          <t>千克</t>
        </is>
      </c>
      <c r="G55">
        <f>LEFT(D55,FIND("|",D55,1)-1)</f>
        <v/>
      </c>
      <c r="H55">
        <f>MID(D55,FIND("|",D55,FIND("|",D55,1))+1,FIND("|",D55,FIND("|",D55,1)+1)-FIND("|",D55,FIND("|",D55,1))-1)</f>
        <v/>
      </c>
      <c r="J55">
        <f>MID(D55,FIND(";",SUBSTITUTE(D55,"|",REPT(";",LEN(D55)),2))+1,FIND(";",SUBSTITUTE(D55,"|",REPT(";",LEN(D55)),3))-FIND(";",SUBSTITUTE(D55,"|",REPT(";",LEN(D55)),2))-1)</f>
        <v/>
      </c>
      <c r="K55">
        <f>MID(D55,FIND(";",SUBSTITUTE(D55,"|",REPT(";",LEN(D55)),3))+1,FIND(";",SUBSTITUTE(D55,"|",REPT(";",LEN(D55)),4))-FIND(";",SUBSTITUTE(D55,"|",REPT(";",LEN(D55)),3))-1)</f>
        <v/>
      </c>
      <c r="M55">
        <f>MID(D55,FIND(";",SUBSTITUTE(D55,"|",REPT(";",LEN(D55)),4))+1,FIND(";",SUBSTITUTE(D55,"|",REPT(";",LEN(D55)),5))-FIND(";",SUBSTITUTE(D55,"|",REPT(";",LEN(D55)),4))-1)</f>
        <v/>
      </c>
      <c r="N55">
        <f>MID(D55,FIND(";",SUBSTITUTE(D55,"|",REPT(";",LEN(D55)),6))+1,LEN(D55))</f>
        <v/>
      </c>
      <c r="O55">
        <f>MID(D55,FIND(";",SUBSTITUTE(D55,"|",REPT(";",LEN(D55)),5))+1,FIND(";",SUBSTITUTE(D55,"|",REPT(";",LEN(D55)),6))-FIND(";",SUBSTITUTE(D55,"|",REPT(";",LEN(D55)),5))-1)</f>
        <v/>
      </c>
    </row>
    <row r="56">
      <c r="A56" t="inlineStr">
        <is>
          <t>100201</t>
        </is>
      </c>
      <c r="B56" t="inlineStr">
        <is>
          <t>圆钢</t>
        </is>
      </c>
      <c r="C56" t="inlineStr">
        <is>
          <t>602356600</t>
        </is>
      </c>
      <c r="D56" t="inlineStr">
        <is>
          <t>热轧合金结构圆钢|圆钢|45CrNiMoVA|Φ50|GB/T 3077-2015|热轧|GB/T 702-2017</t>
        </is>
      </c>
      <c r="E56" t="inlineStr">
        <is>
          <t>物资名称 热轧合金结构圆钢;物资简称 圆钢;牌号 45CrNiMoVA;直径 Φ50;技术标准号 GB/T 3077-2015;加工工艺 热轧;热处理工艺 ;特殊要求 ;规格标准号 GB/T 702-2017</t>
        </is>
      </c>
      <c r="F56" t="inlineStr">
        <is>
          <t>千克</t>
        </is>
      </c>
      <c r="G56">
        <f>LEFT(D56,FIND("|",D56,1)-1)</f>
        <v/>
      </c>
      <c r="H56">
        <f>MID(D56,FIND("|",D56,FIND("|",D56,1))+1,FIND("|",D56,FIND("|",D56,1)+1)-FIND("|",D56,FIND("|",D56,1))-1)</f>
        <v/>
      </c>
      <c r="J56">
        <f>MID(D56,FIND(";",SUBSTITUTE(D56,"|",REPT(";",LEN(D56)),2))+1,FIND(";",SUBSTITUTE(D56,"|",REPT(";",LEN(D56)),3))-FIND(";",SUBSTITUTE(D56,"|",REPT(";",LEN(D56)),2))-1)</f>
        <v/>
      </c>
      <c r="K56">
        <f>MID(D56,FIND(";",SUBSTITUTE(D56,"|",REPT(";",LEN(D56)),3))+1,FIND(";",SUBSTITUTE(D56,"|",REPT(";",LEN(D56)),4))-FIND(";",SUBSTITUTE(D56,"|",REPT(";",LEN(D56)),3))-1)</f>
        <v/>
      </c>
      <c r="M56">
        <f>MID(D56,FIND(";",SUBSTITUTE(D56,"|",REPT(";",LEN(D56)),4))+1,FIND(";",SUBSTITUTE(D56,"|",REPT(";",LEN(D56)),5))-FIND(";",SUBSTITUTE(D56,"|",REPT(";",LEN(D56)),4))-1)</f>
        <v/>
      </c>
      <c r="N56">
        <f>MID(D56,FIND(";",SUBSTITUTE(D56,"|",REPT(";",LEN(D56)),6))+1,LEN(D56))</f>
        <v/>
      </c>
      <c r="O56">
        <f>MID(D56,FIND(";",SUBSTITUTE(D56,"|",REPT(";",LEN(D56)),5))+1,FIND(";",SUBSTITUTE(D56,"|",REPT(";",LEN(D56)),6))-FIND(";",SUBSTITUTE(D56,"|",REPT(";",LEN(D56)),5))-1)</f>
        <v/>
      </c>
    </row>
    <row r="57">
      <c r="A57" t="inlineStr">
        <is>
          <t>100201</t>
        </is>
      </c>
      <c r="B57" t="inlineStr">
        <is>
          <t>圆钢</t>
        </is>
      </c>
      <c r="C57" t="inlineStr">
        <is>
          <t>602356500</t>
        </is>
      </c>
      <c r="D57" t="inlineStr">
        <is>
          <t>热轧合金结构圆钢|圆钢|45CrNiMoVA|Φ45|GB/T 3077-2015|热轧|GB/T 702-2017</t>
        </is>
      </c>
      <c r="E57" t="inlineStr">
        <is>
          <t>物资名称 热轧合金结构圆钢;物资简称 圆钢;牌号 45CrNiMoVA;直径 Φ45;技术标准号 GB/T 3077-2015;加工工艺 热轧;热处理工艺 ;特殊要求 ;规格标准号 GB/T 702-2017</t>
        </is>
      </c>
      <c r="F57" t="inlineStr">
        <is>
          <t>千克</t>
        </is>
      </c>
      <c r="G57">
        <f>LEFT(D57,FIND("|",D57,1)-1)</f>
        <v/>
      </c>
      <c r="H57">
        <f>MID(D57,FIND("|",D57,FIND("|",D57,1))+1,FIND("|",D57,FIND("|",D57,1)+1)-FIND("|",D57,FIND("|",D57,1))-1)</f>
        <v/>
      </c>
      <c r="J57">
        <f>MID(D57,FIND(";",SUBSTITUTE(D57,"|",REPT(";",LEN(D57)),2))+1,FIND(";",SUBSTITUTE(D57,"|",REPT(";",LEN(D57)),3))-FIND(";",SUBSTITUTE(D57,"|",REPT(";",LEN(D57)),2))-1)</f>
        <v/>
      </c>
      <c r="K57">
        <f>MID(D57,FIND(";",SUBSTITUTE(D57,"|",REPT(";",LEN(D57)),3))+1,FIND(";",SUBSTITUTE(D57,"|",REPT(";",LEN(D57)),4))-FIND(";",SUBSTITUTE(D57,"|",REPT(";",LEN(D57)),3))-1)</f>
        <v/>
      </c>
      <c r="M57">
        <f>MID(D57,FIND(";",SUBSTITUTE(D57,"|",REPT(";",LEN(D57)),4))+1,FIND(";",SUBSTITUTE(D57,"|",REPT(";",LEN(D57)),5))-FIND(";",SUBSTITUTE(D57,"|",REPT(";",LEN(D57)),4))-1)</f>
        <v/>
      </c>
      <c r="N57">
        <f>MID(D57,FIND(";",SUBSTITUTE(D57,"|",REPT(";",LEN(D57)),6))+1,LEN(D57))</f>
        <v/>
      </c>
      <c r="O57">
        <f>MID(D57,FIND(";",SUBSTITUTE(D57,"|",REPT(";",LEN(D57)),5))+1,FIND(";",SUBSTITUTE(D57,"|",REPT(";",LEN(D57)),6))-FIND(";",SUBSTITUTE(D57,"|",REPT(";",LEN(D57)),5))-1)</f>
        <v/>
      </c>
    </row>
    <row r="58">
      <c r="A58" t="inlineStr">
        <is>
          <t>100201</t>
        </is>
      </c>
      <c r="B58" t="inlineStr">
        <is>
          <t>圆钢</t>
        </is>
      </c>
      <c r="C58" t="inlineStr">
        <is>
          <t>602356400</t>
        </is>
      </c>
      <c r="D58" t="inlineStr">
        <is>
          <t>热轧优质碳素结构圆钢|圆钢|45|Φ8|GB/T 699-2015|热轧|GB/T 702-2017</t>
        </is>
      </c>
      <c r="E58" t="inlineStr">
        <is>
          <t>物资名称 热轧优质碳素结构圆钢;物资简称 圆钢;牌号 45;直径 Φ8;技术标准号 GB/T 699-2015;加工工艺 热轧;热处理工艺 ;特殊要求 ;规格标准号 GB/T 702-2017</t>
        </is>
      </c>
      <c r="F58" t="inlineStr">
        <is>
          <t>千克</t>
        </is>
      </c>
      <c r="G58">
        <f>LEFT(D58,FIND("|",D58,1)-1)</f>
        <v/>
      </c>
      <c r="H58">
        <f>MID(D58,FIND("|",D58,FIND("|",D58,1))+1,FIND("|",D58,FIND("|",D58,1)+1)-FIND("|",D58,FIND("|",D58,1))-1)</f>
        <v/>
      </c>
      <c r="J58">
        <f>MID(D58,FIND(";",SUBSTITUTE(D58,"|",REPT(";",LEN(D58)),2))+1,FIND(";",SUBSTITUTE(D58,"|",REPT(";",LEN(D58)),3))-FIND(";",SUBSTITUTE(D58,"|",REPT(";",LEN(D58)),2))-1)</f>
        <v/>
      </c>
      <c r="K58">
        <f>MID(D58,FIND(";",SUBSTITUTE(D58,"|",REPT(";",LEN(D58)),3))+1,FIND(";",SUBSTITUTE(D58,"|",REPT(";",LEN(D58)),4))-FIND(";",SUBSTITUTE(D58,"|",REPT(";",LEN(D58)),3))-1)</f>
        <v/>
      </c>
      <c r="M58">
        <f>MID(D58,FIND(";",SUBSTITUTE(D58,"|",REPT(";",LEN(D58)),4))+1,FIND(";",SUBSTITUTE(D58,"|",REPT(";",LEN(D58)),5))-FIND(";",SUBSTITUTE(D58,"|",REPT(";",LEN(D58)),4))-1)</f>
        <v/>
      </c>
      <c r="N58">
        <f>MID(D58,FIND(";",SUBSTITUTE(D58,"|",REPT(";",LEN(D58)),6))+1,LEN(D58))</f>
        <v/>
      </c>
      <c r="O58">
        <f>MID(D58,FIND(";",SUBSTITUTE(D58,"|",REPT(";",LEN(D58)),5))+1,FIND(";",SUBSTITUTE(D58,"|",REPT(";",LEN(D58)),6))-FIND(";",SUBSTITUTE(D58,"|",REPT(";",LEN(D58)),5))-1)</f>
        <v/>
      </c>
    </row>
    <row r="59">
      <c r="A59" t="inlineStr">
        <is>
          <t>100201</t>
        </is>
      </c>
      <c r="B59" t="inlineStr">
        <is>
          <t>圆钢</t>
        </is>
      </c>
      <c r="C59" t="inlineStr">
        <is>
          <t>602356300</t>
        </is>
      </c>
      <c r="D59" t="inlineStr">
        <is>
          <t>热轧优质碳素结构圆钢|圆钢|45|Φ265|GB/T 699-2015|热轧|GB/T 702-2008</t>
        </is>
      </c>
      <c r="E59" t="inlineStr">
        <is>
          <t>物资名称 热轧优质碳素结构圆钢;物资简称 圆钢;牌号 45;直径 Φ265;技术标准号 GB/T 699-2015;加工工艺 热轧;热处理工艺 ;特殊要求 ;规格标准号 GB/T 702-2008</t>
        </is>
      </c>
      <c r="F59" t="inlineStr">
        <is>
          <t>千克</t>
        </is>
      </c>
      <c r="G59">
        <f>LEFT(D59,FIND("|",D59,1)-1)</f>
        <v/>
      </c>
      <c r="H59">
        <f>MID(D59,FIND("|",D59,FIND("|",D59,1))+1,FIND("|",D59,FIND("|",D59,1)+1)-FIND("|",D59,FIND("|",D59,1))-1)</f>
        <v/>
      </c>
      <c r="J59">
        <f>MID(D59,FIND(";",SUBSTITUTE(D59,"|",REPT(";",LEN(D59)),2))+1,FIND(";",SUBSTITUTE(D59,"|",REPT(";",LEN(D59)),3))-FIND(";",SUBSTITUTE(D59,"|",REPT(";",LEN(D59)),2))-1)</f>
        <v/>
      </c>
      <c r="K59">
        <f>MID(D59,FIND(";",SUBSTITUTE(D59,"|",REPT(";",LEN(D59)),3))+1,FIND(";",SUBSTITUTE(D59,"|",REPT(";",LEN(D59)),4))-FIND(";",SUBSTITUTE(D59,"|",REPT(";",LEN(D59)),3))-1)</f>
        <v/>
      </c>
      <c r="M59">
        <f>MID(D59,FIND(";",SUBSTITUTE(D59,"|",REPT(";",LEN(D59)),4))+1,FIND(";",SUBSTITUTE(D59,"|",REPT(";",LEN(D59)),5))-FIND(";",SUBSTITUTE(D59,"|",REPT(";",LEN(D59)),4))-1)</f>
        <v/>
      </c>
      <c r="N59">
        <f>MID(D59,FIND(";",SUBSTITUTE(D59,"|",REPT(";",LEN(D59)),6))+1,LEN(D59))</f>
        <v/>
      </c>
      <c r="O59">
        <f>MID(D59,FIND(";",SUBSTITUTE(D59,"|",REPT(";",LEN(D59)),5))+1,FIND(";",SUBSTITUTE(D59,"|",REPT(";",LEN(D59)),6))-FIND(";",SUBSTITUTE(D59,"|",REPT(";",LEN(D59)),5))-1)</f>
        <v/>
      </c>
    </row>
    <row r="60">
      <c r="A60" t="inlineStr">
        <is>
          <t>100201</t>
        </is>
      </c>
      <c r="B60" t="inlineStr">
        <is>
          <t>圆钢</t>
        </is>
      </c>
      <c r="C60" t="inlineStr">
        <is>
          <t>602356200</t>
        </is>
      </c>
      <c r="D60" t="inlineStr">
        <is>
          <t>热轧合金结构圆钢|圆钢|30CrMnSiA|Φ14|GB/T 3077-2015|热轧|GB/T 702-2008</t>
        </is>
      </c>
      <c r="E60" t="inlineStr">
        <is>
          <t>物资名称 热轧合金结构圆钢;物资简称 圆钢;牌号 30CrMnSiA;直径 Φ14;技术标准号 GB/T 3077-2015;加工工艺 热轧;热处理工艺 ;特殊要求 ;规格标准号 GB/T 702-2008</t>
        </is>
      </c>
      <c r="F60" t="inlineStr">
        <is>
          <t>千克</t>
        </is>
      </c>
      <c r="G60">
        <f>LEFT(D60,FIND("|",D60,1)-1)</f>
        <v/>
      </c>
      <c r="H60">
        <f>MID(D60,FIND("|",D60,FIND("|",D60,1))+1,FIND("|",D60,FIND("|",D60,1)+1)-FIND("|",D60,FIND("|",D60,1))-1)</f>
        <v/>
      </c>
      <c r="J60">
        <f>MID(D60,FIND(";",SUBSTITUTE(D60,"|",REPT(";",LEN(D60)),2))+1,FIND(";",SUBSTITUTE(D60,"|",REPT(";",LEN(D60)),3))-FIND(";",SUBSTITUTE(D60,"|",REPT(";",LEN(D60)),2))-1)</f>
        <v/>
      </c>
      <c r="K60">
        <f>MID(D60,FIND(";",SUBSTITUTE(D60,"|",REPT(";",LEN(D60)),3))+1,FIND(";",SUBSTITUTE(D60,"|",REPT(";",LEN(D60)),4))-FIND(";",SUBSTITUTE(D60,"|",REPT(";",LEN(D60)),3))-1)</f>
        <v/>
      </c>
      <c r="M60">
        <f>MID(D60,FIND(";",SUBSTITUTE(D60,"|",REPT(";",LEN(D60)),4))+1,FIND(";",SUBSTITUTE(D60,"|",REPT(";",LEN(D60)),5))-FIND(";",SUBSTITUTE(D60,"|",REPT(";",LEN(D60)),4))-1)</f>
        <v/>
      </c>
      <c r="N60">
        <f>MID(D60,FIND(";",SUBSTITUTE(D60,"|",REPT(";",LEN(D60)),6))+1,LEN(D60))</f>
        <v/>
      </c>
      <c r="O60">
        <f>MID(D60,FIND(";",SUBSTITUTE(D60,"|",REPT(";",LEN(D60)),5))+1,FIND(";",SUBSTITUTE(D60,"|",REPT(";",LEN(D60)),6))-FIND(";",SUBSTITUTE(D60,"|",REPT(";",LEN(D60)),5))-1)</f>
        <v/>
      </c>
    </row>
    <row r="61">
      <c r="A61" t="inlineStr">
        <is>
          <t>100201</t>
        </is>
      </c>
      <c r="B61" t="inlineStr">
        <is>
          <t>圆钢</t>
        </is>
      </c>
      <c r="C61" t="inlineStr">
        <is>
          <t>602356100</t>
        </is>
      </c>
      <c r="D61" t="inlineStr">
        <is>
          <t>热轧优质碳素结构圆钢|圆钢|45|Φ205|GB/T 699-2015|热轧|GB/T 702-2008</t>
        </is>
      </c>
      <c r="E61" t="inlineStr">
        <is>
          <t>物资名称 热轧优质碳素结构圆钢;物资简称 圆钢;牌号 45;直径 Φ205;技术标准号 GB/T 699-2015;加工工艺 热轧;热处理工艺 ;特殊要求 ;规格标准号 GB/T 702-2008</t>
        </is>
      </c>
      <c r="F61" t="inlineStr">
        <is>
          <t>千克</t>
        </is>
      </c>
      <c r="G61">
        <f>LEFT(D61,FIND("|",D61,1)-1)</f>
        <v/>
      </c>
      <c r="H61">
        <f>MID(D61,FIND("|",D61,FIND("|",D61,1))+1,FIND("|",D61,FIND("|",D61,1)+1)-FIND("|",D61,FIND("|",D61,1))-1)</f>
        <v/>
      </c>
      <c r="J61">
        <f>MID(D61,FIND(";",SUBSTITUTE(D61,"|",REPT(";",LEN(D61)),2))+1,FIND(";",SUBSTITUTE(D61,"|",REPT(";",LEN(D61)),3))-FIND(";",SUBSTITUTE(D61,"|",REPT(";",LEN(D61)),2))-1)</f>
        <v/>
      </c>
      <c r="K61">
        <f>MID(D61,FIND(";",SUBSTITUTE(D61,"|",REPT(";",LEN(D61)),3))+1,FIND(";",SUBSTITUTE(D61,"|",REPT(";",LEN(D61)),4))-FIND(";",SUBSTITUTE(D61,"|",REPT(";",LEN(D61)),3))-1)</f>
        <v/>
      </c>
      <c r="M61">
        <f>MID(D61,FIND(";",SUBSTITUTE(D61,"|",REPT(";",LEN(D61)),4))+1,FIND(";",SUBSTITUTE(D61,"|",REPT(";",LEN(D61)),5))-FIND(";",SUBSTITUTE(D61,"|",REPT(";",LEN(D61)),4))-1)</f>
        <v/>
      </c>
      <c r="N61">
        <f>MID(D61,FIND(";",SUBSTITUTE(D61,"|",REPT(";",LEN(D61)),6))+1,LEN(D61))</f>
        <v/>
      </c>
      <c r="O61">
        <f>MID(D61,FIND(";",SUBSTITUTE(D61,"|",REPT(";",LEN(D61)),5))+1,FIND(";",SUBSTITUTE(D61,"|",REPT(";",LEN(D61)),6))-FIND(";",SUBSTITUTE(D61,"|",REPT(";",LEN(D61)),5))-1)</f>
        <v/>
      </c>
    </row>
    <row r="62">
      <c r="A62" t="inlineStr">
        <is>
          <t>100201</t>
        </is>
      </c>
      <c r="B62" t="inlineStr">
        <is>
          <t>圆钢</t>
        </is>
      </c>
      <c r="C62" t="inlineStr">
        <is>
          <t>602356000</t>
        </is>
      </c>
      <c r="D62" t="inlineStr">
        <is>
          <t>热轧航空用不锈圆钢|圆钢|1Cr18Ni9Ti|Φ27|GJB 2294-1995|热轧|GB/T 702-2008</t>
        </is>
      </c>
      <c r="E62" t="inlineStr">
        <is>
          <t>物资名称 热轧航空用不锈圆钢;物资简称 圆钢;牌号 1Cr18Ni9Ti;直径 Φ27;技术标准号 GJB 2294-1995;加工工艺 热轧;热处理工艺 ;特殊要求 ;规格标准号 GB/T 702-2008</t>
        </is>
      </c>
      <c r="F62" t="inlineStr">
        <is>
          <t>千克</t>
        </is>
      </c>
      <c r="G62">
        <f>LEFT(D62,FIND("|",D62,1)-1)</f>
        <v/>
      </c>
      <c r="H62">
        <f>MID(D62,FIND("|",D62,FIND("|",D62,1))+1,FIND("|",D62,FIND("|",D62,1)+1)-FIND("|",D62,FIND("|",D62,1))-1)</f>
        <v/>
      </c>
      <c r="J62">
        <f>MID(D62,FIND(";",SUBSTITUTE(D62,"|",REPT(";",LEN(D62)),2))+1,FIND(";",SUBSTITUTE(D62,"|",REPT(";",LEN(D62)),3))-FIND(";",SUBSTITUTE(D62,"|",REPT(";",LEN(D62)),2))-1)</f>
        <v/>
      </c>
      <c r="K62">
        <f>MID(D62,FIND(";",SUBSTITUTE(D62,"|",REPT(";",LEN(D62)),3))+1,FIND(";",SUBSTITUTE(D62,"|",REPT(";",LEN(D62)),4))-FIND(";",SUBSTITUTE(D62,"|",REPT(";",LEN(D62)),3))-1)</f>
        <v/>
      </c>
      <c r="M62">
        <f>MID(D62,FIND(";",SUBSTITUTE(D62,"|",REPT(";",LEN(D62)),4))+1,FIND(";",SUBSTITUTE(D62,"|",REPT(";",LEN(D62)),5))-FIND(";",SUBSTITUTE(D62,"|",REPT(";",LEN(D62)),4))-1)</f>
        <v/>
      </c>
      <c r="N62">
        <f>MID(D62,FIND(";",SUBSTITUTE(D62,"|",REPT(";",LEN(D62)),6))+1,LEN(D62))</f>
        <v/>
      </c>
      <c r="O62">
        <f>MID(D62,FIND(";",SUBSTITUTE(D62,"|",REPT(";",LEN(D62)),5))+1,FIND(";",SUBSTITUTE(D62,"|",REPT(";",LEN(D62)),6))-FIND(";",SUBSTITUTE(D62,"|",REPT(";",LEN(D62)),5))-1)</f>
        <v/>
      </c>
    </row>
    <row r="63">
      <c r="A63" t="inlineStr">
        <is>
          <t>100201</t>
        </is>
      </c>
      <c r="B63" t="inlineStr">
        <is>
          <t>圆钢</t>
        </is>
      </c>
      <c r="C63" t="inlineStr">
        <is>
          <t>602355100</t>
        </is>
      </c>
      <c r="D63" t="inlineStr">
        <is>
          <t>热轧航空用不锈圆钢|圆钢|1Cr18Ni9Ti|Φ75|GJB 2294-1995|热轧|GB/T 702-2008</t>
        </is>
      </c>
      <c r="E63" t="inlineStr">
        <is>
          <t>物资名称 热轧航空用不锈圆钢;物资简称 圆钢;牌号 1Cr18Ni9Ti;直径 Φ75;技术标准号 GJB 2294-1995;加工工艺 热轧;热处理工艺 ;特殊要求 ;规格标准号 GB/T 702-2008</t>
        </is>
      </c>
      <c r="F63" t="inlineStr">
        <is>
          <t>千克</t>
        </is>
      </c>
      <c r="G63">
        <f>LEFT(D63,FIND("|",D63,1)-1)</f>
        <v/>
      </c>
      <c r="H63">
        <f>MID(D63,FIND("|",D63,FIND("|",D63,1))+1,FIND("|",D63,FIND("|",D63,1)+1)-FIND("|",D63,FIND("|",D63,1))-1)</f>
        <v/>
      </c>
      <c r="J63">
        <f>MID(D63,FIND(";",SUBSTITUTE(D63,"|",REPT(";",LEN(D63)),2))+1,FIND(";",SUBSTITUTE(D63,"|",REPT(";",LEN(D63)),3))-FIND(";",SUBSTITUTE(D63,"|",REPT(";",LEN(D63)),2))-1)</f>
        <v/>
      </c>
      <c r="K63">
        <f>MID(D63,FIND(";",SUBSTITUTE(D63,"|",REPT(";",LEN(D63)),3))+1,FIND(";",SUBSTITUTE(D63,"|",REPT(";",LEN(D63)),4))-FIND(";",SUBSTITUTE(D63,"|",REPT(";",LEN(D63)),3))-1)</f>
        <v/>
      </c>
      <c r="M63">
        <f>MID(D63,FIND(";",SUBSTITUTE(D63,"|",REPT(";",LEN(D63)),4))+1,FIND(";",SUBSTITUTE(D63,"|",REPT(";",LEN(D63)),5))-FIND(";",SUBSTITUTE(D63,"|",REPT(";",LEN(D63)),4))-1)</f>
        <v/>
      </c>
      <c r="N63">
        <f>MID(D63,FIND(";",SUBSTITUTE(D63,"|",REPT(";",LEN(D63)),6))+1,LEN(D63))</f>
        <v/>
      </c>
      <c r="O63">
        <f>MID(D63,FIND(";",SUBSTITUTE(D63,"|",REPT(";",LEN(D63)),5))+1,FIND(";",SUBSTITUTE(D63,"|",REPT(";",LEN(D63)),6))-FIND(";",SUBSTITUTE(D63,"|",REPT(";",LEN(D63)),5))-1)</f>
        <v/>
      </c>
    </row>
    <row r="64">
      <c r="A64" t="inlineStr">
        <is>
          <t>100201</t>
        </is>
      </c>
      <c r="B64" t="inlineStr">
        <is>
          <t>圆钢</t>
        </is>
      </c>
      <c r="C64" t="inlineStr">
        <is>
          <t>602353200</t>
        </is>
      </c>
      <c r="D64" t="inlineStr">
        <is>
          <t>锻制航空航天用超高强度圆钢|圆钢|45CrNiMo1VA|Φ75|GJB 5063-2001|锻制|GB/T 908-2008</t>
        </is>
      </c>
      <c r="E64" t="inlineStr">
        <is>
          <t>物资名称 锻制航空航天用超高强度圆钢;物资简称 圆钢;牌号 45CrNiMo1VA;直径 Φ75;技术标准号 GJB 5063-2001;加工工艺 锻制;热处理工艺 ;特殊要求 ;规格标准号 GB/T 908-2008</t>
        </is>
      </c>
      <c r="F64" t="inlineStr">
        <is>
          <t>千克</t>
        </is>
      </c>
      <c r="G64">
        <f>LEFT(D64,FIND("|",D64,1)-1)</f>
        <v/>
      </c>
      <c r="H64">
        <f>MID(D64,FIND("|",D64,FIND("|",D64,1))+1,FIND("|",D64,FIND("|",D64,1)+1)-FIND("|",D64,FIND("|",D64,1))-1)</f>
        <v/>
      </c>
      <c r="J64">
        <f>MID(D64,FIND(";",SUBSTITUTE(D64,"|",REPT(";",LEN(D64)),2))+1,FIND(";",SUBSTITUTE(D64,"|",REPT(";",LEN(D64)),3))-FIND(";",SUBSTITUTE(D64,"|",REPT(";",LEN(D64)),2))-1)</f>
        <v/>
      </c>
      <c r="K64">
        <f>MID(D64,FIND(";",SUBSTITUTE(D64,"|",REPT(";",LEN(D64)),3))+1,FIND(";",SUBSTITUTE(D64,"|",REPT(";",LEN(D64)),4))-FIND(";",SUBSTITUTE(D64,"|",REPT(";",LEN(D64)),3))-1)</f>
        <v/>
      </c>
      <c r="M64">
        <f>MID(D64,FIND(";",SUBSTITUTE(D64,"|",REPT(";",LEN(D64)),4))+1,FIND(";",SUBSTITUTE(D64,"|",REPT(";",LEN(D64)),5))-FIND(";",SUBSTITUTE(D64,"|",REPT(";",LEN(D64)),4))-1)</f>
        <v/>
      </c>
      <c r="N64">
        <f>MID(D64,FIND(";",SUBSTITUTE(D64,"|",REPT(";",LEN(D64)),6))+1,LEN(D64))</f>
        <v/>
      </c>
      <c r="O64">
        <f>MID(D64,FIND(";",SUBSTITUTE(D64,"|",REPT(";",LEN(D64)),5))+1,FIND(";",SUBSTITUTE(D64,"|",REPT(";",LEN(D64)),6))-FIND(";",SUBSTITUTE(D64,"|",REPT(";",LEN(D64)),5))-1)</f>
        <v/>
      </c>
    </row>
    <row r="65">
      <c r="A65" t="inlineStr">
        <is>
          <t>100201</t>
        </is>
      </c>
      <c r="B65" t="inlineStr">
        <is>
          <t>圆钢</t>
        </is>
      </c>
      <c r="C65" t="inlineStr">
        <is>
          <t>602346100</t>
        </is>
      </c>
      <c r="D65" t="inlineStr">
        <is>
          <t>冷拉优质碳素结构圆钢|圆钢|45|Φ250|GB/T 3078-2008|冷拉|GB/T 905-1994</t>
        </is>
      </c>
      <c r="E65" t="inlineStr">
        <is>
          <t>物资名称 冷拉优质碳素结构圆钢;物资简称 圆钢;牌号 45;直径 Φ250;技术标准号 GB/T 3078-2008;加工工艺 冷拉;热处理工艺 ;特殊要求 ;规格标准号 GB/T 905-1994</t>
        </is>
      </c>
      <c r="F65" t="inlineStr">
        <is>
          <t>千克</t>
        </is>
      </c>
      <c r="G65">
        <f>LEFT(D65,FIND("|",D65,1)-1)</f>
        <v/>
      </c>
      <c r="H65">
        <f>MID(D65,FIND("|",D65,FIND("|",D65,1))+1,FIND("|",D65,FIND("|",D65,1)+1)-FIND("|",D65,FIND("|",D65,1))-1)</f>
        <v/>
      </c>
      <c r="J65">
        <f>MID(D65,FIND(";",SUBSTITUTE(D65,"|",REPT(";",LEN(D65)),2))+1,FIND(";",SUBSTITUTE(D65,"|",REPT(";",LEN(D65)),3))-FIND(";",SUBSTITUTE(D65,"|",REPT(";",LEN(D65)),2))-1)</f>
        <v/>
      </c>
      <c r="K65">
        <f>MID(D65,FIND(";",SUBSTITUTE(D65,"|",REPT(";",LEN(D65)),3))+1,FIND(";",SUBSTITUTE(D65,"|",REPT(";",LEN(D65)),4))-FIND(";",SUBSTITUTE(D65,"|",REPT(";",LEN(D65)),3))-1)</f>
        <v/>
      </c>
      <c r="M65">
        <f>MID(D65,FIND(";",SUBSTITUTE(D65,"|",REPT(";",LEN(D65)),4))+1,FIND(";",SUBSTITUTE(D65,"|",REPT(";",LEN(D65)),5))-FIND(";",SUBSTITUTE(D65,"|",REPT(";",LEN(D65)),4))-1)</f>
        <v/>
      </c>
      <c r="N65">
        <f>MID(D65,FIND(";",SUBSTITUTE(D65,"|",REPT(";",LEN(D65)),6))+1,LEN(D65))</f>
        <v/>
      </c>
      <c r="O65">
        <f>MID(D65,FIND(";",SUBSTITUTE(D65,"|",REPT(";",LEN(D65)),5))+1,FIND(";",SUBSTITUTE(D65,"|",REPT(";",LEN(D65)),6))-FIND(";",SUBSTITUTE(D65,"|",REPT(";",LEN(D65)),5))-1)</f>
        <v/>
      </c>
    </row>
    <row r="66">
      <c r="A66" t="inlineStr">
        <is>
          <t>100201</t>
        </is>
      </c>
      <c r="B66" t="inlineStr">
        <is>
          <t>圆钢</t>
        </is>
      </c>
      <c r="C66" t="inlineStr">
        <is>
          <t>602346000</t>
        </is>
      </c>
      <c r="D66" t="inlineStr">
        <is>
          <t>冷拉优质碳素结构圆钢|圆钢|45|Φ260|GB/T 3078-2008|冷拉|GB/T 905-1994</t>
        </is>
      </c>
      <c r="E66" t="inlineStr">
        <is>
          <t>物资名称 冷拉优质碳素结构圆钢;物资简称 圆钢;牌号 45;直径 Φ260;技术标准号 GB/T 3078-2008;加工工艺 冷拉;热处理工艺 ;特殊要求 ;规格标准号 GB/T 905-1994</t>
        </is>
      </c>
      <c r="F66" t="inlineStr">
        <is>
          <t>千克</t>
        </is>
      </c>
      <c r="G66">
        <f>LEFT(D66,FIND("|",D66,1)-1)</f>
        <v/>
      </c>
      <c r="H66">
        <f>MID(D66,FIND("|",D66,FIND("|",D66,1))+1,FIND("|",D66,FIND("|",D66,1)+1)-FIND("|",D66,FIND("|",D66,1))-1)</f>
        <v/>
      </c>
      <c r="J66">
        <f>MID(D66,FIND(";",SUBSTITUTE(D66,"|",REPT(";",LEN(D66)),2))+1,FIND(";",SUBSTITUTE(D66,"|",REPT(";",LEN(D66)),3))-FIND(";",SUBSTITUTE(D66,"|",REPT(";",LEN(D66)),2))-1)</f>
        <v/>
      </c>
      <c r="K66">
        <f>MID(D66,FIND(";",SUBSTITUTE(D66,"|",REPT(";",LEN(D66)),3))+1,FIND(";",SUBSTITUTE(D66,"|",REPT(";",LEN(D66)),4))-FIND(";",SUBSTITUTE(D66,"|",REPT(";",LEN(D66)),3))-1)</f>
        <v/>
      </c>
      <c r="M66">
        <f>MID(D66,FIND(";",SUBSTITUTE(D66,"|",REPT(";",LEN(D66)),4))+1,FIND(";",SUBSTITUTE(D66,"|",REPT(";",LEN(D66)),5))-FIND(";",SUBSTITUTE(D66,"|",REPT(";",LEN(D66)),4))-1)</f>
        <v/>
      </c>
      <c r="N66">
        <f>MID(D66,FIND(";",SUBSTITUTE(D66,"|",REPT(";",LEN(D66)),6))+1,LEN(D66))</f>
        <v/>
      </c>
      <c r="O66">
        <f>MID(D66,FIND(";",SUBSTITUTE(D66,"|",REPT(";",LEN(D66)),5))+1,FIND(";",SUBSTITUTE(D66,"|",REPT(";",LEN(D66)),6))-FIND(";",SUBSTITUTE(D66,"|",REPT(";",LEN(D66)),5))-1)</f>
        <v/>
      </c>
    </row>
    <row r="67">
      <c r="A67" t="inlineStr">
        <is>
          <t>100201</t>
        </is>
      </c>
      <c r="B67" t="inlineStr">
        <is>
          <t>圆钢</t>
        </is>
      </c>
      <c r="C67" t="inlineStr">
        <is>
          <t>602331600</t>
        </is>
      </c>
      <c r="D67" t="inlineStr">
        <is>
          <t>热轧优质碳素结构圆钢|圆钢|45|Φ60|GB/T 699-1999|热轧|GB/T 702-2008</t>
        </is>
      </c>
      <c r="E67" t="inlineStr">
        <is>
          <t>物资名称 热轧优质碳素结构圆钢;物资简称 圆钢;牌号 45;直径 Φ60;技术标准号 GB/T 699-1999;加工工艺 热轧;热处理工艺 ;特殊要求 ;规格标准号 GB/T 702-2008</t>
        </is>
      </c>
      <c r="F67" t="inlineStr">
        <is>
          <t>千克</t>
        </is>
      </c>
      <c r="G67">
        <f>LEFT(D67,FIND("|",D67,1)-1)</f>
        <v/>
      </c>
      <c r="H67">
        <f>MID(D67,FIND("|",D67,FIND("|",D67,1))+1,FIND("|",D67,FIND("|",D67,1)+1)-FIND("|",D67,FIND("|",D67,1))-1)</f>
        <v/>
      </c>
      <c r="J67">
        <f>MID(D67,FIND(";",SUBSTITUTE(D67,"|",REPT(";",LEN(D67)),2))+1,FIND(";",SUBSTITUTE(D67,"|",REPT(";",LEN(D67)),3))-FIND(";",SUBSTITUTE(D67,"|",REPT(";",LEN(D67)),2))-1)</f>
        <v/>
      </c>
      <c r="K67">
        <f>MID(D67,FIND(";",SUBSTITUTE(D67,"|",REPT(";",LEN(D67)),3))+1,FIND(";",SUBSTITUTE(D67,"|",REPT(";",LEN(D67)),4))-FIND(";",SUBSTITUTE(D67,"|",REPT(";",LEN(D67)),3))-1)</f>
        <v/>
      </c>
      <c r="M67">
        <f>MID(D67,FIND(";",SUBSTITUTE(D67,"|",REPT(";",LEN(D67)),4))+1,FIND(";",SUBSTITUTE(D67,"|",REPT(";",LEN(D67)),5))-FIND(";",SUBSTITUTE(D67,"|",REPT(";",LEN(D67)),4))-1)</f>
        <v/>
      </c>
      <c r="N67">
        <f>MID(D67,FIND(";",SUBSTITUTE(D67,"|",REPT(";",LEN(D67)),6))+1,LEN(D67))</f>
        <v/>
      </c>
      <c r="O67">
        <f>MID(D67,FIND(";",SUBSTITUTE(D67,"|",REPT(";",LEN(D67)),5))+1,FIND(";",SUBSTITUTE(D67,"|",REPT(";",LEN(D67)),6))-FIND(";",SUBSTITUTE(D67,"|",REPT(";",LEN(D67)),5))-1)</f>
        <v/>
      </c>
    </row>
    <row r="68">
      <c r="A68" t="inlineStr">
        <is>
          <t>100201</t>
        </is>
      </c>
      <c r="B68" t="inlineStr">
        <is>
          <t>圆钢</t>
        </is>
      </c>
      <c r="C68" t="inlineStr">
        <is>
          <t>602305400</t>
        </is>
      </c>
      <c r="D68" t="inlineStr">
        <is>
          <t>热轧耐热圆钢|圆钢|06Cr19Ni10|Φ5|GB/T 1221-2007|热轧|GB/T 702-2004</t>
        </is>
      </c>
      <c r="E68" t="inlineStr">
        <is>
          <t>物资名称 热轧耐热圆钢;物资简称 圆钢;牌号 06Cr19Ni10;直径 Φ5;技术标准号 GB/T 1221-2007;加工工艺 热轧;热处理工艺 ;特殊要求 ;规格标准号 GB/T 702-2004</t>
        </is>
      </c>
      <c r="F68" t="inlineStr">
        <is>
          <t>千克</t>
        </is>
      </c>
      <c r="G68">
        <f>LEFT(D68,FIND("|",D68,1)-1)</f>
        <v/>
      </c>
      <c r="H68">
        <f>MID(D68,FIND("|",D68,FIND("|",D68,1))+1,FIND("|",D68,FIND("|",D68,1)+1)-FIND("|",D68,FIND("|",D68,1))-1)</f>
        <v/>
      </c>
      <c r="J68">
        <f>MID(D68,FIND(";",SUBSTITUTE(D68,"|",REPT(";",LEN(D68)),2))+1,FIND(";",SUBSTITUTE(D68,"|",REPT(";",LEN(D68)),3))-FIND(";",SUBSTITUTE(D68,"|",REPT(";",LEN(D68)),2))-1)</f>
        <v/>
      </c>
      <c r="K68">
        <f>MID(D68,FIND(";",SUBSTITUTE(D68,"|",REPT(";",LEN(D68)),3))+1,FIND(";",SUBSTITUTE(D68,"|",REPT(";",LEN(D68)),4))-FIND(";",SUBSTITUTE(D68,"|",REPT(";",LEN(D68)),3))-1)</f>
        <v/>
      </c>
      <c r="M68">
        <f>MID(D68,FIND(";",SUBSTITUTE(D68,"|",REPT(";",LEN(D68)),4))+1,FIND(";",SUBSTITUTE(D68,"|",REPT(";",LEN(D68)),5))-FIND(";",SUBSTITUTE(D68,"|",REPT(";",LEN(D68)),4))-1)</f>
        <v/>
      </c>
      <c r="N68">
        <f>MID(D68,FIND(";",SUBSTITUTE(D68,"|",REPT(";",LEN(D68)),6))+1,LEN(D68))</f>
        <v/>
      </c>
      <c r="O68">
        <f>MID(D68,FIND(";",SUBSTITUTE(D68,"|",REPT(";",LEN(D68)),5))+1,FIND(";",SUBSTITUTE(D68,"|",REPT(";",LEN(D68)),6))-FIND(";",SUBSTITUTE(D68,"|",REPT(";",LEN(D68)),5))-1)</f>
        <v/>
      </c>
    </row>
    <row r="69">
      <c r="A69" t="inlineStr">
        <is>
          <t>100201</t>
        </is>
      </c>
      <c r="B69" t="inlineStr">
        <is>
          <t>圆钢</t>
        </is>
      </c>
      <c r="C69" t="inlineStr">
        <is>
          <t>602294600</t>
        </is>
      </c>
      <c r="D69" t="inlineStr">
        <is>
          <t>热轧航空用不锈圆钢|圆钢|1Cr18Ni9Ti|Φ25|GJB 2294A-2014|热轧|GB/T 702-2008</t>
        </is>
      </c>
      <c r="E69" t="inlineStr">
        <is>
          <t>物资名称 热轧航空用不锈圆钢;物资简称 圆钢;牌号 1Cr18Ni9Ti;直径 Φ25;技术标准号 GJB 2294A-2014;加工工艺 热轧;热处理工艺 ;特殊要求 ;规格标准号 GB/T 702-2008</t>
        </is>
      </c>
      <c r="F69" t="inlineStr">
        <is>
          <t>千克</t>
        </is>
      </c>
      <c r="G69">
        <f>LEFT(D69,FIND("|",D69,1)-1)</f>
        <v/>
      </c>
      <c r="H69">
        <f>MID(D69,FIND("|",D69,FIND("|",D69,1))+1,FIND("|",D69,FIND("|",D69,1)+1)-FIND("|",D69,FIND("|",D69,1))-1)</f>
        <v/>
      </c>
      <c r="J69">
        <f>MID(D69,FIND(";",SUBSTITUTE(D69,"|",REPT(";",LEN(D69)),2))+1,FIND(";",SUBSTITUTE(D69,"|",REPT(";",LEN(D69)),3))-FIND(";",SUBSTITUTE(D69,"|",REPT(";",LEN(D69)),2))-1)</f>
        <v/>
      </c>
      <c r="K69">
        <f>MID(D69,FIND(";",SUBSTITUTE(D69,"|",REPT(";",LEN(D69)),3))+1,FIND(";",SUBSTITUTE(D69,"|",REPT(";",LEN(D69)),4))-FIND(";",SUBSTITUTE(D69,"|",REPT(";",LEN(D69)),3))-1)</f>
        <v/>
      </c>
      <c r="M69">
        <f>MID(D69,FIND(";",SUBSTITUTE(D69,"|",REPT(";",LEN(D69)),4))+1,FIND(";",SUBSTITUTE(D69,"|",REPT(";",LEN(D69)),5))-FIND(";",SUBSTITUTE(D69,"|",REPT(";",LEN(D69)),4))-1)</f>
        <v/>
      </c>
      <c r="N69">
        <f>MID(D69,FIND(";",SUBSTITUTE(D69,"|",REPT(";",LEN(D69)),6))+1,LEN(D69))</f>
        <v/>
      </c>
      <c r="O69">
        <f>MID(D69,FIND(";",SUBSTITUTE(D69,"|",REPT(";",LEN(D69)),5))+1,FIND(";",SUBSTITUTE(D69,"|",REPT(";",LEN(D69)),6))-FIND(";",SUBSTITUTE(D69,"|",REPT(";",LEN(D69)),5))-1)</f>
        <v/>
      </c>
    </row>
    <row r="70">
      <c r="A70" t="inlineStr">
        <is>
          <t>100201</t>
        </is>
      </c>
      <c r="B70" t="inlineStr">
        <is>
          <t>圆钢</t>
        </is>
      </c>
      <c r="C70" t="inlineStr">
        <is>
          <t>602294500</t>
        </is>
      </c>
      <c r="D70" t="inlineStr">
        <is>
          <t>热轧航空用不锈圆钢|圆钢|1Cr18Ni9Ti|Φ40|GJB 2294A-2014|热轧|GB/T 702-2008</t>
        </is>
      </c>
      <c r="E70" t="inlineStr">
        <is>
          <t>物资名称 热轧航空用不锈圆钢;物资简称 圆钢;牌号 1Cr18Ni9Ti;直径 Φ40;技术标准号 GJB 2294A-2014;加工工艺 热轧;热处理工艺 ;特殊要求 ;规格标准号 GB/T 702-2008</t>
        </is>
      </c>
      <c r="F70" t="inlineStr">
        <is>
          <t>千克</t>
        </is>
      </c>
      <c r="G70">
        <f>LEFT(D70,FIND("|",D70,1)-1)</f>
        <v/>
      </c>
      <c r="H70">
        <f>MID(D70,FIND("|",D70,FIND("|",D70,1))+1,FIND("|",D70,FIND("|",D70,1)+1)-FIND("|",D70,FIND("|",D70,1))-1)</f>
        <v/>
      </c>
      <c r="J70">
        <f>MID(D70,FIND(";",SUBSTITUTE(D70,"|",REPT(";",LEN(D70)),2))+1,FIND(";",SUBSTITUTE(D70,"|",REPT(";",LEN(D70)),3))-FIND(";",SUBSTITUTE(D70,"|",REPT(";",LEN(D70)),2))-1)</f>
        <v/>
      </c>
      <c r="K70">
        <f>MID(D70,FIND(";",SUBSTITUTE(D70,"|",REPT(";",LEN(D70)),3))+1,FIND(";",SUBSTITUTE(D70,"|",REPT(";",LEN(D70)),4))-FIND(";",SUBSTITUTE(D70,"|",REPT(";",LEN(D70)),3))-1)</f>
        <v/>
      </c>
      <c r="M70">
        <f>MID(D70,FIND(";",SUBSTITUTE(D70,"|",REPT(";",LEN(D70)),4))+1,FIND(";",SUBSTITUTE(D70,"|",REPT(";",LEN(D70)),5))-FIND(";",SUBSTITUTE(D70,"|",REPT(";",LEN(D70)),4))-1)</f>
        <v/>
      </c>
      <c r="N70">
        <f>MID(D70,FIND(";",SUBSTITUTE(D70,"|",REPT(";",LEN(D70)),6))+1,LEN(D70))</f>
        <v/>
      </c>
      <c r="O70">
        <f>MID(D70,FIND(";",SUBSTITUTE(D70,"|",REPT(";",LEN(D70)),5))+1,FIND(";",SUBSTITUTE(D70,"|",REPT(";",LEN(D70)),6))-FIND(";",SUBSTITUTE(D70,"|",REPT(";",LEN(D70)),5))-1)</f>
        <v/>
      </c>
    </row>
    <row r="71">
      <c r="A71" t="inlineStr">
        <is>
          <t>100201</t>
        </is>
      </c>
      <c r="B71" t="inlineStr">
        <is>
          <t>圆钢</t>
        </is>
      </c>
      <c r="C71" t="inlineStr">
        <is>
          <t>602291000</t>
        </is>
      </c>
      <c r="D71" t="inlineStr">
        <is>
          <t>航空用优质结构圆钢|圆钢|38CrMoAlA|GJB 1951A-2020</t>
        </is>
      </c>
      <c r="E71" t="inlineStr">
        <is>
          <t xml:space="preserve">物资名称 航空用优质结构圆钢;物资简称 圆钢;牌号 38CrMoAlA;直径 Φ;技术标准号 GJB 1951A-2020;加工工艺 ;热处理工艺 ;特殊要求 ;规格标准号 </t>
        </is>
      </c>
      <c r="F71" t="inlineStr">
        <is>
          <t>千克</t>
        </is>
      </c>
      <c r="G71">
        <f>LEFT(D71,FIND("|",D71,1)-1)</f>
        <v/>
      </c>
      <c r="H71">
        <f>MID(D71,FIND("|",D71,FIND("|",D71,1))+1,FIND("|",D71,FIND("|",D71,1)+1)-FIND("|",D71,FIND("|",D71,1))-1)</f>
        <v/>
      </c>
      <c r="J71">
        <f>MID(D71,FIND(";",SUBSTITUTE(D71,"|",REPT(";",LEN(D71)),2))+1,FIND(";",SUBSTITUTE(D71,"|",REPT(";",LEN(D71)),3))-FIND(";",SUBSTITUTE(D71,"|",REPT(";",LEN(D71)),2))-1)</f>
        <v/>
      </c>
      <c r="M71">
        <f>MID(D71,FIND(";",SUBSTITUTE(D71,"|",REPT(";",LEN(D71)),3))+1,LEN(D71))</f>
        <v/>
      </c>
    </row>
    <row r="72">
      <c r="A72" t="inlineStr">
        <is>
          <t>100201</t>
        </is>
      </c>
      <c r="B72" t="inlineStr">
        <is>
          <t>圆钢</t>
        </is>
      </c>
      <c r="C72" t="inlineStr">
        <is>
          <t>602289700</t>
        </is>
      </c>
      <c r="D72" t="inlineStr">
        <is>
          <t>热轧合金结构圆钢|圆钢|40Cr|GB/T 3077-2015|热轧|GB/T 702-2008</t>
        </is>
      </c>
      <c r="E72" t="inlineStr">
        <is>
          <t>物资名称 热轧合金结构圆钢;物资简称 圆钢;牌号 40Cr;直径 Φ;技术标准号 GB/T 3077-2015;加工工艺 热轧;热处理工艺 ;特殊要求 ;规格标准号 GB/T 702-2008</t>
        </is>
      </c>
      <c r="F72" t="inlineStr">
        <is>
          <t>千克</t>
        </is>
      </c>
      <c r="G72">
        <f>LEFT(D72,FIND("|",D72,1)-1)</f>
        <v/>
      </c>
      <c r="H72">
        <f>MID(D72,FIND("|",D72,FIND("|",D72,1))+1,FIND("|",D72,FIND("|",D72,1)+1)-FIND("|",D72,FIND("|",D72,1))-1)</f>
        <v/>
      </c>
      <c r="J72">
        <f>MID(D72,FIND(";",SUBSTITUTE(D72,"|",REPT(";",LEN(D72)),2))+1,FIND(";",SUBSTITUTE(D72,"|",REPT(";",LEN(D72)),3))-FIND(";",SUBSTITUTE(D72,"|",REPT(";",LEN(D72)),2))-1)</f>
        <v/>
      </c>
      <c r="M72">
        <f>MID(D72,FIND(";",SUBSTITUTE(D72,"|",REPT(";",LEN(D72)),3))+1,FIND(";",SUBSTITUTE(D72,"|",REPT(";",LEN(D72)),4))-FIND(";",SUBSTITUTE(D72,"|",REPT(";",LEN(D72)),3))-1)</f>
        <v/>
      </c>
      <c r="N72">
        <f>MID(D72,FIND(";",SUBSTITUTE(D72,"|",REPT(";",LEN(D72)),5))+1,LEN(D72))</f>
        <v/>
      </c>
      <c r="O72">
        <f>MID(D72,FIND(";",SUBSTITUTE(D72,"|",REPT(";",LEN(D72)),4))+1,FIND(";",SUBSTITUTE(D72,"|",REPT(";",LEN(D72)),5))-FIND(";",SUBSTITUTE(D72,"|",REPT(";",LEN(D72)),4))-1)</f>
        <v/>
      </c>
    </row>
    <row r="73">
      <c r="A73" t="inlineStr">
        <is>
          <t>100201</t>
        </is>
      </c>
      <c r="B73" t="inlineStr">
        <is>
          <t>圆钢</t>
        </is>
      </c>
      <c r="C73" t="inlineStr">
        <is>
          <t>602289600</t>
        </is>
      </c>
      <c r="D73" t="inlineStr">
        <is>
          <t>热轧航空用不锈圆钢|圆钢|1Cr18Ni9Ti|GJB 2294A-2014|热轧</t>
        </is>
      </c>
      <c r="E73" t="inlineStr">
        <is>
          <t xml:space="preserve">物资名称 热轧航空用不锈圆钢;物资简称 圆钢;牌号 1Cr18Ni9Ti;直径 Φ;技术标准号 GJB 2294A-2014;加工工艺 热轧;热处理工艺 ;特殊要求 ;规格标准号 </t>
        </is>
      </c>
      <c r="F73" t="inlineStr">
        <is>
          <t>千克</t>
        </is>
      </c>
      <c r="G73">
        <f>LEFT(D73,FIND("|",D73,1)-1)</f>
        <v/>
      </c>
      <c r="H73">
        <f>MID(D73,FIND("|",D73,FIND("|",D73,1))+1,FIND("|",D73,FIND("|",D73,1)+1)-FIND("|",D73,FIND("|",D73,1))-1)</f>
        <v/>
      </c>
      <c r="J73">
        <f>MID(D73,FIND(";",SUBSTITUTE(D73,"|",REPT(";",LEN(D73)),2))+1,FIND(";",SUBSTITUTE(D73,"|",REPT(";",LEN(D73)),3))-FIND(";",SUBSTITUTE(D73,"|",REPT(";",LEN(D73)),2))-1)</f>
        <v/>
      </c>
      <c r="M73">
        <f>MID(D73,FIND(";",SUBSTITUTE(D73,"|",REPT(";",LEN(D73)),3))+1,FIND(";",SUBSTITUTE(D73,"|",REPT(";",LEN(D73)),4))-FIND(";",SUBSTITUTE(D73,"|",REPT(";",LEN(D73)),3))-1)</f>
        <v/>
      </c>
    </row>
    <row r="74">
      <c r="A74" t="inlineStr">
        <is>
          <t>100201</t>
        </is>
      </c>
      <c r="B74" t="inlineStr">
        <is>
          <t>圆钢</t>
        </is>
      </c>
      <c r="C74" t="inlineStr">
        <is>
          <t>602288400</t>
        </is>
      </c>
      <c r="D74" t="inlineStr">
        <is>
          <t>热轧合金结构圆钢|圆钢|40Cr|Φ52|GB/T 3077-2015|热轧|GB/T 702-2008</t>
        </is>
      </c>
      <c r="E74" t="inlineStr">
        <is>
          <t>物资名称 热轧合金结构圆钢;物资简称 圆钢;牌号 40Cr;直径 Φ52;技术标准号 GB/T 3077-2015;加工工艺 热轧;热处理工艺 ;特殊要求 ;规格标准号 GB/T 702-2008</t>
        </is>
      </c>
      <c r="F74" t="inlineStr">
        <is>
          <t>千克</t>
        </is>
      </c>
      <c r="G74">
        <f>LEFT(D74,FIND("|",D74,1)-1)</f>
        <v/>
      </c>
      <c r="H74">
        <f>MID(D74,FIND("|",D74,FIND("|",D74,1))+1,FIND("|",D74,FIND("|",D74,1)+1)-FIND("|",D74,FIND("|",D74,1))-1)</f>
        <v/>
      </c>
      <c r="J74">
        <f>MID(D74,FIND(";",SUBSTITUTE(D74,"|",REPT(";",LEN(D74)),2))+1,FIND(";",SUBSTITUTE(D74,"|",REPT(";",LEN(D74)),3))-FIND(";",SUBSTITUTE(D74,"|",REPT(";",LEN(D74)),2))-1)</f>
        <v/>
      </c>
      <c r="K74">
        <f>MID(D74,FIND(";",SUBSTITUTE(D74,"|",REPT(";",LEN(D74)),3))+1,FIND(";",SUBSTITUTE(D74,"|",REPT(";",LEN(D74)),4))-FIND(";",SUBSTITUTE(D74,"|",REPT(";",LEN(D74)),3))-1)</f>
        <v/>
      </c>
      <c r="M74">
        <f>MID(D74,FIND(";",SUBSTITUTE(D74,"|",REPT(";",LEN(D74)),4))+1,FIND(";",SUBSTITUTE(D74,"|",REPT(";",LEN(D74)),5))-FIND(";",SUBSTITUTE(D74,"|",REPT(";",LEN(D74)),4))-1)</f>
        <v/>
      </c>
      <c r="N74">
        <f>MID(D74,FIND(";",SUBSTITUTE(D74,"|",REPT(";",LEN(D74)),6))+1,LEN(D74))</f>
        <v/>
      </c>
      <c r="O74">
        <f>MID(D74,FIND(";",SUBSTITUTE(D74,"|",REPT(";",LEN(D74)),5))+1,FIND(";",SUBSTITUTE(D74,"|",REPT(";",LEN(D74)),6))-FIND(";",SUBSTITUTE(D74,"|",REPT(";",LEN(D74)),5))-1)</f>
        <v/>
      </c>
    </row>
    <row r="75">
      <c r="A75" t="inlineStr">
        <is>
          <t>100201</t>
        </is>
      </c>
      <c r="B75" t="inlineStr">
        <is>
          <t>圆钢</t>
        </is>
      </c>
      <c r="C75" t="inlineStr">
        <is>
          <t>602288300</t>
        </is>
      </c>
      <c r="D75" t="inlineStr">
        <is>
          <t>热轧航空用不锈圆钢|圆钢|1Cr18Ni9Ti|Φ68|GJB 2294A-2014|热轧|GB/T 702-2008</t>
        </is>
      </c>
      <c r="E75" t="inlineStr">
        <is>
          <t>物资名称 热轧航空用不锈圆钢;物资简称 圆钢;牌号 1Cr18Ni9Ti;直径 Φ68;技术标准号 GJB 2294A-2014;加工工艺 热轧;热处理工艺 ;特殊要求 ;规格标准号 GB/T 702-2008</t>
        </is>
      </c>
      <c r="F75" t="inlineStr">
        <is>
          <t>千克</t>
        </is>
      </c>
      <c r="G75">
        <f>LEFT(D75,FIND("|",D75,1)-1)</f>
        <v/>
      </c>
      <c r="H75">
        <f>MID(D75,FIND("|",D75,FIND("|",D75,1))+1,FIND("|",D75,FIND("|",D75,1)+1)-FIND("|",D75,FIND("|",D75,1))-1)</f>
        <v/>
      </c>
      <c r="J75">
        <f>MID(D75,FIND(";",SUBSTITUTE(D75,"|",REPT(";",LEN(D75)),2))+1,FIND(";",SUBSTITUTE(D75,"|",REPT(";",LEN(D75)),3))-FIND(";",SUBSTITUTE(D75,"|",REPT(";",LEN(D75)),2))-1)</f>
        <v/>
      </c>
      <c r="K75">
        <f>MID(D75,FIND(";",SUBSTITUTE(D75,"|",REPT(";",LEN(D75)),3))+1,FIND(";",SUBSTITUTE(D75,"|",REPT(";",LEN(D75)),4))-FIND(";",SUBSTITUTE(D75,"|",REPT(";",LEN(D75)),3))-1)</f>
        <v/>
      </c>
      <c r="M75">
        <f>MID(D75,FIND(";",SUBSTITUTE(D75,"|",REPT(";",LEN(D75)),4))+1,FIND(";",SUBSTITUTE(D75,"|",REPT(";",LEN(D75)),5))-FIND(";",SUBSTITUTE(D75,"|",REPT(";",LEN(D75)),4))-1)</f>
        <v/>
      </c>
      <c r="N75">
        <f>MID(D75,FIND(";",SUBSTITUTE(D75,"|",REPT(";",LEN(D75)),6))+1,LEN(D75))</f>
        <v/>
      </c>
      <c r="O75">
        <f>MID(D75,FIND(";",SUBSTITUTE(D75,"|",REPT(";",LEN(D75)),5))+1,FIND(";",SUBSTITUTE(D75,"|",REPT(";",LEN(D75)),6))-FIND(";",SUBSTITUTE(D75,"|",REPT(";",LEN(D75)),5))-1)</f>
        <v/>
      </c>
    </row>
    <row r="76">
      <c r="A76" t="inlineStr">
        <is>
          <t>100201</t>
        </is>
      </c>
      <c r="B76" t="inlineStr">
        <is>
          <t>圆钢</t>
        </is>
      </c>
      <c r="C76" t="inlineStr">
        <is>
          <t>602284900</t>
        </is>
      </c>
      <c r="D76" t="inlineStr">
        <is>
          <t>热轧不锈圆钢|圆钢|20Cr13|Φ85|GB/T 1220-2007|热轧|GB/T 702-2008</t>
        </is>
      </c>
      <c r="E76" t="inlineStr">
        <is>
          <t>物资名称 热轧不锈圆钢;物资简称 圆钢;牌号 20Cr13;直径 Φ85;技术标准号 GB/T 1220-2007;加工工艺 热轧;热处理工艺 ;特殊要求 ;规格标准号 GB/T 702-2008</t>
        </is>
      </c>
      <c r="F76" t="inlineStr">
        <is>
          <t>千克</t>
        </is>
      </c>
      <c r="G76">
        <f>LEFT(D76,FIND("|",D76,1)-1)</f>
        <v/>
      </c>
      <c r="H76">
        <f>MID(D76,FIND("|",D76,FIND("|",D76,1))+1,FIND("|",D76,FIND("|",D76,1)+1)-FIND("|",D76,FIND("|",D76,1))-1)</f>
        <v/>
      </c>
      <c r="J76">
        <f>MID(D76,FIND(";",SUBSTITUTE(D76,"|",REPT(";",LEN(D76)),2))+1,FIND(";",SUBSTITUTE(D76,"|",REPT(";",LEN(D76)),3))-FIND(";",SUBSTITUTE(D76,"|",REPT(";",LEN(D76)),2))-1)</f>
        <v/>
      </c>
      <c r="K76">
        <f>MID(D76,FIND(";",SUBSTITUTE(D76,"|",REPT(";",LEN(D76)),3))+1,FIND(";",SUBSTITUTE(D76,"|",REPT(";",LEN(D76)),4))-FIND(";",SUBSTITUTE(D76,"|",REPT(";",LEN(D76)),3))-1)</f>
        <v/>
      </c>
      <c r="M76">
        <f>MID(D76,FIND(";",SUBSTITUTE(D76,"|",REPT(";",LEN(D76)),4))+1,FIND(";",SUBSTITUTE(D76,"|",REPT(";",LEN(D76)),5))-FIND(";",SUBSTITUTE(D76,"|",REPT(";",LEN(D76)),4))-1)</f>
        <v/>
      </c>
      <c r="N76">
        <f>MID(D76,FIND(";",SUBSTITUTE(D76,"|",REPT(";",LEN(D76)),6))+1,LEN(D76))</f>
        <v/>
      </c>
      <c r="O76">
        <f>MID(D76,FIND(";",SUBSTITUTE(D76,"|",REPT(";",LEN(D76)),5))+1,FIND(";",SUBSTITUTE(D76,"|",REPT(";",LEN(D76)),6))-FIND(";",SUBSTITUTE(D76,"|",REPT(";",LEN(D76)),5))-1)</f>
        <v/>
      </c>
    </row>
    <row r="77">
      <c r="A77" t="inlineStr">
        <is>
          <t>100201</t>
        </is>
      </c>
      <c r="B77" t="inlineStr">
        <is>
          <t>圆钢</t>
        </is>
      </c>
      <c r="C77" t="inlineStr">
        <is>
          <t>602284800</t>
        </is>
      </c>
      <c r="D77" t="inlineStr">
        <is>
          <t>热轧不锈圆钢|圆钢|1Cr18Ni9Ti|Φ65|GB/T 1220-1992|热轧|GB/T 702-2008</t>
        </is>
      </c>
      <c r="E77" t="inlineStr">
        <is>
          <t>物资名称 热轧不锈圆钢;物资简称 圆钢;牌号 1Cr18Ni9Ti;直径 Φ65;技术标准号 GB/T 1220-1992;加工工艺 热轧;热处理工艺 ;特殊要求 ;规格标准号 GB/T 702-2008</t>
        </is>
      </c>
      <c r="F77" t="inlineStr">
        <is>
          <t>千克</t>
        </is>
      </c>
      <c r="G77">
        <f>LEFT(D77,FIND("|",D77,1)-1)</f>
        <v/>
      </c>
      <c r="H77">
        <f>MID(D77,FIND("|",D77,FIND("|",D77,1))+1,FIND("|",D77,FIND("|",D77,1)+1)-FIND("|",D77,FIND("|",D77,1))-1)</f>
        <v/>
      </c>
      <c r="J77">
        <f>MID(D77,FIND(";",SUBSTITUTE(D77,"|",REPT(";",LEN(D77)),2))+1,FIND(";",SUBSTITUTE(D77,"|",REPT(";",LEN(D77)),3))-FIND(";",SUBSTITUTE(D77,"|",REPT(";",LEN(D77)),2))-1)</f>
        <v/>
      </c>
      <c r="K77">
        <f>MID(D77,FIND(";",SUBSTITUTE(D77,"|",REPT(";",LEN(D77)),3))+1,FIND(";",SUBSTITUTE(D77,"|",REPT(";",LEN(D77)),4))-FIND(";",SUBSTITUTE(D77,"|",REPT(";",LEN(D77)),3))-1)</f>
        <v/>
      </c>
      <c r="M77">
        <f>MID(D77,FIND(";",SUBSTITUTE(D77,"|",REPT(";",LEN(D77)),4))+1,FIND(";",SUBSTITUTE(D77,"|",REPT(";",LEN(D77)),5))-FIND(";",SUBSTITUTE(D77,"|",REPT(";",LEN(D77)),4))-1)</f>
        <v/>
      </c>
      <c r="N77">
        <f>MID(D77,FIND(";",SUBSTITUTE(D77,"|",REPT(";",LEN(D77)),6))+1,LEN(D77))</f>
        <v/>
      </c>
      <c r="O77">
        <f>MID(D77,FIND(";",SUBSTITUTE(D77,"|",REPT(";",LEN(D77)),5))+1,FIND(";",SUBSTITUTE(D77,"|",REPT(";",LEN(D77)),6))-FIND(";",SUBSTITUTE(D77,"|",REPT(";",LEN(D77)),5))-1)</f>
        <v/>
      </c>
    </row>
    <row r="78">
      <c r="A78" t="inlineStr">
        <is>
          <t>100201</t>
        </is>
      </c>
      <c r="B78" t="inlineStr">
        <is>
          <t>圆钢</t>
        </is>
      </c>
      <c r="C78" t="inlineStr">
        <is>
          <t>602284700</t>
        </is>
      </c>
      <c r="D78" t="inlineStr">
        <is>
          <t>热轧航空用不锈圆钢|圆钢|1Cr18Ni9Ti|Φ160|GJB 2294A-2014|热轧|GB/T 702-2008</t>
        </is>
      </c>
      <c r="E78" t="inlineStr">
        <is>
          <t>物资名称 热轧航空用不锈圆钢;物资简称 圆钢;牌号 1Cr18Ni9Ti;直径 Φ160;技术标准号 GJB 2294A-2014;加工工艺 热轧;热处理工艺 ;特殊要求 ;规格标准号 GB/T 702-2008</t>
        </is>
      </c>
      <c r="F78" t="inlineStr">
        <is>
          <t>千克</t>
        </is>
      </c>
      <c r="G78">
        <f>LEFT(D78,FIND("|",D78,1)-1)</f>
        <v/>
      </c>
      <c r="H78">
        <f>MID(D78,FIND("|",D78,FIND("|",D78,1))+1,FIND("|",D78,FIND("|",D78,1)+1)-FIND("|",D78,FIND("|",D78,1))-1)</f>
        <v/>
      </c>
      <c r="J78">
        <f>MID(D78,FIND(";",SUBSTITUTE(D78,"|",REPT(";",LEN(D78)),2))+1,FIND(";",SUBSTITUTE(D78,"|",REPT(";",LEN(D78)),3))-FIND(";",SUBSTITUTE(D78,"|",REPT(";",LEN(D78)),2))-1)</f>
        <v/>
      </c>
      <c r="K78">
        <f>MID(D78,FIND(";",SUBSTITUTE(D78,"|",REPT(";",LEN(D78)),3))+1,FIND(";",SUBSTITUTE(D78,"|",REPT(";",LEN(D78)),4))-FIND(";",SUBSTITUTE(D78,"|",REPT(";",LEN(D78)),3))-1)</f>
        <v/>
      </c>
      <c r="M78">
        <f>MID(D78,FIND(";",SUBSTITUTE(D78,"|",REPT(";",LEN(D78)),4))+1,FIND(";",SUBSTITUTE(D78,"|",REPT(";",LEN(D78)),5))-FIND(";",SUBSTITUTE(D78,"|",REPT(";",LEN(D78)),4))-1)</f>
        <v/>
      </c>
      <c r="N78">
        <f>MID(D78,FIND(";",SUBSTITUTE(D78,"|",REPT(";",LEN(D78)),6))+1,LEN(D78))</f>
        <v/>
      </c>
      <c r="O78">
        <f>MID(D78,FIND(";",SUBSTITUTE(D78,"|",REPT(";",LEN(D78)),5))+1,FIND(";",SUBSTITUTE(D78,"|",REPT(";",LEN(D78)),6))-FIND(";",SUBSTITUTE(D78,"|",REPT(";",LEN(D78)),5))-1)</f>
        <v/>
      </c>
    </row>
    <row r="79">
      <c r="A79" t="inlineStr">
        <is>
          <t>100201</t>
        </is>
      </c>
      <c r="B79" t="inlineStr">
        <is>
          <t>圆钢</t>
        </is>
      </c>
      <c r="C79" t="inlineStr">
        <is>
          <t>602284600</t>
        </is>
      </c>
      <c r="D79" t="inlineStr">
        <is>
          <t>热轧航空用不锈圆钢|圆钢|1Cr18Ni9Ti|Φ60|GJB 2294A-2014|热轧|GB/T 702-2008</t>
        </is>
      </c>
      <c r="E79" t="inlineStr">
        <is>
          <t>物资名称 热轧航空用不锈圆钢;物资简称 圆钢;牌号 1Cr18Ni9Ti;直径 Φ60;技术标准号 GJB 2294A-2014;加工工艺 热轧;热处理工艺 ;特殊要求 ;规格标准号 GB/T 702-2008</t>
        </is>
      </c>
      <c r="F79" t="inlineStr">
        <is>
          <t>千克</t>
        </is>
      </c>
      <c r="G79">
        <f>LEFT(D79,FIND("|",D79,1)-1)</f>
        <v/>
      </c>
      <c r="H79">
        <f>MID(D79,FIND("|",D79,FIND("|",D79,1))+1,FIND("|",D79,FIND("|",D79,1)+1)-FIND("|",D79,FIND("|",D79,1))-1)</f>
        <v/>
      </c>
      <c r="J79">
        <f>MID(D79,FIND(";",SUBSTITUTE(D79,"|",REPT(";",LEN(D79)),2))+1,FIND(";",SUBSTITUTE(D79,"|",REPT(";",LEN(D79)),3))-FIND(";",SUBSTITUTE(D79,"|",REPT(";",LEN(D79)),2))-1)</f>
        <v/>
      </c>
      <c r="K79">
        <f>MID(D79,FIND(";",SUBSTITUTE(D79,"|",REPT(";",LEN(D79)),3))+1,FIND(";",SUBSTITUTE(D79,"|",REPT(";",LEN(D79)),4))-FIND(";",SUBSTITUTE(D79,"|",REPT(";",LEN(D79)),3))-1)</f>
        <v/>
      </c>
      <c r="M79">
        <f>MID(D79,FIND(";",SUBSTITUTE(D79,"|",REPT(";",LEN(D79)),4))+1,FIND(";",SUBSTITUTE(D79,"|",REPT(";",LEN(D79)),5))-FIND(";",SUBSTITUTE(D79,"|",REPT(";",LEN(D79)),4))-1)</f>
        <v/>
      </c>
      <c r="N79">
        <f>MID(D79,FIND(";",SUBSTITUTE(D79,"|",REPT(";",LEN(D79)),6))+1,LEN(D79))</f>
        <v/>
      </c>
      <c r="O79">
        <f>MID(D79,FIND(";",SUBSTITUTE(D79,"|",REPT(";",LEN(D79)),5))+1,FIND(";",SUBSTITUTE(D79,"|",REPT(";",LEN(D79)),6))-FIND(";",SUBSTITUTE(D79,"|",REPT(";",LEN(D79)),5))-1)</f>
        <v/>
      </c>
    </row>
    <row r="80">
      <c r="A80" t="inlineStr">
        <is>
          <t>100201</t>
        </is>
      </c>
      <c r="B80" t="inlineStr">
        <is>
          <t>圆钢</t>
        </is>
      </c>
      <c r="C80" t="inlineStr">
        <is>
          <t>602284500</t>
        </is>
      </c>
      <c r="D80" t="inlineStr">
        <is>
          <t>热轧航空用不锈圆钢|圆钢|1Cr18Ni9Ti|Φ70|GJB 2294A-2014|热轧|GB/T 702-2008</t>
        </is>
      </c>
      <c r="E80" t="inlineStr">
        <is>
          <t>物资名称 热轧航空用不锈圆钢;物资简称 圆钢;牌号 1Cr18Ni9Ti;直径 Φ70;技术标准号 GJB 2294A-2014;加工工艺 热轧;热处理工艺 ;特殊要求 ;规格标准号 GB/T 702-2008</t>
        </is>
      </c>
      <c r="F80" t="inlineStr">
        <is>
          <t>千克</t>
        </is>
      </c>
      <c r="G80">
        <f>LEFT(D80,FIND("|",D80,1)-1)</f>
        <v/>
      </c>
      <c r="H80">
        <f>MID(D80,FIND("|",D80,FIND("|",D80,1))+1,FIND("|",D80,FIND("|",D80,1)+1)-FIND("|",D80,FIND("|",D80,1))-1)</f>
        <v/>
      </c>
      <c r="J80">
        <f>MID(D80,FIND(";",SUBSTITUTE(D80,"|",REPT(";",LEN(D80)),2))+1,FIND(";",SUBSTITUTE(D80,"|",REPT(";",LEN(D80)),3))-FIND(";",SUBSTITUTE(D80,"|",REPT(";",LEN(D80)),2))-1)</f>
        <v/>
      </c>
      <c r="K80">
        <f>MID(D80,FIND(";",SUBSTITUTE(D80,"|",REPT(";",LEN(D80)),3))+1,FIND(";",SUBSTITUTE(D80,"|",REPT(";",LEN(D80)),4))-FIND(";",SUBSTITUTE(D80,"|",REPT(";",LEN(D80)),3))-1)</f>
        <v/>
      </c>
      <c r="M80">
        <f>MID(D80,FIND(";",SUBSTITUTE(D80,"|",REPT(";",LEN(D80)),4))+1,FIND(";",SUBSTITUTE(D80,"|",REPT(";",LEN(D80)),5))-FIND(";",SUBSTITUTE(D80,"|",REPT(";",LEN(D80)),4))-1)</f>
        <v/>
      </c>
      <c r="N80">
        <f>MID(D80,FIND(";",SUBSTITUTE(D80,"|",REPT(";",LEN(D80)),6))+1,LEN(D80))</f>
        <v/>
      </c>
      <c r="O80">
        <f>MID(D80,FIND(";",SUBSTITUTE(D80,"|",REPT(";",LEN(D80)),5))+1,FIND(";",SUBSTITUTE(D80,"|",REPT(";",LEN(D80)),6))-FIND(";",SUBSTITUTE(D80,"|",REPT(";",LEN(D80)),5))-1)</f>
        <v/>
      </c>
    </row>
    <row r="81">
      <c r="A81" t="inlineStr">
        <is>
          <t>100201</t>
        </is>
      </c>
      <c r="B81" t="inlineStr">
        <is>
          <t>圆钢</t>
        </is>
      </c>
      <c r="C81" t="inlineStr">
        <is>
          <t>602284400</t>
        </is>
      </c>
      <c r="D81" t="inlineStr">
        <is>
          <t>热轧航空用不锈圆钢|圆钢|1Cr18Ni9Ti|Φ28|GJB 2294A-2014|热轧|GB/T 702-2008</t>
        </is>
      </c>
      <c r="E81" t="inlineStr">
        <is>
          <t>物资名称 热轧航空用不锈圆钢;物资简称 圆钢;牌号 1Cr18Ni9Ti;直径 Φ28;技术标准号 GJB 2294A-2014;加工工艺 热轧;热处理工艺 ;特殊要求 ;规格标准号 GB/T 702-2008</t>
        </is>
      </c>
      <c r="F81" t="inlineStr">
        <is>
          <t>千克</t>
        </is>
      </c>
      <c r="G81">
        <f>LEFT(D81,FIND("|",D81,1)-1)</f>
        <v/>
      </c>
      <c r="H81">
        <f>MID(D81,FIND("|",D81,FIND("|",D81,1))+1,FIND("|",D81,FIND("|",D81,1)+1)-FIND("|",D81,FIND("|",D81,1))-1)</f>
        <v/>
      </c>
      <c r="J81">
        <f>MID(D81,FIND(";",SUBSTITUTE(D81,"|",REPT(";",LEN(D81)),2))+1,FIND(";",SUBSTITUTE(D81,"|",REPT(";",LEN(D81)),3))-FIND(";",SUBSTITUTE(D81,"|",REPT(";",LEN(D81)),2))-1)</f>
        <v/>
      </c>
      <c r="K81">
        <f>MID(D81,FIND(";",SUBSTITUTE(D81,"|",REPT(";",LEN(D81)),3))+1,FIND(";",SUBSTITUTE(D81,"|",REPT(";",LEN(D81)),4))-FIND(";",SUBSTITUTE(D81,"|",REPT(";",LEN(D81)),3))-1)</f>
        <v/>
      </c>
      <c r="M81">
        <f>MID(D81,FIND(";",SUBSTITUTE(D81,"|",REPT(";",LEN(D81)),4))+1,FIND(";",SUBSTITUTE(D81,"|",REPT(";",LEN(D81)),5))-FIND(";",SUBSTITUTE(D81,"|",REPT(";",LEN(D81)),4))-1)</f>
        <v/>
      </c>
      <c r="N81">
        <f>MID(D81,FIND(";",SUBSTITUTE(D81,"|",REPT(";",LEN(D81)),6))+1,LEN(D81))</f>
        <v/>
      </c>
      <c r="O81">
        <f>MID(D81,FIND(";",SUBSTITUTE(D81,"|",REPT(";",LEN(D81)),5))+1,FIND(";",SUBSTITUTE(D81,"|",REPT(";",LEN(D81)),6))-FIND(";",SUBSTITUTE(D81,"|",REPT(";",LEN(D81)),5))-1)</f>
        <v/>
      </c>
    </row>
    <row r="82">
      <c r="A82" t="inlineStr">
        <is>
          <t>100201</t>
        </is>
      </c>
      <c r="B82" t="inlineStr">
        <is>
          <t>圆钢</t>
        </is>
      </c>
      <c r="C82" t="inlineStr">
        <is>
          <t>602284300</t>
        </is>
      </c>
      <c r="D82" t="inlineStr">
        <is>
          <t>热轧航空用不锈圆钢|圆钢|1Cr18Ni9Ti|Φ52|GJB 2294A-2014|热轧|GB/T 702-2008</t>
        </is>
      </c>
      <c r="E82" t="inlineStr">
        <is>
          <t>物资名称 热轧航空用不锈圆钢;物资简称 圆钢;牌号 1Cr18Ni9Ti;直径 Φ52;技术标准号 GJB 2294A-2014;加工工艺 热轧;热处理工艺 ;特殊要求 ;规格标准号 GB/T 702-2008</t>
        </is>
      </c>
      <c r="F82" t="inlineStr">
        <is>
          <t>千克</t>
        </is>
      </c>
      <c r="G82">
        <f>LEFT(D82,FIND("|",D82,1)-1)</f>
        <v/>
      </c>
      <c r="H82">
        <f>MID(D82,FIND("|",D82,FIND("|",D82,1))+1,FIND("|",D82,FIND("|",D82,1)+1)-FIND("|",D82,FIND("|",D82,1))-1)</f>
        <v/>
      </c>
      <c r="J82">
        <f>MID(D82,FIND(";",SUBSTITUTE(D82,"|",REPT(";",LEN(D82)),2))+1,FIND(";",SUBSTITUTE(D82,"|",REPT(";",LEN(D82)),3))-FIND(";",SUBSTITUTE(D82,"|",REPT(";",LEN(D82)),2))-1)</f>
        <v/>
      </c>
      <c r="K82">
        <f>MID(D82,FIND(";",SUBSTITUTE(D82,"|",REPT(";",LEN(D82)),3))+1,FIND(";",SUBSTITUTE(D82,"|",REPT(";",LEN(D82)),4))-FIND(";",SUBSTITUTE(D82,"|",REPT(";",LEN(D82)),3))-1)</f>
        <v/>
      </c>
      <c r="M82">
        <f>MID(D82,FIND(";",SUBSTITUTE(D82,"|",REPT(";",LEN(D82)),4))+1,FIND(";",SUBSTITUTE(D82,"|",REPT(";",LEN(D82)),5))-FIND(";",SUBSTITUTE(D82,"|",REPT(";",LEN(D82)),4))-1)</f>
        <v/>
      </c>
      <c r="N82">
        <f>MID(D82,FIND(";",SUBSTITUTE(D82,"|",REPT(";",LEN(D82)),6))+1,LEN(D82))</f>
        <v/>
      </c>
      <c r="O82">
        <f>MID(D82,FIND(";",SUBSTITUTE(D82,"|",REPT(";",LEN(D82)),5))+1,FIND(";",SUBSTITUTE(D82,"|",REPT(";",LEN(D82)),6))-FIND(";",SUBSTITUTE(D82,"|",REPT(";",LEN(D82)),5))-1)</f>
        <v/>
      </c>
    </row>
    <row r="83">
      <c r="A83" t="inlineStr">
        <is>
          <t>100201</t>
        </is>
      </c>
      <c r="B83" t="inlineStr">
        <is>
          <t>圆钢</t>
        </is>
      </c>
      <c r="C83" t="inlineStr">
        <is>
          <t>602284200</t>
        </is>
      </c>
      <c r="D83" t="inlineStr">
        <is>
          <t>热轧航空用不锈圆钢|圆钢|1Cr18Ni9Ti|Φ62|GJB 2294A-2014|热轧|GB/T 702-2008</t>
        </is>
      </c>
      <c r="E83" t="inlineStr">
        <is>
          <t>物资名称 热轧航空用不锈圆钢;物资简称 圆钢;牌号 1Cr18Ni9Ti;直径 Φ62;技术标准号 GJB 2294A-2014;加工工艺 热轧;热处理工艺 ;特殊要求 ;规格标准号 GB/T 702-2008</t>
        </is>
      </c>
      <c r="F83" t="inlineStr">
        <is>
          <t>千克</t>
        </is>
      </c>
      <c r="G83">
        <f>LEFT(D83,FIND("|",D83,1)-1)</f>
        <v/>
      </c>
      <c r="H83">
        <f>MID(D83,FIND("|",D83,FIND("|",D83,1))+1,FIND("|",D83,FIND("|",D83,1)+1)-FIND("|",D83,FIND("|",D83,1))-1)</f>
        <v/>
      </c>
      <c r="J83">
        <f>MID(D83,FIND(";",SUBSTITUTE(D83,"|",REPT(";",LEN(D83)),2))+1,FIND(";",SUBSTITUTE(D83,"|",REPT(";",LEN(D83)),3))-FIND(";",SUBSTITUTE(D83,"|",REPT(";",LEN(D83)),2))-1)</f>
        <v/>
      </c>
      <c r="K83">
        <f>MID(D83,FIND(";",SUBSTITUTE(D83,"|",REPT(";",LEN(D83)),3))+1,FIND(";",SUBSTITUTE(D83,"|",REPT(";",LEN(D83)),4))-FIND(";",SUBSTITUTE(D83,"|",REPT(";",LEN(D83)),3))-1)</f>
        <v/>
      </c>
      <c r="M83">
        <f>MID(D83,FIND(";",SUBSTITUTE(D83,"|",REPT(";",LEN(D83)),4))+1,FIND(";",SUBSTITUTE(D83,"|",REPT(";",LEN(D83)),5))-FIND(";",SUBSTITUTE(D83,"|",REPT(";",LEN(D83)),4))-1)</f>
        <v/>
      </c>
      <c r="N83">
        <f>MID(D83,FIND(";",SUBSTITUTE(D83,"|",REPT(";",LEN(D83)),6))+1,LEN(D83))</f>
        <v/>
      </c>
      <c r="O83">
        <f>MID(D83,FIND(";",SUBSTITUTE(D83,"|",REPT(";",LEN(D83)),5))+1,FIND(";",SUBSTITUTE(D83,"|",REPT(";",LEN(D83)),6))-FIND(";",SUBSTITUTE(D83,"|",REPT(";",LEN(D83)),5))-1)</f>
        <v/>
      </c>
    </row>
    <row r="84">
      <c r="A84" t="inlineStr">
        <is>
          <t>100201</t>
        </is>
      </c>
      <c r="B84" t="inlineStr">
        <is>
          <t>圆钢</t>
        </is>
      </c>
      <c r="C84" t="inlineStr">
        <is>
          <t>602284100</t>
        </is>
      </c>
      <c r="D84" t="inlineStr">
        <is>
          <t>热轧航空用不锈圆钢|圆钢|1Cr18Ni9Ti|Φ85|GJB 2294A-2014|热轧|GB/T 702-2008</t>
        </is>
      </c>
      <c r="E84" t="inlineStr">
        <is>
          <t>物资名称 热轧航空用不锈圆钢;物资简称 圆钢;牌号 1Cr18Ni9Ti;直径 Φ85;技术标准号 GJB 2294A-2014;加工工艺 热轧;热处理工艺 ;特殊要求 ;规格标准号 GB/T 702-2008</t>
        </is>
      </c>
      <c r="F84" t="inlineStr">
        <is>
          <t>千克</t>
        </is>
      </c>
      <c r="G84">
        <f>LEFT(D84,FIND("|",D84,1)-1)</f>
        <v/>
      </c>
      <c r="H84">
        <f>MID(D84,FIND("|",D84,FIND("|",D84,1))+1,FIND("|",D84,FIND("|",D84,1)+1)-FIND("|",D84,FIND("|",D84,1))-1)</f>
        <v/>
      </c>
      <c r="J84">
        <f>MID(D84,FIND(";",SUBSTITUTE(D84,"|",REPT(";",LEN(D84)),2))+1,FIND(";",SUBSTITUTE(D84,"|",REPT(";",LEN(D84)),3))-FIND(";",SUBSTITUTE(D84,"|",REPT(";",LEN(D84)),2))-1)</f>
        <v/>
      </c>
      <c r="K84">
        <f>MID(D84,FIND(";",SUBSTITUTE(D84,"|",REPT(";",LEN(D84)),3))+1,FIND(";",SUBSTITUTE(D84,"|",REPT(";",LEN(D84)),4))-FIND(";",SUBSTITUTE(D84,"|",REPT(";",LEN(D84)),3))-1)</f>
        <v/>
      </c>
      <c r="M84">
        <f>MID(D84,FIND(";",SUBSTITUTE(D84,"|",REPT(";",LEN(D84)),4))+1,FIND(";",SUBSTITUTE(D84,"|",REPT(";",LEN(D84)),5))-FIND(";",SUBSTITUTE(D84,"|",REPT(";",LEN(D84)),4))-1)</f>
        <v/>
      </c>
      <c r="N84">
        <f>MID(D84,FIND(";",SUBSTITUTE(D84,"|",REPT(";",LEN(D84)),6))+1,LEN(D84))</f>
        <v/>
      </c>
      <c r="O84">
        <f>MID(D84,FIND(";",SUBSTITUTE(D84,"|",REPT(";",LEN(D84)),5))+1,FIND(";",SUBSTITUTE(D84,"|",REPT(";",LEN(D84)),6))-FIND(";",SUBSTITUTE(D84,"|",REPT(";",LEN(D84)),5))-1)</f>
        <v/>
      </c>
    </row>
    <row r="85">
      <c r="A85" t="inlineStr">
        <is>
          <t>100201</t>
        </is>
      </c>
      <c r="B85" t="inlineStr">
        <is>
          <t>圆钢</t>
        </is>
      </c>
      <c r="C85" t="inlineStr">
        <is>
          <t>602284000</t>
        </is>
      </c>
      <c r="D85" t="inlineStr">
        <is>
          <t>热轧航空用不锈圆钢|圆钢|1Cr18Ni9Ti|Φ65|GJB 2294A-2014|热轧|GB/T 702-2008</t>
        </is>
      </c>
      <c r="E85" t="inlineStr">
        <is>
          <t>物资名称 热轧航空用不锈圆钢;物资简称 圆钢;牌号 1Cr18Ni9Ti;直径 Φ65;技术标准号 GJB 2294A-2014;加工工艺 热轧;热处理工艺 ;特殊要求 ;规格标准号 GB/T 702-2008</t>
        </is>
      </c>
      <c r="F85" t="inlineStr">
        <is>
          <t>千克</t>
        </is>
      </c>
      <c r="G85">
        <f>LEFT(D85,FIND("|",D85,1)-1)</f>
        <v/>
      </c>
      <c r="H85">
        <f>MID(D85,FIND("|",D85,FIND("|",D85,1))+1,FIND("|",D85,FIND("|",D85,1)+1)-FIND("|",D85,FIND("|",D85,1))-1)</f>
        <v/>
      </c>
      <c r="J85">
        <f>MID(D85,FIND(";",SUBSTITUTE(D85,"|",REPT(";",LEN(D85)),2))+1,FIND(";",SUBSTITUTE(D85,"|",REPT(";",LEN(D85)),3))-FIND(";",SUBSTITUTE(D85,"|",REPT(";",LEN(D85)),2))-1)</f>
        <v/>
      </c>
      <c r="K85">
        <f>MID(D85,FIND(";",SUBSTITUTE(D85,"|",REPT(";",LEN(D85)),3))+1,FIND(";",SUBSTITUTE(D85,"|",REPT(";",LEN(D85)),4))-FIND(";",SUBSTITUTE(D85,"|",REPT(";",LEN(D85)),3))-1)</f>
        <v/>
      </c>
      <c r="M85">
        <f>MID(D85,FIND(";",SUBSTITUTE(D85,"|",REPT(";",LEN(D85)),4))+1,FIND(";",SUBSTITUTE(D85,"|",REPT(";",LEN(D85)),5))-FIND(";",SUBSTITUTE(D85,"|",REPT(";",LEN(D85)),4))-1)</f>
        <v/>
      </c>
      <c r="N85">
        <f>MID(D85,FIND(";",SUBSTITUTE(D85,"|",REPT(";",LEN(D85)),6))+1,LEN(D85))</f>
        <v/>
      </c>
      <c r="O85">
        <f>MID(D85,FIND(";",SUBSTITUTE(D85,"|",REPT(";",LEN(D85)),5))+1,FIND(";",SUBSTITUTE(D85,"|",REPT(";",LEN(D85)),6))-FIND(";",SUBSTITUTE(D85,"|",REPT(";",LEN(D85)),5))-1)</f>
        <v/>
      </c>
    </row>
    <row r="86">
      <c r="A86" t="inlineStr">
        <is>
          <t>100201</t>
        </is>
      </c>
      <c r="B86" t="inlineStr">
        <is>
          <t>圆钢</t>
        </is>
      </c>
      <c r="C86" t="inlineStr">
        <is>
          <t>602283900</t>
        </is>
      </c>
      <c r="D86" t="inlineStr">
        <is>
          <t>热轧航空用不锈圆钢|圆钢|1Cr18Ni9Ti|Φ35|GJB 2294A-2014|热轧|GB/T 702-2008</t>
        </is>
      </c>
      <c r="E86" t="inlineStr">
        <is>
          <t>物资名称 热轧航空用不锈圆钢;物资简称 圆钢;牌号 1Cr18Ni9Ti;直径 Φ35;技术标准号 GJB 2294A-2014;加工工艺 热轧;热处理工艺 ;特殊要求 ;规格标准号 GB/T 702-2008</t>
        </is>
      </c>
      <c r="F86" t="inlineStr">
        <is>
          <t>千克</t>
        </is>
      </c>
      <c r="G86">
        <f>LEFT(D86,FIND("|",D86,1)-1)</f>
        <v/>
      </c>
      <c r="H86">
        <f>MID(D86,FIND("|",D86,FIND("|",D86,1))+1,FIND("|",D86,FIND("|",D86,1)+1)-FIND("|",D86,FIND("|",D86,1))-1)</f>
        <v/>
      </c>
      <c r="J86">
        <f>MID(D86,FIND(";",SUBSTITUTE(D86,"|",REPT(";",LEN(D86)),2))+1,FIND(";",SUBSTITUTE(D86,"|",REPT(";",LEN(D86)),3))-FIND(";",SUBSTITUTE(D86,"|",REPT(";",LEN(D86)),2))-1)</f>
        <v/>
      </c>
      <c r="K86">
        <f>MID(D86,FIND(";",SUBSTITUTE(D86,"|",REPT(";",LEN(D86)),3))+1,FIND(";",SUBSTITUTE(D86,"|",REPT(";",LEN(D86)),4))-FIND(";",SUBSTITUTE(D86,"|",REPT(";",LEN(D86)),3))-1)</f>
        <v/>
      </c>
      <c r="M86">
        <f>MID(D86,FIND(";",SUBSTITUTE(D86,"|",REPT(";",LEN(D86)),4))+1,FIND(";",SUBSTITUTE(D86,"|",REPT(";",LEN(D86)),5))-FIND(";",SUBSTITUTE(D86,"|",REPT(";",LEN(D86)),4))-1)</f>
        <v/>
      </c>
      <c r="N86">
        <f>MID(D86,FIND(";",SUBSTITUTE(D86,"|",REPT(";",LEN(D86)),6))+1,LEN(D86))</f>
        <v/>
      </c>
      <c r="O86">
        <f>MID(D86,FIND(";",SUBSTITUTE(D86,"|",REPT(";",LEN(D86)),5))+1,FIND(";",SUBSTITUTE(D86,"|",REPT(";",LEN(D86)),6))-FIND(";",SUBSTITUTE(D86,"|",REPT(";",LEN(D86)),5))-1)</f>
        <v/>
      </c>
    </row>
    <row r="87">
      <c r="A87" t="inlineStr">
        <is>
          <t>100201</t>
        </is>
      </c>
      <c r="B87" t="inlineStr">
        <is>
          <t>圆钢</t>
        </is>
      </c>
      <c r="C87" t="inlineStr">
        <is>
          <t>602283800</t>
        </is>
      </c>
      <c r="D87" t="inlineStr">
        <is>
          <t>热轧航空用不锈圆钢|圆钢|1Cr18Ni9Ti|Φ58|GJB 2294A-2014|热轧|GB/T 702-2008</t>
        </is>
      </c>
      <c r="E87" t="inlineStr">
        <is>
          <t>物资名称 热轧航空用不锈圆钢;物资简称 圆钢;牌号 1Cr18Ni9Ti;直径 Φ58;技术标准号 GJB 2294A-2014;加工工艺 热轧;热处理工艺 ;特殊要求 ;规格标准号 GB/T 702-2008</t>
        </is>
      </c>
      <c r="F87" t="inlineStr">
        <is>
          <t>千克</t>
        </is>
      </c>
      <c r="G87">
        <f>LEFT(D87,FIND("|",D87,1)-1)</f>
        <v/>
      </c>
      <c r="H87">
        <f>MID(D87,FIND("|",D87,FIND("|",D87,1))+1,FIND("|",D87,FIND("|",D87,1)+1)-FIND("|",D87,FIND("|",D87,1))-1)</f>
        <v/>
      </c>
      <c r="J87">
        <f>MID(D87,FIND(";",SUBSTITUTE(D87,"|",REPT(";",LEN(D87)),2))+1,FIND(";",SUBSTITUTE(D87,"|",REPT(";",LEN(D87)),3))-FIND(";",SUBSTITUTE(D87,"|",REPT(";",LEN(D87)),2))-1)</f>
        <v/>
      </c>
      <c r="K87">
        <f>MID(D87,FIND(";",SUBSTITUTE(D87,"|",REPT(";",LEN(D87)),3))+1,FIND(";",SUBSTITUTE(D87,"|",REPT(";",LEN(D87)),4))-FIND(";",SUBSTITUTE(D87,"|",REPT(";",LEN(D87)),3))-1)</f>
        <v/>
      </c>
      <c r="M87">
        <f>MID(D87,FIND(";",SUBSTITUTE(D87,"|",REPT(";",LEN(D87)),4))+1,FIND(";",SUBSTITUTE(D87,"|",REPT(";",LEN(D87)),5))-FIND(";",SUBSTITUTE(D87,"|",REPT(";",LEN(D87)),4))-1)</f>
        <v/>
      </c>
      <c r="N87">
        <f>MID(D87,FIND(";",SUBSTITUTE(D87,"|",REPT(";",LEN(D87)),6))+1,LEN(D87))</f>
        <v/>
      </c>
      <c r="O87">
        <f>MID(D87,FIND(";",SUBSTITUTE(D87,"|",REPT(";",LEN(D87)),5))+1,FIND(";",SUBSTITUTE(D87,"|",REPT(";",LEN(D87)),6))-FIND(";",SUBSTITUTE(D87,"|",REPT(";",LEN(D87)),5))-1)</f>
        <v/>
      </c>
    </row>
    <row r="88">
      <c r="A88" t="inlineStr">
        <is>
          <t>100201</t>
        </is>
      </c>
      <c r="B88" t="inlineStr">
        <is>
          <t>圆钢</t>
        </is>
      </c>
      <c r="C88" t="inlineStr">
        <is>
          <t>602283700</t>
        </is>
      </c>
      <c r="D88" t="inlineStr">
        <is>
          <t>热轧航空用不锈圆钢|圆钢|1Cr18Ni9Ti|Φ10|GJB 2294A-2014|热轧|GB/T 702-2008</t>
        </is>
      </c>
      <c r="E88" t="inlineStr">
        <is>
          <t>物资名称 热轧航空用不锈圆钢;物资简称 圆钢;牌号 1Cr18Ni9Ti;直径 Φ10;技术标准号 GJB 2294A-2014;加工工艺 热轧;热处理工艺 ;特殊要求 ;规格标准号 GB/T 702-2008</t>
        </is>
      </c>
      <c r="F88" t="inlineStr">
        <is>
          <t>千克</t>
        </is>
      </c>
      <c r="G88">
        <f>LEFT(D88,FIND("|",D88,1)-1)</f>
        <v/>
      </c>
      <c r="H88">
        <f>MID(D88,FIND("|",D88,FIND("|",D88,1))+1,FIND("|",D88,FIND("|",D88,1)+1)-FIND("|",D88,FIND("|",D88,1))-1)</f>
        <v/>
      </c>
      <c r="J88">
        <f>MID(D88,FIND(";",SUBSTITUTE(D88,"|",REPT(";",LEN(D88)),2))+1,FIND(";",SUBSTITUTE(D88,"|",REPT(";",LEN(D88)),3))-FIND(";",SUBSTITUTE(D88,"|",REPT(";",LEN(D88)),2))-1)</f>
        <v/>
      </c>
      <c r="K88">
        <f>MID(D88,FIND(";",SUBSTITUTE(D88,"|",REPT(";",LEN(D88)),3))+1,FIND(";",SUBSTITUTE(D88,"|",REPT(";",LEN(D88)),4))-FIND(";",SUBSTITUTE(D88,"|",REPT(";",LEN(D88)),3))-1)</f>
        <v/>
      </c>
      <c r="M88">
        <f>MID(D88,FIND(";",SUBSTITUTE(D88,"|",REPT(";",LEN(D88)),4))+1,FIND(";",SUBSTITUTE(D88,"|",REPT(";",LEN(D88)),5))-FIND(";",SUBSTITUTE(D88,"|",REPT(";",LEN(D88)),4))-1)</f>
        <v/>
      </c>
      <c r="N88">
        <f>MID(D88,FIND(";",SUBSTITUTE(D88,"|",REPT(";",LEN(D88)),6))+1,LEN(D88))</f>
        <v/>
      </c>
      <c r="O88">
        <f>MID(D88,FIND(";",SUBSTITUTE(D88,"|",REPT(";",LEN(D88)),5))+1,FIND(";",SUBSTITUTE(D88,"|",REPT(";",LEN(D88)),6))-FIND(";",SUBSTITUTE(D88,"|",REPT(";",LEN(D88)),5))-1)</f>
        <v/>
      </c>
    </row>
    <row r="89">
      <c r="A89" t="inlineStr">
        <is>
          <t>100201</t>
        </is>
      </c>
      <c r="B89" t="inlineStr">
        <is>
          <t>圆钢</t>
        </is>
      </c>
      <c r="C89" t="inlineStr">
        <is>
          <t>602283600</t>
        </is>
      </c>
      <c r="D89" t="inlineStr">
        <is>
          <t>热轧航空用不锈圆钢|圆钢|1Cr18Ni9Ti|Φ90|GJB 2294A-2014|热轧|GB/T 702-2008</t>
        </is>
      </c>
      <c r="E89" t="inlineStr">
        <is>
          <t>物资名称 热轧航空用不锈圆钢;物资简称 圆钢;牌号 1Cr18Ni9Ti;直径 Φ90;技术标准号 GJB 2294A-2014;加工工艺 热轧;热处理工艺 ;特殊要求 ;规格标准号 GB/T 702-2008</t>
        </is>
      </c>
      <c r="F89" t="inlineStr">
        <is>
          <t>千克</t>
        </is>
      </c>
      <c r="G89">
        <f>LEFT(D89,FIND("|",D89,1)-1)</f>
        <v/>
      </c>
      <c r="H89">
        <f>MID(D89,FIND("|",D89,FIND("|",D89,1))+1,FIND("|",D89,FIND("|",D89,1)+1)-FIND("|",D89,FIND("|",D89,1))-1)</f>
        <v/>
      </c>
      <c r="J89">
        <f>MID(D89,FIND(";",SUBSTITUTE(D89,"|",REPT(";",LEN(D89)),2))+1,FIND(";",SUBSTITUTE(D89,"|",REPT(";",LEN(D89)),3))-FIND(";",SUBSTITUTE(D89,"|",REPT(";",LEN(D89)),2))-1)</f>
        <v/>
      </c>
      <c r="K89">
        <f>MID(D89,FIND(";",SUBSTITUTE(D89,"|",REPT(";",LEN(D89)),3))+1,FIND(";",SUBSTITUTE(D89,"|",REPT(";",LEN(D89)),4))-FIND(";",SUBSTITUTE(D89,"|",REPT(";",LEN(D89)),3))-1)</f>
        <v/>
      </c>
      <c r="M89">
        <f>MID(D89,FIND(";",SUBSTITUTE(D89,"|",REPT(";",LEN(D89)),4))+1,FIND(";",SUBSTITUTE(D89,"|",REPT(";",LEN(D89)),5))-FIND(";",SUBSTITUTE(D89,"|",REPT(";",LEN(D89)),4))-1)</f>
        <v/>
      </c>
      <c r="N89">
        <f>MID(D89,FIND(";",SUBSTITUTE(D89,"|",REPT(";",LEN(D89)),6))+1,LEN(D89))</f>
        <v/>
      </c>
      <c r="O89">
        <f>MID(D89,FIND(";",SUBSTITUTE(D89,"|",REPT(";",LEN(D89)),5))+1,FIND(";",SUBSTITUTE(D89,"|",REPT(";",LEN(D89)),6))-FIND(";",SUBSTITUTE(D89,"|",REPT(";",LEN(D89)),5))-1)</f>
        <v/>
      </c>
    </row>
    <row r="90">
      <c r="A90" t="inlineStr">
        <is>
          <t>100201</t>
        </is>
      </c>
      <c r="B90" t="inlineStr">
        <is>
          <t>圆钢</t>
        </is>
      </c>
      <c r="C90" t="inlineStr">
        <is>
          <t>602283500</t>
        </is>
      </c>
      <c r="D90" t="inlineStr">
        <is>
          <t>热轧航空用不锈圆钢|圆钢|1Cr18Ni9Ti|Φ105|GJB 2294A-2014|热轧|GB/T 702-2008</t>
        </is>
      </c>
      <c r="E90" t="inlineStr">
        <is>
          <t>物资名称 热轧航空用不锈圆钢;物资简称 圆钢;牌号 1Cr18Ni9Ti;直径 Φ105;技术标准号 GJB 2294A-2014;加工工艺 热轧;热处理工艺 ;特殊要求 ;规格标准号 GB/T 702-2008</t>
        </is>
      </c>
      <c r="F90" t="inlineStr">
        <is>
          <t>千克</t>
        </is>
      </c>
      <c r="G90">
        <f>LEFT(D90,FIND("|",D90,1)-1)</f>
        <v/>
      </c>
      <c r="H90">
        <f>MID(D90,FIND("|",D90,FIND("|",D90,1))+1,FIND("|",D90,FIND("|",D90,1)+1)-FIND("|",D90,FIND("|",D90,1))-1)</f>
        <v/>
      </c>
      <c r="J90">
        <f>MID(D90,FIND(";",SUBSTITUTE(D90,"|",REPT(";",LEN(D90)),2))+1,FIND(";",SUBSTITUTE(D90,"|",REPT(";",LEN(D90)),3))-FIND(";",SUBSTITUTE(D90,"|",REPT(";",LEN(D90)),2))-1)</f>
        <v/>
      </c>
      <c r="K90">
        <f>MID(D90,FIND(";",SUBSTITUTE(D90,"|",REPT(";",LEN(D90)),3))+1,FIND(";",SUBSTITUTE(D90,"|",REPT(";",LEN(D90)),4))-FIND(";",SUBSTITUTE(D90,"|",REPT(";",LEN(D90)),3))-1)</f>
        <v/>
      </c>
      <c r="M90">
        <f>MID(D90,FIND(";",SUBSTITUTE(D90,"|",REPT(";",LEN(D90)),4))+1,FIND(";",SUBSTITUTE(D90,"|",REPT(";",LEN(D90)),5))-FIND(";",SUBSTITUTE(D90,"|",REPT(";",LEN(D90)),4))-1)</f>
        <v/>
      </c>
      <c r="N90">
        <f>MID(D90,FIND(";",SUBSTITUTE(D90,"|",REPT(";",LEN(D90)),6))+1,LEN(D90))</f>
        <v/>
      </c>
      <c r="O90">
        <f>MID(D90,FIND(";",SUBSTITUTE(D90,"|",REPT(";",LEN(D90)),5))+1,FIND(";",SUBSTITUTE(D90,"|",REPT(";",LEN(D90)),6))-FIND(";",SUBSTITUTE(D90,"|",REPT(";",LEN(D90)),5))-1)</f>
        <v/>
      </c>
    </row>
    <row r="91">
      <c r="A91" t="inlineStr">
        <is>
          <t>100201</t>
        </is>
      </c>
      <c r="B91" t="inlineStr">
        <is>
          <t>圆钢</t>
        </is>
      </c>
      <c r="C91" t="inlineStr">
        <is>
          <t>602279000</t>
        </is>
      </c>
      <c r="D91" t="inlineStr">
        <is>
          <t>热轧优质碳素结构圆钢|圆钢|45|Φ205|GB/T 699-1999|热轧|GB/T 702-2008</t>
        </is>
      </c>
      <c r="E91" t="inlineStr">
        <is>
          <t>物资名称 热轧优质碳素结构圆钢;物资简称 圆钢;牌号 45;直径 Φ205;技术标准号 GB/T 699-1999;加工工艺 热轧;热处理工艺 ;特殊要求 ;规格标准号 GB/T 702-2008</t>
        </is>
      </c>
      <c r="F91" t="inlineStr">
        <is>
          <t>千克</t>
        </is>
      </c>
      <c r="G91">
        <f>LEFT(D91,FIND("|",D91,1)-1)</f>
        <v/>
      </c>
      <c r="H91">
        <f>MID(D91,FIND("|",D91,FIND("|",D91,1))+1,FIND("|",D91,FIND("|",D91,1)+1)-FIND("|",D91,FIND("|",D91,1))-1)</f>
        <v/>
      </c>
      <c r="J91">
        <f>MID(D91,FIND(";",SUBSTITUTE(D91,"|",REPT(";",LEN(D91)),2))+1,FIND(";",SUBSTITUTE(D91,"|",REPT(";",LEN(D91)),3))-FIND(";",SUBSTITUTE(D91,"|",REPT(";",LEN(D91)),2))-1)</f>
        <v/>
      </c>
      <c r="K91">
        <f>MID(D91,FIND(";",SUBSTITUTE(D91,"|",REPT(";",LEN(D91)),3))+1,FIND(";",SUBSTITUTE(D91,"|",REPT(";",LEN(D91)),4))-FIND(";",SUBSTITUTE(D91,"|",REPT(";",LEN(D91)),3))-1)</f>
        <v/>
      </c>
      <c r="M91">
        <f>MID(D91,FIND(";",SUBSTITUTE(D91,"|",REPT(";",LEN(D91)),4))+1,FIND(";",SUBSTITUTE(D91,"|",REPT(";",LEN(D91)),5))-FIND(";",SUBSTITUTE(D91,"|",REPT(";",LEN(D91)),4))-1)</f>
        <v/>
      </c>
      <c r="N91">
        <f>MID(D91,FIND(";",SUBSTITUTE(D91,"|",REPT(";",LEN(D91)),6))+1,LEN(D91))</f>
        <v/>
      </c>
      <c r="O91">
        <f>MID(D91,FIND(";",SUBSTITUTE(D91,"|",REPT(";",LEN(D91)),5))+1,FIND(";",SUBSTITUTE(D91,"|",REPT(";",LEN(D91)),6))-FIND(";",SUBSTITUTE(D91,"|",REPT(";",LEN(D91)),5))-1)</f>
        <v/>
      </c>
    </row>
    <row r="92">
      <c r="A92" t="inlineStr">
        <is>
          <t>100201</t>
        </is>
      </c>
      <c r="B92" t="inlineStr">
        <is>
          <t>圆钢</t>
        </is>
      </c>
      <c r="C92" t="inlineStr">
        <is>
          <t>602278900</t>
        </is>
      </c>
      <c r="D92" t="inlineStr">
        <is>
          <t>热轧航空用不锈圆钢|圆钢|1Cr18Ni9Ti|Φ135|GJB 2294-1995|热轧|GB/T 702-2008</t>
        </is>
      </c>
      <c r="E92" t="inlineStr">
        <is>
          <t>物资名称 热轧航空用不锈圆钢;物资简称 圆钢;牌号 1Cr18Ni9Ti;直径 Φ135;技术标准号 GJB 2294-1995;加工工艺 热轧;热处理工艺 ;特殊要求 ;规格标准号 GB/T 702-2008</t>
        </is>
      </c>
      <c r="F92" t="inlineStr">
        <is>
          <t>千克</t>
        </is>
      </c>
      <c r="G92">
        <f>LEFT(D92,FIND("|",D92,1)-1)</f>
        <v/>
      </c>
      <c r="H92">
        <f>MID(D92,FIND("|",D92,FIND("|",D92,1))+1,FIND("|",D92,FIND("|",D92,1)+1)-FIND("|",D92,FIND("|",D92,1))-1)</f>
        <v/>
      </c>
      <c r="J92">
        <f>MID(D92,FIND(";",SUBSTITUTE(D92,"|",REPT(";",LEN(D92)),2))+1,FIND(";",SUBSTITUTE(D92,"|",REPT(";",LEN(D92)),3))-FIND(";",SUBSTITUTE(D92,"|",REPT(";",LEN(D92)),2))-1)</f>
        <v/>
      </c>
      <c r="K92">
        <f>MID(D92,FIND(";",SUBSTITUTE(D92,"|",REPT(";",LEN(D92)),3))+1,FIND(";",SUBSTITUTE(D92,"|",REPT(";",LEN(D92)),4))-FIND(";",SUBSTITUTE(D92,"|",REPT(";",LEN(D92)),3))-1)</f>
        <v/>
      </c>
      <c r="M92">
        <f>MID(D92,FIND(";",SUBSTITUTE(D92,"|",REPT(";",LEN(D92)),4))+1,FIND(";",SUBSTITUTE(D92,"|",REPT(";",LEN(D92)),5))-FIND(";",SUBSTITUTE(D92,"|",REPT(";",LEN(D92)),4))-1)</f>
        <v/>
      </c>
      <c r="N92">
        <f>MID(D92,FIND(";",SUBSTITUTE(D92,"|",REPT(";",LEN(D92)),6))+1,LEN(D92))</f>
        <v/>
      </c>
      <c r="O92">
        <f>MID(D92,FIND(";",SUBSTITUTE(D92,"|",REPT(";",LEN(D92)),5))+1,FIND(";",SUBSTITUTE(D92,"|",REPT(";",LEN(D92)),6))-FIND(";",SUBSTITUTE(D92,"|",REPT(";",LEN(D92)),5))-1)</f>
        <v/>
      </c>
    </row>
    <row r="93">
      <c r="A93" t="inlineStr">
        <is>
          <t>100201</t>
        </is>
      </c>
      <c r="B93" t="inlineStr">
        <is>
          <t>圆钢</t>
        </is>
      </c>
      <c r="C93" t="inlineStr">
        <is>
          <t>602268400</t>
        </is>
      </c>
      <c r="D93" t="inlineStr">
        <is>
          <t>热轧不锈圆钢|圆钢|40Cr13|Φ18|GB/T 1220-2007|热轧|GB/T 702-2008</t>
        </is>
      </c>
      <c r="E93" t="inlineStr">
        <is>
          <t>物资名称 热轧不锈圆钢;物资简称 圆钢;牌号 40Cr13;直径 Φ18;技术标准号 GB/T 1220-2007;加工工艺 热轧;热处理工艺 ;特殊要求 ;规格标准号 GB/T 702-2008</t>
        </is>
      </c>
      <c r="F93" t="inlineStr">
        <is>
          <t>千克</t>
        </is>
      </c>
      <c r="G93">
        <f>LEFT(D93,FIND("|",D93,1)-1)</f>
        <v/>
      </c>
      <c r="H93">
        <f>MID(D93,FIND("|",D93,FIND("|",D93,1))+1,FIND("|",D93,FIND("|",D93,1)+1)-FIND("|",D93,FIND("|",D93,1))-1)</f>
        <v/>
      </c>
      <c r="J93">
        <f>MID(D93,FIND(";",SUBSTITUTE(D93,"|",REPT(";",LEN(D93)),2))+1,FIND(";",SUBSTITUTE(D93,"|",REPT(";",LEN(D93)),3))-FIND(";",SUBSTITUTE(D93,"|",REPT(";",LEN(D93)),2))-1)</f>
        <v/>
      </c>
      <c r="K93">
        <f>MID(D93,FIND(";",SUBSTITUTE(D93,"|",REPT(";",LEN(D93)),3))+1,FIND(";",SUBSTITUTE(D93,"|",REPT(";",LEN(D93)),4))-FIND(";",SUBSTITUTE(D93,"|",REPT(";",LEN(D93)),3))-1)</f>
        <v/>
      </c>
      <c r="M93">
        <f>MID(D93,FIND(";",SUBSTITUTE(D93,"|",REPT(";",LEN(D93)),4))+1,FIND(";",SUBSTITUTE(D93,"|",REPT(";",LEN(D93)),5))-FIND(";",SUBSTITUTE(D93,"|",REPT(";",LEN(D93)),4))-1)</f>
        <v/>
      </c>
      <c r="N93">
        <f>MID(D93,FIND(";",SUBSTITUTE(D93,"|",REPT(";",LEN(D93)),6))+1,LEN(D93))</f>
        <v/>
      </c>
      <c r="O93">
        <f>MID(D93,FIND(";",SUBSTITUTE(D93,"|",REPT(";",LEN(D93)),5))+1,FIND(";",SUBSTITUTE(D93,"|",REPT(";",LEN(D93)),6))-FIND(";",SUBSTITUTE(D93,"|",REPT(";",LEN(D93)),5))-1)</f>
        <v/>
      </c>
    </row>
    <row r="94">
      <c r="A94" t="inlineStr">
        <is>
          <t>100201</t>
        </is>
      </c>
      <c r="B94" t="inlineStr">
        <is>
          <t>圆钢</t>
        </is>
      </c>
      <c r="C94" t="inlineStr">
        <is>
          <t>602208900</t>
        </is>
      </c>
      <c r="D94" t="inlineStr">
        <is>
          <t>航空用优质结构圆钢|圆钢|38CrMoAlA|Φ40|GJB 1951A-2020|GB/T 702-2008</t>
        </is>
      </c>
      <c r="E94" t="inlineStr">
        <is>
          <t>物资名称 航空用优质结构圆钢;物资简称 圆钢;牌号 38CrMoAlA;直径 Φ40;技术标准号 GJB 1951A-2020;加工工艺 ;热处理工艺 ;特殊要求 ;规格标准号 GB/T 702-2008</t>
        </is>
      </c>
      <c r="F94" t="inlineStr">
        <is>
          <t>千克</t>
        </is>
      </c>
      <c r="G94">
        <f>LEFT(D94,FIND("|",D94,1)-1)</f>
        <v/>
      </c>
      <c r="H94">
        <f>MID(D94,FIND("|",D94,FIND("|",D94,1))+1,FIND("|",D94,FIND("|",D94,1)+1)-FIND("|",D94,FIND("|",D94,1))-1)</f>
        <v/>
      </c>
      <c r="J94">
        <f>MID(D94,FIND(";",SUBSTITUTE(D94,"|",REPT(";",LEN(D94)),2))+1,FIND(";",SUBSTITUTE(D94,"|",REPT(";",LEN(D94)),3))-FIND(";",SUBSTITUTE(D94,"|",REPT(";",LEN(D94)),2))-1)</f>
        <v/>
      </c>
      <c r="K94">
        <f>MID(D94,FIND(";",SUBSTITUTE(D94,"|",REPT(";",LEN(D94)),3))+1,FIND(";",SUBSTITUTE(D94,"|",REPT(";",LEN(D94)),4))-FIND(";",SUBSTITUTE(D94,"|",REPT(";",LEN(D94)),3))-1)</f>
        <v/>
      </c>
      <c r="M94">
        <f>MID(D94,FIND(";",SUBSTITUTE(D94,"|",REPT(";",LEN(D94)),4))+1,FIND(";",SUBSTITUTE(D94,"|",REPT(";",LEN(D94)),5))-FIND(";",SUBSTITUTE(D94,"|",REPT(";",LEN(D94)),4))-1)</f>
        <v/>
      </c>
      <c r="N94">
        <f>MID(D94,FIND(";",SUBSTITUTE(D94,"|",REPT(";",LEN(D94)),5))+1,LEN(D94))</f>
        <v/>
      </c>
    </row>
    <row r="95">
      <c r="A95" t="inlineStr">
        <is>
          <t>100201</t>
        </is>
      </c>
      <c r="B95" t="inlineStr">
        <is>
          <t>圆钢</t>
        </is>
      </c>
      <c r="C95" t="inlineStr">
        <is>
          <t>602208800</t>
        </is>
      </c>
      <c r="D95" t="inlineStr">
        <is>
          <t>航空用优质结构圆钢|圆钢|38CrMoAlA|Φ100|GJB 1951A-2020|GB/T 702-2008</t>
        </is>
      </c>
      <c r="E95" t="inlineStr">
        <is>
          <t>物资名称 航空用优质结构圆钢;物资简称 圆钢;牌号 38CrMoAlA;直径 Φ100;技术标准号 GJB 1951A-2020;加工工艺 ;热处理工艺 ;特殊要求 ;规格标准号 GB/T 702-2008</t>
        </is>
      </c>
      <c r="F95" t="inlineStr">
        <is>
          <t>千克</t>
        </is>
      </c>
      <c r="G95">
        <f>LEFT(D95,FIND("|",D95,1)-1)</f>
        <v/>
      </c>
      <c r="H95">
        <f>MID(D95,FIND("|",D95,FIND("|",D95,1))+1,FIND("|",D95,FIND("|",D95,1)+1)-FIND("|",D95,FIND("|",D95,1))-1)</f>
        <v/>
      </c>
      <c r="J95">
        <f>MID(D95,FIND(";",SUBSTITUTE(D95,"|",REPT(";",LEN(D95)),2))+1,FIND(";",SUBSTITUTE(D95,"|",REPT(";",LEN(D95)),3))-FIND(";",SUBSTITUTE(D95,"|",REPT(";",LEN(D95)),2))-1)</f>
        <v/>
      </c>
      <c r="K95">
        <f>MID(D95,FIND(";",SUBSTITUTE(D95,"|",REPT(";",LEN(D95)),3))+1,FIND(";",SUBSTITUTE(D95,"|",REPT(";",LEN(D95)),4))-FIND(";",SUBSTITUTE(D95,"|",REPT(";",LEN(D95)),3))-1)</f>
        <v/>
      </c>
      <c r="M95">
        <f>MID(D95,FIND(";",SUBSTITUTE(D95,"|",REPT(";",LEN(D95)),4))+1,FIND(";",SUBSTITUTE(D95,"|",REPT(";",LEN(D95)),5))-FIND(";",SUBSTITUTE(D95,"|",REPT(";",LEN(D95)),4))-1)</f>
        <v/>
      </c>
      <c r="N95">
        <f>MID(D95,FIND(";",SUBSTITUTE(D95,"|",REPT(";",LEN(D95)),5))+1,LEN(D95))</f>
        <v/>
      </c>
    </row>
    <row r="96">
      <c r="A96" t="inlineStr">
        <is>
          <t>100201</t>
        </is>
      </c>
      <c r="B96" t="inlineStr">
        <is>
          <t>圆钢</t>
        </is>
      </c>
      <c r="C96" t="inlineStr">
        <is>
          <t>602188900</t>
        </is>
      </c>
      <c r="D96" t="inlineStr">
        <is>
          <t>热轧不锈圆钢|圆钢|06Cr19Ni10|Φ50|GB/T 1220-2007|热轧|GB/T 702-2008</t>
        </is>
      </c>
      <c r="E96" t="inlineStr">
        <is>
          <t>物资名称 热轧不锈圆钢;物资简称 圆钢;牌号 06Cr19Ni10;直径 Φ50;技术标准号 GB/T 1220-2007;加工工艺 热轧;热处理工艺 ;特殊要求 ;规格标准号 GB/T 702-2008</t>
        </is>
      </c>
      <c r="F96" t="inlineStr">
        <is>
          <t>千克</t>
        </is>
      </c>
      <c r="G96">
        <f>LEFT(D96,FIND("|",D96,1)-1)</f>
        <v/>
      </c>
      <c r="H96">
        <f>MID(D96,FIND("|",D96,FIND("|",D96,1))+1,FIND("|",D96,FIND("|",D96,1)+1)-FIND("|",D96,FIND("|",D96,1))-1)</f>
        <v/>
      </c>
      <c r="J96">
        <f>MID(D96,FIND(";",SUBSTITUTE(D96,"|",REPT(";",LEN(D96)),2))+1,FIND(";",SUBSTITUTE(D96,"|",REPT(";",LEN(D96)),3))-FIND(";",SUBSTITUTE(D96,"|",REPT(";",LEN(D96)),2))-1)</f>
        <v/>
      </c>
      <c r="K96">
        <f>MID(D96,FIND(";",SUBSTITUTE(D96,"|",REPT(";",LEN(D96)),3))+1,FIND(";",SUBSTITUTE(D96,"|",REPT(";",LEN(D96)),4))-FIND(";",SUBSTITUTE(D96,"|",REPT(";",LEN(D96)),3))-1)</f>
        <v/>
      </c>
      <c r="M96">
        <f>MID(D96,FIND(";",SUBSTITUTE(D96,"|",REPT(";",LEN(D96)),4))+1,FIND(";",SUBSTITUTE(D96,"|",REPT(";",LEN(D96)),5))-FIND(";",SUBSTITUTE(D96,"|",REPT(";",LEN(D96)),4))-1)</f>
        <v/>
      </c>
      <c r="N96">
        <f>MID(D96,FIND(";",SUBSTITUTE(D96,"|",REPT(";",LEN(D96)),6))+1,LEN(D96))</f>
        <v/>
      </c>
      <c r="O96">
        <f>MID(D96,FIND(";",SUBSTITUTE(D96,"|",REPT(";",LEN(D96)),5))+1,FIND(";",SUBSTITUTE(D96,"|",REPT(";",LEN(D96)),6))-FIND(";",SUBSTITUTE(D96,"|",REPT(";",LEN(D96)),5))-1)</f>
        <v/>
      </c>
    </row>
    <row r="97">
      <c r="A97" t="inlineStr">
        <is>
          <t>100201</t>
        </is>
      </c>
      <c r="B97" t="inlineStr">
        <is>
          <t>圆钢</t>
        </is>
      </c>
      <c r="C97" t="inlineStr">
        <is>
          <t>602188800</t>
        </is>
      </c>
      <c r="D97" t="inlineStr">
        <is>
          <t>热轧不锈圆钢|圆钢|06Cr19Ni10|Φ70|GB/T 1220-2007|热轧|GB/T 702-2008</t>
        </is>
      </c>
      <c r="E97" t="inlineStr">
        <is>
          <t>物资名称 热轧不锈圆钢;物资简称 圆钢;牌号 06Cr19Ni10;直径 Φ70;技术标准号 GB/T 1220-2007;加工工艺 热轧;热处理工艺 ;特殊要求 ;规格标准号 GB/T 702-2008</t>
        </is>
      </c>
      <c r="F97" t="inlineStr">
        <is>
          <t>千克</t>
        </is>
      </c>
      <c r="G97">
        <f>LEFT(D97,FIND("|",D97,1)-1)</f>
        <v/>
      </c>
      <c r="H97">
        <f>MID(D97,FIND("|",D97,FIND("|",D97,1))+1,FIND("|",D97,FIND("|",D97,1)+1)-FIND("|",D97,FIND("|",D97,1))-1)</f>
        <v/>
      </c>
      <c r="J97">
        <f>MID(D97,FIND(";",SUBSTITUTE(D97,"|",REPT(";",LEN(D97)),2))+1,FIND(";",SUBSTITUTE(D97,"|",REPT(";",LEN(D97)),3))-FIND(";",SUBSTITUTE(D97,"|",REPT(";",LEN(D97)),2))-1)</f>
        <v/>
      </c>
      <c r="K97">
        <f>MID(D97,FIND(";",SUBSTITUTE(D97,"|",REPT(";",LEN(D97)),3))+1,FIND(";",SUBSTITUTE(D97,"|",REPT(";",LEN(D97)),4))-FIND(";",SUBSTITUTE(D97,"|",REPT(";",LEN(D97)),3))-1)</f>
        <v/>
      </c>
      <c r="M97">
        <f>MID(D97,FIND(";",SUBSTITUTE(D97,"|",REPT(";",LEN(D97)),4))+1,FIND(";",SUBSTITUTE(D97,"|",REPT(";",LEN(D97)),5))-FIND(";",SUBSTITUTE(D97,"|",REPT(";",LEN(D97)),4))-1)</f>
        <v/>
      </c>
      <c r="N97">
        <f>MID(D97,FIND(";",SUBSTITUTE(D97,"|",REPT(";",LEN(D97)),6))+1,LEN(D97))</f>
        <v/>
      </c>
      <c r="O97">
        <f>MID(D97,FIND(";",SUBSTITUTE(D97,"|",REPT(";",LEN(D97)),5))+1,FIND(";",SUBSTITUTE(D97,"|",REPT(";",LEN(D97)),6))-FIND(";",SUBSTITUTE(D97,"|",REPT(";",LEN(D97)),5))-1)</f>
        <v/>
      </c>
    </row>
    <row r="98">
      <c r="A98" t="inlineStr">
        <is>
          <t>100201</t>
        </is>
      </c>
      <c r="B98" t="inlineStr">
        <is>
          <t>圆钢</t>
        </is>
      </c>
      <c r="C98" t="inlineStr">
        <is>
          <t>602188700</t>
        </is>
      </c>
      <c r="D98" t="inlineStr">
        <is>
          <t>热轧不锈圆钢|圆钢|06Cr19Ni10|Φ280|GB/T 1220-2007|热轧|GB/T 702-2008</t>
        </is>
      </c>
      <c r="E98" t="inlineStr">
        <is>
          <t>物资名称 热轧不锈圆钢;物资简称 圆钢;牌号 06Cr19Ni10;直径 Φ280;技术标准号 GB/T 1220-2007;加工工艺 热轧;热处理工艺 ;特殊要求 ;规格标准号 GB/T 702-2008</t>
        </is>
      </c>
      <c r="F98" t="inlineStr">
        <is>
          <t>千克</t>
        </is>
      </c>
      <c r="G98">
        <f>LEFT(D98,FIND("|",D98,1)-1)</f>
        <v/>
      </c>
      <c r="H98">
        <f>MID(D98,FIND("|",D98,FIND("|",D98,1))+1,FIND("|",D98,FIND("|",D98,1)+1)-FIND("|",D98,FIND("|",D98,1))-1)</f>
        <v/>
      </c>
      <c r="J98">
        <f>MID(D98,FIND(";",SUBSTITUTE(D98,"|",REPT(";",LEN(D98)),2))+1,FIND(";",SUBSTITUTE(D98,"|",REPT(";",LEN(D98)),3))-FIND(";",SUBSTITUTE(D98,"|",REPT(";",LEN(D98)),2))-1)</f>
        <v/>
      </c>
      <c r="K98">
        <f>MID(D98,FIND(";",SUBSTITUTE(D98,"|",REPT(";",LEN(D98)),3))+1,FIND(";",SUBSTITUTE(D98,"|",REPT(";",LEN(D98)),4))-FIND(";",SUBSTITUTE(D98,"|",REPT(";",LEN(D98)),3))-1)</f>
        <v/>
      </c>
      <c r="M98">
        <f>MID(D98,FIND(";",SUBSTITUTE(D98,"|",REPT(";",LEN(D98)),4))+1,FIND(";",SUBSTITUTE(D98,"|",REPT(";",LEN(D98)),5))-FIND(";",SUBSTITUTE(D98,"|",REPT(";",LEN(D98)),4))-1)</f>
        <v/>
      </c>
      <c r="N98">
        <f>MID(D98,FIND(";",SUBSTITUTE(D98,"|",REPT(";",LEN(D98)),6))+1,LEN(D98))</f>
        <v/>
      </c>
      <c r="O98">
        <f>MID(D98,FIND(";",SUBSTITUTE(D98,"|",REPT(";",LEN(D98)),5))+1,FIND(";",SUBSTITUTE(D98,"|",REPT(";",LEN(D98)),6))-FIND(";",SUBSTITUTE(D98,"|",REPT(";",LEN(D98)),5))-1)</f>
        <v/>
      </c>
    </row>
    <row r="99">
      <c r="A99" t="inlineStr">
        <is>
          <t>100201</t>
        </is>
      </c>
      <c r="B99" t="inlineStr">
        <is>
          <t>圆钢</t>
        </is>
      </c>
      <c r="C99" t="inlineStr">
        <is>
          <t>602188600</t>
        </is>
      </c>
      <c r="D99" t="inlineStr">
        <is>
          <t>热轧不锈圆钢|圆钢|06Cr19Ni10|Φ80|GB/T 1220-2007|热轧|GB/T 702-2008</t>
        </is>
      </c>
      <c r="E99" t="inlineStr">
        <is>
          <t>物资名称 热轧不锈圆钢;物资简称 圆钢;牌号 06Cr19Ni10;直径 Φ80;技术标准号 GB/T 1220-2007;加工工艺 热轧;热处理工艺 ;特殊要求 ;规格标准号 GB/T 702-2008</t>
        </is>
      </c>
      <c r="F99" t="inlineStr">
        <is>
          <t>千克</t>
        </is>
      </c>
      <c r="G99">
        <f>LEFT(D99,FIND("|",D99,1)-1)</f>
        <v/>
      </c>
      <c r="H99">
        <f>MID(D99,FIND("|",D99,FIND("|",D99,1))+1,FIND("|",D99,FIND("|",D99,1)+1)-FIND("|",D99,FIND("|",D99,1))-1)</f>
        <v/>
      </c>
      <c r="J99">
        <f>MID(D99,FIND(";",SUBSTITUTE(D99,"|",REPT(";",LEN(D99)),2))+1,FIND(";",SUBSTITUTE(D99,"|",REPT(";",LEN(D99)),3))-FIND(";",SUBSTITUTE(D99,"|",REPT(";",LEN(D99)),2))-1)</f>
        <v/>
      </c>
      <c r="K99">
        <f>MID(D99,FIND(";",SUBSTITUTE(D99,"|",REPT(";",LEN(D99)),3))+1,FIND(";",SUBSTITUTE(D99,"|",REPT(";",LEN(D99)),4))-FIND(";",SUBSTITUTE(D99,"|",REPT(";",LEN(D99)),3))-1)</f>
        <v/>
      </c>
      <c r="M99">
        <f>MID(D99,FIND(";",SUBSTITUTE(D99,"|",REPT(";",LEN(D99)),4))+1,FIND(";",SUBSTITUTE(D99,"|",REPT(";",LEN(D99)),5))-FIND(";",SUBSTITUTE(D99,"|",REPT(";",LEN(D99)),4))-1)</f>
        <v/>
      </c>
      <c r="N99">
        <f>MID(D99,FIND(";",SUBSTITUTE(D99,"|",REPT(";",LEN(D99)),6))+1,LEN(D99))</f>
        <v/>
      </c>
      <c r="O99">
        <f>MID(D99,FIND(";",SUBSTITUTE(D99,"|",REPT(";",LEN(D99)),5))+1,FIND(";",SUBSTITUTE(D99,"|",REPT(";",LEN(D99)),6))-FIND(";",SUBSTITUTE(D99,"|",REPT(";",LEN(D99)),5))-1)</f>
        <v/>
      </c>
    </row>
    <row r="100">
      <c r="A100" t="inlineStr">
        <is>
          <t>100201</t>
        </is>
      </c>
      <c r="B100" t="inlineStr">
        <is>
          <t>圆钢</t>
        </is>
      </c>
      <c r="C100" t="inlineStr">
        <is>
          <t>602188500</t>
        </is>
      </c>
      <c r="D100" t="inlineStr">
        <is>
          <t>热轧不锈圆钢|圆钢|06Cr19Ni10|Φ12|GB/T 1220-2007|热轧|GB/T 702-2008</t>
        </is>
      </c>
      <c r="E100" t="inlineStr">
        <is>
          <t>物资名称 热轧不锈圆钢;物资简称 圆钢;牌号 06Cr19Ni10;直径 Φ12;技术标准号 GB/T 1220-2007;加工工艺 热轧;热处理工艺 ;特殊要求 ;规格标准号 GB/T 702-2008</t>
        </is>
      </c>
      <c r="F100" t="inlineStr">
        <is>
          <t>千克</t>
        </is>
      </c>
      <c r="G100">
        <f>LEFT(D100,FIND("|",D100,1)-1)</f>
        <v/>
      </c>
      <c r="H100">
        <f>MID(D100,FIND("|",D100,FIND("|",D100,1))+1,FIND("|",D100,FIND("|",D100,1)+1)-FIND("|",D100,FIND("|",D100,1))-1)</f>
        <v/>
      </c>
      <c r="J100">
        <f>MID(D100,FIND(";",SUBSTITUTE(D100,"|",REPT(";",LEN(D100)),2))+1,FIND(";",SUBSTITUTE(D100,"|",REPT(";",LEN(D100)),3))-FIND(";",SUBSTITUTE(D100,"|",REPT(";",LEN(D100)),2))-1)</f>
        <v/>
      </c>
      <c r="K100">
        <f>MID(D100,FIND(";",SUBSTITUTE(D100,"|",REPT(";",LEN(D100)),3))+1,FIND(";",SUBSTITUTE(D100,"|",REPT(";",LEN(D100)),4))-FIND(";",SUBSTITUTE(D100,"|",REPT(";",LEN(D100)),3))-1)</f>
        <v/>
      </c>
      <c r="M100">
        <f>MID(D100,FIND(";",SUBSTITUTE(D100,"|",REPT(";",LEN(D100)),4))+1,FIND(";",SUBSTITUTE(D100,"|",REPT(";",LEN(D100)),5))-FIND(";",SUBSTITUTE(D100,"|",REPT(";",LEN(D100)),4))-1)</f>
        <v/>
      </c>
      <c r="N100">
        <f>MID(D100,FIND(";",SUBSTITUTE(D100,"|",REPT(";",LEN(D100)),6))+1,LEN(D100))</f>
        <v/>
      </c>
      <c r="O100">
        <f>MID(D100,FIND(";",SUBSTITUTE(D100,"|",REPT(";",LEN(D100)),5))+1,FIND(";",SUBSTITUTE(D100,"|",REPT(";",LEN(D100)),6))-FIND(";",SUBSTITUTE(D100,"|",REPT(";",LEN(D100)),5))-1)</f>
        <v/>
      </c>
    </row>
    <row r="101">
      <c r="A101" t="inlineStr">
        <is>
          <t>100201</t>
        </is>
      </c>
      <c r="B101" t="inlineStr">
        <is>
          <t>圆钢</t>
        </is>
      </c>
      <c r="C101" t="inlineStr">
        <is>
          <t>602188400</t>
        </is>
      </c>
      <c r="D101" t="inlineStr">
        <is>
          <t>热轧不锈圆钢|圆钢|06Cr19Ni10|Φ90|GB/T 1220-2007|热轧|GB/T 702-2008</t>
        </is>
      </c>
      <c r="E101" t="inlineStr">
        <is>
          <t>物资名称 热轧不锈圆钢;物资简称 圆钢;牌号 06Cr19Ni10;直径 Φ90;技术标准号 GB/T 1220-2007;加工工艺 热轧;热处理工艺 ;特殊要求 ;规格标准号 GB/T 702-2008</t>
        </is>
      </c>
      <c r="F101" t="inlineStr">
        <is>
          <t>千克</t>
        </is>
      </c>
      <c r="G101">
        <f>LEFT(D101,FIND("|",D101,1)-1)</f>
        <v/>
      </c>
      <c r="H101">
        <f>MID(D101,FIND("|",D101,FIND("|",D101,1))+1,FIND("|",D101,FIND("|",D101,1)+1)-FIND("|",D101,FIND("|",D101,1))-1)</f>
        <v/>
      </c>
      <c r="J101">
        <f>MID(D101,FIND(";",SUBSTITUTE(D101,"|",REPT(";",LEN(D101)),2))+1,FIND(";",SUBSTITUTE(D101,"|",REPT(";",LEN(D101)),3))-FIND(";",SUBSTITUTE(D101,"|",REPT(";",LEN(D101)),2))-1)</f>
        <v/>
      </c>
      <c r="K101">
        <f>MID(D101,FIND(";",SUBSTITUTE(D101,"|",REPT(";",LEN(D101)),3))+1,FIND(";",SUBSTITUTE(D101,"|",REPT(";",LEN(D101)),4))-FIND(";",SUBSTITUTE(D101,"|",REPT(";",LEN(D101)),3))-1)</f>
        <v/>
      </c>
      <c r="M101">
        <f>MID(D101,FIND(";",SUBSTITUTE(D101,"|",REPT(";",LEN(D101)),4))+1,FIND(";",SUBSTITUTE(D101,"|",REPT(";",LEN(D101)),5))-FIND(";",SUBSTITUTE(D101,"|",REPT(";",LEN(D101)),4))-1)</f>
        <v/>
      </c>
      <c r="N101">
        <f>MID(D101,FIND(";",SUBSTITUTE(D101,"|",REPT(";",LEN(D101)),6))+1,LEN(D101))</f>
        <v/>
      </c>
      <c r="O101">
        <f>MID(D101,FIND(";",SUBSTITUTE(D101,"|",REPT(";",LEN(D101)),5))+1,FIND(";",SUBSTITUTE(D101,"|",REPT(";",LEN(D101)),6))-FIND(";",SUBSTITUTE(D101,"|",REPT(";",LEN(D101)),5))-1)</f>
        <v/>
      </c>
    </row>
    <row r="102">
      <c r="A102" t="inlineStr">
        <is>
          <t>100201</t>
        </is>
      </c>
      <c r="B102" t="inlineStr">
        <is>
          <t>圆钢</t>
        </is>
      </c>
      <c r="C102" t="inlineStr">
        <is>
          <t>602184700</t>
        </is>
      </c>
      <c r="D102" t="inlineStr">
        <is>
          <t>热轧合金结构圆钢|圆钢|35CrMnSiA|Φ25|GB/T 3077-2015|热轧|GB/T 702-2017</t>
        </is>
      </c>
      <c r="E102" t="inlineStr">
        <is>
          <t>物资名称 热轧合金结构圆钢;物资简称 圆钢;牌号 35CrMnSiA;直径 Φ25;技术标准号 GB/T 3077-2015;加工工艺 热轧;热处理工艺 ;特殊要求 ;规格标准号 GB/T 702-2017</t>
        </is>
      </c>
      <c r="F102" t="inlineStr">
        <is>
          <t>千克</t>
        </is>
      </c>
      <c r="G102">
        <f>LEFT(D102,FIND("|",D102,1)-1)</f>
        <v/>
      </c>
      <c r="H102">
        <f>MID(D102,FIND("|",D102,FIND("|",D102,1))+1,FIND("|",D102,FIND("|",D102,1)+1)-FIND("|",D102,FIND("|",D102,1))-1)</f>
        <v/>
      </c>
      <c r="J102">
        <f>MID(D102,FIND(";",SUBSTITUTE(D102,"|",REPT(";",LEN(D102)),2))+1,FIND(";",SUBSTITUTE(D102,"|",REPT(";",LEN(D102)),3))-FIND(";",SUBSTITUTE(D102,"|",REPT(";",LEN(D102)),2))-1)</f>
        <v/>
      </c>
      <c r="K102">
        <f>MID(D102,FIND(";",SUBSTITUTE(D102,"|",REPT(";",LEN(D102)),3))+1,FIND(";",SUBSTITUTE(D102,"|",REPT(";",LEN(D102)),4))-FIND(";",SUBSTITUTE(D102,"|",REPT(";",LEN(D102)),3))-1)</f>
        <v/>
      </c>
      <c r="M102">
        <f>MID(D102,FIND(";",SUBSTITUTE(D102,"|",REPT(";",LEN(D102)),4))+1,FIND(";",SUBSTITUTE(D102,"|",REPT(";",LEN(D102)),5))-FIND(";",SUBSTITUTE(D102,"|",REPT(";",LEN(D102)),4))-1)</f>
        <v/>
      </c>
      <c r="N102">
        <f>MID(D102,FIND(";",SUBSTITUTE(D102,"|",REPT(";",LEN(D102)),6))+1,LEN(D102))</f>
        <v/>
      </c>
      <c r="O102">
        <f>MID(D102,FIND(";",SUBSTITUTE(D102,"|",REPT(";",LEN(D102)),5))+1,FIND(";",SUBSTITUTE(D102,"|",REPT(";",LEN(D102)),6))-FIND(";",SUBSTITUTE(D102,"|",REPT(";",LEN(D102)),5))-1)</f>
        <v/>
      </c>
    </row>
    <row r="103">
      <c r="A103" t="inlineStr">
        <is>
          <t>100201</t>
        </is>
      </c>
      <c r="B103" t="inlineStr">
        <is>
          <t>圆钢</t>
        </is>
      </c>
      <c r="C103" t="inlineStr">
        <is>
          <t>602184600</t>
        </is>
      </c>
      <c r="D103" t="inlineStr">
        <is>
          <t>热轧合金结构圆钢|圆钢|35CrMnSiA|Φ60|GB/T 3077-2015|热轧|GB/T 702-2017</t>
        </is>
      </c>
      <c r="E103" t="inlineStr">
        <is>
          <t>物资名称 热轧合金结构圆钢;物资简称 圆钢;牌号 35CrMnSiA;直径 Φ60;技术标准号 GB/T 3077-2015;加工工艺 热轧;热处理工艺 ;特殊要求 ;规格标准号 GB/T 702-2017</t>
        </is>
      </c>
      <c r="F103" t="inlineStr">
        <is>
          <t>千克</t>
        </is>
      </c>
      <c r="G103">
        <f>LEFT(D103,FIND("|",D103,1)-1)</f>
        <v/>
      </c>
      <c r="H103">
        <f>MID(D103,FIND("|",D103,FIND("|",D103,1))+1,FIND("|",D103,FIND("|",D103,1)+1)-FIND("|",D103,FIND("|",D103,1))-1)</f>
        <v/>
      </c>
      <c r="J103">
        <f>MID(D103,FIND(";",SUBSTITUTE(D103,"|",REPT(";",LEN(D103)),2))+1,FIND(";",SUBSTITUTE(D103,"|",REPT(";",LEN(D103)),3))-FIND(";",SUBSTITUTE(D103,"|",REPT(";",LEN(D103)),2))-1)</f>
        <v/>
      </c>
      <c r="K103">
        <f>MID(D103,FIND(";",SUBSTITUTE(D103,"|",REPT(";",LEN(D103)),3))+1,FIND(";",SUBSTITUTE(D103,"|",REPT(";",LEN(D103)),4))-FIND(";",SUBSTITUTE(D103,"|",REPT(";",LEN(D103)),3))-1)</f>
        <v/>
      </c>
      <c r="M103">
        <f>MID(D103,FIND(";",SUBSTITUTE(D103,"|",REPT(";",LEN(D103)),4))+1,FIND(";",SUBSTITUTE(D103,"|",REPT(";",LEN(D103)),5))-FIND(";",SUBSTITUTE(D103,"|",REPT(";",LEN(D103)),4))-1)</f>
        <v/>
      </c>
      <c r="N103">
        <f>MID(D103,FIND(";",SUBSTITUTE(D103,"|",REPT(";",LEN(D103)),6))+1,LEN(D103))</f>
        <v/>
      </c>
      <c r="O103">
        <f>MID(D103,FIND(";",SUBSTITUTE(D103,"|",REPT(";",LEN(D103)),5))+1,FIND(";",SUBSTITUTE(D103,"|",REPT(";",LEN(D103)),6))-FIND(";",SUBSTITUTE(D103,"|",REPT(";",LEN(D103)),5))-1)</f>
        <v/>
      </c>
    </row>
    <row r="104">
      <c r="A104" t="inlineStr">
        <is>
          <t>100201</t>
        </is>
      </c>
      <c r="B104" t="inlineStr">
        <is>
          <t>圆钢</t>
        </is>
      </c>
      <c r="C104" t="inlineStr">
        <is>
          <t>602184500</t>
        </is>
      </c>
      <c r="D104" t="inlineStr">
        <is>
          <t>热轧合金结构圆钢|圆钢|35CrMnSiA|Φ15|GB/T 3077-2015|热轧|GB/T 702-2017</t>
        </is>
      </c>
      <c r="E104" t="inlineStr">
        <is>
          <t>物资名称 热轧合金结构圆钢;物资简称 圆钢;牌号 35CrMnSiA;直径 Φ15;技术标准号 GB/T 3077-2015;加工工艺 热轧;热处理工艺 ;特殊要求 ;规格标准号 GB/T 702-2017</t>
        </is>
      </c>
      <c r="F104" t="inlineStr">
        <is>
          <t>千克</t>
        </is>
      </c>
      <c r="G104">
        <f>LEFT(D104,FIND("|",D104,1)-1)</f>
        <v/>
      </c>
      <c r="H104">
        <f>MID(D104,FIND("|",D104,FIND("|",D104,1))+1,FIND("|",D104,FIND("|",D104,1)+1)-FIND("|",D104,FIND("|",D104,1))-1)</f>
        <v/>
      </c>
      <c r="J104">
        <f>MID(D104,FIND(";",SUBSTITUTE(D104,"|",REPT(";",LEN(D104)),2))+1,FIND(";",SUBSTITUTE(D104,"|",REPT(";",LEN(D104)),3))-FIND(";",SUBSTITUTE(D104,"|",REPT(";",LEN(D104)),2))-1)</f>
        <v/>
      </c>
      <c r="K104">
        <f>MID(D104,FIND(";",SUBSTITUTE(D104,"|",REPT(";",LEN(D104)),3))+1,FIND(";",SUBSTITUTE(D104,"|",REPT(";",LEN(D104)),4))-FIND(";",SUBSTITUTE(D104,"|",REPT(";",LEN(D104)),3))-1)</f>
        <v/>
      </c>
      <c r="M104">
        <f>MID(D104,FIND(";",SUBSTITUTE(D104,"|",REPT(";",LEN(D104)),4))+1,FIND(";",SUBSTITUTE(D104,"|",REPT(";",LEN(D104)),5))-FIND(";",SUBSTITUTE(D104,"|",REPT(";",LEN(D104)),4))-1)</f>
        <v/>
      </c>
      <c r="N104">
        <f>MID(D104,FIND(";",SUBSTITUTE(D104,"|",REPT(";",LEN(D104)),6))+1,LEN(D104))</f>
        <v/>
      </c>
      <c r="O104">
        <f>MID(D104,FIND(";",SUBSTITUTE(D104,"|",REPT(";",LEN(D104)),5))+1,FIND(";",SUBSTITUTE(D104,"|",REPT(";",LEN(D104)),6))-FIND(";",SUBSTITUTE(D104,"|",REPT(";",LEN(D104)),5))-1)</f>
        <v/>
      </c>
    </row>
    <row r="105">
      <c r="A105" t="inlineStr">
        <is>
          <t>100201</t>
        </is>
      </c>
      <c r="B105" t="inlineStr">
        <is>
          <t>圆钢</t>
        </is>
      </c>
      <c r="C105" t="inlineStr">
        <is>
          <t>602184400</t>
        </is>
      </c>
      <c r="D105" t="inlineStr">
        <is>
          <t>热轧合金结构圆钢|圆钢|35CrMnSiA|Φ20|GB/T 3077-2015|热轧|GB/T 702-2017</t>
        </is>
      </c>
      <c r="E105" t="inlineStr">
        <is>
          <t>物资名称 热轧合金结构圆钢;物资简称 圆钢;牌号 35CrMnSiA;直径 Φ20;技术标准号 GB/T 3077-2015;加工工艺 热轧;热处理工艺 ;特殊要求 ;规格标准号 GB/T 702-2017</t>
        </is>
      </c>
      <c r="F105" t="inlineStr">
        <is>
          <t>千克</t>
        </is>
      </c>
      <c r="G105">
        <f>LEFT(D105,FIND("|",D105,1)-1)</f>
        <v/>
      </c>
      <c r="H105">
        <f>MID(D105,FIND("|",D105,FIND("|",D105,1))+1,FIND("|",D105,FIND("|",D105,1)+1)-FIND("|",D105,FIND("|",D105,1))-1)</f>
        <v/>
      </c>
      <c r="J105">
        <f>MID(D105,FIND(";",SUBSTITUTE(D105,"|",REPT(";",LEN(D105)),2))+1,FIND(";",SUBSTITUTE(D105,"|",REPT(";",LEN(D105)),3))-FIND(";",SUBSTITUTE(D105,"|",REPT(";",LEN(D105)),2))-1)</f>
        <v/>
      </c>
      <c r="K105">
        <f>MID(D105,FIND(";",SUBSTITUTE(D105,"|",REPT(";",LEN(D105)),3))+1,FIND(";",SUBSTITUTE(D105,"|",REPT(";",LEN(D105)),4))-FIND(";",SUBSTITUTE(D105,"|",REPT(";",LEN(D105)),3))-1)</f>
        <v/>
      </c>
      <c r="M105">
        <f>MID(D105,FIND(";",SUBSTITUTE(D105,"|",REPT(";",LEN(D105)),4))+1,FIND(";",SUBSTITUTE(D105,"|",REPT(";",LEN(D105)),5))-FIND(";",SUBSTITUTE(D105,"|",REPT(";",LEN(D105)),4))-1)</f>
        <v/>
      </c>
      <c r="N105">
        <f>MID(D105,FIND(";",SUBSTITUTE(D105,"|",REPT(";",LEN(D105)),6))+1,LEN(D105))</f>
        <v/>
      </c>
      <c r="O105">
        <f>MID(D105,FIND(";",SUBSTITUTE(D105,"|",REPT(";",LEN(D105)),5))+1,FIND(";",SUBSTITUTE(D105,"|",REPT(";",LEN(D105)),6))-FIND(";",SUBSTITUTE(D105,"|",REPT(";",LEN(D105)),5))-1)</f>
        <v/>
      </c>
    </row>
    <row r="106">
      <c r="A106" t="inlineStr">
        <is>
          <t>100201</t>
        </is>
      </c>
      <c r="B106" t="inlineStr">
        <is>
          <t>圆钢</t>
        </is>
      </c>
      <c r="C106" t="inlineStr">
        <is>
          <t>602184300</t>
        </is>
      </c>
      <c r="D106" t="inlineStr">
        <is>
          <t>热轧合金结构圆钢|圆钢|35CrMnSiA|Φ10|GB/T 3077-2015|热轧|GB/T 702-2017</t>
        </is>
      </c>
      <c r="E106" t="inlineStr">
        <is>
          <t>物资名称 热轧合金结构圆钢;物资简称 圆钢;牌号 35CrMnSiA;直径 Φ10;技术标准号 GB/T 3077-2015;加工工艺 热轧;热处理工艺 ;特殊要求 ;规格标准号 GB/T 702-2017</t>
        </is>
      </c>
      <c r="F106" t="inlineStr">
        <is>
          <t>千克</t>
        </is>
      </c>
      <c r="G106">
        <f>LEFT(D106,FIND("|",D106,1)-1)</f>
        <v/>
      </c>
      <c r="H106">
        <f>MID(D106,FIND("|",D106,FIND("|",D106,1))+1,FIND("|",D106,FIND("|",D106,1)+1)-FIND("|",D106,FIND("|",D106,1))-1)</f>
        <v/>
      </c>
      <c r="J106">
        <f>MID(D106,FIND(";",SUBSTITUTE(D106,"|",REPT(";",LEN(D106)),2))+1,FIND(";",SUBSTITUTE(D106,"|",REPT(";",LEN(D106)),3))-FIND(";",SUBSTITUTE(D106,"|",REPT(";",LEN(D106)),2))-1)</f>
        <v/>
      </c>
      <c r="K106">
        <f>MID(D106,FIND(";",SUBSTITUTE(D106,"|",REPT(";",LEN(D106)),3))+1,FIND(";",SUBSTITUTE(D106,"|",REPT(";",LEN(D106)),4))-FIND(";",SUBSTITUTE(D106,"|",REPT(";",LEN(D106)),3))-1)</f>
        <v/>
      </c>
      <c r="M106">
        <f>MID(D106,FIND(";",SUBSTITUTE(D106,"|",REPT(";",LEN(D106)),4))+1,FIND(";",SUBSTITUTE(D106,"|",REPT(";",LEN(D106)),5))-FIND(";",SUBSTITUTE(D106,"|",REPT(";",LEN(D106)),4))-1)</f>
        <v/>
      </c>
      <c r="N106">
        <f>MID(D106,FIND(";",SUBSTITUTE(D106,"|",REPT(";",LEN(D106)),6))+1,LEN(D106))</f>
        <v/>
      </c>
      <c r="O106">
        <f>MID(D106,FIND(";",SUBSTITUTE(D106,"|",REPT(";",LEN(D106)),5))+1,FIND(";",SUBSTITUTE(D106,"|",REPT(";",LEN(D106)),6))-FIND(";",SUBSTITUTE(D106,"|",REPT(";",LEN(D106)),5))-1)</f>
        <v/>
      </c>
    </row>
    <row r="107">
      <c r="A107" t="inlineStr">
        <is>
          <t>100201</t>
        </is>
      </c>
      <c r="B107" t="inlineStr">
        <is>
          <t>圆钢</t>
        </is>
      </c>
      <c r="C107" t="inlineStr">
        <is>
          <t>602161400</t>
        </is>
      </c>
      <c r="D107" t="inlineStr">
        <is>
          <t>热轧合金结构圆钢|圆钢|35CrMnSiA|Φ60|GB/T 3077-2015|热轧|GB/T 702-2017</t>
        </is>
      </c>
      <c r="E107" t="inlineStr">
        <is>
          <t>物资名称 热轧合金结构圆钢;物资简称 圆钢;牌号 35CrMnSiA;直径 Φ60;技术标准号 GB/T 3077-2015;加工工艺 热轧;热处理工艺 ;特殊要求 ;规格标准号 GB/T 702-2017</t>
        </is>
      </c>
      <c r="F107" t="inlineStr">
        <is>
          <t>千克</t>
        </is>
      </c>
      <c r="G107">
        <f>LEFT(D107,FIND("|",D107,1)-1)</f>
        <v/>
      </c>
      <c r="H107">
        <f>MID(D107,FIND("|",D107,FIND("|",D107,1))+1,FIND("|",D107,FIND("|",D107,1)+1)-FIND("|",D107,FIND("|",D107,1))-1)</f>
        <v/>
      </c>
      <c r="J107">
        <f>MID(D107,FIND(";",SUBSTITUTE(D107,"|",REPT(";",LEN(D107)),2))+1,FIND(";",SUBSTITUTE(D107,"|",REPT(";",LEN(D107)),3))-FIND(";",SUBSTITUTE(D107,"|",REPT(";",LEN(D107)),2))-1)</f>
        <v/>
      </c>
      <c r="K107">
        <f>MID(D107,FIND(";",SUBSTITUTE(D107,"|",REPT(";",LEN(D107)),3))+1,FIND(";",SUBSTITUTE(D107,"|",REPT(";",LEN(D107)),4))-FIND(";",SUBSTITUTE(D107,"|",REPT(";",LEN(D107)),3))-1)</f>
        <v/>
      </c>
      <c r="M107">
        <f>MID(D107,FIND(";",SUBSTITUTE(D107,"|",REPT(";",LEN(D107)),4))+1,FIND(";",SUBSTITUTE(D107,"|",REPT(";",LEN(D107)),5))-FIND(";",SUBSTITUTE(D107,"|",REPT(";",LEN(D107)),4))-1)</f>
        <v/>
      </c>
      <c r="N107">
        <f>MID(D107,FIND(";",SUBSTITUTE(D107,"|",REPT(";",LEN(D107)),6))+1,LEN(D107))</f>
        <v/>
      </c>
      <c r="O107">
        <f>MID(D107,FIND(";",SUBSTITUTE(D107,"|",REPT(";",LEN(D107)),5))+1,FIND(";",SUBSTITUTE(D107,"|",REPT(";",LEN(D107)),6))-FIND(";",SUBSTITUTE(D107,"|",REPT(";",LEN(D107)),5))-1)</f>
        <v/>
      </c>
    </row>
    <row r="108">
      <c r="A108" t="inlineStr">
        <is>
          <t>100201</t>
        </is>
      </c>
      <c r="B108" t="inlineStr">
        <is>
          <t>圆钢</t>
        </is>
      </c>
      <c r="C108" t="inlineStr">
        <is>
          <t>602161300</t>
        </is>
      </c>
      <c r="D108" t="inlineStr">
        <is>
          <t>热轧合金结构圆钢|圆钢|35CrMnSiA|Φ25|GB/T 3077-2015|热轧|GB/T 702-2017</t>
        </is>
      </c>
      <c r="E108" t="inlineStr">
        <is>
          <t>物资名称 热轧合金结构圆钢;物资简称 圆钢;牌号 35CrMnSiA;直径 Φ25;技术标准号 GB/T 3077-2015;加工工艺 热轧;热处理工艺 ;特殊要求 ;规格标准号 GB/T 702-2017</t>
        </is>
      </c>
      <c r="F108" t="inlineStr">
        <is>
          <t>千克</t>
        </is>
      </c>
      <c r="G108">
        <f>LEFT(D108,FIND("|",D108,1)-1)</f>
        <v/>
      </c>
      <c r="H108">
        <f>MID(D108,FIND("|",D108,FIND("|",D108,1))+1,FIND("|",D108,FIND("|",D108,1)+1)-FIND("|",D108,FIND("|",D108,1))-1)</f>
        <v/>
      </c>
      <c r="J108">
        <f>MID(D108,FIND(";",SUBSTITUTE(D108,"|",REPT(";",LEN(D108)),2))+1,FIND(";",SUBSTITUTE(D108,"|",REPT(";",LEN(D108)),3))-FIND(";",SUBSTITUTE(D108,"|",REPT(";",LEN(D108)),2))-1)</f>
        <v/>
      </c>
      <c r="K108">
        <f>MID(D108,FIND(";",SUBSTITUTE(D108,"|",REPT(";",LEN(D108)),3))+1,FIND(";",SUBSTITUTE(D108,"|",REPT(";",LEN(D108)),4))-FIND(";",SUBSTITUTE(D108,"|",REPT(";",LEN(D108)),3))-1)</f>
        <v/>
      </c>
      <c r="M108">
        <f>MID(D108,FIND(";",SUBSTITUTE(D108,"|",REPT(";",LEN(D108)),4))+1,FIND(";",SUBSTITUTE(D108,"|",REPT(";",LEN(D108)),5))-FIND(";",SUBSTITUTE(D108,"|",REPT(";",LEN(D108)),4))-1)</f>
        <v/>
      </c>
      <c r="N108">
        <f>MID(D108,FIND(";",SUBSTITUTE(D108,"|",REPT(";",LEN(D108)),6))+1,LEN(D108))</f>
        <v/>
      </c>
      <c r="O108">
        <f>MID(D108,FIND(";",SUBSTITUTE(D108,"|",REPT(";",LEN(D108)),5))+1,FIND(";",SUBSTITUTE(D108,"|",REPT(";",LEN(D108)),6))-FIND(";",SUBSTITUTE(D108,"|",REPT(";",LEN(D108)),5))-1)</f>
        <v/>
      </c>
    </row>
    <row r="109">
      <c r="A109" t="inlineStr">
        <is>
          <t>100201</t>
        </is>
      </c>
      <c r="B109" t="inlineStr">
        <is>
          <t>圆钢</t>
        </is>
      </c>
      <c r="C109" t="inlineStr">
        <is>
          <t>602161200</t>
        </is>
      </c>
      <c r="D109" t="inlineStr">
        <is>
          <t>热轧合金结构圆钢|圆钢|35CrMnSiA|Φ10|GB/T 3077-2015|热轧|GB/T 702-2017</t>
        </is>
      </c>
      <c r="E109" t="inlineStr">
        <is>
          <t>物资名称 热轧合金结构圆钢;物资简称 圆钢;牌号 35CrMnSiA;直径 Φ10;技术标准号 GB/T 3077-2015;加工工艺 热轧;热处理工艺 ;特殊要求 ;规格标准号 GB/T 702-2017</t>
        </is>
      </c>
      <c r="F109" t="inlineStr">
        <is>
          <t>千克</t>
        </is>
      </c>
      <c r="G109">
        <f>LEFT(D109,FIND("|",D109,1)-1)</f>
        <v/>
      </c>
      <c r="H109">
        <f>MID(D109,FIND("|",D109,FIND("|",D109,1))+1,FIND("|",D109,FIND("|",D109,1)+1)-FIND("|",D109,FIND("|",D109,1))-1)</f>
        <v/>
      </c>
      <c r="J109">
        <f>MID(D109,FIND(";",SUBSTITUTE(D109,"|",REPT(";",LEN(D109)),2))+1,FIND(";",SUBSTITUTE(D109,"|",REPT(";",LEN(D109)),3))-FIND(";",SUBSTITUTE(D109,"|",REPT(";",LEN(D109)),2))-1)</f>
        <v/>
      </c>
      <c r="K109">
        <f>MID(D109,FIND(";",SUBSTITUTE(D109,"|",REPT(";",LEN(D109)),3))+1,FIND(";",SUBSTITUTE(D109,"|",REPT(";",LEN(D109)),4))-FIND(";",SUBSTITUTE(D109,"|",REPT(";",LEN(D109)),3))-1)</f>
        <v/>
      </c>
      <c r="M109">
        <f>MID(D109,FIND(";",SUBSTITUTE(D109,"|",REPT(";",LEN(D109)),4))+1,FIND(";",SUBSTITUTE(D109,"|",REPT(";",LEN(D109)),5))-FIND(";",SUBSTITUTE(D109,"|",REPT(";",LEN(D109)),4))-1)</f>
        <v/>
      </c>
      <c r="N109">
        <f>MID(D109,FIND(";",SUBSTITUTE(D109,"|",REPT(";",LEN(D109)),6))+1,LEN(D109))</f>
        <v/>
      </c>
      <c r="O109">
        <f>MID(D109,FIND(";",SUBSTITUTE(D109,"|",REPT(";",LEN(D109)),5))+1,FIND(";",SUBSTITUTE(D109,"|",REPT(";",LEN(D109)),6))-FIND(";",SUBSTITUTE(D109,"|",REPT(";",LEN(D109)),5))-1)</f>
        <v/>
      </c>
    </row>
    <row r="110">
      <c r="A110" t="inlineStr">
        <is>
          <t>100201</t>
        </is>
      </c>
      <c r="B110" t="inlineStr">
        <is>
          <t>圆钢</t>
        </is>
      </c>
      <c r="C110" t="inlineStr">
        <is>
          <t>602161100</t>
        </is>
      </c>
      <c r="D110" t="inlineStr">
        <is>
          <t>热轧合金结构圆钢|圆钢|35CrMnSiA|Φ15|GB/T 3077-2015|热轧|GB/T 702-2017</t>
        </is>
      </c>
      <c r="E110" t="inlineStr">
        <is>
          <t>物资名称 热轧合金结构圆钢;物资简称 圆钢;牌号 35CrMnSiA;直径 Φ15;技术标准号 GB/T 3077-2015;加工工艺 热轧;热处理工艺 ;特殊要求 ;规格标准号 GB/T 702-2017</t>
        </is>
      </c>
      <c r="F110" t="inlineStr">
        <is>
          <t>千克</t>
        </is>
      </c>
      <c r="G110">
        <f>LEFT(D110,FIND("|",D110,1)-1)</f>
        <v/>
      </c>
      <c r="H110">
        <f>MID(D110,FIND("|",D110,FIND("|",D110,1))+1,FIND("|",D110,FIND("|",D110,1)+1)-FIND("|",D110,FIND("|",D110,1))-1)</f>
        <v/>
      </c>
      <c r="J110">
        <f>MID(D110,FIND(";",SUBSTITUTE(D110,"|",REPT(";",LEN(D110)),2))+1,FIND(";",SUBSTITUTE(D110,"|",REPT(";",LEN(D110)),3))-FIND(";",SUBSTITUTE(D110,"|",REPT(";",LEN(D110)),2))-1)</f>
        <v/>
      </c>
      <c r="K110">
        <f>MID(D110,FIND(";",SUBSTITUTE(D110,"|",REPT(";",LEN(D110)),3))+1,FIND(";",SUBSTITUTE(D110,"|",REPT(";",LEN(D110)),4))-FIND(";",SUBSTITUTE(D110,"|",REPT(";",LEN(D110)),3))-1)</f>
        <v/>
      </c>
      <c r="M110">
        <f>MID(D110,FIND(";",SUBSTITUTE(D110,"|",REPT(";",LEN(D110)),4))+1,FIND(";",SUBSTITUTE(D110,"|",REPT(";",LEN(D110)),5))-FIND(";",SUBSTITUTE(D110,"|",REPT(";",LEN(D110)),4))-1)</f>
        <v/>
      </c>
      <c r="N110">
        <f>MID(D110,FIND(";",SUBSTITUTE(D110,"|",REPT(";",LEN(D110)),6))+1,LEN(D110))</f>
        <v/>
      </c>
      <c r="O110">
        <f>MID(D110,FIND(";",SUBSTITUTE(D110,"|",REPT(";",LEN(D110)),5))+1,FIND(";",SUBSTITUTE(D110,"|",REPT(";",LEN(D110)),6))-FIND(";",SUBSTITUTE(D110,"|",REPT(";",LEN(D110)),5))-1)</f>
        <v/>
      </c>
    </row>
    <row r="111">
      <c r="A111" t="inlineStr">
        <is>
          <t>100201</t>
        </is>
      </c>
      <c r="B111" t="inlineStr">
        <is>
          <t>圆钢</t>
        </is>
      </c>
      <c r="C111" t="inlineStr">
        <is>
          <t>602161000</t>
        </is>
      </c>
      <c r="D111" t="inlineStr">
        <is>
          <t>热轧合金结构圆钢|圆钢|35CrMnSiA|Φ20|GB/T 3077-2015|热轧|GB/T 702-2017</t>
        </is>
      </c>
      <c r="E111" t="inlineStr">
        <is>
          <t>物资名称 热轧合金结构圆钢;物资简称 圆钢;牌号 35CrMnSiA;直径 Φ20;技术标准号 GB/T 3077-2015;加工工艺 热轧;热处理工艺 ;特殊要求 ;规格标准号 GB/T 702-2017</t>
        </is>
      </c>
      <c r="F111" t="inlineStr">
        <is>
          <t>千克</t>
        </is>
      </c>
      <c r="G111">
        <f>LEFT(D111,FIND("|",D111,1)-1)</f>
        <v/>
      </c>
      <c r="H111">
        <f>MID(D111,FIND("|",D111,FIND("|",D111,1))+1,FIND("|",D111,FIND("|",D111,1)+1)-FIND("|",D111,FIND("|",D111,1))-1)</f>
        <v/>
      </c>
      <c r="J111">
        <f>MID(D111,FIND(";",SUBSTITUTE(D111,"|",REPT(";",LEN(D111)),2))+1,FIND(";",SUBSTITUTE(D111,"|",REPT(";",LEN(D111)),3))-FIND(";",SUBSTITUTE(D111,"|",REPT(";",LEN(D111)),2))-1)</f>
        <v/>
      </c>
      <c r="K111">
        <f>MID(D111,FIND(";",SUBSTITUTE(D111,"|",REPT(";",LEN(D111)),3))+1,FIND(";",SUBSTITUTE(D111,"|",REPT(";",LEN(D111)),4))-FIND(";",SUBSTITUTE(D111,"|",REPT(";",LEN(D111)),3))-1)</f>
        <v/>
      </c>
      <c r="M111">
        <f>MID(D111,FIND(";",SUBSTITUTE(D111,"|",REPT(";",LEN(D111)),4))+1,FIND(";",SUBSTITUTE(D111,"|",REPT(";",LEN(D111)),5))-FIND(";",SUBSTITUTE(D111,"|",REPT(";",LEN(D111)),4))-1)</f>
        <v/>
      </c>
      <c r="N111">
        <f>MID(D111,FIND(";",SUBSTITUTE(D111,"|",REPT(";",LEN(D111)),6))+1,LEN(D111))</f>
        <v/>
      </c>
      <c r="O111">
        <f>MID(D111,FIND(";",SUBSTITUTE(D111,"|",REPT(";",LEN(D111)),5))+1,FIND(";",SUBSTITUTE(D111,"|",REPT(";",LEN(D111)),6))-FIND(";",SUBSTITUTE(D111,"|",REPT(";",LEN(D111)),5))-1)</f>
        <v/>
      </c>
    </row>
    <row r="112">
      <c r="A112" t="inlineStr">
        <is>
          <t>100201</t>
        </is>
      </c>
      <c r="B112" t="inlineStr">
        <is>
          <t>圆钢</t>
        </is>
      </c>
      <c r="C112" t="inlineStr">
        <is>
          <t>602147300</t>
        </is>
      </c>
      <c r="D112" t="inlineStr">
        <is>
          <t>热轧不锈圆钢|圆钢|20Cr13|Φ90|GB/T 1220-2007|热轧|GB/T 702-2008</t>
        </is>
      </c>
      <c r="E112" t="inlineStr">
        <is>
          <t>物资名称 热轧不锈圆钢;物资简称 圆钢;牌号 20Cr13;直径 Φ90;技术标准号 GB/T 1220-2007;加工工艺 热轧;热处理工艺 ;特殊要求 ;规格标准号 GB/T 702-2008</t>
        </is>
      </c>
      <c r="F112" t="inlineStr">
        <is>
          <t>千克</t>
        </is>
      </c>
      <c r="G112">
        <f>LEFT(D112,FIND("|",D112,1)-1)</f>
        <v/>
      </c>
      <c r="H112">
        <f>MID(D112,FIND("|",D112,FIND("|",D112,1))+1,FIND("|",D112,FIND("|",D112,1)+1)-FIND("|",D112,FIND("|",D112,1))-1)</f>
        <v/>
      </c>
      <c r="J112">
        <f>MID(D112,FIND(";",SUBSTITUTE(D112,"|",REPT(";",LEN(D112)),2))+1,FIND(";",SUBSTITUTE(D112,"|",REPT(";",LEN(D112)),3))-FIND(";",SUBSTITUTE(D112,"|",REPT(";",LEN(D112)),2))-1)</f>
        <v/>
      </c>
      <c r="K112">
        <f>MID(D112,FIND(";",SUBSTITUTE(D112,"|",REPT(";",LEN(D112)),3))+1,FIND(";",SUBSTITUTE(D112,"|",REPT(";",LEN(D112)),4))-FIND(";",SUBSTITUTE(D112,"|",REPT(";",LEN(D112)),3))-1)</f>
        <v/>
      </c>
      <c r="M112">
        <f>MID(D112,FIND(";",SUBSTITUTE(D112,"|",REPT(";",LEN(D112)),4))+1,FIND(";",SUBSTITUTE(D112,"|",REPT(";",LEN(D112)),5))-FIND(";",SUBSTITUTE(D112,"|",REPT(";",LEN(D112)),4))-1)</f>
        <v/>
      </c>
      <c r="N112">
        <f>MID(D112,FIND(";",SUBSTITUTE(D112,"|",REPT(";",LEN(D112)),6))+1,LEN(D112))</f>
        <v/>
      </c>
      <c r="O112">
        <f>MID(D112,FIND(";",SUBSTITUTE(D112,"|",REPT(";",LEN(D112)),5))+1,FIND(";",SUBSTITUTE(D112,"|",REPT(";",LEN(D112)),6))-FIND(";",SUBSTITUTE(D112,"|",REPT(";",LEN(D112)),5))-1)</f>
        <v/>
      </c>
    </row>
    <row r="113">
      <c r="A113" t="inlineStr">
        <is>
          <t>100201</t>
        </is>
      </c>
      <c r="B113" t="inlineStr">
        <is>
          <t>圆钢</t>
        </is>
      </c>
      <c r="C113" t="inlineStr">
        <is>
          <t>602147200</t>
        </is>
      </c>
      <c r="D113" t="inlineStr">
        <is>
          <t>热轧航空用不锈圆钢|圆钢|1Cr18Ni9Ti|Φ120|GJB 2294A-2014|热轧|GB/T 702-2008</t>
        </is>
      </c>
      <c r="E113" t="inlineStr">
        <is>
          <t>物资名称 热轧航空用不锈圆钢;物资简称 圆钢;牌号 1Cr18Ni9Ti;直径 Φ120;技术标准号 GJB 2294A-2014;加工工艺 热轧;热处理工艺 ;特殊要求 ;规格标准号 GB/T 702-2008</t>
        </is>
      </c>
      <c r="F113" t="inlineStr">
        <is>
          <t>千克</t>
        </is>
      </c>
      <c r="G113">
        <f>LEFT(D113,FIND("|",D113,1)-1)</f>
        <v/>
      </c>
      <c r="H113">
        <f>MID(D113,FIND("|",D113,FIND("|",D113,1))+1,FIND("|",D113,FIND("|",D113,1)+1)-FIND("|",D113,FIND("|",D113,1))-1)</f>
        <v/>
      </c>
      <c r="J113">
        <f>MID(D113,FIND(";",SUBSTITUTE(D113,"|",REPT(";",LEN(D113)),2))+1,FIND(";",SUBSTITUTE(D113,"|",REPT(";",LEN(D113)),3))-FIND(";",SUBSTITUTE(D113,"|",REPT(";",LEN(D113)),2))-1)</f>
        <v/>
      </c>
      <c r="K113">
        <f>MID(D113,FIND(";",SUBSTITUTE(D113,"|",REPT(";",LEN(D113)),3))+1,FIND(";",SUBSTITUTE(D113,"|",REPT(";",LEN(D113)),4))-FIND(";",SUBSTITUTE(D113,"|",REPT(";",LEN(D113)),3))-1)</f>
        <v/>
      </c>
      <c r="M113">
        <f>MID(D113,FIND(";",SUBSTITUTE(D113,"|",REPT(";",LEN(D113)),4))+1,FIND(";",SUBSTITUTE(D113,"|",REPT(";",LEN(D113)),5))-FIND(";",SUBSTITUTE(D113,"|",REPT(";",LEN(D113)),4))-1)</f>
        <v/>
      </c>
      <c r="N113">
        <f>MID(D113,FIND(";",SUBSTITUTE(D113,"|",REPT(";",LEN(D113)),6))+1,LEN(D113))</f>
        <v/>
      </c>
      <c r="O113">
        <f>MID(D113,FIND(";",SUBSTITUTE(D113,"|",REPT(";",LEN(D113)),5))+1,FIND(";",SUBSTITUTE(D113,"|",REPT(";",LEN(D113)),6))-FIND(";",SUBSTITUTE(D113,"|",REPT(";",LEN(D113)),5))-1)</f>
        <v/>
      </c>
    </row>
    <row r="114">
      <c r="A114" t="inlineStr">
        <is>
          <t>100201</t>
        </is>
      </c>
      <c r="B114" t="inlineStr">
        <is>
          <t>圆钢</t>
        </is>
      </c>
      <c r="C114" t="inlineStr">
        <is>
          <t>602147100</t>
        </is>
      </c>
      <c r="D114" t="inlineStr">
        <is>
          <t>热轧航空用不锈圆钢|圆钢|1Cr18Ni9Ti|Φ55|GJB 2294A-2014|热轧|GB/T 702-2008</t>
        </is>
      </c>
      <c r="E114" t="inlineStr">
        <is>
          <t>物资名称 热轧航空用不锈圆钢;物资简称 圆钢;牌号 1Cr18Ni9Ti;直径 Φ55;技术标准号 GJB 2294A-2014;加工工艺 热轧;热处理工艺 ;特殊要求 ;规格标准号 GB/T 702-2008</t>
        </is>
      </c>
      <c r="F114" t="inlineStr">
        <is>
          <t>千克</t>
        </is>
      </c>
      <c r="G114">
        <f>LEFT(D114,FIND("|",D114,1)-1)</f>
        <v/>
      </c>
      <c r="H114">
        <f>MID(D114,FIND("|",D114,FIND("|",D114,1))+1,FIND("|",D114,FIND("|",D114,1)+1)-FIND("|",D114,FIND("|",D114,1))-1)</f>
        <v/>
      </c>
      <c r="J114">
        <f>MID(D114,FIND(";",SUBSTITUTE(D114,"|",REPT(";",LEN(D114)),2))+1,FIND(";",SUBSTITUTE(D114,"|",REPT(";",LEN(D114)),3))-FIND(";",SUBSTITUTE(D114,"|",REPT(";",LEN(D114)),2))-1)</f>
        <v/>
      </c>
      <c r="K114">
        <f>MID(D114,FIND(";",SUBSTITUTE(D114,"|",REPT(";",LEN(D114)),3))+1,FIND(";",SUBSTITUTE(D114,"|",REPT(";",LEN(D114)),4))-FIND(";",SUBSTITUTE(D114,"|",REPT(";",LEN(D114)),3))-1)</f>
        <v/>
      </c>
      <c r="M114">
        <f>MID(D114,FIND(";",SUBSTITUTE(D114,"|",REPT(";",LEN(D114)),4))+1,FIND(";",SUBSTITUTE(D114,"|",REPT(";",LEN(D114)),5))-FIND(";",SUBSTITUTE(D114,"|",REPT(";",LEN(D114)),4))-1)</f>
        <v/>
      </c>
      <c r="N114">
        <f>MID(D114,FIND(";",SUBSTITUTE(D114,"|",REPT(";",LEN(D114)),6))+1,LEN(D114))</f>
        <v/>
      </c>
      <c r="O114">
        <f>MID(D114,FIND(";",SUBSTITUTE(D114,"|",REPT(";",LEN(D114)),5))+1,FIND(";",SUBSTITUTE(D114,"|",REPT(";",LEN(D114)),6))-FIND(";",SUBSTITUTE(D114,"|",REPT(";",LEN(D114)),5))-1)</f>
        <v/>
      </c>
    </row>
    <row r="115">
      <c r="A115" t="inlineStr">
        <is>
          <t>100201</t>
        </is>
      </c>
      <c r="B115" t="inlineStr">
        <is>
          <t>圆钢</t>
        </is>
      </c>
      <c r="C115" t="inlineStr">
        <is>
          <t>602147000</t>
        </is>
      </c>
      <c r="D115" t="inlineStr">
        <is>
          <t>热轧航空用不锈圆钢|圆钢|1Cr18Ni9Ti|Φ12|GJB 2294A-2014|热轧|GB/T 702-2008</t>
        </is>
      </c>
      <c r="E115" t="inlineStr">
        <is>
          <t>物资名称 热轧航空用不锈圆钢;物资简称 圆钢;牌号 1Cr18Ni9Ti;直径 Φ12;技术标准号 GJB 2294A-2014;加工工艺 热轧;热处理工艺 ;特殊要求 ;规格标准号 GB/T 702-2008</t>
        </is>
      </c>
      <c r="F115" t="inlineStr">
        <is>
          <t>千克</t>
        </is>
      </c>
      <c r="G115">
        <f>LEFT(D115,FIND("|",D115,1)-1)</f>
        <v/>
      </c>
      <c r="H115">
        <f>MID(D115,FIND("|",D115,FIND("|",D115,1))+1,FIND("|",D115,FIND("|",D115,1)+1)-FIND("|",D115,FIND("|",D115,1))-1)</f>
        <v/>
      </c>
      <c r="J115">
        <f>MID(D115,FIND(";",SUBSTITUTE(D115,"|",REPT(";",LEN(D115)),2))+1,FIND(";",SUBSTITUTE(D115,"|",REPT(";",LEN(D115)),3))-FIND(";",SUBSTITUTE(D115,"|",REPT(";",LEN(D115)),2))-1)</f>
        <v/>
      </c>
      <c r="K115">
        <f>MID(D115,FIND(";",SUBSTITUTE(D115,"|",REPT(";",LEN(D115)),3))+1,FIND(";",SUBSTITUTE(D115,"|",REPT(";",LEN(D115)),4))-FIND(";",SUBSTITUTE(D115,"|",REPT(";",LEN(D115)),3))-1)</f>
        <v/>
      </c>
      <c r="M115">
        <f>MID(D115,FIND(";",SUBSTITUTE(D115,"|",REPT(";",LEN(D115)),4))+1,FIND(";",SUBSTITUTE(D115,"|",REPT(";",LEN(D115)),5))-FIND(";",SUBSTITUTE(D115,"|",REPT(";",LEN(D115)),4))-1)</f>
        <v/>
      </c>
      <c r="N115">
        <f>MID(D115,FIND(";",SUBSTITUTE(D115,"|",REPT(";",LEN(D115)),6))+1,LEN(D115))</f>
        <v/>
      </c>
      <c r="O115">
        <f>MID(D115,FIND(";",SUBSTITUTE(D115,"|",REPT(";",LEN(D115)),5))+1,FIND(";",SUBSTITUTE(D115,"|",REPT(";",LEN(D115)),6))-FIND(";",SUBSTITUTE(D115,"|",REPT(";",LEN(D115)),5))-1)</f>
        <v/>
      </c>
    </row>
    <row r="116">
      <c r="A116" t="inlineStr">
        <is>
          <t>100201</t>
        </is>
      </c>
      <c r="B116" t="inlineStr">
        <is>
          <t>圆钢</t>
        </is>
      </c>
      <c r="C116" t="inlineStr">
        <is>
          <t>602146900</t>
        </is>
      </c>
      <c r="D116" t="inlineStr">
        <is>
          <t>热轧航空用不锈圆钢|圆钢|1Cr18Ni9Ti|Φ11|GJB 2294A-2014|热轧|GB/T 702-2008</t>
        </is>
      </c>
      <c r="E116" t="inlineStr">
        <is>
          <t>物资名称 热轧航空用不锈圆钢;物资简称 圆钢;牌号 1Cr18Ni9Ti;直径 Φ11;技术标准号 GJB 2294A-2014;加工工艺 热轧;热处理工艺 ;特殊要求 ;规格标准号 GB/T 702-2008</t>
        </is>
      </c>
      <c r="F116" t="inlineStr">
        <is>
          <t>千克</t>
        </is>
      </c>
      <c r="G116">
        <f>LEFT(D116,FIND("|",D116,1)-1)</f>
        <v/>
      </c>
      <c r="H116">
        <f>MID(D116,FIND("|",D116,FIND("|",D116,1))+1,FIND("|",D116,FIND("|",D116,1)+1)-FIND("|",D116,FIND("|",D116,1))-1)</f>
        <v/>
      </c>
      <c r="J116">
        <f>MID(D116,FIND(";",SUBSTITUTE(D116,"|",REPT(";",LEN(D116)),2))+1,FIND(";",SUBSTITUTE(D116,"|",REPT(";",LEN(D116)),3))-FIND(";",SUBSTITUTE(D116,"|",REPT(";",LEN(D116)),2))-1)</f>
        <v/>
      </c>
      <c r="K116">
        <f>MID(D116,FIND(";",SUBSTITUTE(D116,"|",REPT(";",LEN(D116)),3))+1,FIND(";",SUBSTITUTE(D116,"|",REPT(";",LEN(D116)),4))-FIND(";",SUBSTITUTE(D116,"|",REPT(";",LEN(D116)),3))-1)</f>
        <v/>
      </c>
      <c r="M116">
        <f>MID(D116,FIND(";",SUBSTITUTE(D116,"|",REPT(";",LEN(D116)),4))+1,FIND(";",SUBSTITUTE(D116,"|",REPT(";",LEN(D116)),5))-FIND(";",SUBSTITUTE(D116,"|",REPT(";",LEN(D116)),4))-1)</f>
        <v/>
      </c>
      <c r="N116">
        <f>MID(D116,FIND(";",SUBSTITUTE(D116,"|",REPT(";",LEN(D116)),6))+1,LEN(D116))</f>
        <v/>
      </c>
      <c r="O116">
        <f>MID(D116,FIND(";",SUBSTITUTE(D116,"|",REPT(";",LEN(D116)),5))+1,FIND(";",SUBSTITUTE(D116,"|",REPT(";",LEN(D116)),6))-FIND(";",SUBSTITUTE(D116,"|",REPT(";",LEN(D116)),5))-1)</f>
        <v/>
      </c>
    </row>
    <row r="117">
      <c r="A117" t="inlineStr">
        <is>
          <t>100201</t>
        </is>
      </c>
      <c r="B117" t="inlineStr">
        <is>
          <t>圆钢</t>
        </is>
      </c>
      <c r="C117" t="inlineStr">
        <is>
          <t>601815400</t>
        </is>
      </c>
      <c r="D117" t="inlineStr">
        <is>
          <t>热轧优质碳素结构圆钢|圆钢|45|Φ22|GB/T 699-2015|热轧|GB/T 702-2017</t>
        </is>
      </c>
      <c r="E117" t="inlineStr">
        <is>
          <t>物资名称 热轧优质碳素结构圆钢;物资简称 圆钢;牌号 45;直径 Φ22;技术标准号 GB/T 699-2015;加工工艺 热轧;热处理工艺 ;特殊要求 ;规格标准号 GB/T 702-2017</t>
        </is>
      </c>
      <c r="F117" t="inlineStr">
        <is>
          <t>千克</t>
        </is>
      </c>
      <c r="G117">
        <f>LEFT(D117,FIND("|",D117,1)-1)</f>
        <v/>
      </c>
      <c r="H117">
        <f>MID(D117,FIND("|",D117,FIND("|",D117,1))+1,FIND("|",D117,FIND("|",D117,1)+1)-FIND("|",D117,FIND("|",D117,1))-1)</f>
        <v/>
      </c>
      <c r="J117">
        <f>MID(D117,FIND(";",SUBSTITUTE(D117,"|",REPT(";",LEN(D117)),2))+1,FIND(";",SUBSTITUTE(D117,"|",REPT(";",LEN(D117)),3))-FIND(";",SUBSTITUTE(D117,"|",REPT(";",LEN(D117)),2))-1)</f>
        <v/>
      </c>
      <c r="K117">
        <f>MID(D117,FIND(";",SUBSTITUTE(D117,"|",REPT(";",LEN(D117)),3))+1,FIND(";",SUBSTITUTE(D117,"|",REPT(";",LEN(D117)),4))-FIND(";",SUBSTITUTE(D117,"|",REPT(";",LEN(D117)),3))-1)</f>
        <v/>
      </c>
      <c r="M117">
        <f>MID(D117,FIND(";",SUBSTITUTE(D117,"|",REPT(";",LEN(D117)),4))+1,FIND(";",SUBSTITUTE(D117,"|",REPT(";",LEN(D117)),5))-FIND(";",SUBSTITUTE(D117,"|",REPT(";",LEN(D117)),4))-1)</f>
        <v/>
      </c>
      <c r="N117">
        <f>MID(D117,FIND(";",SUBSTITUTE(D117,"|",REPT(";",LEN(D117)),6))+1,LEN(D117))</f>
        <v/>
      </c>
      <c r="O117">
        <f>MID(D117,FIND(";",SUBSTITUTE(D117,"|",REPT(";",LEN(D117)),5))+1,FIND(";",SUBSTITUTE(D117,"|",REPT(";",LEN(D117)),6))-FIND(";",SUBSTITUTE(D117,"|",REPT(";",LEN(D117)),5))-1)</f>
        <v/>
      </c>
    </row>
    <row r="118">
      <c r="A118" t="inlineStr">
        <is>
          <t>100201</t>
        </is>
      </c>
      <c r="B118" t="inlineStr">
        <is>
          <t>圆钢</t>
        </is>
      </c>
      <c r="C118" t="inlineStr">
        <is>
          <t>601815300</t>
        </is>
      </c>
      <c r="D118" t="inlineStr">
        <is>
          <t>热轧优质碳素结构圆钢|圆钢|45|Φ120|GB/T 699-2015|热轧|GB/T 702-2017</t>
        </is>
      </c>
      <c r="E118" t="inlineStr">
        <is>
          <t>物资名称 热轧优质碳素结构圆钢;物资简称 圆钢;牌号 45;直径 Φ120;技术标准号 GB/T 699-2015;加工工艺 热轧;热处理工艺 ;特殊要求 ;规格标准号 GB/T 702-2017</t>
        </is>
      </c>
      <c r="F118" t="inlineStr">
        <is>
          <t>千克</t>
        </is>
      </c>
      <c r="G118">
        <f>LEFT(D118,FIND("|",D118,1)-1)</f>
        <v/>
      </c>
      <c r="H118">
        <f>MID(D118,FIND("|",D118,FIND("|",D118,1))+1,FIND("|",D118,FIND("|",D118,1)+1)-FIND("|",D118,FIND("|",D118,1))-1)</f>
        <v/>
      </c>
      <c r="J118">
        <f>MID(D118,FIND(";",SUBSTITUTE(D118,"|",REPT(";",LEN(D118)),2))+1,FIND(";",SUBSTITUTE(D118,"|",REPT(";",LEN(D118)),3))-FIND(";",SUBSTITUTE(D118,"|",REPT(";",LEN(D118)),2))-1)</f>
        <v/>
      </c>
      <c r="K118">
        <f>MID(D118,FIND(";",SUBSTITUTE(D118,"|",REPT(";",LEN(D118)),3))+1,FIND(";",SUBSTITUTE(D118,"|",REPT(";",LEN(D118)),4))-FIND(";",SUBSTITUTE(D118,"|",REPT(";",LEN(D118)),3))-1)</f>
        <v/>
      </c>
      <c r="M118">
        <f>MID(D118,FIND(";",SUBSTITUTE(D118,"|",REPT(";",LEN(D118)),4))+1,FIND(";",SUBSTITUTE(D118,"|",REPT(";",LEN(D118)),5))-FIND(";",SUBSTITUTE(D118,"|",REPT(";",LEN(D118)),4))-1)</f>
        <v/>
      </c>
      <c r="N118">
        <f>MID(D118,FIND(";",SUBSTITUTE(D118,"|",REPT(";",LEN(D118)),6))+1,LEN(D118))</f>
        <v/>
      </c>
      <c r="O118">
        <f>MID(D118,FIND(";",SUBSTITUTE(D118,"|",REPT(";",LEN(D118)),5))+1,FIND(";",SUBSTITUTE(D118,"|",REPT(";",LEN(D118)),6))-FIND(";",SUBSTITUTE(D118,"|",REPT(";",LEN(D118)),5))-1)</f>
        <v/>
      </c>
    </row>
    <row r="119">
      <c r="A119" t="inlineStr">
        <is>
          <t>100201</t>
        </is>
      </c>
      <c r="B119" t="inlineStr">
        <is>
          <t>圆钢</t>
        </is>
      </c>
      <c r="C119" t="inlineStr">
        <is>
          <t>601749000</t>
        </is>
      </c>
      <c r="D119" t="inlineStr">
        <is>
          <t>热轧优质碳素结构圆钢|圆钢|45|GB/T 699-2015|热轧</t>
        </is>
      </c>
      <c r="E119" t="inlineStr">
        <is>
          <t xml:space="preserve">物资名称 热轧优质碳素结构圆钢;物资简称 圆钢;牌号 45;直径 Φ;技术标准号 GB/T 699-2015;加工工艺 热轧;热处理工艺 ;特殊要求 ;规格标准号 </t>
        </is>
      </c>
      <c r="F119" t="inlineStr">
        <is>
          <t>千克</t>
        </is>
      </c>
      <c r="G119">
        <f>LEFT(D119,FIND("|",D119,1)-1)</f>
        <v/>
      </c>
      <c r="H119">
        <f>MID(D119,FIND("|",D119,FIND("|",D119,1))+1,FIND("|",D119,FIND("|",D119,1)+1)-FIND("|",D119,FIND("|",D119,1))-1)</f>
        <v/>
      </c>
      <c r="J119">
        <f>MID(D119,FIND(";",SUBSTITUTE(D119,"|",REPT(";",LEN(D119)),2))+1,FIND(";",SUBSTITUTE(D119,"|",REPT(";",LEN(D119)),3))-FIND(";",SUBSTITUTE(D119,"|",REPT(";",LEN(D119)),2))-1)</f>
        <v/>
      </c>
      <c r="M119">
        <f>MID(D119,FIND(";",SUBSTITUTE(D119,"|",REPT(";",LEN(D119)),3))+1,FIND(";",SUBSTITUTE(D119,"|",REPT(";",LEN(D119)),4))-FIND(";",SUBSTITUTE(D119,"|",REPT(";",LEN(D119)),3))-1)</f>
        <v/>
      </c>
      <c r="O119">
        <f>MID(D119,FIND(";",SUBSTITUTE(D119,"|",REPT(";",LEN(D119)),4))+1,LEN(D119))</f>
        <v/>
      </c>
    </row>
    <row r="120">
      <c r="A120" t="inlineStr">
        <is>
          <t>100201</t>
        </is>
      </c>
      <c r="B120" t="inlineStr">
        <is>
          <t>圆钢</t>
        </is>
      </c>
      <c r="C120" t="inlineStr">
        <is>
          <t>601692200</t>
        </is>
      </c>
      <c r="D120" t="inlineStr">
        <is>
          <t>钢棒|圆钢|35CrMnSiA|Φ13|GB/T 3077-1999</t>
        </is>
      </c>
      <c r="E120" t="inlineStr">
        <is>
          <t xml:space="preserve">物资名称 钢棒;物资简称 圆钢;牌号 35CrMnSiA;直径 Φ13;技术标准号 GB/T 3077-1999;加工工艺 ;热处理工艺 ;特殊要求 ;规格标准号 </t>
        </is>
      </c>
      <c r="F120" t="inlineStr">
        <is>
          <t>千克</t>
        </is>
      </c>
      <c r="G120">
        <f>LEFT(D120,FIND("|",D120,1)-1)</f>
        <v/>
      </c>
      <c r="H120">
        <f>MID(D120,FIND("|",D120,FIND("|",D120,1))+1,FIND("|",D120,FIND("|",D120,1)+1)-FIND("|",D120,FIND("|",D120,1))-1)</f>
        <v/>
      </c>
      <c r="J120">
        <f>MID(D120,FIND(";",SUBSTITUTE(D120,"|",REPT(";",LEN(D120)),2))+1,FIND(";",SUBSTITUTE(D120,"|",REPT(";",LEN(D120)),3))-FIND(";",SUBSTITUTE(D120,"|",REPT(";",LEN(D120)),2))-1)</f>
        <v/>
      </c>
      <c r="K120">
        <f>MID(D120,FIND(";",SUBSTITUTE(D120,"|",REPT(";",LEN(D120)),3))+1,FIND(";",SUBSTITUTE(D120,"|",REPT(";",LEN(D120)),4))-FIND(";",SUBSTITUTE(D120,"|",REPT(";",LEN(D120)),3))-1)</f>
        <v/>
      </c>
      <c r="M120">
        <f>MID(D120,FIND(";",SUBSTITUTE(D120,"|",REPT(";",LEN(D120)),4))+1,LEN(D120))</f>
        <v/>
      </c>
    </row>
    <row r="121">
      <c r="A121" t="inlineStr">
        <is>
          <t>100201</t>
        </is>
      </c>
      <c r="B121" t="inlineStr">
        <is>
          <t>圆钢</t>
        </is>
      </c>
      <c r="C121" t="inlineStr">
        <is>
          <t>601692100</t>
        </is>
      </c>
      <c r="D121" t="inlineStr">
        <is>
          <t>钢棒|圆钢|35CrMnSiA|Φ30|GB/T 3077-1999</t>
        </is>
      </c>
      <c r="E121" t="inlineStr">
        <is>
          <t xml:space="preserve">物资名称 钢棒;物资简称 圆钢;牌号 35CrMnSiA;直径 Φ30;技术标准号 GB/T 3077-1999;加工工艺 ;热处理工艺 ;特殊要求 ;规格标准号 </t>
        </is>
      </c>
      <c r="F121" t="inlineStr">
        <is>
          <t>千克</t>
        </is>
      </c>
      <c r="G121">
        <f>LEFT(D121,FIND("|",D121,1)-1)</f>
        <v/>
      </c>
      <c r="H121">
        <f>MID(D121,FIND("|",D121,FIND("|",D121,1))+1,FIND("|",D121,FIND("|",D121,1)+1)-FIND("|",D121,FIND("|",D121,1))-1)</f>
        <v/>
      </c>
      <c r="J121">
        <f>MID(D121,FIND(";",SUBSTITUTE(D121,"|",REPT(";",LEN(D121)),2))+1,FIND(";",SUBSTITUTE(D121,"|",REPT(";",LEN(D121)),3))-FIND(";",SUBSTITUTE(D121,"|",REPT(";",LEN(D121)),2))-1)</f>
        <v/>
      </c>
      <c r="K121">
        <f>MID(D121,FIND(";",SUBSTITUTE(D121,"|",REPT(";",LEN(D121)),3))+1,FIND(";",SUBSTITUTE(D121,"|",REPT(";",LEN(D121)),4))-FIND(";",SUBSTITUTE(D121,"|",REPT(";",LEN(D121)),3))-1)</f>
        <v/>
      </c>
      <c r="M121">
        <f>MID(D121,FIND(";",SUBSTITUTE(D121,"|",REPT(";",LEN(D121)),4))+1,LEN(D121))</f>
        <v/>
      </c>
    </row>
    <row r="122">
      <c r="A122" t="inlineStr">
        <is>
          <t>100201</t>
        </is>
      </c>
      <c r="B122" t="inlineStr">
        <is>
          <t>圆钢</t>
        </is>
      </c>
      <c r="C122" t="inlineStr">
        <is>
          <t>601652600</t>
        </is>
      </c>
      <c r="D122" t="inlineStr">
        <is>
          <t>冷拉高碳铬轴承圆钢|圆钢|GCr15|Φ5|GB/T 18254-2002|冷拉</t>
        </is>
      </c>
      <c r="E122" t="inlineStr">
        <is>
          <t xml:space="preserve">物资名称 冷拉高碳铬轴承圆钢;物资简称 圆钢;牌号 GCr15;直径 Φ5;技术标准号 GB/T 18254-2002;加工工艺 冷拉;热处理工艺 ;特殊要求 ;规格标准号 </t>
        </is>
      </c>
      <c r="F122" t="inlineStr">
        <is>
          <t>千克</t>
        </is>
      </c>
      <c r="G122">
        <f>LEFT(D122,FIND("|",D122,1)-1)</f>
        <v/>
      </c>
      <c r="H122">
        <f>MID(D122,FIND("|",D122,FIND("|",D122,1))+1,FIND("|",D122,FIND("|",D122,1)+1)-FIND("|",D122,FIND("|",D122,1))-1)</f>
        <v/>
      </c>
      <c r="J122">
        <f>MID(D122,FIND(";",SUBSTITUTE(D122,"|",REPT(";",LEN(D122)),2))+1,FIND(";",SUBSTITUTE(D122,"|",REPT(";",LEN(D122)),3))-FIND(";",SUBSTITUTE(D122,"|",REPT(";",LEN(D122)),2))-1)</f>
        <v/>
      </c>
      <c r="K122">
        <f>MID(D122,FIND(";",SUBSTITUTE(D122,"|",REPT(";",LEN(D122)),3))+1,FIND(";",SUBSTITUTE(D122,"|",REPT(";",LEN(D122)),4))-FIND(";",SUBSTITUTE(D122,"|",REPT(";",LEN(D122)),3))-1)</f>
        <v/>
      </c>
      <c r="M122">
        <f>MID(D122,FIND(";",SUBSTITUTE(D122,"|",REPT(";",LEN(D122)),4))+1,FIND(";",SUBSTITUTE(D122,"|",REPT(";",LEN(D122)),5))-FIND(";",SUBSTITUTE(D122,"|",REPT(";",LEN(D122)),4))-1)</f>
        <v/>
      </c>
      <c r="O122">
        <f>MID(D122,FIND(";",SUBSTITUTE(D122,"|",REPT(";",LEN(D122)),5))+1,LEN(D122))</f>
        <v/>
      </c>
    </row>
    <row r="123">
      <c r="A123" t="inlineStr">
        <is>
          <t>100201</t>
        </is>
      </c>
      <c r="B123" t="inlineStr">
        <is>
          <t>圆钢</t>
        </is>
      </c>
      <c r="C123" t="inlineStr">
        <is>
          <t>601605800</t>
        </is>
      </c>
      <c r="D123" t="inlineStr">
        <is>
          <t>圆钢|圆钢|40Cr|Φ14|GB/T3191-1998</t>
        </is>
      </c>
      <c r="E123" t="inlineStr">
        <is>
          <t xml:space="preserve">物资名称 圆钢;物资简称 圆钢;牌号 40Cr Φ14;直径 Φ;技术标准号 GB/T3191-1998;加工工艺 ;热处理工艺 ;特殊要求 ;规格标准号 </t>
        </is>
      </c>
      <c r="F123" t="inlineStr">
        <is>
          <t>千克</t>
        </is>
      </c>
      <c r="G123">
        <f>LEFT(D123,FIND("|",D123,1)-1)</f>
        <v/>
      </c>
      <c r="H123">
        <f>MID(D123,FIND("|",D123,FIND("|",D123,1))+1,FIND("|",D123,FIND("|",D123,1)+1)-FIND("|",D123,FIND("|",D123,1))-1)</f>
        <v/>
      </c>
      <c r="J123">
        <f>MID(D123,FIND(";",SUBSTITUTE(D123,"|",REPT(";",LEN(D123)),2))+1,FIND(";",SUBSTITUTE(D123,"|",REPT(";",LEN(D123)),3))-FIND(";",SUBSTITUTE(D123,"|",REPT(";",LEN(D123)),2))-1)</f>
        <v/>
      </c>
      <c r="K123">
        <f>MID(D123,FIND(";",SUBSTITUTE(D123,"|",REPT(";",LEN(D123)),3))+1,FIND(";",SUBSTITUTE(D123,"|",REPT(";",LEN(D123)),4))-FIND(";",SUBSTITUTE(D123,"|",REPT(";",LEN(D123)),3))-1)</f>
        <v/>
      </c>
      <c r="M123">
        <f>MID(D123,FIND(";",SUBSTITUTE(D123,"|",REPT(";",LEN(D123)),4))+1,LEN(D123))</f>
        <v/>
      </c>
    </row>
    <row r="124">
      <c r="A124" t="inlineStr">
        <is>
          <t>100201</t>
        </is>
      </c>
      <c r="B124" t="inlineStr">
        <is>
          <t>圆钢</t>
        </is>
      </c>
      <c r="C124" t="inlineStr">
        <is>
          <t>601605700</t>
        </is>
      </c>
      <c r="D124" t="inlineStr">
        <is>
          <t>圆钢|圆钢|40Cr|Φ20|GB/T3077-1999</t>
        </is>
      </c>
      <c r="E124" t="inlineStr">
        <is>
          <t xml:space="preserve">物资名称 圆钢;物资简称 圆钢;牌号 40Cr Φ20;直径 Φ;技术标准号 GB/T3077-1999;加工工艺 ;热处理工艺 ;特殊要求 ;规格标准号 </t>
        </is>
      </c>
      <c r="F124" t="inlineStr">
        <is>
          <t>千克</t>
        </is>
      </c>
      <c r="G124">
        <f>LEFT(D124,FIND("|",D124,1)-1)</f>
        <v/>
      </c>
      <c r="H124">
        <f>MID(D124,FIND("|",D124,FIND("|",D124,1))+1,FIND("|",D124,FIND("|",D124,1)+1)-FIND("|",D124,FIND("|",D124,1))-1)</f>
        <v/>
      </c>
      <c r="J124">
        <f>MID(D124,FIND(";",SUBSTITUTE(D124,"|",REPT(";",LEN(D124)),2))+1,FIND(";",SUBSTITUTE(D124,"|",REPT(";",LEN(D124)),3))-FIND(";",SUBSTITUTE(D124,"|",REPT(";",LEN(D124)),2))-1)</f>
        <v/>
      </c>
      <c r="K124">
        <f>MID(D124,FIND(";",SUBSTITUTE(D124,"|",REPT(";",LEN(D124)),3))+1,FIND(";",SUBSTITUTE(D124,"|",REPT(";",LEN(D124)),4))-FIND(";",SUBSTITUTE(D124,"|",REPT(";",LEN(D124)),3))-1)</f>
        <v/>
      </c>
      <c r="M124">
        <f>MID(D124,FIND(";",SUBSTITUTE(D124,"|",REPT(";",LEN(D124)),4))+1,LEN(D124))</f>
        <v/>
      </c>
    </row>
    <row r="125">
      <c r="A125" t="inlineStr">
        <is>
          <t>100201</t>
        </is>
      </c>
      <c r="B125" t="inlineStr">
        <is>
          <t>圆钢</t>
        </is>
      </c>
      <c r="C125" t="inlineStr">
        <is>
          <t>601605600</t>
        </is>
      </c>
      <c r="D125" t="inlineStr">
        <is>
          <t>圆钢|圆钢|40Cr|Φ25|GB/T3077-1999</t>
        </is>
      </c>
      <c r="E125" t="inlineStr">
        <is>
          <t xml:space="preserve">物资名称 圆钢;物资简称 圆钢;牌号 40Cr Φ25;直径 Φ;技术标准号 GB/T3077-1999;加工工艺 ;热处理工艺 ;特殊要求 ;规格标准号 </t>
        </is>
      </c>
      <c r="F125" t="inlineStr">
        <is>
          <t>千克</t>
        </is>
      </c>
      <c r="G125">
        <f>LEFT(D125,FIND("|",D125,1)-1)</f>
        <v/>
      </c>
      <c r="H125">
        <f>MID(D125,FIND("|",D125,FIND("|",D125,1))+1,FIND("|",D125,FIND("|",D125,1)+1)-FIND("|",D125,FIND("|",D125,1))-1)</f>
        <v/>
      </c>
      <c r="J125">
        <f>MID(D125,FIND(";",SUBSTITUTE(D125,"|",REPT(";",LEN(D125)),2))+1,FIND(";",SUBSTITUTE(D125,"|",REPT(";",LEN(D125)),3))-FIND(";",SUBSTITUTE(D125,"|",REPT(";",LEN(D125)),2))-1)</f>
        <v/>
      </c>
      <c r="K125">
        <f>MID(D125,FIND(";",SUBSTITUTE(D125,"|",REPT(";",LEN(D125)),3))+1,FIND(";",SUBSTITUTE(D125,"|",REPT(";",LEN(D125)),4))-FIND(";",SUBSTITUTE(D125,"|",REPT(";",LEN(D125)),3))-1)</f>
        <v/>
      </c>
      <c r="M125">
        <f>MID(D125,FIND(";",SUBSTITUTE(D125,"|",REPT(";",LEN(D125)),4))+1,LEN(D125))</f>
        <v/>
      </c>
    </row>
    <row r="126">
      <c r="A126" t="inlineStr">
        <is>
          <t>100201</t>
        </is>
      </c>
      <c r="B126" t="inlineStr">
        <is>
          <t>圆钢</t>
        </is>
      </c>
      <c r="C126" t="inlineStr">
        <is>
          <t>601605500</t>
        </is>
      </c>
      <c r="D126" t="inlineStr">
        <is>
          <t>圆钢|圆钢|40Cr|Φ35|GB/T3077-1999</t>
        </is>
      </c>
      <c r="E126" t="inlineStr">
        <is>
          <t xml:space="preserve">物资名称 圆钢;物资简称 圆钢;牌号 40Cr Φ35;直径 Φ;技术标准号 GB/T3077-1999;加工工艺 ;热处理工艺 ;特殊要求 ;规格标准号 </t>
        </is>
      </c>
      <c r="F126" t="inlineStr">
        <is>
          <t>千克</t>
        </is>
      </c>
      <c r="G126">
        <f>LEFT(D126,FIND("|",D126,1)-1)</f>
        <v/>
      </c>
      <c r="H126">
        <f>MID(D126,FIND("|",D126,FIND("|",D126,1))+1,FIND("|",D126,FIND("|",D126,1)+1)-FIND("|",D126,FIND("|",D126,1))-1)</f>
        <v/>
      </c>
      <c r="J126">
        <f>MID(D126,FIND(";",SUBSTITUTE(D126,"|",REPT(";",LEN(D126)),2))+1,FIND(";",SUBSTITUTE(D126,"|",REPT(";",LEN(D126)),3))-FIND(";",SUBSTITUTE(D126,"|",REPT(";",LEN(D126)),2))-1)</f>
        <v/>
      </c>
      <c r="K126">
        <f>MID(D126,FIND(";",SUBSTITUTE(D126,"|",REPT(";",LEN(D126)),3))+1,FIND(";",SUBSTITUTE(D126,"|",REPT(";",LEN(D126)),4))-FIND(";",SUBSTITUTE(D126,"|",REPT(";",LEN(D126)),3))-1)</f>
        <v/>
      </c>
      <c r="M126">
        <f>MID(D126,FIND(";",SUBSTITUTE(D126,"|",REPT(";",LEN(D126)),4))+1,LEN(D126))</f>
        <v/>
      </c>
    </row>
    <row r="127">
      <c r="A127" t="inlineStr">
        <is>
          <t>100201</t>
        </is>
      </c>
      <c r="B127" t="inlineStr">
        <is>
          <t>圆钢</t>
        </is>
      </c>
      <c r="C127" t="inlineStr">
        <is>
          <t>601568400</t>
        </is>
      </c>
      <c r="D127" t="inlineStr">
        <is>
          <t>不锈钢|不锈钢|2Cr13|130*45*85</t>
        </is>
      </c>
      <c r="E127" t="inlineStr">
        <is>
          <t xml:space="preserve">物资名称 不锈钢;物资简称 不锈钢;牌号 2Cr13;直径 Φ;技术标准号 130*45*85;加工工艺 ;热处理工艺 ;特殊要求 ;规格标准号 </t>
        </is>
      </c>
      <c r="F127" t="inlineStr">
        <is>
          <t>千克</t>
        </is>
      </c>
      <c r="G127">
        <f>LEFT(D127,FIND("|",D127,1)-1)</f>
        <v/>
      </c>
      <c r="H127">
        <f>MID(D127,FIND("|",D127,FIND("|",D127,1))+1,FIND("|",D127,FIND("|",D127,1)+1)-FIND("|",D127,FIND("|",D127,1))-1)</f>
        <v/>
      </c>
      <c r="J127">
        <f>MID(D127,FIND(";",SUBSTITUTE(D127,"|",REPT(";",LEN(D127)),2))+1,FIND(";",SUBSTITUTE(D127,"|",REPT(";",LEN(D127)),3))-FIND(";",SUBSTITUTE(D127,"|",REPT(";",LEN(D127)),2))-1)</f>
        <v/>
      </c>
      <c r="M127">
        <f>MID(D127,FIND(";",SUBSTITUTE(D127,"|",REPT(";",LEN(D127)),3))+1,LEN(D127))</f>
        <v/>
      </c>
    </row>
    <row r="128">
      <c r="A128" t="inlineStr">
        <is>
          <t>100201</t>
        </is>
      </c>
      <c r="B128" t="inlineStr">
        <is>
          <t>圆钢</t>
        </is>
      </c>
      <c r="C128" t="inlineStr">
        <is>
          <t>601511500</t>
        </is>
      </c>
      <c r="D128" t="inlineStr">
        <is>
          <t>不锈钢|不锈钢|1Cr18Ni9Ti|Φ130|GJB 2294-1995</t>
        </is>
      </c>
      <c r="E128" t="inlineStr">
        <is>
          <t xml:space="preserve">物资名称 不锈钢;物资简称 不锈钢;牌号 1Cr18Ni9Ti;直径 Φ130;技术标准号 GJB 2294-1995;加工工艺 ;热处理工艺 ;特殊要求 ;规格标准号 </t>
        </is>
      </c>
      <c r="F128" t="inlineStr">
        <is>
          <t>千克</t>
        </is>
      </c>
      <c r="G128">
        <f>LEFT(D128,FIND("|",D128,1)-1)</f>
        <v/>
      </c>
      <c r="H128">
        <f>MID(D128,FIND("|",D128,FIND("|",D128,1))+1,FIND("|",D128,FIND("|",D128,1)+1)-FIND("|",D128,FIND("|",D128,1))-1)</f>
        <v/>
      </c>
      <c r="J128">
        <f>MID(D128,FIND(";",SUBSTITUTE(D128,"|",REPT(";",LEN(D128)),2))+1,FIND(";",SUBSTITUTE(D128,"|",REPT(";",LEN(D128)),3))-FIND(";",SUBSTITUTE(D128,"|",REPT(";",LEN(D128)),2))-1)</f>
        <v/>
      </c>
      <c r="K128">
        <f>MID(D128,FIND(";",SUBSTITUTE(D128,"|",REPT(";",LEN(D128)),3))+1,FIND(";",SUBSTITUTE(D128,"|",REPT(";",LEN(D128)),4))-FIND(";",SUBSTITUTE(D128,"|",REPT(";",LEN(D128)),3))-1)</f>
        <v/>
      </c>
      <c r="M128">
        <f>MID(D128,FIND(";",SUBSTITUTE(D128,"|",REPT(";",LEN(D128)),4))+1,LEN(D128))</f>
        <v/>
      </c>
    </row>
    <row r="129">
      <c r="A129" t="inlineStr">
        <is>
          <t>100201</t>
        </is>
      </c>
      <c r="B129" t="inlineStr">
        <is>
          <t>圆钢</t>
        </is>
      </c>
      <c r="C129" t="inlineStr">
        <is>
          <t>601504300</t>
        </is>
      </c>
      <c r="D129" t="inlineStr">
        <is>
          <t>冷拉高碳铬轴承圆钢|圆钢|GCr15|Φ5.3|GB/T 18254-2002|冷拉</t>
        </is>
      </c>
      <c r="E129" t="inlineStr">
        <is>
          <t xml:space="preserve">物资名称 冷拉高碳铬轴承圆钢;物资简称 圆钢;牌号 GCr15;直径 Φ5.3;技术标准号 GB/T 18254-2002;加工工艺 冷拉;热处理工艺 ;特殊要求 ;规格标准号 </t>
        </is>
      </c>
      <c r="F129" t="inlineStr">
        <is>
          <t>千克</t>
        </is>
      </c>
      <c r="G129">
        <f>LEFT(D129,FIND("|",D129,1)-1)</f>
        <v/>
      </c>
      <c r="H129">
        <f>MID(D129,FIND("|",D129,FIND("|",D129,1))+1,FIND("|",D129,FIND("|",D129,1)+1)-FIND("|",D129,FIND("|",D129,1))-1)</f>
        <v/>
      </c>
      <c r="J129">
        <f>MID(D129,FIND(";",SUBSTITUTE(D129,"|",REPT(";",LEN(D129)),2))+1,FIND(";",SUBSTITUTE(D129,"|",REPT(";",LEN(D129)),3))-FIND(";",SUBSTITUTE(D129,"|",REPT(";",LEN(D129)),2))-1)</f>
        <v/>
      </c>
      <c r="K129">
        <f>MID(D129,FIND(";",SUBSTITUTE(D129,"|",REPT(";",LEN(D129)),3))+1,FIND(";",SUBSTITUTE(D129,"|",REPT(";",LEN(D129)),4))-FIND(";",SUBSTITUTE(D129,"|",REPT(";",LEN(D129)),3))-1)</f>
        <v/>
      </c>
      <c r="M129">
        <f>MID(D129,FIND(";",SUBSTITUTE(D129,"|",REPT(";",LEN(D129)),4))+1,FIND(";",SUBSTITUTE(D129,"|",REPT(";",LEN(D129)),5))-FIND(";",SUBSTITUTE(D129,"|",REPT(";",LEN(D129)),4))-1)</f>
        <v/>
      </c>
      <c r="O129">
        <f>MID(D129,FIND(";",SUBSTITUTE(D129,"|",REPT(";",LEN(D129)),5))+1,LEN(D129))</f>
        <v/>
      </c>
    </row>
    <row r="130">
      <c r="A130" t="inlineStr">
        <is>
          <t>100201</t>
        </is>
      </c>
      <c r="B130" t="inlineStr">
        <is>
          <t>圆钢</t>
        </is>
      </c>
      <c r="C130" t="inlineStr">
        <is>
          <t>601504200</t>
        </is>
      </c>
      <c r="D130" t="inlineStr">
        <is>
          <t>冷拉高碳铬轴承圆钢|圆钢|GCr15|Φ6.3|GB/T 18254-2002|冷拉</t>
        </is>
      </c>
      <c r="E130" t="inlineStr">
        <is>
          <t xml:space="preserve">物资名称 冷拉高碳铬轴承圆钢;物资简称 圆钢;牌号 GCr15;直径 Φ6.3;技术标准号 GB/T 18254-2002;加工工艺 冷拉;热处理工艺 ;特殊要求 ;规格标准号 </t>
        </is>
      </c>
      <c r="F130" t="inlineStr">
        <is>
          <t>千克</t>
        </is>
      </c>
      <c r="G130">
        <f>LEFT(D130,FIND("|",D130,1)-1)</f>
        <v/>
      </c>
      <c r="H130">
        <f>MID(D130,FIND("|",D130,FIND("|",D130,1))+1,FIND("|",D130,FIND("|",D130,1)+1)-FIND("|",D130,FIND("|",D130,1))-1)</f>
        <v/>
      </c>
      <c r="J130">
        <f>MID(D130,FIND(";",SUBSTITUTE(D130,"|",REPT(";",LEN(D130)),2))+1,FIND(";",SUBSTITUTE(D130,"|",REPT(";",LEN(D130)),3))-FIND(";",SUBSTITUTE(D130,"|",REPT(";",LEN(D130)),2))-1)</f>
        <v/>
      </c>
      <c r="K130">
        <f>MID(D130,FIND(";",SUBSTITUTE(D130,"|",REPT(";",LEN(D130)),3))+1,FIND(";",SUBSTITUTE(D130,"|",REPT(";",LEN(D130)),4))-FIND(";",SUBSTITUTE(D130,"|",REPT(";",LEN(D130)),3))-1)</f>
        <v/>
      </c>
      <c r="M130">
        <f>MID(D130,FIND(";",SUBSTITUTE(D130,"|",REPT(";",LEN(D130)),4))+1,FIND(";",SUBSTITUTE(D130,"|",REPT(";",LEN(D130)),5))-FIND(";",SUBSTITUTE(D130,"|",REPT(";",LEN(D130)),4))-1)</f>
        <v/>
      </c>
      <c r="O130">
        <f>MID(D130,FIND(";",SUBSTITUTE(D130,"|",REPT(";",LEN(D130)),5))+1,LEN(D130))</f>
        <v/>
      </c>
    </row>
    <row r="131">
      <c r="A131" t="inlineStr">
        <is>
          <t>100201</t>
        </is>
      </c>
      <c r="B131" t="inlineStr">
        <is>
          <t>圆钢</t>
        </is>
      </c>
      <c r="C131" t="inlineStr">
        <is>
          <t>601473000</t>
        </is>
      </c>
      <c r="D131" t="inlineStr">
        <is>
          <t>航空用不锈圆钢|圆钢|1Cr18Ni9Ti|Φ32|GJB 2294-1995</t>
        </is>
      </c>
      <c r="E131" t="inlineStr">
        <is>
          <t xml:space="preserve">物资名称 航空用不锈圆钢;物资简称 圆钢;牌号 1Cr18Ni9Ti;直径 Φ32;技术标准号 GJB 2294-1995;加工工艺 ;热处理工艺 ;特殊要求 ;规格标准号 </t>
        </is>
      </c>
      <c r="F131" t="inlineStr">
        <is>
          <t>千克</t>
        </is>
      </c>
      <c r="G131">
        <f>LEFT(D131,FIND("|",D131,1)-1)</f>
        <v/>
      </c>
      <c r="H131">
        <f>MID(D131,FIND("|",D131,FIND("|",D131,1))+1,FIND("|",D131,FIND("|",D131,1)+1)-FIND("|",D131,FIND("|",D131,1))-1)</f>
        <v/>
      </c>
      <c r="J131">
        <f>MID(D131,FIND(";",SUBSTITUTE(D131,"|",REPT(";",LEN(D131)),2))+1,FIND(";",SUBSTITUTE(D131,"|",REPT(";",LEN(D131)),3))-FIND(";",SUBSTITUTE(D131,"|",REPT(";",LEN(D131)),2))-1)</f>
        <v/>
      </c>
      <c r="K131">
        <f>MID(D131,FIND(";",SUBSTITUTE(D131,"|",REPT(";",LEN(D131)),3))+1,FIND(";",SUBSTITUTE(D131,"|",REPT(";",LEN(D131)),4))-FIND(";",SUBSTITUTE(D131,"|",REPT(";",LEN(D131)),3))-1)</f>
        <v/>
      </c>
      <c r="M131">
        <f>MID(D131,FIND(";",SUBSTITUTE(D131,"|",REPT(";",LEN(D131)),4))+1,LEN(D131))</f>
        <v/>
      </c>
    </row>
    <row r="132">
      <c r="A132" t="inlineStr">
        <is>
          <t>100201</t>
        </is>
      </c>
      <c r="B132" t="inlineStr">
        <is>
          <t>圆钢</t>
        </is>
      </c>
      <c r="C132" t="inlineStr">
        <is>
          <t>601472900</t>
        </is>
      </c>
      <c r="D132" t="inlineStr">
        <is>
          <t>航空用不锈圆钢|圆钢|1Cr18Ni9Ti|Φ95|GJB 2294-1995</t>
        </is>
      </c>
      <c r="E132" t="inlineStr">
        <is>
          <t xml:space="preserve">物资名称 航空用不锈圆钢;物资简称 圆钢;牌号 1Cr18Ni9Ti;直径 Φ95;技术标准号 GJB 2294-1995;加工工艺 ;热处理工艺 ;特殊要求 ;规格标准号 </t>
        </is>
      </c>
      <c r="F132" t="inlineStr">
        <is>
          <t>千克</t>
        </is>
      </c>
      <c r="G132">
        <f>LEFT(D132,FIND("|",D132,1)-1)</f>
        <v/>
      </c>
      <c r="H132">
        <f>MID(D132,FIND("|",D132,FIND("|",D132,1))+1,FIND("|",D132,FIND("|",D132,1)+1)-FIND("|",D132,FIND("|",D132,1))-1)</f>
        <v/>
      </c>
      <c r="J132">
        <f>MID(D132,FIND(";",SUBSTITUTE(D132,"|",REPT(";",LEN(D132)),2))+1,FIND(";",SUBSTITUTE(D132,"|",REPT(";",LEN(D132)),3))-FIND(";",SUBSTITUTE(D132,"|",REPT(";",LEN(D132)),2))-1)</f>
        <v/>
      </c>
      <c r="K132">
        <f>MID(D132,FIND(";",SUBSTITUTE(D132,"|",REPT(";",LEN(D132)),3))+1,FIND(";",SUBSTITUTE(D132,"|",REPT(";",LEN(D132)),4))-FIND(";",SUBSTITUTE(D132,"|",REPT(";",LEN(D132)),3))-1)</f>
        <v/>
      </c>
      <c r="M132">
        <f>MID(D132,FIND(";",SUBSTITUTE(D132,"|",REPT(";",LEN(D132)),4))+1,LEN(D132))</f>
        <v/>
      </c>
    </row>
    <row r="133">
      <c r="A133" t="inlineStr">
        <is>
          <t>100201</t>
        </is>
      </c>
      <c r="B133" t="inlineStr">
        <is>
          <t>圆钢</t>
        </is>
      </c>
      <c r="C133" t="inlineStr">
        <is>
          <t>601472800</t>
        </is>
      </c>
      <c r="D133" t="inlineStr">
        <is>
          <t>航空用不锈圆钢|圆钢|1Cr18Ni9Ti|Φ120|GJB 2294-1995</t>
        </is>
      </c>
      <c r="E133" t="inlineStr">
        <is>
          <t xml:space="preserve">物资名称 航空用不锈圆钢;物资简称 圆钢;牌号 1Cr18Ni9Ti;直径 Φ120;技术标准号 GJB 2294-1995;加工工艺 ;热处理工艺 ;特殊要求 ;规格标准号 </t>
        </is>
      </c>
      <c r="F133" t="inlineStr">
        <is>
          <t>千克</t>
        </is>
      </c>
      <c r="G133">
        <f>LEFT(D133,FIND("|",D133,1)-1)</f>
        <v/>
      </c>
      <c r="H133">
        <f>MID(D133,FIND("|",D133,FIND("|",D133,1))+1,FIND("|",D133,FIND("|",D133,1)+1)-FIND("|",D133,FIND("|",D133,1))-1)</f>
        <v/>
      </c>
      <c r="J133">
        <f>MID(D133,FIND(";",SUBSTITUTE(D133,"|",REPT(";",LEN(D133)),2))+1,FIND(";",SUBSTITUTE(D133,"|",REPT(";",LEN(D133)),3))-FIND(";",SUBSTITUTE(D133,"|",REPT(";",LEN(D133)),2))-1)</f>
        <v/>
      </c>
      <c r="K133">
        <f>MID(D133,FIND(";",SUBSTITUTE(D133,"|",REPT(";",LEN(D133)),3))+1,FIND(";",SUBSTITUTE(D133,"|",REPT(";",LEN(D133)),4))-FIND(";",SUBSTITUTE(D133,"|",REPT(";",LEN(D133)),3))-1)</f>
        <v/>
      </c>
      <c r="M133">
        <f>MID(D133,FIND(";",SUBSTITUTE(D133,"|",REPT(";",LEN(D133)),4))+1,LEN(D133))</f>
        <v/>
      </c>
    </row>
    <row r="134">
      <c r="A134" t="inlineStr">
        <is>
          <t>100201</t>
        </is>
      </c>
      <c r="B134" t="inlineStr">
        <is>
          <t>圆钢</t>
        </is>
      </c>
      <c r="C134" t="inlineStr">
        <is>
          <t>601472700</t>
        </is>
      </c>
      <c r="D134" t="inlineStr">
        <is>
          <t>不锈钢棒|钢棒|1Cr18Ni9|GB/T 1220-1992</t>
        </is>
      </c>
      <c r="E134" t="inlineStr">
        <is>
          <t xml:space="preserve">物资名称 不锈钢棒;物资简称 钢棒;牌号 1Cr18Ni9;直径 Φ;技术标准号 GB/T 1220-1992;加工工艺 ;热处理工艺 ;特殊要求 ;规格标准号 </t>
        </is>
      </c>
      <c r="F134" t="inlineStr">
        <is>
          <t>千克</t>
        </is>
      </c>
      <c r="G134">
        <f>LEFT(D134,FIND("|",D134,1)-1)</f>
        <v/>
      </c>
      <c r="H134">
        <f>MID(D134,FIND("|",D134,FIND("|",D134,1))+1,FIND("|",D134,FIND("|",D134,1)+1)-FIND("|",D134,FIND("|",D134,1))-1)</f>
        <v/>
      </c>
      <c r="J134">
        <f>MID(D134,FIND(";",SUBSTITUTE(D134,"|",REPT(";",LEN(D134)),2))+1,FIND(";",SUBSTITUTE(D134,"|",REPT(";",LEN(D134)),3))-FIND(";",SUBSTITUTE(D134,"|",REPT(";",LEN(D134)),2))-1)</f>
        <v/>
      </c>
      <c r="M134">
        <f>MID(D134,FIND(";",SUBSTITUTE(D134,"|",REPT(";",LEN(D134)),3))+1,LEN(D134))</f>
        <v/>
      </c>
    </row>
    <row r="135">
      <c r="A135" t="inlineStr">
        <is>
          <t>100201</t>
        </is>
      </c>
      <c r="B135" t="inlineStr">
        <is>
          <t>圆钢</t>
        </is>
      </c>
      <c r="C135" t="inlineStr">
        <is>
          <t>601472600</t>
        </is>
      </c>
      <c r="D135" t="inlineStr">
        <is>
          <t>锻制优质碳素结构圆钢|圆钢|45|Φ265|GB/T 699-1999|锻制|GB/T 908-2019</t>
        </is>
      </c>
      <c r="E135" t="inlineStr">
        <is>
          <t>物资名称 锻制优质碳素结构圆钢;物资简称 圆钢;牌号 45;直径 Φ265;技术标准号 GB/T 699-1999;加工工艺 锻制;热处理工艺 ;特殊要求 ;规格标准号 GB/T 908-2019</t>
        </is>
      </c>
      <c r="F135" t="inlineStr">
        <is>
          <t>千克</t>
        </is>
      </c>
      <c r="G135">
        <f>LEFT(D135,FIND("|",D135,1)-1)</f>
        <v/>
      </c>
      <c r="H135">
        <f>MID(D135,FIND("|",D135,FIND("|",D135,1))+1,FIND("|",D135,FIND("|",D135,1)+1)-FIND("|",D135,FIND("|",D135,1))-1)</f>
        <v/>
      </c>
      <c r="J135">
        <f>MID(D135,FIND(";",SUBSTITUTE(D135,"|",REPT(";",LEN(D135)),2))+1,FIND(";",SUBSTITUTE(D135,"|",REPT(";",LEN(D135)),3))-FIND(";",SUBSTITUTE(D135,"|",REPT(";",LEN(D135)),2))-1)</f>
        <v/>
      </c>
      <c r="K135">
        <f>MID(D135,FIND(";",SUBSTITUTE(D135,"|",REPT(";",LEN(D135)),3))+1,FIND(";",SUBSTITUTE(D135,"|",REPT(";",LEN(D135)),4))-FIND(";",SUBSTITUTE(D135,"|",REPT(";",LEN(D135)),3))-1)</f>
        <v/>
      </c>
      <c r="M135">
        <f>MID(D135,FIND(";",SUBSTITUTE(D135,"|",REPT(";",LEN(D135)),4))+1,FIND(";",SUBSTITUTE(D135,"|",REPT(";",LEN(D135)),5))-FIND(";",SUBSTITUTE(D135,"|",REPT(";",LEN(D135)),4))-1)</f>
        <v/>
      </c>
      <c r="N135">
        <f>MID(D135,FIND(";",SUBSTITUTE(D135,"|",REPT(";",LEN(D135)),6))+1,LEN(D135))</f>
        <v/>
      </c>
      <c r="O135">
        <f>MID(D135,FIND(";",SUBSTITUTE(D135,"|",REPT(";",LEN(D135)),5))+1,FIND(";",SUBSTITUTE(D135,"|",REPT(";",LEN(D135)),6))-FIND(";",SUBSTITUTE(D135,"|",REPT(";",LEN(D135)),5))-1)</f>
        <v/>
      </c>
    </row>
    <row r="136">
      <c r="A136" t="inlineStr">
        <is>
          <t>100201</t>
        </is>
      </c>
      <c r="B136" t="inlineStr">
        <is>
          <t>圆钢</t>
        </is>
      </c>
      <c r="C136" t="inlineStr">
        <is>
          <t>601464700</t>
        </is>
      </c>
      <c r="D136" t="inlineStr">
        <is>
          <t>热轧不锈圆钢|圆钢|1Cr18Ni9|Φ5|GB/T 1220-1992|热轧|GB/T 702-2008</t>
        </is>
      </c>
      <c r="E136" t="inlineStr">
        <is>
          <t>物资名称 热轧不锈圆钢;物资简称 圆钢;牌号 1Cr18Ni9;直径 Φ5;技术标准号 GB/T 1220-1992;加工工艺 热轧;热处理工艺 ;特殊要求 ;规格标准号 GB/T 702-2008</t>
        </is>
      </c>
      <c r="F136" t="inlineStr">
        <is>
          <t>千克</t>
        </is>
      </c>
      <c r="G136">
        <f>LEFT(D136,FIND("|",D136,1)-1)</f>
        <v/>
      </c>
      <c r="H136">
        <f>MID(D136,FIND("|",D136,FIND("|",D136,1))+1,FIND("|",D136,FIND("|",D136,1)+1)-FIND("|",D136,FIND("|",D136,1))-1)</f>
        <v/>
      </c>
      <c r="J136">
        <f>MID(D136,FIND(";",SUBSTITUTE(D136,"|",REPT(";",LEN(D136)),2))+1,FIND(";",SUBSTITUTE(D136,"|",REPT(";",LEN(D136)),3))-FIND(";",SUBSTITUTE(D136,"|",REPT(";",LEN(D136)),2))-1)</f>
        <v/>
      </c>
      <c r="K136">
        <f>MID(D136,FIND(";",SUBSTITUTE(D136,"|",REPT(";",LEN(D136)),3))+1,FIND(";",SUBSTITUTE(D136,"|",REPT(";",LEN(D136)),4))-FIND(";",SUBSTITUTE(D136,"|",REPT(";",LEN(D136)),3))-1)</f>
        <v/>
      </c>
      <c r="M136">
        <f>MID(D136,FIND(";",SUBSTITUTE(D136,"|",REPT(";",LEN(D136)),4))+1,FIND(";",SUBSTITUTE(D136,"|",REPT(";",LEN(D136)),5))-FIND(";",SUBSTITUTE(D136,"|",REPT(";",LEN(D136)),4))-1)</f>
        <v/>
      </c>
      <c r="N136">
        <f>MID(D136,FIND(";",SUBSTITUTE(D136,"|",REPT(";",LEN(D136)),6))+1,LEN(D136))</f>
        <v/>
      </c>
      <c r="O136">
        <f>MID(D136,FIND(";",SUBSTITUTE(D136,"|",REPT(";",LEN(D136)),5))+1,FIND(";",SUBSTITUTE(D136,"|",REPT(";",LEN(D136)),6))-FIND(";",SUBSTITUTE(D136,"|",REPT(";",LEN(D136)),5))-1)</f>
        <v/>
      </c>
    </row>
    <row r="137">
      <c r="A137" t="inlineStr">
        <is>
          <t>100201</t>
        </is>
      </c>
      <c r="B137" t="inlineStr">
        <is>
          <t>圆钢</t>
        </is>
      </c>
      <c r="C137" t="inlineStr">
        <is>
          <t>601438400</t>
        </is>
      </c>
      <c r="D137" t="inlineStr">
        <is>
          <t>不锈圆钢|圆钢|304|φ180|空</t>
        </is>
      </c>
      <c r="E137" t="inlineStr">
        <is>
          <t xml:space="preserve">物资名称 不锈圆钢;物资简称 圆钢;牌号 304;直径 φ180;技术标准号 空;加工工艺 ;热处理工艺 ;特殊要求 ;规格标准号 </t>
        </is>
      </c>
      <c r="F137" t="inlineStr">
        <is>
          <t>千克</t>
        </is>
      </c>
      <c r="G137">
        <f>LEFT(D137,FIND("|",D137,1)-1)</f>
        <v/>
      </c>
      <c r="H137">
        <f>MID(D137,FIND("|",D137,FIND("|",D137,1))+1,FIND("|",D137,FIND("|",D137,1)+1)-FIND("|",D137,FIND("|",D137,1))-1)</f>
        <v/>
      </c>
      <c r="J137">
        <f>MID(D137,FIND(";",SUBSTITUTE(D137,"|",REPT(";",LEN(D137)),2))+1,FIND(";",SUBSTITUTE(D137,"|",REPT(";",LEN(D137)),3))-FIND(";",SUBSTITUTE(D137,"|",REPT(";",LEN(D137)),2))-1)</f>
        <v/>
      </c>
      <c r="K137">
        <f>MID(D137,FIND(";",SUBSTITUTE(D137,"|",REPT(";",LEN(D137)),3))+1,FIND(";",SUBSTITUTE(D137,"|",REPT(";",LEN(D137)),4))-FIND(";",SUBSTITUTE(D137,"|",REPT(";",LEN(D137)),3))-1)</f>
        <v/>
      </c>
      <c r="M137">
        <f>MID(D137,FIND(";",SUBSTITUTE(D137,"|",REPT(";",LEN(D137)),4))+1,LEN(D137))</f>
        <v/>
      </c>
    </row>
    <row r="138">
      <c r="A138" t="inlineStr">
        <is>
          <t>100201</t>
        </is>
      </c>
      <c r="B138" t="inlineStr">
        <is>
          <t>圆钢</t>
        </is>
      </c>
      <c r="C138" t="inlineStr">
        <is>
          <t>601438300</t>
        </is>
      </c>
      <c r="D138" t="inlineStr">
        <is>
          <t>不锈圆钢|圆钢|304|φ260|空</t>
        </is>
      </c>
      <c r="E138" t="inlineStr">
        <is>
          <t xml:space="preserve">物资名称 不锈圆钢;物资简称 圆钢;牌号 304;直径 φ260;技术标准号 空;加工工艺 ;热处理工艺 ;特殊要求 ;规格标准号 </t>
        </is>
      </c>
      <c r="F138" t="inlineStr">
        <is>
          <t>千克</t>
        </is>
      </c>
      <c r="G138">
        <f>LEFT(D138,FIND("|",D138,1)-1)</f>
        <v/>
      </c>
      <c r="H138">
        <f>MID(D138,FIND("|",D138,FIND("|",D138,1))+1,FIND("|",D138,FIND("|",D138,1)+1)-FIND("|",D138,FIND("|",D138,1))-1)</f>
        <v/>
      </c>
      <c r="J138">
        <f>MID(D138,FIND(";",SUBSTITUTE(D138,"|",REPT(";",LEN(D138)),2))+1,FIND(";",SUBSTITUTE(D138,"|",REPT(";",LEN(D138)),3))-FIND(";",SUBSTITUTE(D138,"|",REPT(";",LEN(D138)),2))-1)</f>
        <v/>
      </c>
      <c r="K138">
        <f>MID(D138,FIND(";",SUBSTITUTE(D138,"|",REPT(";",LEN(D138)),3))+1,FIND(";",SUBSTITUTE(D138,"|",REPT(";",LEN(D138)),4))-FIND(";",SUBSTITUTE(D138,"|",REPT(";",LEN(D138)),3))-1)</f>
        <v/>
      </c>
      <c r="M138">
        <f>MID(D138,FIND(";",SUBSTITUTE(D138,"|",REPT(";",LEN(D138)),4))+1,LEN(D138))</f>
        <v/>
      </c>
    </row>
    <row r="139">
      <c r="A139" t="inlineStr">
        <is>
          <t>100201</t>
        </is>
      </c>
      <c r="B139" t="inlineStr">
        <is>
          <t>圆钢</t>
        </is>
      </c>
      <c r="C139" t="inlineStr">
        <is>
          <t>601438200</t>
        </is>
      </c>
      <c r="D139" t="inlineStr">
        <is>
          <t>不锈圆钢|圆钢|304|φ270|空</t>
        </is>
      </c>
      <c r="E139" t="inlineStr">
        <is>
          <t xml:space="preserve">物资名称 不锈圆钢;物资简称 圆钢;牌号 304;直径 φ270;技术标准号 空;加工工艺 ;热处理工艺 ;特殊要求 ;规格标准号 </t>
        </is>
      </c>
      <c r="F139" t="inlineStr">
        <is>
          <t>千克</t>
        </is>
      </c>
      <c r="G139">
        <f>LEFT(D139,FIND("|",D139,1)-1)</f>
        <v/>
      </c>
      <c r="H139">
        <f>MID(D139,FIND("|",D139,FIND("|",D139,1))+1,FIND("|",D139,FIND("|",D139,1)+1)-FIND("|",D139,FIND("|",D139,1))-1)</f>
        <v/>
      </c>
      <c r="J139">
        <f>MID(D139,FIND(";",SUBSTITUTE(D139,"|",REPT(";",LEN(D139)),2))+1,FIND(";",SUBSTITUTE(D139,"|",REPT(";",LEN(D139)),3))-FIND(";",SUBSTITUTE(D139,"|",REPT(";",LEN(D139)),2))-1)</f>
        <v/>
      </c>
      <c r="K139">
        <f>MID(D139,FIND(";",SUBSTITUTE(D139,"|",REPT(";",LEN(D139)),3))+1,FIND(";",SUBSTITUTE(D139,"|",REPT(";",LEN(D139)),4))-FIND(";",SUBSTITUTE(D139,"|",REPT(";",LEN(D139)),3))-1)</f>
        <v/>
      </c>
      <c r="M139">
        <f>MID(D139,FIND(";",SUBSTITUTE(D139,"|",REPT(";",LEN(D139)),4))+1,LEN(D139))</f>
        <v/>
      </c>
    </row>
    <row r="140">
      <c r="A140" t="inlineStr">
        <is>
          <t>100201</t>
        </is>
      </c>
      <c r="B140" t="inlineStr">
        <is>
          <t>圆钢</t>
        </is>
      </c>
      <c r="C140" t="inlineStr">
        <is>
          <t>601438100</t>
        </is>
      </c>
      <c r="D140" t="inlineStr">
        <is>
          <t>不锈圆钢|圆钢|304|φ300|空</t>
        </is>
      </c>
      <c r="E140" t="inlineStr">
        <is>
          <t xml:space="preserve">物资名称 不锈圆钢;物资简称 圆钢;牌号 304;直径 φ300;技术标准号 空;加工工艺 ;热处理工艺 ;特殊要求 ;规格标准号 </t>
        </is>
      </c>
      <c r="F140" t="inlineStr">
        <is>
          <t>千克</t>
        </is>
      </c>
      <c r="G140">
        <f>LEFT(D140,FIND("|",D140,1)-1)</f>
        <v/>
      </c>
      <c r="H140">
        <f>MID(D140,FIND("|",D140,FIND("|",D140,1))+1,FIND("|",D140,FIND("|",D140,1)+1)-FIND("|",D140,FIND("|",D140,1))-1)</f>
        <v/>
      </c>
      <c r="J140">
        <f>MID(D140,FIND(";",SUBSTITUTE(D140,"|",REPT(";",LEN(D140)),2))+1,FIND(";",SUBSTITUTE(D140,"|",REPT(";",LEN(D140)),3))-FIND(";",SUBSTITUTE(D140,"|",REPT(";",LEN(D140)),2))-1)</f>
        <v/>
      </c>
      <c r="K140">
        <f>MID(D140,FIND(";",SUBSTITUTE(D140,"|",REPT(";",LEN(D140)),3))+1,FIND(";",SUBSTITUTE(D140,"|",REPT(";",LEN(D140)),4))-FIND(";",SUBSTITUTE(D140,"|",REPT(";",LEN(D140)),3))-1)</f>
        <v/>
      </c>
      <c r="M140">
        <f>MID(D140,FIND(";",SUBSTITUTE(D140,"|",REPT(";",LEN(D140)),4))+1,LEN(D140))</f>
        <v/>
      </c>
    </row>
    <row r="141">
      <c r="A141" t="inlineStr">
        <is>
          <t>100201</t>
        </is>
      </c>
      <c r="B141" t="inlineStr">
        <is>
          <t>圆钢</t>
        </is>
      </c>
      <c r="C141" t="inlineStr">
        <is>
          <t>601438000</t>
        </is>
      </c>
      <c r="D141" t="inlineStr">
        <is>
          <t>航空用优质结构钢棒|圆钢|38CrMoAlA|φ35|GJB 1951-1994</t>
        </is>
      </c>
      <c r="E141" t="inlineStr">
        <is>
          <t xml:space="preserve">物资名称 航空用优质结构钢棒;物资简称 圆钢;牌号 38CrMoAlA;直径 φ35;技术标准号 GJB 1951-1994;加工工艺 ;热处理工艺 ;特殊要求 ;规格标准号 </t>
        </is>
      </c>
      <c r="F141" t="inlineStr">
        <is>
          <t>千克</t>
        </is>
      </c>
      <c r="G141">
        <f>LEFT(D141,FIND("|",D141,1)-1)</f>
        <v/>
      </c>
      <c r="H141">
        <f>MID(D141,FIND("|",D141,FIND("|",D141,1))+1,FIND("|",D141,FIND("|",D141,1)+1)-FIND("|",D141,FIND("|",D141,1))-1)</f>
        <v/>
      </c>
      <c r="J141">
        <f>MID(D141,FIND(";",SUBSTITUTE(D141,"|",REPT(";",LEN(D141)),2))+1,FIND(";",SUBSTITUTE(D141,"|",REPT(";",LEN(D141)),3))-FIND(";",SUBSTITUTE(D141,"|",REPT(";",LEN(D141)),2))-1)</f>
        <v/>
      </c>
      <c r="K141">
        <f>MID(D141,FIND(";",SUBSTITUTE(D141,"|",REPT(";",LEN(D141)),3))+1,FIND(";",SUBSTITUTE(D141,"|",REPT(";",LEN(D141)),4))-FIND(";",SUBSTITUTE(D141,"|",REPT(";",LEN(D141)),3))-1)</f>
        <v/>
      </c>
      <c r="M141">
        <f>MID(D141,FIND(";",SUBSTITUTE(D141,"|",REPT(";",LEN(D141)),4))+1,LEN(D141))</f>
        <v/>
      </c>
    </row>
    <row r="142">
      <c r="A142" t="inlineStr">
        <is>
          <t>100201</t>
        </is>
      </c>
      <c r="B142" t="inlineStr">
        <is>
          <t>圆钢</t>
        </is>
      </c>
      <c r="C142" t="inlineStr">
        <is>
          <t>601437900</t>
        </is>
      </c>
      <c r="D142" t="inlineStr">
        <is>
          <t>航空用不锈圆钢|圆钢|1Cr18Ni9Ti|φ12|GJB 2294-1995</t>
        </is>
      </c>
      <c r="E142" t="inlineStr">
        <is>
          <t xml:space="preserve">物资名称 航空用不锈圆钢;物资简称 圆钢;牌号 1Cr18Ni9Ti;直径 φ12;技术标准号 GJB 2294-1995;加工工艺 ;热处理工艺 ;特殊要求 ;规格标准号 </t>
        </is>
      </c>
      <c r="F142" t="inlineStr">
        <is>
          <t>千克</t>
        </is>
      </c>
      <c r="G142">
        <f>LEFT(D142,FIND("|",D142,1)-1)</f>
        <v/>
      </c>
      <c r="H142">
        <f>MID(D142,FIND("|",D142,FIND("|",D142,1))+1,FIND("|",D142,FIND("|",D142,1)+1)-FIND("|",D142,FIND("|",D142,1))-1)</f>
        <v/>
      </c>
      <c r="J142">
        <f>MID(D142,FIND(";",SUBSTITUTE(D142,"|",REPT(";",LEN(D142)),2))+1,FIND(";",SUBSTITUTE(D142,"|",REPT(";",LEN(D142)),3))-FIND(";",SUBSTITUTE(D142,"|",REPT(";",LEN(D142)),2))-1)</f>
        <v/>
      </c>
      <c r="K142">
        <f>MID(D142,FIND(";",SUBSTITUTE(D142,"|",REPT(";",LEN(D142)),3))+1,FIND(";",SUBSTITUTE(D142,"|",REPT(";",LEN(D142)),4))-FIND(";",SUBSTITUTE(D142,"|",REPT(";",LEN(D142)),3))-1)</f>
        <v/>
      </c>
      <c r="M142">
        <f>MID(D142,FIND(";",SUBSTITUTE(D142,"|",REPT(";",LEN(D142)),4))+1,LEN(D142))</f>
        <v/>
      </c>
    </row>
    <row r="143">
      <c r="A143" t="inlineStr">
        <is>
          <t>100201</t>
        </is>
      </c>
      <c r="B143" t="inlineStr">
        <is>
          <t>圆钢</t>
        </is>
      </c>
      <c r="C143" t="inlineStr">
        <is>
          <t>601437800</t>
        </is>
      </c>
      <c r="D143" t="inlineStr">
        <is>
          <t>合金结构圆钢|圆钢|30CrMnSiA|φ320|空</t>
        </is>
      </c>
      <c r="E143" t="inlineStr">
        <is>
          <t xml:space="preserve">物资名称 合金结构圆钢;物资简称 圆钢;牌号 30CrMnSiA;直径 φ320;技术标准号 空;加工工艺 ;热处理工艺 ;特殊要求 ;规格标准号 </t>
        </is>
      </c>
      <c r="F143" t="inlineStr">
        <is>
          <t>千克</t>
        </is>
      </c>
      <c r="G143">
        <f>LEFT(D143,FIND("|",D143,1)-1)</f>
        <v/>
      </c>
      <c r="H143">
        <f>MID(D143,FIND("|",D143,FIND("|",D143,1))+1,FIND("|",D143,FIND("|",D143,1)+1)-FIND("|",D143,FIND("|",D143,1))-1)</f>
        <v/>
      </c>
      <c r="J143">
        <f>MID(D143,FIND(";",SUBSTITUTE(D143,"|",REPT(";",LEN(D143)),2))+1,FIND(";",SUBSTITUTE(D143,"|",REPT(";",LEN(D143)),3))-FIND(";",SUBSTITUTE(D143,"|",REPT(";",LEN(D143)),2))-1)</f>
        <v/>
      </c>
      <c r="K143">
        <f>MID(D143,FIND(";",SUBSTITUTE(D143,"|",REPT(";",LEN(D143)),3))+1,FIND(";",SUBSTITUTE(D143,"|",REPT(";",LEN(D143)),4))-FIND(";",SUBSTITUTE(D143,"|",REPT(";",LEN(D143)),3))-1)</f>
        <v/>
      </c>
      <c r="M143">
        <f>MID(D143,FIND(";",SUBSTITUTE(D143,"|",REPT(";",LEN(D143)),4))+1,LEN(D143))</f>
        <v/>
      </c>
    </row>
    <row r="144">
      <c r="A144" t="inlineStr">
        <is>
          <t>100201</t>
        </is>
      </c>
      <c r="B144" t="inlineStr">
        <is>
          <t>圆钢</t>
        </is>
      </c>
      <c r="C144" t="inlineStr">
        <is>
          <t>601432200</t>
        </is>
      </c>
      <c r="D144" t="inlineStr">
        <is>
          <t>航空航天用超高强度钢钢棒|圆钢|45CrNiMo1VA|GJB 5063-2001</t>
        </is>
      </c>
      <c r="E144" t="inlineStr">
        <is>
          <t xml:space="preserve">物资名称 航空航天用超高强度钢钢棒;物资简称 圆钢;牌号 45CrNiMo1VA;直径 Φ;技术标准号 GJB 5063-2001;加工工艺 ;热处理工艺 ;特殊要求 ;规格标准号 </t>
        </is>
      </c>
      <c r="F144" t="inlineStr">
        <is>
          <t>千克</t>
        </is>
      </c>
      <c r="G144">
        <f>LEFT(D144,FIND("|",D144,1)-1)</f>
        <v/>
      </c>
      <c r="H144">
        <f>MID(D144,FIND("|",D144,FIND("|",D144,1))+1,FIND("|",D144,FIND("|",D144,1)+1)-FIND("|",D144,FIND("|",D144,1))-1)</f>
        <v/>
      </c>
      <c r="J144">
        <f>MID(D144,FIND(";",SUBSTITUTE(D144,"|",REPT(";",LEN(D144)),2))+1,FIND(";",SUBSTITUTE(D144,"|",REPT(";",LEN(D144)),3))-FIND(";",SUBSTITUTE(D144,"|",REPT(";",LEN(D144)),2))-1)</f>
        <v/>
      </c>
      <c r="M144">
        <f>MID(D144,FIND(";",SUBSTITUTE(D144,"|",REPT(";",LEN(D144)),3))+1,LEN(D144))</f>
        <v/>
      </c>
    </row>
    <row r="145">
      <c r="A145" t="inlineStr">
        <is>
          <t>100201</t>
        </is>
      </c>
      <c r="B145" t="inlineStr">
        <is>
          <t>圆钢</t>
        </is>
      </c>
      <c r="C145" t="inlineStr">
        <is>
          <t>601346800</t>
        </is>
      </c>
      <c r="D145" t="inlineStr">
        <is>
          <t>航空用不锈圆钢|圆钢|1Cr18Ni9Ti|Φ60|GJB 2294-1995</t>
        </is>
      </c>
      <c r="E145" t="inlineStr">
        <is>
          <t xml:space="preserve">物资名称 航空用不锈圆钢;物资简称 圆钢;牌号 1Cr18Ni9Ti;直径 Φ60;技术标准号 GJB 2294-1995;加工工艺 ;热处理工艺 ;特殊要求 ;规格标准号 </t>
        </is>
      </c>
      <c r="F145" t="inlineStr">
        <is>
          <t>千克</t>
        </is>
      </c>
      <c r="G145">
        <f>LEFT(D145,FIND("|",D145,1)-1)</f>
        <v/>
      </c>
      <c r="H145">
        <f>MID(D145,FIND("|",D145,FIND("|",D145,1))+1,FIND("|",D145,FIND("|",D145,1)+1)-FIND("|",D145,FIND("|",D145,1))-1)</f>
        <v/>
      </c>
      <c r="J145">
        <f>MID(D145,FIND(";",SUBSTITUTE(D145,"|",REPT(";",LEN(D145)),2))+1,FIND(";",SUBSTITUTE(D145,"|",REPT(";",LEN(D145)),3))-FIND(";",SUBSTITUTE(D145,"|",REPT(";",LEN(D145)),2))-1)</f>
        <v/>
      </c>
      <c r="K145">
        <f>MID(D145,FIND(";",SUBSTITUTE(D145,"|",REPT(";",LEN(D145)),3))+1,FIND(";",SUBSTITUTE(D145,"|",REPT(";",LEN(D145)),4))-FIND(";",SUBSTITUTE(D145,"|",REPT(";",LEN(D145)),3))-1)</f>
        <v/>
      </c>
      <c r="M145">
        <f>MID(D145,FIND(";",SUBSTITUTE(D145,"|",REPT(";",LEN(D145)),4))+1,LEN(D145))</f>
        <v/>
      </c>
    </row>
    <row r="146">
      <c r="A146" t="inlineStr">
        <is>
          <t>100201</t>
        </is>
      </c>
      <c r="B146" t="inlineStr">
        <is>
          <t>圆钢</t>
        </is>
      </c>
      <c r="C146" t="inlineStr">
        <is>
          <t>601346700</t>
        </is>
      </c>
      <c r="D146" t="inlineStr">
        <is>
          <t>合金结构圆钢|圆钢|30CrMnSiA|Φ100|空</t>
        </is>
      </c>
      <c r="E146" t="inlineStr">
        <is>
          <t xml:space="preserve">物资名称 合金结构圆钢;物资简称 圆钢;牌号 30CrMnSiA;直径 Φ100;技术标准号 空;加工工艺 ;热处理工艺 ;特殊要求 ;规格标准号 </t>
        </is>
      </c>
      <c r="F146" t="inlineStr">
        <is>
          <t>千克</t>
        </is>
      </c>
      <c r="G146">
        <f>LEFT(D146,FIND("|",D146,1)-1)</f>
        <v/>
      </c>
      <c r="H146">
        <f>MID(D146,FIND("|",D146,FIND("|",D146,1))+1,FIND("|",D146,FIND("|",D146,1)+1)-FIND("|",D146,FIND("|",D146,1))-1)</f>
        <v/>
      </c>
      <c r="J146">
        <f>MID(D146,FIND(";",SUBSTITUTE(D146,"|",REPT(";",LEN(D146)),2))+1,FIND(";",SUBSTITUTE(D146,"|",REPT(";",LEN(D146)),3))-FIND(";",SUBSTITUTE(D146,"|",REPT(";",LEN(D146)),2))-1)</f>
        <v/>
      </c>
      <c r="K146">
        <f>MID(D146,FIND(";",SUBSTITUTE(D146,"|",REPT(";",LEN(D146)),3))+1,FIND(";",SUBSTITUTE(D146,"|",REPT(";",LEN(D146)),4))-FIND(";",SUBSTITUTE(D146,"|",REPT(";",LEN(D146)),3))-1)</f>
        <v/>
      </c>
      <c r="M146">
        <f>MID(D146,FIND(";",SUBSTITUTE(D146,"|",REPT(";",LEN(D146)),4))+1,LEN(D146))</f>
        <v/>
      </c>
    </row>
    <row r="147">
      <c r="A147" t="inlineStr">
        <is>
          <t>100201</t>
        </is>
      </c>
      <c r="B147" t="inlineStr">
        <is>
          <t>圆钢</t>
        </is>
      </c>
      <c r="C147" t="inlineStr">
        <is>
          <t>601328900</t>
        </is>
      </c>
      <c r="D147" t="inlineStr">
        <is>
          <t>合金结构圆钢|圆钢|40Cr|Φ35|空</t>
        </is>
      </c>
      <c r="E147" t="inlineStr">
        <is>
          <t xml:space="preserve">物资名称 合金结构圆钢;物资简称 圆钢;牌号 40Cr;直径 Φ35;技术标准号 空;加工工艺 ;热处理工艺 ;特殊要求 ;规格标准号 </t>
        </is>
      </c>
      <c r="F147" t="inlineStr">
        <is>
          <t>千克</t>
        </is>
      </c>
      <c r="G147">
        <f>LEFT(D147,FIND("|",D147,1)-1)</f>
        <v/>
      </c>
      <c r="H147">
        <f>MID(D147,FIND("|",D147,FIND("|",D147,1))+1,FIND("|",D147,FIND("|",D147,1)+1)-FIND("|",D147,FIND("|",D147,1))-1)</f>
        <v/>
      </c>
      <c r="J147">
        <f>MID(D147,FIND(";",SUBSTITUTE(D147,"|",REPT(";",LEN(D147)),2))+1,FIND(";",SUBSTITUTE(D147,"|",REPT(";",LEN(D147)),3))-FIND(";",SUBSTITUTE(D147,"|",REPT(";",LEN(D147)),2))-1)</f>
        <v/>
      </c>
      <c r="K147">
        <f>MID(D147,FIND(";",SUBSTITUTE(D147,"|",REPT(";",LEN(D147)),3))+1,FIND(";",SUBSTITUTE(D147,"|",REPT(";",LEN(D147)),4))-FIND(";",SUBSTITUTE(D147,"|",REPT(";",LEN(D147)),3))-1)</f>
        <v/>
      </c>
      <c r="M147">
        <f>MID(D147,FIND(";",SUBSTITUTE(D147,"|",REPT(";",LEN(D147)),4))+1,LEN(D147))</f>
        <v/>
      </c>
    </row>
    <row r="148">
      <c r="A148" t="inlineStr">
        <is>
          <t>100201</t>
        </is>
      </c>
      <c r="B148" t="inlineStr">
        <is>
          <t>圆钢</t>
        </is>
      </c>
      <c r="C148" t="inlineStr">
        <is>
          <t>601328800</t>
        </is>
      </c>
      <c r="D148" t="inlineStr">
        <is>
          <t>不锈圆钢|圆钢|9Cr18|Φ35|空</t>
        </is>
      </c>
      <c r="E148" t="inlineStr">
        <is>
          <t xml:space="preserve">物资名称 不锈圆钢;物资简称 圆钢;牌号 9Cr18;直径 Φ35;技术标准号 空;加工工艺 ;热处理工艺 ;特殊要求 ;规格标准号 </t>
        </is>
      </c>
      <c r="F148" t="inlineStr">
        <is>
          <t>千克</t>
        </is>
      </c>
      <c r="G148">
        <f>LEFT(D148,FIND("|",D148,1)-1)</f>
        <v/>
      </c>
      <c r="H148">
        <f>MID(D148,FIND("|",D148,FIND("|",D148,1))+1,FIND("|",D148,FIND("|",D148,1)+1)-FIND("|",D148,FIND("|",D148,1))-1)</f>
        <v/>
      </c>
      <c r="J148">
        <f>MID(D148,FIND(";",SUBSTITUTE(D148,"|",REPT(";",LEN(D148)),2))+1,FIND(";",SUBSTITUTE(D148,"|",REPT(";",LEN(D148)),3))-FIND(";",SUBSTITUTE(D148,"|",REPT(";",LEN(D148)),2))-1)</f>
        <v/>
      </c>
      <c r="K148">
        <f>MID(D148,FIND(";",SUBSTITUTE(D148,"|",REPT(";",LEN(D148)),3))+1,FIND(";",SUBSTITUTE(D148,"|",REPT(";",LEN(D148)),4))-FIND(";",SUBSTITUTE(D148,"|",REPT(";",LEN(D148)),3))-1)</f>
        <v/>
      </c>
      <c r="M148">
        <f>MID(D148,FIND(";",SUBSTITUTE(D148,"|",REPT(";",LEN(D148)),4))+1,LEN(D148))</f>
        <v/>
      </c>
    </row>
    <row r="149">
      <c r="A149" t="inlineStr">
        <is>
          <t>100201</t>
        </is>
      </c>
      <c r="B149" t="inlineStr">
        <is>
          <t>圆钢</t>
        </is>
      </c>
      <c r="C149" t="inlineStr">
        <is>
          <t>601328700</t>
        </is>
      </c>
      <c r="D149" t="inlineStr">
        <is>
          <t>不锈圆钢|圆钢|2Cr13Ni2|Φ10|空</t>
        </is>
      </c>
      <c r="E149" t="inlineStr">
        <is>
          <t xml:space="preserve">物资名称 不锈圆钢;物资简称 圆钢;牌号 2Cr13Ni2;直径 Φ10;技术标准号 空;加工工艺 ;热处理工艺 ;特殊要求 ;规格标准号 </t>
        </is>
      </c>
      <c r="F149" t="inlineStr">
        <is>
          <t>千克</t>
        </is>
      </c>
      <c r="G149">
        <f>LEFT(D149,FIND("|",D149,1)-1)</f>
        <v/>
      </c>
      <c r="H149">
        <f>MID(D149,FIND("|",D149,FIND("|",D149,1))+1,FIND("|",D149,FIND("|",D149,1)+1)-FIND("|",D149,FIND("|",D149,1))-1)</f>
        <v/>
      </c>
      <c r="J149">
        <f>MID(D149,FIND(";",SUBSTITUTE(D149,"|",REPT(";",LEN(D149)),2))+1,FIND(";",SUBSTITUTE(D149,"|",REPT(";",LEN(D149)),3))-FIND(";",SUBSTITUTE(D149,"|",REPT(";",LEN(D149)),2))-1)</f>
        <v/>
      </c>
      <c r="K149">
        <f>MID(D149,FIND(";",SUBSTITUTE(D149,"|",REPT(";",LEN(D149)),3))+1,FIND(";",SUBSTITUTE(D149,"|",REPT(";",LEN(D149)),4))-FIND(";",SUBSTITUTE(D149,"|",REPT(";",LEN(D149)),3))-1)</f>
        <v/>
      </c>
      <c r="M149">
        <f>MID(D149,FIND(";",SUBSTITUTE(D149,"|",REPT(";",LEN(D149)),4))+1,LEN(D149))</f>
        <v/>
      </c>
    </row>
    <row r="150">
      <c r="A150" t="inlineStr">
        <is>
          <t>100201</t>
        </is>
      </c>
      <c r="B150" t="inlineStr">
        <is>
          <t>圆钢</t>
        </is>
      </c>
      <c r="C150" t="inlineStr">
        <is>
          <t>601328600</t>
        </is>
      </c>
      <c r="D150" t="inlineStr">
        <is>
          <t>不锈圆钢|圆钢|Y2Cr13Ni2|Φ14|空</t>
        </is>
      </c>
      <c r="E150" t="inlineStr">
        <is>
          <t xml:space="preserve">物资名称 不锈圆钢;物资简称 圆钢;牌号 Y2Cr13Ni2;直径 Φ14;技术标准号 空;加工工艺 ;热处理工艺 ;特殊要求 ;规格标准号 </t>
        </is>
      </c>
      <c r="F150" t="inlineStr">
        <is>
          <t>千克</t>
        </is>
      </c>
      <c r="G150">
        <f>LEFT(D150,FIND("|",D150,1)-1)</f>
        <v/>
      </c>
      <c r="H150">
        <f>MID(D150,FIND("|",D150,FIND("|",D150,1))+1,FIND("|",D150,FIND("|",D150,1)+1)-FIND("|",D150,FIND("|",D150,1))-1)</f>
        <v/>
      </c>
      <c r="J150">
        <f>MID(D150,FIND(";",SUBSTITUTE(D150,"|",REPT(";",LEN(D150)),2))+1,FIND(";",SUBSTITUTE(D150,"|",REPT(";",LEN(D150)),3))-FIND(";",SUBSTITUTE(D150,"|",REPT(";",LEN(D150)),2))-1)</f>
        <v/>
      </c>
      <c r="K150">
        <f>MID(D150,FIND(";",SUBSTITUTE(D150,"|",REPT(";",LEN(D150)),3))+1,FIND(";",SUBSTITUTE(D150,"|",REPT(";",LEN(D150)),4))-FIND(";",SUBSTITUTE(D150,"|",REPT(";",LEN(D150)),3))-1)</f>
        <v/>
      </c>
      <c r="M150">
        <f>MID(D150,FIND(";",SUBSTITUTE(D150,"|",REPT(";",LEN(D150)),4))+1,LEN(D150))</f>
        <v/>
      </c>
    </row>
    <row r="151">
      <c r="A151" t="inlineStr">
        <is>
          <t>100201</t>
        </is>
      </c>
      <c r="B151" t="inlineStr">
        <is>
          <t>圆钢</t>
        </is>
      </c>
      <c r="C151" t="inlineStr">
        <is>
          <t>601328500</t>
        </is>
      </c>
      <c r="D151" t="inlineStr">
        <is>
          <t>不锈圆钢|圆钢|Y2Cr13Ni2|Φ22|空</t>
        </is>
      </c>
      <c r="E151" t="inlineStr">
        <is>
          <t xml:space="preserve">物资名称 不锈圆钢;物资简称 圆钢;牌号 Y2Cr13Ni2;直径 Φ22;技术标准号 空;加工工艺 ;热处理工艺 ;特殊要求 ;规格标准号 </t>
        </is>
      </c>
      <c r="F151" t="inlineStr">
        <is>
          <t>千克</t>
        </is>
      </c>
      <c r="G151">
        <f>LEFT(D151,FIND("|",D151,1)-1)</f>
        <v/>
      </c>
      <c r="H151">
        <f>MID(D151,FIND("|",D151,FIND("|",D151,1))+1,FIND("|",D151,FIND("|",D151,1)+1)-FIND("|",D151,FIND("|",D151,1))-1)</f>
        <v/>
      </c>
      <c r="J151">
        <f>MID(D151,FIND(";",SUBSTITUTE(D151,"|",REPT(";",LEN(D151)),2))+1,FIND(";",SUBSTITUTE(D151,"|",REPT(";",LEN(D151)),3))-FIND(";",SUBSTITUTE(D151,"|",REPT(";",LEN(D151)),2))-1)</f>
        <v/>
      </c>
      <c r="K151">
        <f>MID(D151,FIND(";",SUBSTITUTE(D151,"|",REPT(";",LEN(D151)),3))+1,FIND(";",SUBSTITUTE(D151,"|",REPT(";",LEN(D151)),4))-FIND(";",SUBSTITUTE(D151,"|",REPT(";",LEN(D151)),3))-1)</f>
        <v/>
      </c>
      <c r="M151">
        <f>MID(D151,FIND(";",SUBSTITUTE(D151,"|",REPT(";",LEN(D151)),4))+1,LEN(D151))</f>
        <v/>
      </c>
    </row>
    <row r="152">
      <c r="A152" t="inlineStr">
        <is>
          <t>100201</t>
        </is>
      </c>
      <c r="B152" t="inlineStr">
        <is>
          <t>圆钢</t>
        </is>
      </c>
      <c r="C152" t="inlineStr">
        <is>
          <t>601328400</t>
        </is>
      </c>
      <c r="D152" t="inlineStr">
        <is>
          <t>冷拉合金结构圆钢|圆钢|30CrMnSiA|Φ12|空|冷拉</t>
        </is>
      </c>
      <c r="E152" t="inlineStr">
        <is>
          <t xml:space="preserve">物资名称 冷拉合金结构圆钢;物资简称 圆钢;牌号 30CrMnSiA;直径 Φ12;技术标准号 空;加工工艺 冷拉;热处理工艺 ;特殊要求 ;规格标准号 </t>
        </is>
      </c>
      <c r="F152" t="inlineStr">
        <is>
          <t>千克</t>
        </is>
      </c>
      <c r="G152">
        <f>LEFT(D152,FIND("|",D152,1)-1)</f>
        <v/>
      </c>
      <c r="H152">
        <f>MID(D152,FIND("|",D152,FIND("|",D152,1))+1,FIND("|",D152,FIND("|",D152,1)+1)-FIND("|",D152,FIND("|",D152,1))-1)</f>
        <v/>
      </c>
      <c r="J152">
        <f>MID(D152,FIND(";",SUBSTITUTE(D152,"|",REPT(";",LEN(D152)),2))+1,FIND(";",SUBSTITUTE(D152,"|",REPT(";",LEN(D152)),3))-FIND(";",SUBSTITUTE(D152,"|",REPT(";",LEN(D152)),2))-1)</f>
        <v/>
      </c>
      <c r="K152">
        <f>MID(D152,FIND(";",SUBSTITUTE(D152,"|",REPT(";",LEN(D152)),3))+1,FIND(";",SUBSTITUTE(D152,"|",REPT(";",LEN(D152)),4))-FIND(";",SUBSTITUTE(D152,"|",REPT(";",LEN(D152)),3))-1)</f>
        <v/>
      </c>
      <c r="M152">
        <f>MID(D152,FIND(";",SUBSTITUTE(D152,"|",REPT(";",LEN(D152)),4))+1,FIND(";",SUBSTITUTE(D152,"|",REPT(";",LEN(D152)),5))-FIND(";",SUBSTITUTE(D152,"|",REPT(";",LEN(D152)),4))-1)</f>
        <v/>
      </c>
      <c r="O152">
        <f>MID(D152,FIND(";",SUBSTITUTE(D152,"|",REPT(";",LEN(D152)),5))+1,LEN(D152))</f>
        <v/>
      </c>
    </row>
    <row r="153">
      <c r="A153" t="inlineStr">
        <is>
          <t>100201</t>
        </is>
      </c>
      <c r="B153" t="inlineStr">
        <is>
          <t>圆钢</t>
        </is>
      </c>
      <c r="C153" t="inlineStr">
        <is>
          <t>601328300</t>
        </is>
      </c>
      <c r="D153" t="inlineStr">
        <is>
          <t>不锈圆钢|圆钢|0Cr18Ni9|Φ10|空</t>
        </is>
      </c>
      <c r="E153" t="inlineStr">
        <is>
          <t xml:space="preserve">物资名称 不锈圆钢;物资简称 圆钢;牌号 0Cr18Ni9;直径 Φ10;技术标准号 空;加工工艺 ;热处理工艺 ;特殊要求 ;规格标准号 </t>
        </is>
      </c>
      <c r="F153" t="inlineStr">
        <is>
          <t>千克</t>
        </is>
      </c>
      <c r="G153">
        <f>LEFT(D153,FIND("|",D153,1)-1)</f>
        <v/>
      </c>
      <c r="H153">
        <f>MID(D153,FIND("|",D153,FIND("|",D153,1))+1,FIND("|",D153,FIND("|",D153,1)+1)-FIND("|",D153,FIND("|",D153,1))-1)</f>
        <v/>
      </c>
      <c r="J153">
        <f>MID(D153,FIND(";",SUBSTITUTE(D153,"|",REPT(";",LEN(D153)),2))+1,FIND(";",SUBSTITUTE(D153,"|",REPT(";",LEN(D153)),3))-FIND(";",SUBSTITUTE(D153,"|",REPT(";",LEN(D153)),2))-1)</f>
        <v/>
      </c>
      <c r="K153">
        <f>MID(D153,FIND(";",SUBSTITUTE(D153,"|",REPT(";",LEN(D153)),3))+1,FIND(";",SUBSTITUTE(D153,"|",REPT(";",LEN(D153)),4))-FIND(";",SUBSTITUTE(D153,"|",REPT(";",LEN(D153)),3))-1)</f>
        <v/>
      </c>
      <c r="M153">
        <f>MID(D153,FIND(";",SUBSTITUTE(D153,"|",REPT(";",LEN(D153)),4))+1,LEN(D153))</f>
        <v/>
      </c>
    </row>
    <row r="154">
      <c r="A154" t="inlineStr">
        <is>
          <t>100201</t>
        </is>
      </c>
      <c r="B154" t="inlineStr">
        <is>
          <t>圆钢</t>
        </is>
      </c>
      <c r="C154" t="inlineStr">
        <is>
          <t>601328200</t>
        </is>
      </c>
      <c r="D154" t="inlineStr">
        <is>
          <t>不锈圆钢|圆钢|0Cr18Ni9|Φ140|空</t>
        </is>
      </c>
      <c r="E154" t="inlineStr">
        <is>
          <t xml:space="preserve">物资名称 不锈圆钢;物资简称 圆钢;牌号 0Cr18Ni9;直径 Φ140;技术标准号 空;加工工艺 ;热处理工艺 ;特殊要求 ;规格标准号 </t>
        </is>
      </c>
      <c r="F154" t="inlineStr">
        <is>
          <t>千克</t>
        </is>
      </c>
      <c r="G154">
        <f>LEFT(D154,FIND("|",D154,1)-1)</f>
        <v/>
      </c>
      <c r="H154">
        <f>MID(D154,FIND("|",D154,FIND("|",D154,1))+1,FIND("|",D154,FIND("|",D154,1)+1)-FIND("|",D154,FIND("|",D154,1))-1)</f>
        <v/>
      </c>
      <c r="J154">
        <f>MID(D154,FIND(";",SUBSTITUTE(D154,"|",REPT(";",LEN(D154)),2))+1,FIND(";",SUBSTITUTE(D154,"|",REPT(";",LEN(D154)),3))-FIND(";",SUBSTITUTE(D154,"|",REPT(";",LEN(D154)),2))-1)</f>
        <v/>
      </c>
      <c r="K154">
        <f>MID(D154,FIND(";",SUBSTITUTE(D154,"|",REPT(";",LEN(D154)),3))+1,FIND(";",SUBSTITUTE(D154,"|",REPT(";",LEN(D154)),4))-FIND(";",SUBSTITUTE(D154,"|",REPT(";",LEN(D154)),3))-1)</f>
        <v/>
      </c>
      <c r="M154">
        <f>MID(D154,FIND(";",SUBSTITUTE(D154,"|",REPT(";",LEN(D154)),4))+1,LEN(D154))</f>
        <v/>
      </c>
    </row>
    <row r="155">
      <c r="A155" t="inlineStr">
        <is>
          <t>100201</t>
        </is>
      </c>
      <c r="B155" t="inlineStr">
        <is>
          <t>圆钢</t>
        </is>
      </c>
      <c r="C155" t="inlineStr">
        <is>
          <t>601328100</t>
        </is>
      </c>
      <c r="D155" t="inlineStr">
        <is>
          <t>不锈圆钢|圆钢|0Cr18Ni9|Φ20|空</t>
        </is>
      </c>
      <c r="E155" t="inlineStr">
        <is>
          <t xml:space="preserve">物资名称 不锈圆钢;物资简称 圆钢;牌号 0Cr18Ni9;直径 Φ20;技术标准号 空;加工工艺 ;热处理工艺 ;特殊要求 ;规格标准号 </t>
        </is>
      </c>
      <c r="F155" t="inlineStr">
        <is>
          <t>千克</t>
        </is>
      </c>
      <c r="G155">
        <f>LEFT(D155,FIND("|",D155,1)-1)</f>
        <v/>
      </c>
      <c r="H155">
        <f>MID(D155,FIND("|",D155,FIND("|",D155,1))+1,FIND("|",D155,FIND("|",D155,1)+1)-FIND("|",D155,FIND("|",D155,1))-1)</f>
        <v/>
      </c>
      <c r="J155">
        <f>MID(D155,FIND(";",SUBSTITUTE(D155,"|",REPT(";",LEN(D155)),2))+1,FIND(";",SUBSTITUTE(D155,"|",REPT(";",LEN(D155)),3))-FIND(";",SUBSTITUTE(D155,"|",REPT(";",LEN(D155)),2))-1)</f>
        <v/>
      </c>
      <c r="K155">
        <f>MID(D155,FIND(";",SUBSTITUTE(D155,"|",REPT(";",LEN(D155)),3))+1,FIND(";",SUBSTITUTE(D155,"|",REPT(";",LEN(D155)),4))-FIND(";",SUBSTITUTE(D155,"|",REPT(";",LEN(D155)),3))-1)</f>
        <v/>
      </c>
      <c r="M155">
        <f>MID(D155,FIND(";",SUBSTITUTE(D155,"|",REPT(";",LEN(D155)),4))+1,LEN(D155))</f>
        <v/>
      </c>
    </row>
    <row r="156">
      <c r="A156" t="inlineStr">
        <is>
          <t>100201</t>
        </is>
      </c>
      <c r="B156" t="inlineStr">
        <is>
          <t>圆钢</t>
        </is>
      </c>
      <c r="C156" t="inlineStr">
        <is>
          <t>601328000</t>
        </is>
      </c>
      <c r="D156" t="inlineStr">
        <is>
          <t>不锈圆钢|圆钢|0Cr18Ni9|Φ25|空</t>
        </is>
      </c>
      <c r="E156" t="inlineStr">
        <is>
          <t xml:space="preserve">物资名称 不锈圆钢;物资简称 圆钢;牌号 0Cr18Ni9;直径 Φ25;技术标准号 空;加工工艺 ;热处理工艺 ;特殊要求 ;规格标准号 </t>
        </is>
      </c>
      <c r="F156" t="inlineStr">
        <is>
          <t>千克</t>
        </is>
      </c>
      <c r="G156">
        <f>LEFT(D156,FIND("|",D156,1)-1)</f>
        <v/>
      </c>
      <c r="H156">
        <f>MID(D156,FIND("|",D156,FIND("|",D156,1))+1,FIND("|",D156,FIND("|",D156,1)+1)-FIND("|",D156,FIND("|",D156,1))-1)</f>
        <v/>
      </c>
      <c r="J156">
        <f>MID(D156,FIND(";",SUBSTITUTE(D156,"|",REPT(";",LEN(D156)),2))+1,FIND(";",SUBSTITUTE(D156,"|",REPT(";",LEN(D156)),3))-FIND(";",SUBSTITUTE(D156,"|",REPT(";",LEN(D156)),2))-1)</f>
        <v/>
      </c>
      <c r="K156">
        <f>MID(D156,FIND(";",SUBSTITUTE(D156,"|",REPT(";",LEN(D156)),3))+1,FIND(";",SUBSTITUTE(D156,"|",REPT(";",LEN(D156)),4))-FIND(";",SUBSTITUTE(D156,"|",REPT(";",LEN(D156)),3))-1)</f>
        <v/>
      </c>
      <c r="M156">
        <f>MID(D156,FIND(";",SUBSTITUTE(D156,"|",REPT(";",LEN(D156)),4))+1,LEN(D156))</f>
        <v/>
      </c>
    </row>
    <row r="157">
      <c r="A157" t="inlineStr">
        <is>
          <t>100201</t>
        </is>
      </c>
      <c r="B157" t="inlineStr">
        <is>
          <t>圆钢</t>
        </is>
      </c>
      <c r="C157" t="inlineStr">
        <is>
          <t>601327900</t>
        </is>
      </c>
      <c r="D157" t="inlineStr">
        <is>
          <t>不锈圆钢|圆钢|0Cr18Ni9|Φ30|空</t>
        </is>
      </c>
      <c r="E157" t="inlineStr">
        <is>
          <t xml:space="preserve">物资名称 不锈圆钢;物资简称 圆钢;牌号 0Cr18Ni9;直径 Φ30;技术标准号 空;加工工艺 ;热处理工艺 ;特殊要求 ;规格标准号 </t>
        </is>
      </c>
      <c r="F157" t="inlineStr">
        <is>
          <t>千克</t>
        </is>
      </c>
      <c r="G157">
        <f>LEFT(D157,FIND("|",D157,1)-1)</f>
        <v/>
      </c>
      <c r="H157">
        <f>MID(D157,FIND("|",D157,FIND("|",D157,1))+1,FIND("|",D157,FIND("|",D157,1)+1)-FIND("|",D157,FIND("|",D157,1))-1)</f>
        <v/>
      </c>
      <c r="J157">
        <f>MID(D157,FIND(";",SUBSTITUTE(D157,"|",REPT(";",LEN(D157)),2))+1,FIND(";",SUBSTITUTE(D157,"|",REPT(";",LEN(D157)),3))-FIND(";",SUBSTITUTE(D157,"|",REPT(";",LEN(D157)),2))-1)</f>
        <v/>
      </c>
      <c r="K157">
        <f>MID(D157,FIND(";",SUBSTITUTE(D157,"|",REPT(";",LEN(D157)),3))+1,FIND(";",SUBSTITUTE(D157,"|",REPT(";",LEN(D157)),4))-FIND(";",SUBSTITUTE(D157,"|",REPT(";",LEN(D157)),3))-1)</f>
        <v/>
      </c>
      <c r="M157">
        <f>MID(D157,FIND(";",SUBSTITUTE(D157,"|",REPT(";",LEN(D157)),4))+1,LEN(D157))</f>
        <v/>
      </c>
    </row>
    <row r="158">
      <c r="A158" t="inlineStr">
        <is>
          <t>100201</t>
        </is>
      </c>
      <c r="B158" t="inlineStr">
        <is>
          <t>圆钢</t>
        </is>
      </c>
      <c r="C158" t="inlineStr">
        <is>
          <t>601327800</t>
        </is>
      </c>
      <c r="D158" t="inlineStr">
        <is>
          <t>不锈圆钢|圆钢|0Cr18Ni9|Φ35|空</t>
        </is>
      </c>
      <c r="E158" t="inlineStr">
        <is>
          <t xml:space="preserve">物资名称 不锈圆钢;物资简称 圆钢;牌号 0Cr18Ni9;直径 Φ35;技术标准号 空;加工工艺 ;热处理工艺 ;特殊要求 ;规格标准号 </t>
        </is>
      </c>
      <c r="F158" t="inlineStr">
        <is>
          <t>千克</t>
        </is>
      </c>
      <c r="G158">
        <f>LEFT(D158,FIND("|",D158,1)-1)</f>
        <v/>
      </c>
      <c r="H158">
        <f>MID(D158,FIND("|",D158,FIND("|",D158,1))+1,FIND("|",D158,FIND("|",D158,1)+1)-FIND("|",D158,FIND("|",D158,1))-1)</f>
        <v/>
      </c>
      <c r="J158">
        <f>MID(D158,FIND(";",SUBSTITUTE(D158,"|",REPT(";",LEN(D158)),2))+1,FIND(";",SUBSTITUTE(D158,"|",REPT(";",LEN(D158)),3))-FIND(";",SUBSTITUTE(D158,"|",REPT(";",LEN(D158)),2))-1)</f>
        <v/>
      </c>
      <c r="K158">
        <f>MID(D158,FIND(";",SUBSTITUTE(D158,"|",REPT(";",LEN(D158)),3))+1,FIND(";",SUBSTITUTE(D158,"|",REPT(";",LEN(D158)),4))-FIND(";",SUBSTITUTE(D158,"|",REPT(";",LEN(D158)),3))-1)</f>
        <v/>
      </c>
      <c r="M158">
        <f>MID(D158,FIND(";",SUBSTITUTE(D158,"|",REPT(";",LEN(D158)),4))+1,LEN(D158))</f>
        <v/>
      </c>
    </row>
    <row r="159">
      <c r="A159" t="inlineStr">
        <is>
          <t>100201</t>
        </is>
      </c>
      <c r="B159" t="inlineStr">
        <is>
          <t>圆钢</t>
        </is>
      </c>
      <c r="C159" t="inlineStr">
        <is>
          <t>601327700</t>
        </is>
      </c>
      <c r="D159" t="inlineStr">
        <is>
          <t>不锈圆钢|圆钢|0Cr18Ni9|Φ45|空</t>
        </is>
      </c>
      <c r="E159" t="inlineStr">
        <is>
          <t xml:space="preserve">物资名称 不锈圆钢;物资简称 圆钢;牌号 0Cr18Ni9;直径 Φ45;技术标准号 空;加工工艺 ;热处理工艺 ;特殊要求 ;规格标准号 </t>
        </is>
      </c>
      <c r="F159" t="inlineStr">
        <is>
          <t>千克</t>
        </is>
      </c>
      <c r="G159">
        <f>LEFT(D159,FIND("|",D159,1)-1)</f>
        <v/>
      </c>
      <c r="H159">
        <f>MID(D159,FIND("|",D159,FIND("|",D159,1))+1,FIND("|",D159,FIND("|",D159,1)+1)-FIND("|",D159,FIND("|",D159,1))-1)</f>
        <v/>
      </c>
      <c r="J159">
        <f>MID(D159,FIND(";",SUBSTITUTE(D159,"|",REPT(";",LEN(D159)),2))+1,FIND(";",SUBSTITUTE(D159,"|",REPT(";",LEN(D159)),3))-FIND(";",SUBSTITUTE(D159,"|",REPT(";",LEN(D159)),2))-1)</f>
        <v/>
      </c>
      <c r="K159">
        <f>MID(D159,FIND(";",SUBSTITUTE(D159,"|",REPT(";",LEN(D159)),3))+1,FIND(";",SUBSTITUTE(D159,"|",REPT(";",LEN(D159)),4))-FIND(";",SUBSTITUTE(D159,"|",REPT(";",LEN(D159)),3))-1)</f>
        <v/>
      </c>
      <c r="M159">
        <f>MID(D159,FIND(";",SUBSTITUTE(D159,"|",REPT(";",LEN(D159)),4))+1,LEN(D159))</f>
        <v/>
      </c>
    </row>
    <row r="160">
      <c r="A160" t="inlineStr">
        <is>
          <t>100201</t>
        </is>
      </c>
      <c r="B160" t="inlineStr">
        <is>
          <t>圆钢</t>
        </is>
      </c>
      <c r="C160" t="inlineStr">
        <is>
          <t>601327600</t>
        </is>
      </c>
      <c r="D160" t="inlineStr">
        <is>
          <t>不锈圆钢|圆钢|0Cr18Ni9|Φ80|空</t>
        </is>
      </c>
      <c r="E160" t="inlineStr">
        <is>
          <t xml:space="preserve">物资名称 不锈圆钢;物资简称 圆钢;牌号 0Cr18Ni9;直径 Φ80;技术标准号 空;加工工艺 ;热处理工艺 ;特殊要求 ;规格标准号 </t>
        </is>
      </c>
      <c r="F160" t="inlineStr">
        <is>
          <t>千克</t>
        </is>
      </c>
      <c r="G160">
        <f>LEFT(D160,FIND("|",D160,1)-1)</f>
        <v/>
      </c>
      <c r="H160">
        <f>MID(D160,FIND("|",D160,FIND("|",D160,1))+1,FIND("|",D160,FIND("|",D160,1)+1)-FIND("|",D160,FIND("|",D160,1))-1)</f>
        <v/>
      </c>
      <c r="J160">
        <f>MID(D160,FIND(";",SUBSTITUTE(D160,"|",REPT(";",LEN(D160)),2))+1,FIND(";",SUBSTITUTE(D160,"|",REPT(";",LEN(D160)),3))-FIND(";",SUBSTITUTE(D160,"|",REPT(";",LEN(D160)),2))-1)</f>
        <v/>
      </c>
      <c r="K160">
        <f>MID(D160,FIND(";",SUBSTITUTE(D160,"|",REPT(";",LEN(D160)),3))+1,FIND(";",SUBSTITUTE(D160,"|",REPT(";",LEN(D160)),4))-FIND(";",SUBSTITUTE(D160,"|",REPT(";",LEN(D160)),3))-1)</f>
        <v/>
      </c>
      <c r="M160">
        <f>MID(D160,FIND(";",SUBSTITUTE(D160,"|",REPT(";",LEN(D160)),4))+1,LEN(D160))</f>
        <v/>
      </c>
    </row>
    <row r="161">
      <c r="A161" t="inlineStr">
        <is>
          <t>100201</t>
        </is>
      </c>
      <c r="B161" t="inlineStr">
        <is>
          <t>圆钢</t>
        </is>
      </c>
      <c r="C161" t="inlineStr">
        <is>
          <t>601327500</t>
        </is>
      </c>
      <c r="D161" t="inlineStr">
        <is>
          <t>不锈圆钢|圆钢|0Cr18Ni9|Φ85|空</t>
        </is>
      </c>
      <c r="E161" t="inlineStr">
        <is>
          <t xml:space="preserve">物资名称 不锈圆钢;物资简称 圆钢;牌号 0Cr18Ni9;直径 Φ85;技术标准号 空;加工工艺 ;热处理工艺 ;特殊要求 ;规格标准号 </t>
        </is>
      </c>
      <c r="F161" t="inlineStr">
        <is>
          <t>千克</t>
        </is>
      </c>
      <c r="G161">
        <f>LEFT(D161,FIND("|",D161,1)-1)</f>
        <v/>
      </c>
      <c r="H161">
        <f>MID(D161,FIND("|",D161,FIND("|",D161,1))+1,FIND("|",D161,FIND("|",D161,1)+1)-FIND("|",D161,FIND("|",D161,1))-1)</f>
        <v/>
      </c>
      <c r="J161">
        <f>MID(D161,FIND(";",SUBSTITUTE(D161,"|",REPT(";",LEN(D161)),2))+1,FIND(";",SUBSTITUTE(D161,"|",REPT(";",LEN(D161)),3))-FIND(";",SUBSTITUTE(D161,"|",REPT(";",LEN(D161)),2))-1)</f>
        <v/>
      </c>
      <c r="K161">
        <f>MID(D161,FIND(";",SUBSTITUTE(D161,"|",REPT(";",LEN(D161)),3))+1,FIND(";",SUBSTITUTE(D161,"|",REPT(";",LEN(D161)),4))-FIND(";",SUBSTITUTE(D161,"|",REPT(";",LEN(D161)),3))-1)</f>
        <v/>
      </c>
      <c r="M161">
        <f>MID(D161,FIND(";",SUBSTITUTE(D161,"|",REPT(";",LEN(D161)),4))+1,LEN(D161))</f>
        <v/>
      </c>
    </row>
    <row r="162">
      <c r="A162" t="inlineStr">
        <is>
          <t>100201</t>
        </is>
      </c>
      <c r="B162" t="inlineStr">
        <is>
          <t>圆钢</t>
        </is>
      </c>
      <c r="C162" t="inlineStr">
        <is>
          <t>601327400</t>
        </is>
      </c>
      <c r="D162" t="inlineStr">
        <is>
          <t>不锈圆钢|圆钢|14Cr17Ni2|Φ10|空</t>
        </is>
      </c>
      <c r="E162" t="inlineStr">
        <is>
          <t xml:space="preserve">物资名称 不锈圆钢;物资简称 圆钢;牌号 14Cr17Ni2;直径 Φ10;技术标准号 空;加工工艺 ;热处理工艺 ;特殊要求 ;规格标准号 </t>
        </is>
      </c>
      <c r="F162" t="inlineStr">
        <is>
          <t>千克</t>
        </is>
      </c>
      <c r="G162">
        <f>LEFT(D162,FIND("|",D162,1)-1)</f>
        <v/>
      </c>
      <c r="H162">
        <f>MID(D162,FIND("|",D162,FIND("|",D162,1))+1,FIND("|",D162,FIND("|",D162,1)+1)-FIND("|",D162,FIND("|",D162,1))-1)</f>
        <v/>
      </c>
      <c r="J162">
        <f>MID(D162,FIND(";",SUBSTITUTE(D162,"|",REPT(";",LEN(D162)),2))+1,FIND(";",SUBSTITUTE(D162,"|",REPT(";",LEN(D162)),3))-FIND(";",SUBSTITUTE(D162,"|",REPT(";",LEN(D162)),2))-1)</f>
        <v/>
      </c>
      <c r="K162">
        <f>MID(D162,FIND(";",SUBSTITUTE(D162,"|",REPT(";",LEN(D162)),3))+1,FIND(";",SUBSTITUTE(D162,"|",REPT(";",LEN(D162)),4))-FIND(";",SUBSTITUTE(D162,"|",REPT(";",LEN(D162)),3))-1)</f>
        <v/>
      </c>
      <c r="M162">
        <f>MID(D162,FIND(";",SUBSTITUTE(D162,"|",REPT(";",LEN(D162)),4))+1,LEN(D162))</f>
        <v/>
      </c>
    </row>
    <row r="163">
      <c r="A163" t="inlineStr">
        <is>
          <t>100201</t>
        </is>
      </c>
      <c r="B163" t="inlineStr">
        <is>
          <t>圆钢</t>
        </is>
      </c>
      <c r="C163" t="inlineStr">
        <is>
          <t>601327300</t>
        </is>
      </c>
      <c r="D163" t="inlineStr">
        <is>
          <t>不锈圆钢|圆钢|1Cr13|Φ22|空</t>
        </is>
      </c>
      <c r="E163" t="inlineStr">
        <is>
          <t xml:space="preserve">物资名称 不锈圆钢;物资简称 圆钢;牌号 1Cr13;直径 Φ22;技术标准号 空;加工工艺 ;热处理工艺 ;特殊要求 ;规格标准号 </t>
        </is>
      </c>
      <c r="F163" t="inlineStr">
        <is>
          <t>千克</t>
        </is>
      </c>
      <c r="G163">
        <f>LEFT(D163,FIND("|",D163,1)-1)</f>
        <v/>
      </c>
      <c r="H163">
        <f>MID(D163,FIND("|",D163,FIND("|",D163,1))+1,FIND("|",D163,FIND("|",D163,1)+1)-FIND("|",D163,FIND("|",D163,1))-1)</f>
        <v/>
      </c>
      <c r="J163">
        <f>MID(D163,FIND(";",SUBSTITUTE(D163,"|",REPT(";",LEN(D163)),2))+1,FIND(";",SUBSTITUTE(D163,"|",REPT(";",LEN(D163)),3))-FIND(";",SUBSTITUTE(D163,"|",REPT(";",LEN(D163)),2))-1)</f>
        <v/>
      </c>
      <c r="K163">
        <f>MID(D163,FIND(";",SUBSTITUTE(D163,"|",REPT(";",LEN(D163)),3))+1,FIND(";",SUBSTITUTE(D163,"|",REPT(";",LEN(D163)),4))-FIND(";",SUBSTITUTE(D163,"|",REPT(";",LEN(D163)),3))-1)</f>
        <v/>
      </c>
      <c r="M163">
        <f>MID(D163,FIND(";",SUBSTITUTE(D163,"|",REPT(";",LEN(D163)),4))+1,LEN(D163))</f>
        <v/>
      </c>
    </row>
    <row r="164">
      <c r="A164" t="inlineStr">
        <is>
          <t>100201</t>
        </is>
      </c>
      <c r="B164" t="inlineStr">
        <is>
          <t>圆钢</t>
        </is>
      </c>
      <c r="C164" t="inlineStr">
        <is>
          <t>601327200</t>
        </is>
      </c>
      <c r="D164" t="inlineStr">
        <is>
          <t>不锈圆钢|圆钢|1Cr13|Φ35|空</t>
        </is>
      </c>
      <c r="E164" t="inlineStr">
        <is>
          <t xml:space="preserve">物资名称 不锈圆钢;物资简称 圆钢;牌号 1Cr13;直径 Φ35;技术标准号 空;加工工艺 ;热处理工艺 ;特殊要求 ;规格标准号 </t>
        </is>
      </c>
      <c r="F164" t="inlineStr">
        <is>
          <t>千克</t>
        </is>
      </c>
      <c r="G164">
        <f>LEFT(D164,FIND("|",D164,1)-1)</f>
        <v/>
      </c>
      <c r="H164">
        <f>MID(D164,FIND("|",D164,FIND("|",D164,1))+1,FIND("|",D164,FIND("|",D164,1)+1)-FIND("|",D164,FIND("|",D164,1))-1)</f>
        <v/>
      </c>
      <c r="J164">
        <f>MID(D164,FIND(";",SUBSTITUTE(D164,"|",REPT(";",LEN(D164)),2))+1,FIND(";",SUBSTITUTE(D164,"|",REPT(";",LEN(D164)),3))-FIND(";",SUBSTITUTE(D164,"|",REPT(";",LEN(D164)),2))-1)</f>
        <v/>
      </c>
      <c r="K164">
        <f>MID(D164,FIND(";",SUBSTITUTE(D164,"|",REPT(";",LEN(D164)),3))+1,FIND(";",SUBSTITUTE(D164,"|",REPT(";",LEN(D164)),4))-FIND(";",SUBSTITUTE(D164,"|",REPT(";",LEN(D164)),3))-1)</f>
        <v/>
      </c>
      <c r="M164">
        <f>MID(D164,FIND(";",SUBSTITUTE(D164,"|",REPT(";",LEN(D164)),4))+1,LEN(D164))</f>
        <v/>
      </c>
    </row>
    <row r="165">
      <c r="A165" t="inlineStr">
        <is>
          <t>100201</t>
        </is>
      </c>
      <c r="B165" t="inlineStr">
        <is>
          <t>圆钢</t>
        </is>
      </c>
      <c r="C165" t="inlineStr">
        <is>
          <t>601327100</t>
        </is>
      </c>
      <c r="D165" t="inlineStr">
        <is>
          <t>不锈圆钢|圆钢|1Cr13|Φ45|空</t>
        </is>
      </c>
      <c r="E165" t="inlineStr">
        <is>
          <t xml:space="preserve">物资名称 不锈圆钢;物资简称 圆钢;牌号 1Cr13;直径 Φ45;技术标准号 空;加工工艺 ;热处理工艺 ;特殊要求 ;规格标准号 </t>
        </is>
      </c>
      <c r="F165" t="inlineStr">
        <is>
          <t>千克</t>
        </is>
      </c>
      <c r="G165">
        <f>LEFT(D165,FIND("|",D165,1)-1)</f>
        <v/>
      </c>
      <c r="H165">
        <f>MID(D165,FIND("|",D165,FIND("|",D165,1))+1,FIND("|",D165,FIND("|",D165,1)+1)-FIND("|",D165,FIND("|",D165,1))-1)</f>
        <v/>
      </c>
      <c r="J165">
        <f>MID(D165,FIND(";",SUBSTITUTE(D165,"|",REPT(";",LEN(D165)),2))+1,FIND(";",SUBSTITUTE(D165,"|",REPT(";",LEN(D165)),3))-FIND(";",SUBSTITUTE(D165,"|",REPT(";",LEN(D165)),2))-1)</f>
        <v/>
      </c>
      <c r="K165">
        <f>MID(D165,FIND(";",SUBSTITUTE(D165,"|",REPT(";",LEN(D165)),3))+1,FIND(";",SUBSTITUTE(D165,"|",REPT(";",LEN(D165)),4))-FIND(";",SUBSTITUTE(D165,"|",REPT(";",LEN(D165)),3))-1)</f>
        <v/>
      </c>
      <c r="M165">
        <f>MID(D165,FIND(";",SUBSTITUTE(D165,"|",REPT(";",LEN(D165)),4))+1,LEN(D165))</f>
        <v/>
      </c>
    </row>
    <row r="166">
      <c r="A166" t="inlineStr">
        <is>
          <t>100201</t>
        </is>
      </c>
      <c r="B166" t="inlineStr">
        <is>
          <t>圆钢</t>
        </is>
      </c>
      <c r="C166" t="inlineStr">
        <is>
          <t>601327000</t>
        </is>
      </c>
      <c r="D166" t="inlineStr">
        <is>
          <t>不锈圆钢|圆钢|1Cr13|Φ60|空</t>
        </is>
      </c>
      <c r="E166" t="inlineStr">
        <is>
          <t xml:space="preserve">物资名称 不锈圆钢;物资简称 圆钢;牌号 1Cr13;直径 Φ60;技术标准号 空;加工工艺 ;热处理工艺 ;特殊要求 ;规格标准号 </t>
        </is>
      </c>
      <c r="F166" t="inlineStr">
        <is>
          <t>千克</t>
        </is>
      </c>
      <c r="G166">
        <f>LEFT(D166,FIND("|",D166,1)-1)</f>
        <v/>
      </c>
      <c r="H166">
        <f>MID(D166,FIND("|",D166,FIND("|",D166,1))+1,FIND("|",D166,FIND("|",D166,1)+1)-FIND("|",D166,FIND("|",D166,1))-1)</f>
        <v/>
      </c>
      <c r="J166">
        <f>MID(D166,FIND(";",SUBSTITUTE(D166,"|",REPT(";",LEN(D166)),2))+1,FIND(";",SUBSTITUTE(D166,"|",REPT(";",LEN(D166)),3))-FIND(";",SUBSTITUTE(D166,"|",REPT(";",LEN(D166)),2))-1)</f>
        <v/>
      </c>
      <c r="K166">
        <f>MID(D166,FIND(";",SUBSTITUTE(D166,"|",REPT(";",LEN(D166)),3))+1,FIND(";",SUBSTITUTE(D166,"|",REPT(";",LEN(D166)),4))-FIND(";",SUBSTITUTE(D166,"|",REPT(";",LEN(D166)),3))-1)</f>
        <v/>
      </c>
      <c r="M166">
        <f>MID(D166,FIND(";",SUBSTITUTE(D166,"|",REPT(";",LEN(D166)),4))+1,LEN(D166))</f>
        <v/>
      </c>
    </row>
    <row r="167">
      <c r="A167" t="inlineStr">
        <is>
          <t>100201</t>
        </is>
      </c>
      <c r="B167" t="inlineStr">
        <is>
          <t>圆钢</t>
        </is>
      </c>
      <c r="C167" t="inlineStr">
        <is>
          <t>601326900</t>
        </is>
      </c>
      <c r="D167" t="inlineStr">
        <is>
          <t>不锈圆钢|圆钢|1Cr13|Φ85|空</t>
        </is>
      </c>
      <c r="E167" t="inlineStr">
        <is>
          <t xml:space="preserve">物资名称 不锈圆钢;物资简称 圆钢;牌号 1Cr13;直径 Φ85;技术标准号 空;加工工艺 ;热处理工艺 ;特殊要求 ;规格标准号 </t>
        </is>
      </c>
      <c r="F167" t="inlineStr">
        <is>
          <t>千克</t>
        </is>
      </c>
      <c r="G167">
        <f>LEFT(D167,FIND("|",D167,1)-1)</f>
        <v/>
      </c>
      <c r="H167">
        <f>MID(D167,FIND("|",D167,FIND("|",D167,1))+1,FIND("|",D167,FIND("|",D167,1)+1)-FIND("|",D167,FIND("|",D167,1))-1)</f>
        <v/>
      </c>
      <c r="J167">
        <f>MID(D167,FIND(";",SUBSTITUTE(D167,"|",REPT(";",LEN(D167)),2))+1,FIND(";",SUBSTITUTE(D167,"|",REPT(";",LEN(D167)),3))-FIND(";",SUBSTITUTE(D167,"|",REPT(";",LEN(D167)),2))-1)</f>
        <v/>
      </c>
      <c r="K167">
        <f>MID(D167,FIND(";",SUBSTITUTE(D167,"|",REPT(";",LEN(D167)),3))+1,FIND(";",SUBSTITUTE(D167,"|",REPT(";",LEN(D167)),4))-FIND(";",SUBSTITUTE(D167,"|",REPT(";",LEN(D167)),3))-1)</f>
        <v/>
      </c>
      <c r="M167">
        <f>MID(D167,FIND(";",SUBSTITUTE(D167,"|",REPT(";",LEN(D167)),4))+1,LEN(D167))</f>
        <v/>
      </c>
    </row>
    <row r="168">
      <c r="A168" t="inlineStr">
        <is>
          <t>100201</t>
        </is>
      </c>
      <c r="B168" t="inlineStr">
        <is>
          <t>圆钢</t>
        </is>
      </c>
      <c r="C168" t="inlineStr">
        <is>
          <t>601326800</t>
        </is>
      </c>
      <c r="D168" t="inlineStr">
        <is>
          <t>不锈圆钢|圆钢|1Cr17Ni2|Φ25|空</t>
        </is>
      </c>
      <c r="E168" t="inlineStr">
        <is>
          <t xml:space="preserve">物资名称 不锈圆钢;物资简称 圆钢;牌号 1Cr17Ni2;直径 Φ25;技术标准号 空;加工工艺 ;热处理工艺 ;特殊要求 ;规格标准号 </t>
        </is>
      </c>
      <c r="F168" t="inlineStr">
        <is>
          <t>千克</t>
        </is>
      </c>
      <c r="G168">
        <f>LEFT(D168,FIND("|",D168,1)-1)</f>
        <v/>
      </c>
      <c r="H168">
        <f>MID(D168,FIND("|",D168,FIND("|",D168,1))+1,FIND("|",D168,FIND("|",D168,1)+1)-FIND("|",D168,FIND("|",D168,1))-1)</f>
        <v/>
      </c>
      <c r="J168">
        <f>MID(D168,FIND(";",SUBSTITUTE(D168,"|",REPT(";",LEN(D168)),2))+1,FIND(";",SUBSTITUTE(D168,"|",REPT(";",LEN(D168)),3))-FIND(";",SUBSTITUTE(D168,"|",REPT(";",LEN(D168)),2))-1)</f>
        <v/>
      </c>
      <c r="K168">
        <f>MID(D168,FIND(";",SUBSTITUTE(D168,"|",REPT(";",LEN(D168)),3))+1,FIND(";",SUBSTITUTE(D168,"|",REPT(";",LEN(D168)),4))-FIND(";",SUBSTITUTE(D168,"|",REPT(";",LEN(D168)),3))-1)</f>
        <v/>
      </c>
      <c r="M168">
        <f>MID(D168,FIND(";",SUBSTITUTE(D168,"|",REPT(";",LEN(D168)),4))+1,LEN(D168))</f>
        <v/>
      </c>
    </row>
    <row r="169">
      <c r="A169" t="inlineStr">
        <is>
          <t>100201</t>
        </is>
      </c>
      <c r="B169" t="inlineStr">
        <is>
          <t>圆钢</t>
        </is>
      </c>
      <c r="C169" t="inlineStr">
        <is>
          <t>601326700</t>
        </is>
      </c>
      <c r="D169" t="inlineStr">
        <is>
          <t>不锈圆钢|圆钢|1Cr17Ni2|Φ8|空</t>
        </is>
      </c>
      <c r="E169" t="inlineStr">
        <is>
          <t xml:space="preserve">物资名称 不锈圆钢;物资简称 圆钢;牌号 1Cr17Ni2;直径 Φ8;技术标准号 空;加工工艺 ;热处理工艺 ;特殊要求 ;规格标准号 </t>
        </is>
      </c>
      <c r="F169" t="inlineStr">
        <is>
          <t>千克</t>
        </is>
      </c>
      <c r="G169">
        <f>LEFT(D169,FIND("|",D169,1)-1)</f>
        <v/>
      </c>
      <c r="H169">
        <f>MID(D169,FIND("|",D169,FIND("|",D169,1))+1,FIND("|",D169,FIND("|",D169,1)+1)-FIND("|",D169,FIND("|",D169,1))-1)</f>
        <v/>
      </c>
      <c r="J169">
        <f>MID(D169,FIND(";",SUBSTITUTE(D169,"|",REPT(";",LEN(D169)),2))+1,FIND(";",SUBSTITUTE(D169,"|",REPT(";",LEN(D169)),3))-FIND(";",SUBSTITUTE(D169,"|",REPT(";",LEN(D169)),2))-1)</f>
        <v/>
      </c>
      <c r="K169">
        <f>MID(D169,FIND(";",SUBSTITUTE(D169,"|",REPT(";",LEN(D169)),3))+1,FIND(";",SUBSTITUTE(D169,"|",REPT(";",LEN(D169)),4))-FIND(";",SUBSTITUTE(D169,"|",REPT(";",LEN(D169)),3))-1)</f>
        <v/>
      </c>
      <c r="M169">
        <f>MID(D169,FIND(";",SUBSTITUTE(D169,"|",REPT(";",LEN(D169)),4))+1,LEN(D169))</f>
        <v/>
      </c>
    </row>
    <row r="170">
      <c r="A170" t="inlineStr">
        <is>
          <t>100201</t>
        </is>
      </c>
      <c r="B170" t="inlineStr">
        <is>
          <t>圆钢</t>
        </is>
      </c>
      <c r="C170" t="inlineStr">
        <is>
          <t>601326600</t>
        </is>
      </c>
      <c r="D170" t="inlineStr">
        <is>
          <t>不锈圆钢|圆钢|1Cr17Ni2|Φ90|空</t>
        </is>
      </c>
      <c r="E170" t="inlineStr">
        <is>
          <t xml:space="preserve">物资名称 不锈圆钢;物资简称 圆钢;牌号 1Cr17Ni2;直径 Φ90;技术标准号 空;加工工艺 ;热处理工艺 ;特殊要求 ;规格标准号 </t>
        </is>
      </c>
      <c r="F170" t="inlineStr">
        <is>
          <t>千克</t>
        </is>
      </c>
      <c r="G170">
        <f>LEFT(D170,FIND("|",D170,1)-1)</f>
        <v/>
      </c>
      <c r="H170">
        <f>MID(D170,FIND("|",D170,FIND("|",D170,1))+1,FIND("|",D170,FIND("|",D170,1)+1)-FIND("|",D170,FIND("|",D170,1))-1)</f>
        <v/>
      </c>
      <c r="J170">
        <f>MID(D170,FIND(";",SUBSTITUTE(D170,"|",REPT(";",LEN(D170)),2))+1,FIND(";",SUBSTITUTE(D170,"|",REPT(";",LEN(D170)),3))-FIND(";",SUBSTITUTE(D170,"|",REPT(";",LEN(D170)),2))-1)</f>
        <v/>
      </c>
      <c r="K170">
        <f>MID(D170,FIND(";",SUBSTITUTE(D170,"|",REPT(";",LEN(D170)),3))+1,FIND(";",SUBSTITUTE(D170,"|",REPT(";",LEN(D170)),4))-FIND(";",SUBSTITUTE(D170,"|",REPT(";",LEN(D170)),3))-1)</f>
        <v/>
      </c>
      <c r="M170">
        <f>MID(D170,FIND(";",SUBSTITUTE(D170,"|",REPT(";",LEN(D170)),4))+1,LEN(D170))</f>
        <v/>
      </c>
    </row>
    <row r="171">
      <c r="A171" t="inlineStr">
        <is>
          <t>100201</t>
        </is>
      </c>
      <c r="B171" t="inlineStr">
        <is>
          <t>圆钢</t>
        </is>
      </c>
      <c r="C171" t="inlineStr">
        <is>
          <t>601326500</t>
        </is>
      </c>
      <c r="D171" t="inlineStr">
        <is>
          <t>航空用不锈圆钢|圆钢|1Cr18Ni9Ti|Φ10|GJB 2294-1995</t>
        </is>
      </c>
      <c r="E171" t="inlineStr">
        <is>
          <t xml:space="preserve">物资名称 航空用不锈圆钢;物资简称 圆钢;牌号 1Cr18Ni9Ti;直径 Φ10;技术标准号 GJB 2294-1995;加工工艺 ;热处理工艺 ;特殊要求 ;规格标准号 </t>
        </is>
      </c>
      <c r="F171" t="inlineStr">
        <is>
          <t>千克</t>
        </is>
      </c>
      <c r="G171">
        <f>LEFT(D171,FIND("|",D171,1)-1)</f>
        <v/>
      </c>
      <c r="H171">
        <f>MID(D171,FIND("|",D171,FIND("|",D171,1))+1,FIND("|",D171,FIND("|",D171,1)+1)-FIND("|",D171,FIND("|",D171,1))-1)</f>
        <v/>
      </c>
      <c r="J171">
        <f>MID(D171,FIND(";",SUBSTITUTE(D171,"|",REPT(";",LEN(D171)),2))+1,FIND(";",SUBSTITUTE(D171,"|",REPT(";",LEN(D171)),3))-FIND(";",SUBSTITUTE(D171,"|",REPT(";",LEN(D171)),2))-1)</f>
        <v/>
      </c>
      <c r="K171">
        <f>MID(D171,FIND(";",SUBSTITUTE(D171,"|",REPT(";",LEN(D171)),3))+1,FIND(";",SUBSTITUTE(D171,"|",REPT(";",LEN(D171)),4))-FIND(";",SUBSTITUTE(D171,"|",REPT(";",LEN(D171)),3))-1)</f>
        <v/>
      </c>
      <c r="M171">
        <f>MID(D171,FIND(";",SUBSTITUTE(D171,"|",REPT(";",LEN(D171)),4))+1,LEN(D171))</f>
        <v/>
      </c>
    </row>
    <row r="172">
      <c r="A172" t="inlineStr">
        <is>
          <t>100201</t>
        </is>
      </c>
      <c r="B172" t="inlineStr">
        <is>
          <t>圆钢</t>
        </is>
      </c>
      <c r="C172" t="inlineStr">
        <is>
          <t>601326400</t>
        </is>
      </c>
      <c r="D172" t="inlineStr">
        <is>
          <t>航空用不锈圆钢|圆钢|1Cr18Ni9Ti|Φ110|GJB 2294-1995</t>
        </is>
      </c>
      <c r="E172" t="inlineStr">
        <is>
          <t xml:space="preserve">物资名称 航空用不锈圆钢;物资简称 圆钢;牌号 1Cr18Ni9Ti;直径 Φ110;技术标准号 GJB 2294-1995;加工工艺 ;热处理工艺 ;特殊要求 ;规格标准号 </t>
        </is>
      </c>
      <c r="F172" t="inlineStr">
        <is>
          <t>千克</t>
        </is>
      </c>
      <c r="G172">
        <f>LEFT(D172,FIND("|",D172,1)-1)</f>
        <v/>
      </c>
      <c r="H172">
        <f>MID(D172,FIND("|",D172,FIND("|",D172,1))+1,FIND("|",D172,FIND("|",D172,1)+1)-FIND("|",D172,FIND("|",D172,1))-1)</f>
        <v/>
      </c>
      <c r="J172">
        <f>MID(D172,FIND(";",SUBSTITUTE(D172,"|",REPT(";",LEN(D172)),2))+1,FIND(";",SUBSTITUTE(D172,"|",REPT(";",LEN(D172)),3))-FIND(";",SUBSTITUTE(D172,"|",REPT(";",LEN(D172)),2))-1)</f>
        <v/>
      </c>
      <c r="K172">
        <f>MID(D172,FIND(";",SUBSTITUTE(D172,"|",REPT(";",LEN(D172)),3))+1,FIND(";",SUBSTITUTE(D172,"|",REPT(";",LEN(D172)),4))-FIND(";",SUBSTITUTE(D172,"|",REPT(";",LEN(D172)),3))-1)</f>
        <v/>
      </c>
      <c r="M172">
        <f>MID(D172,FIND(";",SUBSTITUTE(D172,"|",REPT(";",LEN(D172)),4))+1,LEN(D172))</f>
        <v/>
      </c>
    </row>
    <row r="173">
      <c r="A173" t="inlineStr">
        <is>
          <t>100201</t>
        </is>
      </c>
      <c r="B173" t="inlineStr">
        <is>
          <t>圆钢</t>
        </is>
      </c>
      <c r="C173" t="inlineStr">
        <is>
          <t>601326300</t>
        </is>
      </c>
      <c r="D173" t="inlineStr">
        <is>
          <t>航空用不锈圆钢|圆钢|1Cr18Ni9Ti|Φ15|GJB 2294-1995</t>
        </is>
      </c>
      <c r="E173" t="inlineStr">
        <is>
          <t xml:space="preserve">物资名称 航空用不锈圆钢;物资简称 圆钢;牌号 1Cr18Ni9Ti;直径 Φ15;技术标准号 GJB 2294-1995;加工工艺 ;热处理工艺 ;特殊要求 ;规格标准号 </t>
        </is>
      </c>
      <c r="F173" t="inlineStr">
        <is>
          <t>千克</t>
        </is>
      </c>
      <c r="G173">
        <f>LEFT(D173,FIND("|",D173,1)-1)</f>
        <v/>
      </c>
      <c r="H173">
        <f>MID(D173,FIND("|",D173,FIND("|",D173,1))+1,FIND("|",D173,FIND("|",D173,1)+1)-FIND("|",D173,FIND("|",D173,1))-1)</f>
        <v/>
      </c>
      <c r="J173">
        <f>MID(D173,FIND(";",SUBSTITUTE(D173,"|",REPT(";",LEN(D173)),2))+1,FIND(";",SUBSTITUTE(D173,"|",REPT(";",LEN(D173)),3))-FIND(";",SUBSTITUTE(D173,"|",REPT(";",LEN(D173)),2))-1)</f>
        <v/>
      </c>
      <c r="K173">
        <f>MID(D173,FIND(";",SUBSTITUTE(D173,"|",REPT(";",LEN(D173)),3))+1,FIND(";",SUBSTITUTE(D173,"|",REPT(";",LEN(D173)),4))-FIND(";",SUBSTITUTE(D173,"|",REPT(";",LEN(D173)),3))-1)</f>
        <v/>
      </c>
      <c r="M173">
        <f>MID(D173,FIND(";",SUBSTITUTE(D173,"|",REPT(";",LEN(D173)),4))+1,LEN(D173))</f>
        <v/>
      </c>
    </row>
    <row r="174">
      <c r="A174" t="inlineStr">
        <is>
          <t>100201</t>
        </is>
      </c>
      <c r="B174" t="inlineStr">
        <is>
          <t>圆钢</t>
        </is>
      </c>
      <c r="C174" t="inlineStr">
        <is>
          <t>601326200</t>
        </is>
      </c>
      <c r="D174" t="inlineStr">
        <is>
          <t>航空用不锈圆钢|圆钢|1Cr18Ni9Ti|Φ20|GJB 2294-1995</t>
        </is>
      </c>
      <c r="E174" t="inlineStr">
        <is>
          <t xml:space="preserve">物资名称 航空用不锈圆钢;物资简称 圆钢;牌号 1Cr18Ni9Ti;直径 Φ20;技术标准号 GJB 2294-1995;加工工艺 ;热处理工艺 ;特殊要求 ;规格标准号 </t>
        </is>
      </c>
      <c r="F174" t="inlineStr">
        <is>
          <t>千克</t>
        </is>
      </c>
      <c r="G174">
        <f>LEFT(D174,FIND("|",D174,1)-1)</f>
        <v/>
      </c>
      <c r="H174">
        <f>MID(D174,FIND("|",D174,FIND("|",D174,1))+1,FIND("|",D174,FIND("|",D174,1)+1)-FIND("|",D174,FIND("|",D174,1))-1)</f>
        <v/>
      </c>
      <c r="J174">
        <f>MID(D174,FIND(";",SUBSTITUTE(D174,"|",REPT(";",LEN(D174)),2))+1,FIND(";",SUBSTITUTE(D174,"|",REPT(";",LEN(D174)),3))-FIND(";",SUBSTITUTE(D174,"|",REPT(";",LEN(D174)),2))-1)</f>
        <v/>
      </c>
      <c r="K174">
        <f>MID(D174,FIND(";",SUBSTITUTE(D174,"|",REPT(";",LEN(D174)),3))+1,FIND(";",SUBSTITUTE(D174,"|",REPT(";",LEN(D174)),4))-FIND(";",SUBSTITUTE(D174,"|",REPT(";",LEN(D174)),3))-1)</f>
        <v/>
      </c>
      <c r="M174">
        <f>MID(D174,FIND(";",SUBSTITUTE(D174,"|",REPT(";",LEN(D174)),4))+1,LEN(D174))</f>
        <v/>
      </c>
    </row>
    <row r="175">
      <c r="A175" t="inlineStr">
        <is>
          <t>100201</t>
        </is>
      </c>
      <c r="B175" t="inlineStr">
        <is>
          <t>圆钢</t>
        </is>
      </c>
      <c r="C175" t="inlineStr">
        <is>
          <t>601326100</t>
        </is>
      </c>
      <c r="D175" t="inlineStr">
        <is>
          <t>航空用不锈圆钢|圆钢|1Cr18Ni9Ti|Φ35|GJB 2294-1995</t>
        </is>
      </c>
      <c r="E175" t="inlineStr">
        <is>
          <t xml:space="preserve">物资名称 航空用不锈圆钢;物资简称 圆钢;牌号 1Cr18Ni9Ti;直径 Φ35;技术标准号 GJB 2294-1995;加工工艺 ;热处理工艺 ;特殊要求 ;规格标准号 </t>
        </is>
      </c>
      <c r="F175" t="inlineStr">
        <is>
          <t>千克</t>
        </is>
      </c>
      <c r="G175">
        <f>LEFT(D175,FIND("|",D175,1)-1)</f>
        <v/>
      </c>
      <c r="H175">
        <f>MID(D175,FIND("|",D175,FIND("|",D175,1))+1,FIND("|",D175,FIND("|",D175,1)+1)-FIND("|",D175,FIND("|",D175,1))-1)</f>
        <v/>
      </c>
      <c r="J175">
        <f>MID(D175,FIND(";",SUBSTITUTE(D175,"|",REPT(";",LEN(D175)),2))+1,FIND(";",SUBSTITUTE(D175,"|",REPT(";",LEN(D175)),3))-FIND(";",SUBSTITUTE(D175,"|",REPT(";",LEN(D175)),2))-1)</f>
        <v/>
      </c>
      <c r="K175">
        <f>MID(D175,FIND(";",SUBSTITUTE(D175,"|",REPT(";",LEN(D175)),3))+1,FIND(";",SUBSTITUTE(D175,"|",REPT(";",LEN(D175)),4))-FIND(";",SUBSTITUTE(D175,"|",REPT(";",LEN(D175)),3))-1)</f>
        <v/>
      </c>
      <c r="M175">
        <f>MID(D175,FIND(";",SUBSTITUTE(D175,"|",REPT(";",LEN(D175)),4))+1,LEN(D175))</f>
        <v/>
      </c>
    </row>
    <row r="176">
      <c r="A176" t="inlineStr">
        <is>
          <t>100201</t>
        </is>
      </c>
      <c r="B176" t="inlineStr">
        <is>
          <t>圆钢</t>
        </is>
      </c>
      <c r="C176" t="inlineStr">
        <is>
          <t>601326000</t>
        </is>
      </c>
      <c r="D176" t="inlineStr">
        <is>
          <t>不锈圆钢|圆钢|1Cr18Ni9Ti|Φ55|空</t>
        </is>
      </c>
      <c r="E176" t="inlineStr">
        <is>
          <t xml:space="preserve">物资名称 不锈圆钢;物资简称 圆钢;牌号 1Cr18Ni9Ti;直径 Φ55;技术标准号 空;加工工艺 ;热处理工艺 ;特殊要求 ;规格标准号 </t>
        </is>
      </c>
      <c r="F176" t="inlineStr">
        <is>
          <t>千克</t>
        </is>
      </c>
      <c r="G176">
        <f>LEFT(D176,FIND("|",D176,1)-1)</f>
        <v/>
      </c>
      <c r="H176">
        <f>MID(D176,FIND("|",D176,FIND("|",D176,1))+1,FIND("|",D176,FIND("|",D176,1)+1)-FIND("|",D176,FIND("|",D176,1))-1)</f>
        <v/>
      </c>
      <c r="J176">
        <f>MID(D176,FIND(";",SUBSTITUTE(D176,"|",REPT(";",LEN(D176)),2))+1,FIND(";",SUBSTITUTE(D176,"|",REPT(";",LEN(D176)),3))-FIND(";",SUBSTITUTE(D176,"|",REPT(";",LEN(D176)),2))-1)</f>
        <v/>
      </c>
      <c r="K176">
        <f>MID(D176,FIND(";",SUBSTITUTE(D176,"|",REPT(";",LEN(D176)),3))+1,FIND(";",SUBSTITUTE(D176,"|",REPT(";",LEN(D176)),4))-FIND(";",SUBSTITUTE(D176,"|",REPT(";",LEN(D176)),3))-1)</f>
        <v/>
      </c>
      <c r="M176">
        <f>MID(D176,FIND(";",SUBSTITUTE(D176,"|",REPT(";",LEN(D176)),4))+1,LEN(D176))</f>
        <v/>
      </c>
    </row>
    <row r="177">
      <c r="A177" t="inlineStr">
        <is>
          <t>100201</t>
        </is>
      </c>
      <c r="B177" t="inlineStr">
        <is>
          <t>圆钢</t>
        </is>
      </c>
      <c r="C177" t="inlineStr">
        <is>
          <t>601325900</t>
        </is>
      </c>
      <c r="D177" t="inlineStr">
        <is>
          <t>航空用不锈圆钢|圆钢|1Cr18Ni9Ti|Φ55|GJB 2294-1995</t>
        </is>
      </c>
      <c r="E177" t="inlineStr">
        <is>
          <t xml:space="preserve">物资名称 航空用不锈圆钢;物资简称 圆钢;牌号 1Cr18Ni9Ti;直径 Φ55;技术标准号 GJB 2294-1995;加工工艺 ;热处理工艺 ;特殊要求 ;规格标准号 </t>
        </is>
      </c>
      <c r="F177" t="inlineStr">
        <is>
          <t>千克</t>
        </is>
      </c>
      <c r="G177">
        <f>LEFT(D177,FIND("|",D177,1)-1)</f>
        <v/>
      </c>
      <c r="H177">
        <f>MID(D177,FIND("|",D177,FIND("|",D177,1))+1,FIND("|",D177,FIND("|",D177,1)+1)-FIND("|",D177,FIND("|",D177,1))-1)</f>
        <v/>
      </c>
      <c r="J177">
        <f>MID(D177,FIND(";",SUBSTITUTE(D177,"|",REPT(";",LEN(D177)),2))+1,FIND(";",SUBSTITUTE(D177,"|",REPT(";",LEN(D177)),3))-FIND(";",SUBSTITUTE(D177,"|",REPT(";",LEN(D177)),2))-1)</f>
        <v/>
      </c>
      <c r="K177">
        <f>MID(D177,FIND(";",SUBSTITUTE(D177,"|",REPT(";",LEN(D177)),3))+1,FIND(";",SUBSTITUTE(D177,"|",REPT(";",LEN(D177)),4))-FIND(";",SUBSTITUTE(D177,"|",REPT(";",LEN(D177)),3))-1)</f>
        <v/>
      </c>
      <c r="M177">
        <f>MID(D177,FIND(";",SUBSTITUTE(D177,"|",REPT(";",LEN(D177)),4))+1,LEN(D177))</f>
        <v/>
      </c>
    </row>
    <row r="178">
      <c r="A178" t="inlineStr">
        <is>
          <t>100201</t>
        </is>
      </c>
      <c r="B178" t="inlineStr">
        <is>
          <t>圆钢</t>
        </is>
      </c>
      <c r="C178" t="inlineStr">
        <is>
          <t>601325800</t>
        </is>
      </c>
      <c r="D178" t="inlineStr">
        <is>
          <t>航空用不锈圆钢|圆钢|1Cr18Ni9Ti|Φ85|GJB 2294-1995</t>
        </is>
      </c>
      <c r="E178" t="inlineStr">
        <is>
          <t xml:space="preserve">物资名称 航空用不锈圆钢;物资简称 圆钢;牌号 1Cr18Ni9Ti;直径 Φ85;技术标准号 GJB 2294-1995;加工工艺 ;热处理工艺 ;特殊要求 ;规格标准号 </t>
        </is>
      </c>
      <c r="F178" t="inlineStr">
        <is>
          <t>千克</t>
        </is>
      </c>
      <c r="G178">
        <f>LEFT(D178,FIND("|",D178,1)-1)</f>
        <v/>
      </c>
      <c r="H178">
        <f>MID(D178,FIND("|",D178,FIND("|",D178,1))+1,FIND("|",D178,FIND("|",D178,1)+1)-FIND("|",D178,FIND("|",D178,1))-1)</f>
        <v/>
      </c>
      <c r="J178">
        <f>MID(D178,FIND(";",SUBSTITUTE(D178,"|",REPT(";",LEN(D178)),2))+1,FIND(";",SUBSTITUTE(D178,"|",REPT(";",LEN(D178)),3))-FIND(";",SUBSTITUTE(D178,"|",REPT(";",LEN(D178)),2))-1)</f>
        <v/>
      </c>
      <c r="K178">
        <f>MID(D178,FIND(";",SUBSTITUTE(D178,"|",REPT(";",LEN(D178)),3))+1,FIND(";",SUBSTITUTE(D178,"|",REPT(";",LEN(D178)),4))-FIND(";",SUBSTITUTE(D178,"|",REPT(";",LEN(D178)),3))-1)</f>
        <v/>
      </c>
      <c r="M178">
        <f>MID(D178,FIND(";",SUBSTITUTE(D178,"|",REPT(";",LEN(D178)),4))+1,LEN(D178))</f>
        <v/>
      </c>
    </row>
    <row r="179">
      <c r="A179" t="inlineStr">
        <is>
          <t>100201</t>
        </is>
      </c>
      <c r="B179" t="inlineStr">
        <is>
          <t>圆钢</t>
        </is>
      </c>
      <c r="C179" t="inlineStr">
        <is>
          <t>601325700</t>
        </is>
      </c>
      <c r="D179" t="inlineStr">
        <is>
          <t>航空用不锈圆钢|圆钢|1Cr18Ni9Ti|Φ90|GJB 2294-1995</t>
        </is>
      </c>
      <c r="E179" t="inlineStr">
        <is>
          <t xml:space="preserve">物资名称 航空用不锈圆钢;物资简称 圆钢;牌号 1Cr18Ni9Ti;直径 Φ90;技术标准号 GJB 2294-1995;加工工艺 ;热处理工艺 ;特殊要求 ;规格标准号 </t>
        </is>
      </c>
      <c r="F179" t="inlineStr">
        <is>
          <t>千克</t>
        </is>
      </c>
      <c r="G179">
        <f>LEFT(D179,FIND("|",D179,1)-1)</f>
        <v/>
      </c>
      <c r="H179">
        <f>MID(D179,FIND("|",D179,FIND("|",D179,1))+1,FIND("|",D179,FIND("|",D179,1)+1)-FIND("|",D179,FIND("|",D179,1))-1)</f>
        <v/>
      </c>
      <c r="J179">
        <f>MID(D179,FIND(";",SUBSTITUTE(D179,"|",REPT(";",LEN(D179)),2))+1,FIND(";",SUBSTITUTE(D179,"|",REPT(";",LEN(D179)),3))-FIND(";",SUBSTITUTE(D179,"|",REPT(";",LEN(D179)),2))-1)</f>
        <v/>
      </c>
      <c r="K179">
        <f>MID(D179,FIND(";",SUBSTITUTE(D179,"|",REPT(";",LEN(D179)),3))+1,FIND(";",SUBSTITUTE(D179,"|",REPT(";",LEN(D179)),4))-FIND(";",SUBSTITUTE(D179,"|",REPT(";",LEN(D179)),3))-1)</f>
        <v/>
      </c>
      <c r="M179">
        <f>MID(D179,FIND(";",SUBSTITUTE(D179,"|",REPT(";",LEN(D179)),4))+1,LEN(D179))</f>
        <v/>
      </c>
    </row>
    <row r="180">
      <c r="A180" t="inlineStr">
        <is>
          <t>100201</t>
        </is>
      </c>
      <c r="B180" t="inlineStr">
        <is>
          <t>圆钢</t>
        </is>
      </c>
      <c r="C180" t="inlineStr">
        <is>
          <t>601325600</t>
        </is>
      </c>
      <c r="D180" t="inlineStr">
        <is>
          <t>不锈圆钢|圆钢|2Cr13|Φ32|空</t>
        </is>
      </c>
      <c r="E180" t="inlineStr">
        <is>
          <t xml:space="preserve">物资名称 不锈圆钢;物资简称 圆钢;牌号 2Cr13;直径 Φ32;技术标准号 空;加工工艺 ;热处理工艺 ;特殊要求 ;规格标准号 </t>
        </is>
      </c>
      <c r="F180" t="inlineStr">
        <is>
          <t>千克</t>
        </is>
      </c>
      <c r="G180">
        <f>LEFT(D180,FIND("|",D180,1)-1)</f>
        <v/>
      </c>
      <c r="H180">
        <f>MID(D180,FIND("|",D180,FIND("|",D180,1))+1,FIND("|",D180,FIND("|",D180,1)+1)-FIND("|",D180,FIND("|",D180,1))-1)</f>
        <v/>
      </c>
      <c r="J180">
        <f>MID(D180,FIND(";",SUBSTITUTE(D180,"|",REPT(";",LEN(D180)),2))+1,FIND(";",SUBSTITUTE(D180,"|",REPT(";",LEN(D180)),3))-FIND(";",SUBSTITUTE(D180,"|",REPT(";",LEN(D180)),2))-1)</f>
        <v/>
      </c>
      <c r="K180">
        <f>MID(D180,FIND(";",SUBSTITUTE(D180,"|",REPT(";",LEN(D180)),3))+1,FIND(";",SUBSTITUTE(D180,"|",REPT(";",LEN(D180)),4))-FIND(";",SUBSTITUTE(D180,"|",REPT(";",LEN(D180)),3))-1)</f>
        <v/>
      </c>
      <c r="M180">
        <f>MID(D180,FIND(";",SUBSTITUTE(D180,"|",REPT(";",LEN(D180)),4))+1,LEN(D180))</f>
        <v/>
      </c>
    </row>
    <row r="181">
      <c r="A181" t="inlineStr">
        <is>
          <t>100201</t>
        </is>
      </c>
      <c r="B181" t="inlineStr">
        <is>
          <t>圆钢</t>
        </is>
      </c>
      <c r="C181" t="inlineStr">
        <is>
          <t>601325500</t>
        </is>
      </c>
      <c r="D181" t="inlineStr">
        <is>
          <t>不锈圆钢|圆钢|2Cr13Ni2|Φ36|空</t>
        </is>
      </c>
      <c r="E181" t="inlineStr">
        <is>
          <t xml:space="preserve">物资名称 不锈圆钢;物资简称 圆钢;牌号 2Cr13Ni2;直径 Φ36;技术标准号 空;加工工艺 ;热处理工艺 ;特殊要求 ;规格标准号 </t>
        </is>
      </c>
      <c r="F181" t="inlineStr">
        <is>
          <t>千克</t>
        </is>
      </c>
      <c r="G181">
        <f>LEFT(D181,FIND("|",D181,1)-1)</f>
        <v/>
      </c>
      <c r="H181">
        <f>MID(D181,FIND("|",D181,FIND("|",D181,1))+1,FIND("|",D181,FIND("|",D181,1)+1)-FIND("|",D181,FIND("|",D181,1))-1)</f>
        <v/>
      </c>
      <c r="J181">
        <f>MID(D181,FIND(";",SUBSTITUTE(D181,"|",REPT(";",LEN(D181)),2))+1,FIND(";",SUBSTITUTE(D181,"|",REPT(";",LEN(D181)),3))-FIND(";",SUBSTITUTE(D181,"|",REPT(";",LEN(D181)),2))-1)</f>
        <v/>
      </c>
      <c r="K181">
        <f>MID(D181,FIND(";",SUBSTITUTE(D181,"|",REPT(";",LEN(D181)),3))+1,FIND(";",SUBSTITUTE(D181,"|",REPT(";",LEN(D181)),4))-FIND(";",SUBSTITUTE(D181,"|",REPT(";",LEN(D181)),3))-1)</f>
        <v/>
      </c>
      <c r="M181">
        <f>MID(D181,FIND(";",SUBSTITUTE(D181,"|",REPT(";",LEN(D181)),4))+1,LEN(D181))</f>
        <v/>
      </c>
    </row>
    <row r="182">
      <c r="A182" t="inlineStr">
        <is>
          <t>100201</t>
        </is>
      </c>
      <c r="B182" t="inlineStr">
        <is>
          <t>圆钢</t>
        </is>
      </c>
      <c r="C182" t="inlineStr">
        <is>
          <t>601325400</t>
        </is>
      </c>
      <c r="D182" t="inlineStr">
        <is>
          <t>不锈圆钢|圆钢|2Cr13Ni2|Φ65|空</t>
        </is>
      </c>
      <c r="E182" t="inlineStr">
        <is>
          <t xml:space="preserve">物资名称 不锈圆钢;物资简称 圆钢;牌号 2Cr13Ni2;直径 Φ65;技术标准号 空;加工工艺 ;热处理工艺 ;特殊要求 ;规格标准号 </t>
        </is>
      </c>
      <c r="F182" t="inlineStr">
        <is>
          <t>千克</t>
        </is>
      </c>
      <c r="G182">
        <f>LEFT(D182,FIND("|",D182,1)-1)</f>
        <v/>
      </c>
      <c r="H182">
        <f>MID(D182,FIND("|",D182,FIND("|",D182,1))+1,FIND("|",D182,FIND("|",D182,1)+1)-FIND("|",D182,FIND("|",D182,1))-1)</f>
        <v/>
      </c>
      <c r="J182">
        <f>MID(D182,FIND(";",SUBSTITUTE(D182,"|",REPT(";",LEN(D182)),2))+1,FIND(";",SUBSTITUTE(D182,"|",REPT(";",LEN(D182)),3))-FIND(";",SUBSTITUTE(D182,"|",REPT(";",LEN(D182)),2))-1)</f>
        <v/>
      </c>
      <c r="K182">
        <f>MID(D182,FIND(";",SUBSTITUTE(D182,"|",REPT(";",LEN(D182)),3))+1,FIND(";",SUBSTITUTE(D182,"|",REPT(";",LEN(D182)),4))-FIND(";",SUBSTITUTE(D182,"|",REPT(";",LEN(D182)),3))-1)</f>
        <v/>
      </c>
      <c r="M182">
        <f>MID(D182,FIND(";",SUBSTITUTE(D182,"|",REPT(";",LEN(D182)),4))+1,LEN(D182))</f>
        <v/>
      </c>
    </row>
    <row r="183">
      <c r="A183" t="inlineStr">
        <is>
          <t>100201</t>
        </is>
      </c>
      <c r="B183" t="inlineStr">
        <is>
          <t>圆钢</t>
        </is>
      </c>
      <c r="C183" t="inlineStr">
        <is>
          <t>601325300</t>
        </is>
      </c>
      <c r="D183" t="inlineStr">
        <is>
          <t>不锈圆钢|圆钢|2Cr13Ni2|Φ70|空</t>
        </is>
      </c>
      <c r="E183" t="inlineStr">
        <is>
          <t xml:space="preserve">物资名称 不锈圆钢;物资简称 圆钢;牌号 2Cr13Ni2;直径 Φ70;技术标准号 空;加工工艺 ;热处理工艺 ;特殊要求 ;规格标准号 </t>
        </is>
      </c>
      <c r="F183" t="inlineStr">
        <is>
          <t>千克</t>
        </is>
      </c>
      <c r="G183">
        <f>LEFT(D183,FIND("|",D183,1)-1)</f>
        <v/>
      </c>
      <c r="H183">
        <f>MID(D183,FIND("|",D183,FIND("|",D183,1))+1,FIND("|",D183,FIND("|",D183,1)+1)-FIND("|",D183,FIND("|",D183,1))-1)</f>
        <v/>
      </c>
      <c r="J183">
        <f>MID(D183,FIND(";",SUBSTITUTE(D183,"|",REPT(";",LEN(D183)),2))+1,FIND(";",SUBSTITUTE(D183,"|",REPT(";",LEN(D183)),3))-FIND(";",SUBSTITUTE(D183,"|",REPT(";",LEN(D183)),2))-1)</f>
        <v/>
      </c>
      <c r="K183">
        <f>MID(D183,FIND(";",SUBSTITUTE(D183,"|",REPT(";",LEN(D183)),3))+1,FIND(";",SUBSTITUTE(D183,"|",REPT(";",LEN(D183)),4))-FIND(";",SUBSTITUTE(D183,"|",REPT(";",LEN(D183)),3))-1)</f>
        <v/>
      </c>
      <c r="M183">
        <f>MID(D183,FIND(";",SUBSTITUTE(D183,"|",REPT(";",LEN(D183)),4))+1,LEN(D183))</f>
        <v/>
      </c>
    </row>
    <row r="184">
      <c r="A184" t="inlineStr">
        <is>
          <t>100201</t>
        </is>
      </c>
      <c r="B184" t="inlineStr">
        <is>
          <t>圆钢</t>
        </is>
      </c>
      <c r="C184" t="inlineStr">
        <is>
          <t>601325200</t>
        </is>
      </c>
      <c r="D184" t="inlineStr">
        <is>
          <t>不锈圆钢|圆钢|2Cr13Ni2|Φ75|空</t>
        </is>
      </c>
      <c r="E184" t="inlineStr">
        <is>
          <t xml:space="preserve">物资名称 不锈圆钢;物资简称 圆钢;牌号 2Cr13Ni2;直径 Φ75;技术标准号 空;加工工艺 ;热处理工艺 ;特殊要求 ;规格标准号 </t>
        </is>
      </c>
      <c r="F184" t="inlineStr">
        <is>
          <t>千克</t>
        </is>
      </c>
      <c r="G184">
        <f>LEFT(D184,FIND("|",D184,1)-1)</f>
        <v/>
      </c>
      <c r="H184">
        <f>MID(D184,FIND("|",D184,FIND("|",D184,1))+1,FIND("|",D184,FIND("|",D184,1)+1)-FIND("|",D184,FIND("|",D184,1))-1)</f>
        <v/>
      </c>
      <c r="J184">
        <f>MID(D184,FIND(";",SUBSTITUTE(D184,"|",REPT(";",LEN(D184)),2))+1,FIND(";",SUBSTITUTE(D184,"|",REPT(";",LEN(D184)),3))-FIND(";",SUBSTITUTE(D184,"|",REPT(";",LEN(D184)),2))-1)</f>
        <v/>
      </c>
      <c r="K184">
        <f>MID(D184,FIND(";",SUBSTITUTE(D184,"|",REPT(";",LEN(D184)),3))+1,FIND(";",SUBSTITUTE(D184,"|",REPT(";",LEN(D184)),4))-FIND(";",SUBSTITUTE(D184,"|",REPT(";",LEN(D184)),3))-1)</f>
        <v/>
      </c>
      <c r="M184">
        <f>MID(D184,FIND(";",SUBSTITUTE(D184,"|",REPT(";",LEN(D184)),4))+1,LEN(D184))</f>
        <v/>
      </c>
    </row>
    <row r="185">
      <c r="A185" t="inlineStr">
        <is>
          <t>100201</t>
        </is>
      </c>
      <c r="B185" t="inlineStr">
        <is>
          <t>圆钢</t>
        </is>
      </c>
      <c r="C185" t="inlineStr">
        <is>
          <t>601325100</t>
        </is>
      </c>
      <c r="D185" t="inlineStr">
        <is>
          <t>不锈圆钢|圆钢|40Cr13|Φ25|空</t>
        </is>
      </c>
      <c r="E185" t="inlineStr">
        <is>
          <t xml:space="preserve">物资名称 不锈圆钢;物资简称 圆钢;牌号 40Cr13;直径 Φ25;技术标准号 空;加工工艺 ;热处理工艺 ;特殊要求 ;规格标准号 </t>
        </is>
      </c>
      <c r="F185" t="inlineStr">
        <is>
          <t>千克</t>
        </is>
      </c>
      <c r="G185">
        <f>LEFT(D185,FIND("|",D185,1)-1)</f>
        <v/>
      </c>
      <c r="H185">
        <f>MID(D185,FIND("|",D185,FIND("|",D185,1))+1,FIND("|",D185,FIND("|",D185,1)+1)-FIND("|",D185,FIND("|",D185,1))-1)</f>
        <v/>
      </c>
      <c r="J185">
        <f>MID(D185,FIND(";",SUBSTITUTE(D185,"|",REPT(";",LEN(D185)),2))+1,FIND(";",SUBSTITUTE(D185,"|",REPT(";",LEN(D185)),3))-FIND(";",SUBSTITUTE(D185,"|",REPT(";",LEN(D185)),2))-1)</f>
        <v/>
      </c>
      <c r="K185">
        <f>MID(D185,FIND(";",SUBSTITUTE(D185,"|",REPT(";",LEN(D185)),3))+1,FIND(";",SUBSTITUTE(D185,"|",REPT(";",LEN(D185)),4))-FIND(";",SUBSTITUTE(D185,"|",REPT(";",LEN(D185)),3))-1)</f>
        <v/>
      </c>
      <c r="M185">
        <f>MID(D185,FIND(";",SUBSTITUTE(D185,"|",REPT(";",LEN(D185)),4))+1,LEN(D185))</f>
        <v/>
      </c>
    </row>
    <row r="186">
      <c r="A186" t="inlineStr">
        <is>
          <t>100201</t>
        </is>
      </c>
      <c r="B186" t="inlineStr">
        <is>
          <t>圆钢</t>
        </is>
      </c>
      <c r="C186" t="inlineStr">
        <is>
          <t>601325000</t>
        </is>
      </c>
      <c r="D186" t="inlineStr">
        <is>
          <t>不锈圆钢|圆钢|4Cr13|Φ100|空</t>
        </is>
      </c>
      <c r="E186" t="inlineStr">
        <is>
          <t xml:space="preserve">物资名称 不锈圆钢;物资简称 圆钢;牌号 4Cr13;直径 Φ100;技术标准号 空;加工工艺 ;热处理工艺 ;特殊要求 ;规格标准号 </t>
        </is>
      </c>
      <c r="F186" t="inlineStr">
        <is>
          <t>千克</t>
        </is>
      </c>
      <c r="G186">
        <f>LEFT(D186,FIND("|",D186,1)-1)</f>
        <v/>
      </c>
      <c r="H186">
        <f>MID(D186,FIND("|",D186,FIND("|",D186,1))+1,FIND("|",D186,FIND("|",D186,1)+1)-FIND("|",D186,FIND("|",D186,1))-1)</f>
        <v/>
      </c>
      <c r="J186">
        <f>MID(D186,FIND(";",SUBSTITUTE(D186,"|",REPT(";",LEN(D186)),2))+1,FIND(";",SUBSTITUTE(D186,"|",REPT(";",LEN(D186)),3))-FIND(";",SUBSTITUTE(D186,"|",REPT(";",LEN(D186)),2))-1)</f>
        <v/>
      </c>
      <c r="K186">
        <f>MID(D186,FIND(";",SUBSTITUTE(D186,"|",REPT(";",LEN(D186)),3))+1,FIND(";",SUBSTITUTE(D186,"|",REPT(";",LEN(D186)),4))-FIND(";",SUBSTITUTE(D186,"|",REPT(";",LEN(D186)),3))-1)</f>
        <v/>
      </c>
      <c r="M186">
        <f>MID(D186,FIND(";",SUBSTITUTE(D186,"|",REPT(";",LEN(D186)),4))+1,LEN(D186))</f>
        <v/>
      </c>
    </row>
    <row r="187">
      <c r="A187" t="inlineStr">
        <is>
          <t>100201</t>
        </is>
      </c>
      <c r="B187" t="inlineStr">
        <is>
          <t>圆钢</t>
        </is>
      </c>
      <c r="C187" t="inlineStr">
        <is>
          <t>601324900</t>
        </is>
      </c>
      <c r="D187" t="inlineStr">
        <is>
          <t>不锈圆钢|圆钢|4Cr13|Φ18|空</t>
        </is>
      </c>
      <c r="E187" t="inlineStr">
        <is>
          <t xml:space="preserve">物资名称 不锈圆钢;物资简称 圆钢;牌号 4Cr13;直径 Φ18;技术标准号 空;加工工艺 ;热处理工艺 ;特殊要求 ;规格标准号 </t>
        </is>
      </c>
      <c r="F187" t="inlineStr">
        <is>
          <t>千克</t>
        </is>
      </c>
      <c r="G187">
        <f>LEFT(D187,FIND("|",D187,1)-1)</f>
        <v/>
      </c>
      <c r="H187">
        <f>MID(D187,FIND("|",D187,FIND("|",D187,1))+1,FIND("|",D187,FIND("|",D187,1)+1)-FIND("|",D187,FIND("|",D187,1))-1)</f>
        <v/>
      </c>
      <c r="J187">
        <f>MID(D187,FIND(";",SUBSTITUTE(D187,"|",REPT(";",LEN(D187)),2))+1,FIND(";",SUBSTITUTE(D187,"|",REPT(";",LEN(D187)),3))-FIND(";",SUBSTITUTE(D187,"|",REPT(";",LEN(D187)),2))-1)</f>
        <v/>
      </c>
      <c r="K187">
        <f>MID(D187,FIND(";",SUBSTITUTE(D187,"|",REPT(";",LEN(D187)),3))+1,FIND(";",SUBSTITUTE(D187,"|",REPT(";",LEN(D187)),4))-FIND(";",SUBSTITUTE(D187,"|",REPT(";",LEN(D187)),3))-1)</f>
        <v/>
      </c>
      <c r="M187">
        <f>MID(D187,FIND(";",SUBSTITUTE(D187,"|",REPT(";",LEN(D187)),4))+1,LEN(D187))</f>
        <v/>
      </c>
    </row>
    <row r="188">
      <c r="A188" t="inlineStr">
        <is>
          <t>100201</t>
        </is>
      </c>
      <c r="B188" t="inlineStr">
        <is>
          <t>圆钢</t>
        </is>
      </c>
      <c r="C188" t="inlineStr">
        <is>
          <t>601324800</t>
        </is>
      </c>
      <c r="D188" t="inlineStr">
        <is>
          <t>不锈圆钢|圆钢|Y1Cr18Ni9|Φ40|空</t>
        </is>
      </c>
      <c r="E188" t="inlineStr">
        <is>
          <t xml:space="preserve">物资名称 不锈圆钢;物资简称 圆钢;牌号 Y1Cr18Ni9;直径 Φ40;技术标准号 空;加工工艺 ;热处理工艺 ;特殊要求 ;规格标准号 </t>
        </is>
      </c>
      <c r="F188" t="inlineStr">
        <is>
          <t>千克</t>
        </is>
      </c>
      <c r="G188">
        <f>LEFT(D188,FIND("|",D188,1)-1)</f>
        <v/>
      </c>
      <c r="H188">
        <f>MID(D188,FIND("|",D188,FIND("|",D188,1))+1,FIND("|",D188,FIND("|",D188,1)+1)-FIND("|",D188,FIND("|",D188,1))-1)</f>
        <v/>
      </c>
      <c r="J188">
        <f>MID(D188,FIND(";",SUBSTITUTE(D188,"|",REPT(";",LEN(D188)),2))+1,FIND(";",SUBSTITUTE(D188,"|",REPT(";",LEN(D188)),3))-FIND(";",SUBSTITUTE(D188,"|",REPT(";",LEN(D188)),2))-1)</f>
        <v/>
      </c>
      <c r="K188">
        <f>MID(D188,FIND(";",SUBSTITUTE(D188,"|",REPT(";",LEN(D188)),3))+1,FIND(";",SUBSTITUTE(D188,"|",REPT(";",LEN(D188)),4))-FIND(";",SUBSTITUTE(D188,"|",REPT(";",LEN(D188)),3))-1)</f>
        <v/>
      </c>
      <c r="M188">
        <f>MID(D188,FIND(";",SUBSTITUTE(D188,"|",REPT(";",LEN(D188)),4))+1,LEN(D188))</f>
        <v/>
      </c>
    </row>
    <row r="189">
      <c r="A189" t="inlineStr">
        <is>
          <t>100201</t>
        </is>
      </c>
      <c r="B189" t="inlineStr">
        <is>
          <t>圆钢</t>
        </is>
      </c>
      <c r="C189" t="inlineStr">
        <is>
          <t>601324700</t>
        </is>
      </c>
      <c r="D189" t="inlineStr">
        <is>
          <t>不锈圆钢|圆钢|Y2Cr13Ni2|Φ60|空</t>
        </is>
      </c>
      <c r="E189" t="inlineStr">
        <is>
          <t xml:space="preserve">物资名称 不锈圆钢;物资简称 圆钢;牌号 Y2Cr13Ni2;直径 Φ60;技术标准号 空;加工工艺 ;热处理工艺 ;特殊要求 ;规格标准号 </t>
        </is>
      </c>
      <c r="F189" t="inlineStr">
        <is>
          <t>千克</t>
        </is>
      </c>
      <c r="G189">
        <f>LEFT(D189,FIND("|",D189,1)-1)</f>
        <v/>
      </c>
      <c r="H189">
        <f>MID(D189,FIND("|",D189,FIND("|",D189,1))+1,FIND("|",D189,FIND("|",D189,1)+1)-FIND("|",D189,FIND("|",D189,1))-1)</f>
        <v/>
      </c>
      <c r="J189">
        <f>MID(D189,FIND(";",SUBSTITUTE(D189,"|",REPT(";",LEN(D189)),2))+1,FIND(";",SUBSTITUTE(D189,"|",REPT(";",LEN(D189)),3))-FIND(";",SUBSTITUTE(D189,"|",REPT(";",LEN(D189)),2))-1)</f>
        <v/>
      </c>
      <c r="K189">
        <f>MID(D189,FIND(";",SUBSTITUTE(D189,"|",REPT(";",LEN(D189)),3))+1,FIND(";",SUBSTITUTE(D189,"|",REPT(";",LEN(D189)),4))-FIND(";",SUBSTITUTE(D189,"|",REPT(";",LEN(D189)),3))-1)</f>
        <v/>
      </c>
      <c r="M189">
        <f>MID(D189,FIND(";",SUBSTITUTE(D189,"|",REPT(";",LEN(D189)),4))+1,LEN(D189))</f>
        <v/>
      </c>
    </row>
    <row r="190">
      <c r="A190" t="inlineStr">
        <is>
          <t>100201</t>
        </is>
      </c>
      <c r="B190" t="inlineStr">
        <is>
          <t>圆钢</t>
        </is>
      </c>
      <c r="C190" t="inlineStr">
        <is>
          <t>601324600</t>
        </is>
      </c>
      <c r="D190" t="inlineStr">
        <is>
          <t>不锈圆钢|圆钢|0Cr25Ni20|Φ200|空|耐热</t>
        </is>
      </c>
      <c r="E190" t="inlineStr">
        <is>
          <t xml:space="preserve">物资名称 不锈圆钢;物资简称 圆钢;牌号 0Cr25Ni20;直径 Φ200;技术标准号 空;加工工艺 ;热处理工艺 ;特殊要求 耐热;规格标准号 </t>
        </is>
      </c>
      <c r="F190" t="inlineStr">
        <is>
          <t>千克</t>
        </is>
      </c>
      <c r="G190">
        <f>LEFT(D190,FIND("|",D190,1)-1)</f>
        <v/>
      </c>
      <c r="H190">
        <f>MID(D190,FIND("|",D190,FIND("|",D190,1))+1,FIND("|",D190,FIND("|",D190,1)+1)-FIND("|",D190,FIND("|",D190,1))-1)</f>
        <v/>
      </c>
      <c r="J190">
        <f>MID(D190,FIND(";",SUBSTITUTE(D190,"|",REPT(";",LEN(D190)),2))+1,FIND(";",SUBSTITUTE(D190,"|",REPT(";",LEN(D190)),3))-FIND(";",SUBSTITUTE(D190,"|",REPT(";",LEN(D190)),2))-1)</f>
        <v/>
      </c>
      <c r="K190">
        <f>MID(D190,FIND(";",SUBSTITUTE(D190,"|",REPT(";",LEN(D190)),3))+1,FIND(";",SUBSTITUTE(D190,"|",REPT(";",LEN(D190)),4))-FIND(";",SUBSTITUTE(D190,"|",REPT(";",LEN(D190)),3))-1)</f>
        <v/>
      </c>
      <c r="M190">
        <f>MID(D190,FIND(";",SUBSTITUTE(D190,"|",REPT(";",LEN(D190)),4))+1,FIND(";",SUBSTITUTE(D190,"|",REPT(";",LEN(D190)),5))-FIND(";",SUBSTITUTE(D190,"|",REPT(";",LEN(D190)),4))-1)</f>
        <v/>
      </c>
      <c r="Q190">
        <f>MID(D190,FIND(";",SUBSTITUTE(D190,"|",REPT(";",LEN(D190)),5))+1,LEN(D190))</f>
        <v/>
      </c>
    </row>
    <row r="191">
      <c r="A191" t="inlineStr">
        <is>
          <t>100201</t>
        </is>
      </c>
      <c r="B191" t="inlineStr">
        <is>
          <t>圆钢</t>
        </is>
      </c>
      <c r="C191" t="inlineStr">
        <is>
          <t>601324500</t>
        </is>
      </c>
      <c r="D191" t="inlineStr">
        <is>
          <t>不锈圆钢|圆钢|2Cr15Mn15Ni2N|Φ20|空|抗磁</t>
        </is>
      </c>
      <c r="E191" t="inlineStr">
        <is>
          <t xml:space="preserve">物资名称 不锈圆钢;物资简称 圆钢;牌号 2Cr15Mn15Ni2N;直径 Φ20;技术标准号 空;加工工艺 ;热处理工艺 ;特殊要求 抗磁;规格标准号 </t>
        </is>
      </c>
      <c r="F191" t="inlineStr">
        <is>
          <t>千克</t>
        </is>
      </c>
      <c r="G191">
        <f>LEFT(D191,FIND("|",D191,1)-1)</f>
        <v/>
      </c>
      <c r="H191">
        <f>MID(D191,FIND("|",D191,FIND("|",D191,1))+1,FIND("|",D191,FIND("|",D191,1)+1)-FIND("|",D191,FIND("|",D191,1))-1)</f>
        <v/>
      </c>
      <c r="J191">
        <f>MID(D191,FIND(";",SUBSTITUTE(D191,"|",REPT(";",LEN(D191)),2))+1,FIND(";",SUBSTITUTE(D191,"|",REPT(";",LEN(D191)),3))-FIND(";",SUBSTITUTE(D191,"|",REPT(";",LEN(D191)),2))-1)</f>
        <v/>
      </c>
      <c r="K191">
        <f>MID(D191,FIND(";",SUBSTITUTE(D191,"|",REPT(";",LEN(D191)),3))+1,FIND(";",SUBSTITUTE(D191,"|",REPT(";",LEN(D191)),4))-FIND(";",SUBSTITUTE(D191,"|",REPT(";",LEN(D191)),3))-1)</f>
        <v/>
      </c>
      <c r="M191">
        <f>MID(D191,FIND(";",SUBSTITUTE(D191,"|",REPT(";",LEN(D191)),4))+1,FIND(";",SUBSTITUTE(D191,"|",REPT(";",LEN(D191)),5))-FIND(";",SUBSTITUTE(D191,"|",REPT(";",LEN(D191)),4))-1)</f>
        <v/>
      </c>
      <c r="Q191">
        <f>MID(D191,FIND(";",SUBSTITUTE(D191,"|",REPT(";",LEN(D191)),5))+1,LEN(D191))</f>
        <v/>
      </c>
    </row>
    <row r="192">
      <c r="A192" t="inlineStr">
        <is>
          <t>100201</t>
        </is>
      </c>
      <c r="B192" t="inlineStr">
        <is>
          <t>圆钢</t>
        </is>
      </c>
      <c r="C192" t="inlineStr">
        <is>
          <t>601324400</t>
        </is>
      </c>
      <c r="D192" t="inlineStr">
        <is>
          <t>不锈圆钢|圆钢|2Cr15Mn15Ni2N|Φ30|空|抗磁</t>
        </is>
      </c>
      <c r="E192" t="inlineStr">
        <is>
          <t xml:space="preserve">物资名称 不锈圆钢;物资简称 圆钢;牌号 2Cr15Mn15Ni2N;直径 Φ30;技术标准号 空;加工工艺 ;热处理工艺 ;特殊要求 抗磁;规格标准号 </t>
        </is>
      </c>
      <c r="F192" t="inlineStr">
        <is>
          <t>千克</t>
        </is>
      </c>
      <c r="G192">
        <f>LEFT(D192,FIND("|",D192,1)-1)</f>
        <v/>
      </c>
      <c r="H192">
        <f>MID(D192,FIND("|",D192,FIND("|",D192,1))+1,FIND("|",D192,FIND("|",D192,1)+1)-FIND("|",D192,FIND("|",D192,1))-1)</f>
        <v/>
      </c>
      <c r="J192">
        <f>MID(D192,FIND(";",SUBSTITUTE(D192,"|",REPT(";",LEN(D192)),2))+1,FIND(";",SUBSTITUTE(D192,"|",REPT(";",LEN(D192)),3))-FIND(";",SUBSTITUTE(D192,"|",REPT(";",LEN(D192)),2))-1)</f>
        <v/>
      </c>
      <c r="K192">
        <f>MID(D192,FIND(";",SUBSTITUTE(D192,"|",REPT(";",LEN(D192)),3))+1,FIND(";",SUBSTITUTE(D192,"|",REPT(";",LEN(D192)),4))-FIND(";",SUBSTITUTE(D192,"|",REPT(";",LEN(D192)),3))-1)</f>
        <v/>
      </c>
      <c r="M192">
        <f>MID(D192,FIND(";",SUBSTITUTE(D192,"|",REPT(";",LEN(D192)),4))+1,FIND(";",SUBSTITUTE(D192,"|",REPT(";",LEN(D192)),5))-FIND(";",SUBSTITUTE(D192,"|",REPT(";",LEN(D192)),4))-1)</f>
        <v/>
      </c>
      <c r="Q192">
        <f>MID(D192,FIND(";",SUBSTITUTE(D192,"|",REPT(";",LEN(D192)),5))+1,LEN(D192))</f>
        <v/>
      </c>
    </row>
    <row r="193">
      <c r="A193" t="inlineStr">
        <is>
          <t>100201</t>
        </is>
      </c>
      <c r="B193" t="inlineStr">
        <is>
          <t>圆钢</t>
        </is>
      </c>
      <c r="C193" t="inlineStr">
        <is>
          <t>601324300</t>
        </is>
      </c>
      <c r="D193" t="inlineStr">
        <is>
          <t>不锈圆钢|圆钢|2Cr15Mn15Ni2N|Φ40|空|抗磁</t>
        </is>
      </c>
      <c r="E193" t="inlineStr">
        <is>
          <t xml:space="preserve">物资名称 不锈圆钢;物资简称 圆钢;牌号 2Cr15Mn15Ni2N;直径 Φ40;技术标准号 空;加工工艺 ;热处理工艺 ;特殊要求 抗磁;规格标准号 </t>
        </is>
      </c>
      <c r="F193" t="inlineStr">
        <is>
          <t>千克</t>
        </is>
      </c>
      <c r="G193">
        <f>LEFT(D193,FIND("|",D193,1)-1)</f>
        <v/>
      </c>
      <c r="H193">
        <f>MID(D193,FIND("|",D193,FIND("|",D193,1))+1,FIND("|",D193,FIND("|",D193,1)+1)-FIND("|",D193,FIND("|",D193,1))-1)</f>
        <v/>
      </c>
      <c r="J193">
        <f>MID(D193,FIND(";",SUBSTITUTE(D193,"|",REPT(";",LEN(D193)),2))+1,FIND(";",SUBSTITUTE(D193,"|",REPT(";",LEN(D193)),3))-FIND(";",SUBSTITUTE(D193,"|",REPT(";",LEN(D193)),2))-1)</f>
        <v/>
      </c>
      <c r="K193">
        <f>MID(D193,FIND(";",SUBSTITUTE(D193,"|",REPT(";",LEN(D193)),3))+1,FIND(";",SUBSTITUTE(D193,"|",REPT(";",LEN(D193)),4))-FIND(";",SUBSTITUTE(D193,"|",REPT(";",LEN(D193)),3))-1)</f>
        <v/>
      </c>
      <c r="M193">
        <f>MID(D193,FIND(";",SUBSTITUTE(D193,"|",REPT(";",LEN(D193)),4))+1,FIND(";",SUBSTITUTE(D193,"|",REPT(";",LEN(D193)),5))-FIND(";",SUBSTITUTE(D193,"|",REPT(";",LEN(D193)),4))-1)</f>
        <v/>
      </c>
      <c r="Q193">
        <f>MID(D193,FIND(";",SUBSTITUTE(D193,"|",REPT(";",LEN(D193)),5))+1,LEN(D193))</f>
        <v/>
      </c>
    </row>
    <row r="194">
      <c r="A194" t="inlineStr">
        <is>
          <t>100201</t>
        </is>
      </c>
      <c r="B194" t="inlineStr">
        <is>
          <t>圆钢</t>
        </is>
      </c>
      <c r="C194" t="inlineStr">
        <is>
          <t>601324200</t>
        </is>
      </c>
      <c r="D194" t="inlineStr">
        <is>
          <t>不锈圆钢|圆钢|2Cr15Mn15Ni2N|Φ5|空|抗磁</t>
        </is>
      </c>
      <c r="E194" t="inlineStr">
        <is>
          <t xml:space="preserve">物资名称 不锈圆钢;物资简称 圆钢;牌号 2Cr15Mn15Ni2N;直径 Φ5;技术标准号 空;加工工艺 ;热处理工艺 ;特殊要求 抗磁;规格标准号 </t>
        </is>
      </c>
      <c r="F194" t="inlineStr">
        <is>
          <t>千克</t>
        </is>
      </c>
      <c r="G194">
        <f>LEFT(D194,FIND("|",D194,1)-1)</f>
        <v/>
      </c>
      <c r="H194">
        <f>MID(D194,FIND("|",D194,FIND("|",D194,1))+1,FIND("|",D194,FIND("|",D194,1)+1)-FIND("|",D194,FIND("|",D194,1))-1)</f>
        <v/>
      </c>
      <c r="J194">
        <f>MID(D194,FIND(";",SUBSTITUTE(D194,"|",REPT(";",LEN(D194)),2))+1,FIND(";",SUBSTITUTE(D194,"|",REPT(";",LEN(D194)),3))-FIND(";",SUBSTITUTE(D194,"|",REPT(";",LEN(D194)),2))-1)</f>
        <v/>
      </c>
      <c r="K194">
        <f>MID(D194,FIND(";",SUBSTITUTE(D194,"|",REPT(";",LEN(D194)),3))+1,FIND(";",SUBSTITUTE(D194,"|",REPT(";",LEN(D194)),4))-FIND(";",SUBSTITUTE(D194,"|",REPT(";",LEN(D194)),3))-1)</f>
        <v/>
      </c>
      <c r="M194">
        <f>MID(D194,FIND(";",SUBSTITUTE(D194,"|",REPT(";",LEN(D194)),4))+1,FIND(";",SUBSTITUTE(D194,"|",REPT(";",LEN(D194)),5))-FIND(";",SUBSTITUTE(D194,"|",REPT(";",LEN(D194)),4))-1)</f>
        <v/>
      </c>
      <c r="Q194">
        <f>MID(D194,FIND(";",SUBSTITUTE(D194,"|",REPT(";",LEN(D194)),5))+1,LEN(D194))</f>
        <v/>
      </c>
    </row>
    <row r="195">
      <c r="A195" t="inlineStr">
        <is>
          <t>100201</t>
        </is>
      </c>
      <c r="B195" t="inlineStr">
        <is>
          <t>圆钢</t>
        </is>
      </c>
      <c r="C195" t="inlineStr">
        <is>
          <t>601324100</t>
        </is>
      </c>
      <c r="D195" t="inlineStr">
        <is>
          <t>不锈圆钢|圆钢|2Cr15Mn15Ni2N|Φ90|空|抗磁</t>
        </is>
      </c>
      <c r="E195" t="inlineStr">
        <is>
          <t xml:space="preserve">物资名称 不锈圆钢;物资简称 圆钢;牌号 2Cr15Mn15Ni2N;直径 Φ90;技术标准号 空;加工工艺 ;热处理工艺 ;特殊要求 抗磁;规格标准号 </t>
        </is>
      </c>
      <c r="F195" t="inlineStr">
        <is>
          <t>千克</t>
        </is>
      </c>
      <c r="G195">
        <f>LEFT(D195,FIND("|",D195,1)-1)</f>
        <v/>
      </c>
      <c r="H195">
        <f>MID(D195,FIND("|",D195,FIND("|",D195,1))+1,FIND("|",D195,FIND("|",D195,1)+1)-FIND("|",D195,FIND("|",D195,1))-1)</f>
        <v/>
      </c>
      <c r="J195">
        <f>MID(D195,FIND(";",SUBSTITUTE(D195,"|",REPT(";",LEN(D195)),2))+1,FIND(";",SUBSTITUTE(D195,"|",REPT(";",LEN(D195)),3))-FIND(";",SUBSTITUTE(D195,"|",REPT(";",LEN(D195)),2))-1)</f>
        <v/>
      </c>
      <c r="K195">
        <f>MID(D195,FIND(";",SUBSTITUTE(D195,"|",REPT(";",LEN(D195)),3))+1,FIND(";",SUBSTITUTE(D195,"|",REPT(";",LEN(D195)),4))-FIND(";",SUBSTITUTE(D195,"|",REPT(";",LEN(D195)),3))-1)</f>
        <v/>
      </c>
      <c r="M195">
        <f>MID(D195,FIND(";",SUBSTITUTE(D195,"|",REPT(";",LEN(D195)),4))+1,FIND(";",SUBSTITUTE(D195,"|",REPT(";",LEN(D195)),5))-FIND(";",SUBSTITUTE(D195,"|",REPT(";",LEN(D195)),4))-1)</f>
        <v/>
      </c>
      <c r="Q195">
        <f>MID(D195,FIND(";",SUBSTITUTE(D195,"|",REPT(";",LEN(D195)),5))+1,LEN(D195))</f>
        <v/>
      </c>
    </row>
    <row r="196">
      <c r="A196" t="inlineStr">
        <is>
          <t>100201</t>
        </is>
      </c>
      <c r="B196" t="inlineStr">
        <is>
          <t>圆钢</t>
        </is>
      </c>
      <c r="C196" t="inlineStr">
        <is>
          <t>601324000</t>
        </is>
      </c>
      <c r="D196" t="inlineStr">
        <is>
          <t>合金弹簧圆钢|圆钢|60Si2Mn|Φ16|空</t>
        </is>
      </c>
      <c r="E196" t="inlineStr">
        <is>
          <t xml:space="preserve">物资名称 合金弹簧圆钢;物资简称 圆钢;牌号 60Si2Mn;直径 Φ16;技术标准号 空;加工工艺 ;热处理工艺 ;特殊要求 ;规格标准号 </t>
        </is>
      </c>
      <c r="F196" t="inlineStr">
        <is>
          <t>千克</t>
        </is>
      </c>
      <c r="G196">
        <f>LEFT(D196,FIND("|",D196,1)-1)</f>
        <v/>
      </c>
      <c r="H196">
        <f>MID(D196,FIND("|",D196,FIND("|",D196,1))+1,FIND("|",D196,FIND("|",D196,1)+1)-FIND("|",D196,FIND("|",D196,1))-1)</f>
        <v/>
      </c>
      <c r="J196">
        <f>MID(D196,FIND(";",SUBSTITUTE(D196,"|",REPT(";",LEN(D196)),2))+1,FIND(";",SUBSTITUTE(D196,"|",REPT(";",LEN(D196)),3))-FIND(";",SUBSTITUTE(D196,"|",REPT(";",LEN(D196)),2))-1)</f>
        <v/>
      </c>
      <c r="K196">
        <f>MID(D196,FIND(";",SUBSTITUTE(D196,"|",REPT(";",LEN(D196)),3))+1,FIND(";",SUBSTITUTE(D196,"|",REPT(";",LEN(D196)),4))-FIND(";",SUBSTITUTE(D196,"|",REPT(";",LEN(D196)),3))-1)</f>
        <v/>
      </c>
      <c r="M196">
        <f>MID(D196,FIND(";",SUBSTITUTE(D196,"|",REPT(";",LEN(D196)),4))+1,LEN(D196))</f>
        <v/>
      </c>
    </row>
    <row r="197">
      <c r="A197" t="inlineStr">
        <is>
          <t>100201</t>
        </is>
      </c>
      <c r="B197" t="inlineStr">
        <is>
          <t>圆钢</t>
        </is>
      </c>
      <c r="C197" t="inlineStr">
        <is>
          <t>601323900</t>
        </is>
      </c>
      <c r="D197" t="inlineStr">
        <is>
          <t>低膨胀合金圆钢|圆钢|4J32|Φ100|空</t>
        </is>
      </c>
      <c r="E197" t="inlineStr">
        <is>
          <t xml:space="preserve">物资名称 低膨胀合金圆钢;物资简称 圆钢;牌号 4J32;直径 Φ100;技术标准号 空;加工工艺 ;热处理工艺 ;特殊要求 ;规格标准号 </t>
        </is>
      </c>
      <c r="F197" t="inlineStr">
        <is>
          <t>千克</t>
        </is>
      </c>
      <c r="G197">
        <f>LEFT(D197,FIND("|",D197,1)-1)</f>
        <v/>
      </c>
      <c r="H197">
        <f>MID(D197,FIND("|",D197,FIND("|",D197,1))+1,FIND("|",D197,FIND("|",D197,1)+1)-FIND("|",D197,FIND("|",D197,1))-1)</f>
        <v/>
      </c>
      <c r="J197">
        <f>MID(D197,FIND(";",SUBSTITUTE(D197,"|",REPT(";",LEN(D197)),2))+1,FIND(";",SUBSTITUTE(D197,"|",REPT(";",LEN(D197)),3))-FIND(";",SUBSTITUTE(D197,"|",REPT(";",LEN(D197)),2))-1)</f>
        <v/>
      </c>
      <c r="K197">
        <f>MID(D197,FIND(";",SUBSTITUTE(D197,"|",REPT(";",LEN(D197)),3))+1,FIND(";",SUBSTITUTE(D197,"|",REPT(";",LEN(D197)),4))-FIND(";",SUBSTITUTE(D197,"|",REPT(";",LEN(D197)),3))-1)</f>
        <v/>
      </c>
      <c r="M197">
        <f>MID(D197,FIND(";",SUBSTITUTE(D197,"|",REPT(";",LEN(D197)),4))+1,LEN(D197))</f>
        <v/>
      </c>
    </row>
    <row r="198">
      <c r="A198" t="inlineStr">
        <is>
          <t>100201</t>
        </is>
      </c>
      <c r="B198" t="inlineStr">
        <is>
          <t>圆钢</t>
        </is>
      </c>
      <c r="C198" t="inlineStr">
        <is>
          <t>601323800</t>
        </is>
      </c>
      <c r="D198" t="inlineStr">
        <is>
          <t>低膨胀合金圆钢|圆钢|4J32|Φ50|空</t>
        </is>
      </c>
      <c r="E198" t="inlineStr">
        <is>
          <t xml:space="preserve">物资名称 低膨胀合金圆钢;物资简称 圆钢;牌号 4J32;直径 Φ50;技术标准号 空;加工工艺 ;热处理工艺 ;特殊要求 ;规格标准号 </t>
        </is>
      </c>
      <c r="F198" t="inlineStr">
        <is>
          <t>千克</t>
        </is>
      </c>
      <c r="G198">
        <f>LEFT(D198,FIND("|",D198,1)-1)</f>
        <v/>
      </c>
      <c r="H198">
        <f>MID(D198,FIND("|",D198,FIND("|",D198,1))+1,FIND("|",D198,FIND("|",D198,1)+1)-FIND("|",D198,FIND("|",D198,1))-1)</f>
        <v/>
      </c>
      <c r="J198">
        <f>MID(D198,FIND(";",SUBSTITUTE(D198,"|",REPT(";",LEN(D198)),2))+1,FIND(";",SUBSTITUTE(D198,"|",REPT(";",LEN(D198)),3))-FIND(";",SUBSTITUTE(D198,"|",REPT(";",LEN(D198)),2))-1)</f>
        <v/>
      </c>
      <c r="K198">
        <f>MID(D198,FIND(";",SUBSTITUTE(D198,"|",REPT(";",LEN(D198)),3))+1,FIND(";",SUBSTITUTE(D198,"|",REPT(";",LEN(D198)),4))-FIND(";",SUBSTITUTE(D198,"|",REPT(";",LEN(D198)),3))-1)</f>
        <v/>
      </c>
      <c r="M198">
        <f>MID(D198,FIND(";",SUBSTITUTE(D198,"|",REPT(";",LEN(D198)),4))+1,LEN(D198))</f>
        <v/>
      </c>
    </row>
    <row r="199">
      <c r="A199" t="inlineStr">
        <is>
          <t>100201</t>
        </is>
      </c>
      <c r="B199" t="inlineStr">
        <is>
          <t>圆钢</t>
        </is>
      </c>
      <c r="C199" t="inlineStr">
        <is>
          <t>601323400</t>
        </is>
      </c>
      <c r="D199" t="inlineStr">
        <is>
          <t>高速工具圆钢|圆钢|6542|Φ25|空</t>
        </is>
      </c>
      <c r="E199" t="inlineStr">
        <is>
          <t xml:space="preserve">物资名称 高速工具圆钢;物资简称 圆钢;牌号 6542;直径 Φ25;技术标准号 空;加工工艺 ;热处理工艺 ;特殊要求 ;规格标准号 </t>
        </is>
      </c>
      <c r="F199" t="inlineStr">
        <is>
          <t>千克</t>
        </is>
      </c>
      <c r="G199">
        <f>LEFT(D199,FIND("|",D199,1)-1)</f>
        <v/>
      </c>
      <c r="H199">
        <f>MID(D199,FIND("|",D199,FIND("|",D199,1))+1,FIND("|",D199,FIND("|",D199,1)+1)-FIND("|",D199,FIND("|",D199,1))-1)</f>
        <v/>
      </c>
      <c r="J199">
        <f>MID(D199,FIND(";",SUBSTITUTE(D199,"|",REPT(";",LEN(D199)),2))+1,FIND(";",SUBSTITUTE(D199,"|",REPT(";",LEN(D199)),3))-FIND(";",SUBSTITUTE(D199,"|",REPT(";",LEN(D199)),2))-1)</f>
        <v/>
      </c>
      <c r="K199">
        <f>MID(D199,FIND(";",SUBSTITUTE(D199,"|",REPT(";",LEN(D199)),3))+1,FIND(";",SUBSTITUTE(D199,"|",REPT(";",LEN(D199)),4))-FIND(";",SUBSTITUTE(D199,"|",REPT(";",LEN(D199)),3))-1)</f>
        <v/>
      </c>
      <c r="M199">
        <f>MID(D199,FIND(";",SUBSTITUTE(D199,"|",REPT(";",LEN(D199)),4))+1,LEN(D199))</f>
        <v/>
      </c>
    </row>
    <row r="200">
      <c r="A200" t="inlineStr">
        <is>
          <t>100201</t>
        </is>
      </c>
      <c r="B200" t="inlineStr">
        <is>
          <t>圆钢</t>
        </is>
      </c>
      <c r="C200" t="inlineStr">
        <is>
          <t>601323300</t>
        </is>
      </c>
      <c r="D200" t="inlineStr">
        <is>
          <t>高速工具圆钢|圆钢|6542|Φ40|空</t>
        </is>
      </c>
      <c r="E200" t="inlineStr">
        <is>
          <t xml:space="preserve">物资名称 高速工具圆钢;物资简称 圆钢;牌号 6542;直径 Φ40;技术标准号 空;加工工艺 ;热处理工艺 ;特殊要求 ;规格标准号 </t>
        </is>
      </c>
      <c r="F200" t="inlineStr">
        <is>
          <t>千克</t>
        </is>
      </c>
      <c r="G200">
        <f>LEFT(D200,FIND("|",D200,1)-1)</f>
        <v/>
      </c>
      <c r="H200">
        <f>MID(D200,FIND("|",D200,FIND("|",D200,1))+1,FIND("|",D200,FIND("|",D200,1)+1)-FIND("|",D200,FIND("|",D200,1))-1)</f>
        <v/>
      </c>
      <c r="J200">
        <f>MID(D200,FIND(";",SUBSTITUTE(D200,"|",REPT(";",LEN(D200)),2))+1,FIND(";",SUBSTITUTE(D200,"|",REPT(";",LEN(D200)),3))-FIND(";",SUBSTITUTE(D200,"|",REPT(";",LEN(D200)),2))-1)</f>
        <v/>
      </c>
      <c r="K200">
        <f>MID(D200,FIND(";",SUBSTITUTE(D200,"|",REPT(";",LEN(D200)),3))+1,FIND(";",SUBSTITUTE(D200,"|",REPT(";",LEN(D200)),4))-FIND(";",SUBSTITUTE(D200,"|",REPT(";",LEN(D200)),3))-1)</f>
        <v/>
      </c>
      <c r="M200">
        <f>MID(D200,FIND(";",SUBSTITUTE(D200,"|",REPT(";",LEN(D200)),4))+1,LEN(D200))</f>
        <v/>
      </c>
    </row>
    <row r="201">
      <c r="A201" t="inlineStr">
        <is>
          <t>100201</t>
        </is>
      </c>
      <c r="B201" t="inlineStr">
        <is>
          <t>圆钢</t>
        </is>
      </c>
      <c r="C201" t="inlineStr">
        <is>
          <t>601323200</t>
        </is>
      </c>
      <c r="D201" t="inlineStr">
        <is>
          <t>高速工具圆钢|圆钢|W18Cr4V|Φ100|空</t>
        </is>
      </c>
      <c r="E201" t="inlineStr">
        <is>
          <t xml:space="preserve">物资名称 高速工具圆钢;物资简称 圆钢;牌号 W18Cr4V;直径 Φ100;技术标准号 空;加工工艺 ;热处理工艺 ;特殊要求 ;规格标准号 </t>
        </is>
      </c>
      <c r="F201" t="inlineStr">
        <is>
          <t>千克</t>
        </is>
      </c>
      <c r="G201">
        <f>LEFT(D201,FIND("|",D201,1)-1)</f>
        <v/>
      </c>
      <c r="H201">
        <f>MID(D201,FIND("|",D201,FIND("|",D201,1))+1,FIND("|",D201,FIND("|",D201,1)+1)-FIND("|",D201,FIND("|",D201,1))-1)</f>
        <v/>
      </c>
      <c r="J201">
        <f>MID(D201,FIND(";",SUBSTITUTE(D201,"|",REPT(";",LEN(D201)),2))+1,FIND(";",SUBSTITUTE(D201,"|",REPT(";",LEN(D201)),3))-FIND(";",SUBSTITUTE(D201,"|",REPT(";",LEN(D201)),2))-1)</f>
        <v/>
      </c>
      <c r="K201">
        <f>MID(D201,FIND(";",SUBSTITUTE(D201,"|",REPT(";",LEN(D201)),3))+1,FIND(";",SUBSTITUTE(D201,"|",REPT(";",LEN(D201)),4))-FIND(";",SUBSTITUTE(D201,"|",REPT(";",LEN(D201)),3))-1)</f>
        <v/>
      </c>
      <c r="M201">
        <f>MID(D201,FIND(";",SUBSTITUTE(D201,"|",REPT(";",LEN(D201)),4))+1,LEN(D201))</f>
        <v/>
      </c>
    </row>
    <row r="202">
      <c r="A202" t="inlineStr">
        <is>
          <t>100201</t>
        </is>
      </c>
      <c r="B202" t="inlineStr">
        <is>
          <t>圆钢</t>
        </is>
      </c>
      <c r="C202" t="inlineStr">
        <is>
          <t>601323100</t>
        </is>
      </c>
      <c r="D202" t="inlineStr">
        <is>
          <t>合金工具圆钢|圆钢|3Cr2W8V|Φ60|空</t>
        </is>
      </c>
      <c r="E202" t="inlineStr">
        <is>
          <t xml:space="preserve">物资名称 合金工具圆钢;物资简称 圆钢;牌号 3Cr2W8V;直径 Φ60;技术标准号 空;加工工艺 ;热处理工艺 ;特殊要求 ;规格标准号 </t>
        </is>
      </c>
      <c r="F202" t="inlineStr">
        <is>
          <t>千克</t>
        </is>
      </c>
      <c r="G202">
        <f>LEFT(D202,FIND("|",D202,1)-1)</f>
        <v/>
      </c>
      <c r="H202">
        <f>MID(D202,FIND("|",D202,FIND("|",D202,1))+1,FIND("|",D202,FIND("|",D202,1)+1)-FIND("|",D202,FIND("|",D202,1))-1)</f>
        <v/>
      </c>
      <c r="J202">
        <f>MID(D202,FIND(";",SUBSTITUTE(D202,"|",REPT(";",LEN(D202)),2))+1,FIND(";",SUBSTITUTE(D202,"|",REPT(";",LEN(D202)),3))-FIND(";",SUBSTITUTE(D202,"|",REPT(";",LEN(D202)),2))-1)</f>
        <v/>
      </c>
      <c r="K202">
        <f>MID(D202,FIND(";",SUBSTITUTE(D202,"|",REPT(";",LEN(D202)),3))+1,FIND(";",SUBSTITUTE(D202,"|",REPT(";",LEN(D202)),4))-FIND(";",SUBSTITUTE(D202,"|",REPT(";",LEN(D202)),3))-1)</f>
        <v/>
      </c>
      <c r="M202">
        <f>MID(D202,FIND(";",SUBSTITUTE(D202,"|",REPT(";",LEN(D202)),4))+1,LEN(D202))</f>
        <v/>
      </c>
    </row>
    <row r="203">
      <c r="A203" t="inlineStr">
        <is>
          <t>100201</t>
        </is>
      </c>
      <c r="B203" t="inlineStr">
        <is>
          <t>圆钢</t>
        </is>
      </c>
      <c r="C203" t="inlineStr">
        <is>
          <t>601323000</t>
        </is>
      </c>
      <c r="D203" t="inlineStr">
        <is>
          <t>合金工具圆钢|圆钢|3Cr2W8V|Φ70|空</t>
        </is>
      </c>
      <c r="E203" t="inlineStr">
        <is>
          <t xml:space="preserve">物资名称 合金工具圆钢;物资简称 圆钢;牌号 3Cr2W8V;直径 Φ70;技术标准号 空;加工工艺 ;热处理工艺 ;特殊要求 ;规格标准号 </t>
        </is>
      </c>
      <c r="F203" t="inlineStr">
        <is>
          <t>千克</t>
        </is>
      </c>
      <c r="G203">
        <f>LEFT(D203,FIND("|",D203,1)-1)</f>
        <v/>
      </c>
      <c r="H203">
        <f>MID(D203,FIND("|",D203,FIND("|",D203,1))+1,FIND("|",D203,FIND("|",D203,1)+1)-FIND("|",D203,FIND("|",D203,1))-1)</f>
        <v/>
      </c>
      <c r="J203">
        <f>MID(D203,FIND(";",SUBSTITUTE(D203,"|",REPT(";",LEN(D203)),2))+1,FIND(";",SUBSTITUTE(D203,"|",REPT(";",LEN(D203)),3))-FIND(";",SUBSTITUTE(D203,"|",REPT(";",LEN(D203)),2))-1)</f>
        <v/>
      </c>
      <c r="K203">
        <f>MID(D203,FIND(";",SUBSTITUTE(D203,"|",REPT(";",LEN(D203)),3))+1,FIND(";",SUBSTITUTE(D203,"|",REPT(";",LEN(D203)),4))-FIND(";",SUBSTITUTE(D203,"|",REPT(";",LEN(D203)),3))-1)</f>
        <v/>
      </c>
      <c r="M203">
        <f>MID(D203,FIND(";",SUBSTITUTE(D203,"|",REPT(";",LEN(D203)),4))+1,LEN(D203))</f>
        <v/>
      </c>
    </row>
    <row r="204">
      <c r="A204" t="inlineStr">
        <is>
          <t>100201</t>
        </is>
      </c>
      <c r="B204" t="inlineStr">
        <is>
          <t>圆钢</t>
        </is>
      </c>
      <c r="C204" t="inlineStr">
        <is>
          <t>601322900</t>
        </is>
      </c>
      <c r="D204" t="inlineStr">
        <is>
          <t>合金工具圆钢|圆钢|3Cr2W8V|Φ80|空</t>
        </is>
      </c>
      <c r="E204" t="inlineStr">
        <is>
          <t xml:space="preserve">物资名称 合金工具圆钢;物资简称 圆钢;牌号 3Cr2W8V;直径 Φ80;技术标准号 空;加工工艺 ;热处理工艺 ;特殊要求 ;规格标准号 </t>
        </is>
      </c>
      <c r="F204" t="inlineStr">
        <is>
          <t>千克</t>
        </is>
      </c>
      <c r="G204">
        <f>LEFT(D204,FIND("|",D204,1)-1)</f>
        <v/>
      </c>
      <c r="H204">
        <f>MID(D204,FIND("|",D204,FIND("|",D204,1))+1,FIND("|",D204,FIND("|",D204,1)+1)-FIND("|",D204,FIND("|",D204,1))-1)</f>
        <v/>
      </c>
      <c r="J204">
        <f>MID(D204,FIND(";",SUBSTITUTE(D204,"|",REPT(";",LEN(D204)),2))+1,FIND(";",SUBSTITUTE(D204,"|",REPT(";",LEN(D204)),3))-FIND(";",SUBSTITUTE(D204,"|",REPT(";",LEN(D204)),2))-1)</f>
        <v/>
      </c>
      <c r="K204">
        <f>MID(D204,FIND(";",SUBSTITUTE(D204,"|",REPT(";",LEN(D204)),3))+1,FIND(";",SUBSTITUTE(D204,"|",REPT(";",LEN(D204)),4))-FIND(";",SUBSTITUTE(D204,"|",REPT(";",LEN(D204)),3))-1)</f>
        <v/>
      </c>
      <c r="M204">
        <f>MID(D204,FIND(";",SUBSTITUTE(D204,"|",REPT(";",LEN(D204)),4))+1,LEN(D204))</f>
        <v/>
      </c>
    </row>
    <row r="205">
      <c r="A205" t="inlineStr">
        <is>
          <t>100201</t>
        </is>
      </c>
      <c r="B205" t="inlineStr">
        <is>
          <t>圆钢</t>
        </is>
      </c>
      <c r="C205" t="inlineStr">
        <is>
          <t>601322800</t>
        </is>
      </c>
      <c r="D205" t="inlineStr">
        <is>
          <t>合金工具圆钢|圆钢|Cr12MoV|Φ30|空</t>
        </is>
      </c>
      <c r="E205" t="inlineStr">
        <is>
          <t xml:space="preserve">物资名称 合金工具圆钢;物资简称 圆钢;牌号 Cr12MoV;直径 Φ30;技术标准号 空;加工工艺 ;热处理工艺 ;特殊要求 ;规格标准号 </t>
        </is>
      </c>
      <c r="F205" t="inlineStr">
        <is>
          <t>千克</t>
        </is>
      </c>
      <c r="G205">
        <f>LEFT(D205,FIND("|",D205,1)-1)</f>
        <v/>
      </c>
      <c r="H205">
        <f>MID(D205,FIND("|",D205,FIND("|",D205,1))+1,FIND("|",D205,FIND("|",D205,1)+1)-FIND("|",D205,FIND("|",D205,1))-1)</f>
        <v/>
      </c>
      <c r="J205">
        <f>MID(D205,FIND(";",SUBSTITUTE(D205,"|",REPT(";",LEN(D205)),2))+1,FIND(";",SUBSTITUTE(D205,"|",REPT(";",LEN(D205)),3))-FIND(";",SUBSTITUTE(D205,"|",REPT(";",LEN(D205)),2))-1)</f>
        <v/>
      </c>
      <c r="K205">
        <f>MID(D205,FIND(";",SUBSTITUTE(D205,"|",REPT(";",LEN(D205)),3))+1,FIND(";",SUBSTITUTE(D205,"|",REPT(";",LEN(D205)),4))-FIND(";",SUBSTITUTE(D205,"|",REPT(";",LEN(D205)),3))-1)</f>
        <v/>
      </c>
      <c r="M205">
        <f>MID(D205,FIND(";",SUBSTITUTE(D205,"|",REPT(";",LEN(D205)),4))+1,LEN(D205))</f>
        <v/>
      </c>
    </row>
    <row r="206">
      <c r="A206" t="inlineStr">
        <is>
          <t>100201</t>
        </is>
      </c>
      <c r="B206" t="inlineStr">
        <is>
          <t>圆钢</t>
        </is>
      </c>
      <c r="C206" t="inlineStr">
        <is>
          <t>601322700</t>
        </is>
      </c>
      <c r="D206" t="inlineStr">
        <is>
          <t>合金工具圆钢|圆钢|Cr12MoV|Φ80|空</t>
        </is>
      </c>
      <c r="E206" t="inlineStr">
        <is>
          <t xml:space="preserve">物资名称 合金工具圆钢;物资简称 圆钢;牌号 Cr12MoV;直径 Φ80;技术标准号 空;加工工艺 ;热处理工艺 ;特殊要求 ;规格标准号 </t>
        </is>
      </c>
      <c r="F206" t="inlineStr">
        <is>
          <t>千克</t>
        </is>
      </c>
      <c r="G206">
        <f>LEFT(D206,FIND("|",D206,1)-1)</f>
        <v/>
      </c>
      <c r="H206">
        <f>MID(D206,FIND("|",D206,FIND("|",D206,1))+1,FIND("|",D206,FIND("|",D206,1)+1)-FIND("|",D206,FIND("|",D206,1))-1)</f>
        <v/>
      </c>
      <c r="J206">
        <f>MID(D206,FIND(";",SUBSTITUTE(D206,"|",REPT(";",LEN(D206)),2))+1,FIND(";",SUBSTITUTE(D206,"|",REPT(";",LEN(D206)),3))-FIND(";",SUBSTITUTE(D206,"|",REPT(";",LEN(D206)),2))-1)</f>
        <v/>
      </c>
      <c r="K206">
        <f>MID(D206,FIND(";",SUBSTITUTE(D206,"|",REPT(";",LEN(D206)),3))+1,FIND(";",SUBSTITUTE(D206,"|",REPT(";",LEN(D206)),4))-FIND(";",SUBSTITUTE(D206,"|",REPT(";",LEN(D206)),3))-1)</f>
        <v/>
      </c>
      <c r="M206">
        <f>MID(D206,FIND(";",SUBSTITUTE(D206,"|",REPT(";",LEN(D206)),4))+1,LEN(D206))</f>
        <v/>
      </c>
    </row>
    <row r="207">
      <c r="A207" t="inlineStr">
        <is>
          <t>100201</t>
        </is>
      </c>
      <c r="B207" t="inlineStr">
        <is>
          <t>圆钢</t>
        </is>
      </c>
      <c r="C207" t="inlineStr">
        <is>
          <t>601322600</t>
        </is>
      </c>
      <c r="D207" t="inlineStr">
        <is>
          <t>合金工具圆钢|圆钢|CrMn|Φ20|空</t>
        </is>
      </c>
      <c r="E207" t="inlineStr">
        <is>
          <t xml:space="preserve">物资名称 合金工具圆钢;物资简称 圆钢;牌号 CrMn;直径 Φ20;技术标准号 空;加工工艺 ;热处理工艺 ;特殊要求 ;规格标准号 </t>
        </is>
      </c>
      <c r="F207" t="inlineStr">
        <is>
          <t>千克</t>
        </is>
      </c>
      <c r="G207">
        <f>LEFT(D207,FIND("|",D207,1)-1)</f>
        <v/>
      </c>
      <c r="H207">
        <f>MID(D207,FIND("|",D207,FIND("|",D207,1))+1,FIND("|",D207,FIND("|",D207,1)+1)-FIND("|",D207,FIND("|",D207,1))-1)</f>
        <v/>
      </c>
      <c r="J207">
        <f>MID(D207,FIND(";",SUBSTITUTE(D207,"|",REPT(";",LEN(D207)),2))+1,FIND(";",SUBSTITUTE(D207,"|",REPT(";",LEN(D207)),3))-FIND(";",SUBSTITUTE(D207,"|",REPT(";",LEN(D207)),2))-1)</f>
        <v/>
      </c>
      <c r="K207">
        <f>MID(D207,FIND(";",SUBSTITUTE(D207,"|",REPT(";",LEN(D207)),3))+1,FIND(";",SUBSTITUTE(D207,"|",REPT(";",LEN(D207)),4))-FIND(";",SUBSTITUTE(D207,"|",REPT(";",LEN(D207)),3))-1)</f>
        <v/>
      </c>
      <c r="M207">
        <f>MID(D207,FIND(";",SUBSTITUTE(D207,"|",REPT(";",LEN(D207)),4))+1,LEN(D207))</f>
        <v/>
      </c>
    </row>
    <row r="208">
      <c r="A208" t="inlineStr">
        <is>
          <t>100201</t>
        </is>
      </c>
      <c r="B208" t="inlineStr">
        <is>
          <t>圆钢</t>
        </is>
      </c>
      <c r="C208" t="inlineStr">
        <is>
          <t>601322500</t>
        </is>
      </c>
      <c r="D208" t="inlineStr">
        <is>
          <t>合金工具圆钢|圆钢|CrWMn|Φ120|空</t>
        </is>
      </c>
      <c r="E208" t="inlineStr">
        <is>
          <t xml:space="preserve">物资名称 合金工具圆钢;物资简称 圆钢;牌号 CrWMn;直径 Φ120;技术标准号 空;加工工艺 ;热处理工艺 ;特殊要求 ;规格标准号 </t>
        </is>
      </c>
      <c r="F208" t="inlineStr">
        <is>
          <t>千克</t>
        </is>
      </c>
      <c r="G208">
        <f>LEFT(D208,FIND("|",D208,1)-1)</f>
        <v/>
      </c>
      <c r="H208">
        <f>MID(D208,FIND("|",D208,FIND("|",D208,1))+1,FIND("|",D208,FIND("|",D208,1)+1)-FIND("|",D208,FIND("|",D208,1))-1)</f>
        <v/>
      </c>
      <c r="J208">
        <f>MID(D208,FIND(";",SUBSTITUTE(D208,"|",REPT(";",LEN(D208)),2))+1,FIND(";",SUBSTITUTE(D208,"|",REPT(";",LEN(D208)),3))-FIND(";",SUBSTITUTE(D208,"|",REPT(";",LEN(D208)),2))-1)</f>
        <v/>
      </c>
      <c r="K208">
        <f>MID(D208,FIND(";",SUBSTITUTE(D208,"|",REPT(";",LEN(D208)),3))+1,FIND(";",SUBSTITUTE(D208,"|",REPT(";",LEN(D208)),4))-FIND(";",SUBSTITUTE(D208,"|",REPT(";",LEN(D208)),3))-1)</f>
        <v/>
      </c>
      <c r="M208">
        <f>MID(D208,FIND(";",SUBSTITUTE(D208,"|",REPT(";",LEN(D208)),4))+1,LEN(D208))</f>
        <v/>
      </c>
    </row>
    <row r="209">
      <c r="A209" t="inlineStr">
        <is>
          <t>100201</t>
        </is>
      </c>
      <c r="B209" t="inlineStr">
        <is>
          <t>圆钢</t>
        </is>
      </c>
      <c r="C209" t="inlineStr">
        <is>
          <t>601322400</t>
        </is>
      </c>
      <c r="D209" t="inlineStr">
        <is>
          <t>合金结构圆钢|圆钢|12CrNi3A|Φ25|GB/T 3077</t>
        </is>
      </c>
      <c r="E209" t="inlineStr">
        <is>
          <t xml:space="preserve">物资名称 合金结构圆钢;物资简称 圆钢;牌号 12CrNi3A;直径 Φ25;技术标准号 GB/T 3077;加工工艺 ;热处理工艺 ;特殊要求 ;规格标准号 </t>
        </is>
      </c>
      <c r="F209" t="inlineStr">
        <is>
          <t>千克</t>
        </is>
      </c>
      <c r="G209">
        <f>LEFT(D209,FIND("|",D209,1)-1)</f>
        <v/>
      </c>
      <c r="H209">
        <f>MID(D209,FIND("|",D209,FIND("|",D209,1))+1,FIND("|",D209,FIND("|",D209,1)+1)-FIND("|",D209,FIND("|",D209,1))-1)</f>
        <v/>
      </c>
      <c r="J209">
        <f>MID(D209,FIND(";",SUBSTITUTE(D209,"|",REPT(";",LEN(D209)),2))+1,FIND(";",SUBSTITUTE(D209,"|",REPT(";",LEN(D209)),3))-FIND(";",SUBSTITUTE(D209,"|",REPT(";",LEN(D209)),2))-1)</f>
        <v/>
      </c>
      <c r="K209">
        <f>MID(D209,FIND(";",SUBSTITUTE(D209,"|",REPT(";",LEN(D209)),3))+1,FIND(";",SUBSTITUTE(D209,"|",REPT(";",LEN(D209)),4))-FIND(";",SUBSTITUTE(D209,"|",REPT(";",LEN(D209)),3))-1)</f>
        <v/>
      </c>
      <c r="M209">
        <f>MID(D209,FIND(";",SUBSTITUTE(D209,"|",REPT(";",LEN(D209)),4))+1,LEN(D209))</f>
        <v/>
      </c>
    </row>
    <row r="210">
      <c r="A210" t="inlineStr">
        <is>
          <t>100201</t>
        </is>
      </c>
      <c r="B210" t="inlineStr">
        <is>
          <t>圆钢</t>
        </is>
      </c>
      <c r="C210" t="inlineStr">
        <is>
          <t>601322300</t>
        </is>
      </c>
      <c r="D210" t="inlineStr">
        <is>
          <t>合金结构圆钢|圆钢|12CrNi3A|Φ28|GB/T 3077</t>
        </is>
      </c>
      <c r="E210" t="inlineStr">
        <is>
          <t xml:space="preserve">物资名称 合金结构圆钢;物资简称 圆钢;牌号 12CrNi3A;直径 Φ28;技术标准号 GB/T 3077;加工工艺 ;热处理工艺 ;特殊要求 ;规格标准号 </t>
        </is>
      </c>
      <c r="F210" t="inlineStr">
        <is>
          <t>千克</t>
        </is>
      </c>
      <c r="G210">
        <f>LEFT(D210,FIND("|",D210,1)-1)</f>
        <v/>
      </c>
      <c r="H210">
        <f>MID(D210,FIND("|",D210,FIND("|",D210,1))+1,FIND("|",D210,FIND("|",D210,1)+1)-FIND("|",D210,FIND("|",D210,1))-1)</f>
        <v/>
      </c>
      <c r="J210">
        <f>MID(D210,FIND(";",SUBSTITUTE(D210,"|",REPT(";",LEN(D210)),2))+1,FIND(";",SUBSTITUTE(D210,"|",REPT(";",LEN(D210)),3))-FIND(";",SUBSTITUTE(D210,"|",REPT(";",LEN(D210)),2))-1)</f>
        <v/>
      </c>
      <c r="K210">
        <f>MID(D210,FIND(";",SUBSTITUTE(D210,"|",REPT(";",LEN(D210)),3))+1,FIND(";",SUBSTITUTE(D210,"|",REPT(";",LEN(D210)),4))-FIND(";",SUBSTITUTE(D210,"|",REPT(";",LEN(D210)),3))-1)</f>
        <v/>
      </c>
      <c r="M210">
        <f>MID(D210,FIND(";",SUBSTITUTE(D210,"|",REPT(";",LEN(D210)),4))+1,LEN(D210))</f>
        <v/>
      </c>
    </row>
    <row r="211">
      <c r="A211" t="inlineStr">
        <is>
          <t>100201</t>
        </is>
      </c>
      <c r="B211" t="inlineStr">
        <is>
          <t>圆钢</t>
        </is>
      </c>
      <c r="C211" t="inlineStr">
        <is>
          <t>601322200</t>
        </is>
      </c>
      <c r="D211" t="inlineStr">
        <is>
          <t>合金结构圆钢|圆钢|12CrNi3A|Φ45|GB/T 3077|东北特殊</t>
        </is>
      </c>
      <c r="E211" t="inlineStr">
        <is>
          <t xml:space="preserve">物资名称 合金结构圆钢;物资简称 圆钢;牌号 12CrNi3A;直径 Φ45;技术标准号 GB/T 3077;加工工艺 ;热处理工艺 ;特殊要求 东北特殊;规格标准号 </t>
        </is>
      </c>
      <c r="F211" t="inlineStr">
        <is>
          <t>千克</t>
        </is>
      </c>
      <c r="G211">
        <f>LEFT(D211,FIND("|",D211,1)-1)</f>
        <v/>
      </c>
      <c r="H211">
        <f>MID(D211,FIND("|",D211,FIND("|",D211,1))+1,FIND("|",D211,FIND("|",D211,1)+1)-FIND("|",D211,FIND("|",D211,1))-1)</f>
        <v/>
      </c>
      <c r="J211">
        <f>MID(D211,FIND(";",SUBSTITUTE(D211,"|",REPT(";",LEN(D211)),2))+1,FIND(";",SUBSTITUTE(D211,"|",REPT(";",LEN(D211)),3))-FIND(";",SUBSTITUTE(D211,"|",REPT(";",LEN(D211)),2))-1)</f>
        <v/>
      </c>
      <c r="K211">
        <f>MID(D211,FIND(";",SUBSTITUTE(D211,"|",REPT(";",LEN(D211)),3))+1,FIND(";",SUBSTITUTE(D211,"|",REPT(";",LEN(D211)),4))-FIND(";",SUBSTITUTE(D211,"|",REPT(";",LEN(D211)),3))-1)</f>
        <v/>
      </c>
      <c r="M211">
        <f>MID(D211,FIND(";",SUBSTITUTE(D211,"|",REPT(";",LEN(D211)),4))+1,FIND(";",SUBSTITUTE(D211,"|",REPT(";",LEN(D211)),5))-FIND(";",SUBSTITUTE(D211,"|",REPT(";",LEN(D211)),4))-1)</f>
        <v/>
      </c>
      <c r="Q211">
        <f>MID(D211,FIND(";",SUBSTITUTE(D211,"|",REPT(";",LEN(D211)),5))+1,LEN(D211))</f>
        <v/>
      </c>
    </row>
    <row r="212">
      <c r="A212" t="inlineStr">
        <is>
          <t>100201</t>
        </is>
      </c>
      <c r="B212" t="inlineStr">
        <is>
          <t>圆钢</t>
        </is>
      </c>
      <c r="C212" t="inlineStr">
        <is>
          <t>601322100</t>
        </is>
      </c>
      <c r="D212" t="inlineStr">
        <is>
          <t>合金结构圆钢|圆钢|12CrNi3A|Φ55|GB/T 3077|东北特殊</t>
        </is>
      </c>
      <c r="E212" t="inlineStr">
        <is>
          <t xml:space="preserve">物资名称 合金结构圆钢;物资简称 圆钢;牌号 12CrNi3A;直径 Φ55;技术标准号 GB/T 3077;加工工艺 ;热处理工艺 ;特殊要求 东北特殊;规格标准号 </t>
        </is>
      </c>
      <c r="F212" t="inlineStr">
        <is>
          <t>千克</t>
        </is>
      </c>
      <c r="G212">
        <f>LEFT(D212,FIND("|",D212,1)-1)</f>
        <v/>
      </c>
      <c r="H212">
        <f>MID(D212,FIND("|",D212,FIND("|",D212,1))+1,FIND("|",D212,FIND("|",D212,1)+1)-FIND("|",D212,FIND("|",D212,1))-1)</f>
        <v/>
      </c>
      <c r="J212">
        <f>MID(D212,FIND(";",SUBSTITUTE(D212,"|",REPT(";",LEN(D212)),2))+1,FIND(";",SUBSTITUTE(D212,"|",REPT(";",LEN(D212)),3))-FIND(";",SUBSTITUTE(D212,"|",REPT(";",LEN(D212)),2))-1)</f>
        <v/>
      </c>
      <c r="K212">
        <f>MID(D212,FIND(";",SUBSTITUTE(D212,"|",REPT(";",LEN(D212)),3))+1,FIND(";",SUBSTITUTE(D212,"|",REPT(";",LEN(D212)),4))-FIND(";",SUBSTITUTE(D212,"|",REPT(";",LEN(D212)),3))-1)</f>
        <v/>
      </c>
      <c r="M212">
        <f>MID(D212,FIND(";",SUBSTITUTE(D212,"|",REPT(";",LEN(D212)),4))+1,FIND(";",SUBSTITUTE(D212,"|",REPT(";",LEN(D212)),5))-FIND(";",SUBSTITUTE(D212,"|",REPT(";",LEN(D212)),4))-1)</f>
        <v/>
      </c>
      <c r="Q212">
        <f>MID(D212,FIND(";",SUBSTITUTE(D212,"|",REPT(";",LEN(D212)),5))+1,LEN(D212))</f>
        <v/>
      </c>
    </row>
    <row r="213">
      <c r="A213" t="inlineStr">
        <is>
          <t>100201</t>
        </is>
      </c>
      <c r="B213" t="inlineStr">
        <is>
          <t>圆钢</t>
        </is>
      </c>
      <c r="C213" t="inlineStr">
        <is>
          <t>601322000</t>
        </is>
      </c>
      <c r="D213" t="inlineStr">
        <is>
          <t>合金结构圆钢|圆钢|12CrNi3A|Φ85|GB/T 3077|东北特殊</t>
        </is>
      </c>
      <c r="E213" t="inlineStr">
        <is>
          <t xml:space="preserve">物资名称 合金结构圆钢;物资简称 圆钢;牌号 12CrNi3A;直径 Φ85;技术标准号 GB/T 3077;加工工艺 ;热处理工艺 ;特殊要求 东北特殊;规格标准号 </t>
        </is>
      </c>
      <c r="F213" t="inlineStr">
        <is>
          <t>千克</t>
        </is>
      </c>
      <c r="G213">
        <f>LEFT(D213,FIND("|",D213,1)-1)</f>
        <v/>
      </c>
      <c r="H213">
        <f>MID(D213,FIND("|",D213,FIND("|",D213,1))+1,FIND("|",D213,FIND("|",D213,1)+1)-FIND("|",D213,FIND("|",D213,1))-1)</f>
        <v/>
      </c>
      <c r="J213">
        <f>MID(D213,FIND(";",SUBSTITUTE(D213,"|",REPT(";",LEN(D213)),2))+1,FIND(";",SUBSTITUTE(D213,"|",REPT(";",LEN(D213)),3))-FIND(";",SUBSTITUTE(D213,"|",REPT(";",LEN(D213)),2))-1)</f>
        <v/>
      </c>
      <c r="K213">
        <f>MID(D213,FIND(";",SUBSTITUTE(D213,"|",REPT(";",LEN(D213)),3))+1,FIND(";",SUBSTITUTE(D213,"|",REPT(";",LEN(D213)),4))-FIND(";",SUBSTITUTE(D213,"|",REPT(";",LEN(D213)),3))-1)</f>
        <v/>
      </c>
      <c r="M213">
        <f>MID(D213,FIND(";",SUBSTITUTE(D213,"|",REPT(";",LEN(D213)),4))+1,FIND(";",SUBSTITUTE(D213,"|",REPT(";",LEN(D213)),5))-FIND(";",SUBSTITUTE(D213,"|",REPT(";",LEN(D213)),4))-1)</f>
        <v/>
      </c>
      <c r="Q213">
        <f>MID(D213,FIND(";",SUBSTITUTE(D213,"|",REPT(";",LEN(D213)),5))+1,LEN(D213))</f>
        <v/>
      </c>
    </row>
    <row r="214">
      <c r="A214" t="inlineStr">
        <is>
          <t>100201</t>
        </is>
      </c>
      <c r="B214" t="inlineStr">
        <is>
          <t>圆钢</t>
        </is>
      </c>
      <c r="C214" t="inlineStr">
        <is>
          <t>601321900</t>
        </is>
      </c>
      <c r="D214" t="inlineStr">
        <is>
          <t>合金结构圆钢|圆钢|30CrMnSi|Φ8|GB/T 3077</t>
        </is>
      </c>
      <c r="E214" t="inlineStr">
        <is>
          <t xml:space="preserve">物资名称 合金结构圆钢;物资简称 圆钢;牌号 30CrMnSi;直径 Φ8;技术标准号 GB/T 3077;加工工艺 ;热处理工艺 ;特殊要求 ;规格标准号 </t>
        </is>
      </c>
      <c r="F214" t="inlineStr">
        <is>
          <t>千克</t>
        </is>
      </c>
      <c r="G214">
        <f>LEFT(D214,FIND("|",D214,1)-1)</f>
        <v/>
      </c>
      <c r="H214">
        <f>MID(D214,FIND("|",D214,FIND("|",D214,1))+1,FIND("|",D214,FIND("|",D214,1)+1)-FIND("|",D214,FIND("|",D214,1))-1)</f>
        <v/>
      </c>
      <c r="J214">
        <f>MID(D214,FIND(";",SUBSTITUTE(D214,"|",REPT(";",LEN(D214)),2))+1,FIND(";",SUBSTITUTE(D214,"|",REPT(";",LEN(D214)),3))-FIND(";",SUBSTITUTE(D214,"|",REPT(";",LEN(D214)),2))-1)</f>
        <v/>
      </c>
      <c r="K214">
        <f>MID(D214,FIND(";",SUBSTITUTE(D214,"|",REPT(";",LEN(D214)),3))+1,FIND(";",SUBSTITUTE(D214,"|",REPT(";",LEN(D214)),4))-FIND(";",SUBSTITUTE(D214,"|",REPT(";",LEN(D214)),3))-1)</f>
        <v/>
      </c>
      <c r="M214">
        <f>MID(D214,FIND(";",SUBSTITUTE(D214,"|",REPT(";",LEN(D214)),4))+1,LEN(D214))</f>
        <v/>
      </c>
    </row>
    <row r="215">
      <c r="A215" t="inlineStr">
        <is>
          <t>100201</t>
        </is>
      </c>
      <c r="B215" t="inlineStr">
        <is>
          <t>圆钢</t>
        </is>
      </c>
      <c r="C215" t="inlineStr">
        <is>
          <t>601321800</t>
        </is>
      </c>
      <c r="D215" t="inlineStr">
        <is>
          <t>合金结构圆钢|圆钢|30CrMnSiA|Φ10|GB/T 3077</t>
        </is>
      </c>
      <c r="E215" t="inlineStr">
        <is>
          <t xml:space="preserve">物资名称 合金结构圆钢;物资简称 圆钢;牌号 30CrMnSiA;直径 Φ10;技术标准号 GB/T 3077;加工工艺 ;热处理工艺 ;特殊要求 ;规格标准号 </t>
        </is>
      </c>
      <c r="F215" t="inlineStr">
        <is>
          <t>千克</t>
        </is>
      </c>
      <c r="G215">
        <f>LEFT(D215,FIND("|",D215,1)-1)</f>
        <v/>
      </c>
      <c r="H215">
        <f>MID(D215,FIND("|",D215,FIND("|",D215,1))+1,FIND("|",D215,FIND("|",D215,1)+1)-FIND("|",D215,FIND("|",D215,1))-1)</f>
        <v/>
      </c>
      <c r="J215">
        <f>MID(D215,FIND(";",SUBSTITUTE(D215,"|",REPT(";",LEN(D215)),2))+1,FIND(";",SUBSTITUTE(D215,"|",REPT(";",LEN(D215)),3))-FIND(";",SUBSTITUTE(D215,"|",REPT(";",LEN(D215)),2))-1)</f>
        <v/>
      </c>
      <c r="K215">
        <f>MID(D215,FIND(";",SUBSTITUTE(D215,"|",REPT(";",LEN(D215)),3))+1,FIND(";",SUBSTITUTE(D215,"|",REPT(";",LEN(D215)),4))-FIND(";",SUBSTITUTE(D215,"|",REPT(";",LEN(D215)),3))-1)</f>
        <v/>
      </c>
      <c r="M215">
        <f>MID(D215,FIND(";",SUBSTITUTE(D215,"|",REPT(";",LEN(D215)),4))+1,LEN(D215))</f>
        <v/>
      </c>
    </row>
    <row r="216">
      <c r="A216" t="inlineStr">
        <is>
          <t>100201</t>
        </is>
      </c>
      <c r="B216" t="inlineStr">
        <is>
          <t>圆钢</t>
        </is>
      </c>
      <c r="C216" t="inlineStr">
        <is>
          <t>601321700</t>
        </is>
      </c>
      <c r="D216" t="inlineStr">
        <is>
          <t>合金结构圆钢|圆钢|30CrMnSiA|Φ12|GB/T 3077</t>
        </is>
      </c>
      <c r="E216" t="inlineStr">
        <is>
          <t xml:space="preserve">物资名称 合金结构圆钢;物资简称 圆钢;牌号 30CrMnSiA;直径 Φ12;技术标准号 GB/T 3077;加工工艺 ;热处理工艺 ;特殊要求 ;规格标准号 </t>
        </is>
      </c>
      <c r="F216" t="inlineStr">
        <is>
          <t>千克</t>
        </is>
      </c>
      <c r="G216">
        <f>LEFT(D216,FIND("|",D216,1)-1)</f>
        <v/>
      </c>
      <c r="H216">
        <f>MID(D216,FIND("|",D216,FIND("|",D216,1))+1,FIND("|",D216,FIND("|",D216,1)+1)-FIND("|",D216,FIND("|",D216,1))-1)</f>
        <v/>
      </c>
      <c r="J216">
        <f>MID(D216,FIND(";",SUBSTITUTE(D216,"|",REPT(";",LEN(D216)),2))+1,FIND(";",SUBSTITUTE(D216,"|",REPT(";",LEN(D216)),3))-FIND(";",SUBSTITUTE(D216,"|",REPT(";",LEN(D216)),2))-1)</f>
        <v/>
      </c>
      <c r="K216">
        <f>MID(D216,FIND(";",SUBSTITUTE(D216,"|",REPT(";",LEN(D216)),3))+1,FIND(";",SUBSTITUTE(D216,"|",REPT(";",LEN(D216)),4))-FIND(";",SUBSTITUTE(D216,"|",REPT(";",LEN(D216)),3))-1)</f>
        <v/>
      </c>
      <c r="M216">
        <f>MID(D216,FIND(";",SUBSTITUTE(D216,"|",REPT(";",LEN(D216)),4))+1,LEN(D216))</f>
        <v/>
      </c>
    </row>
    <row r="217">
      <c r="A217" t="inlineStr">
        <is>
          <t>100201</t>
        </is>
      </c>
      <c r="B217" t="inlineStr">
        <is>
          <t>圆钢</t>
        </is>
      </c>
      <c r="C217" t="inlineStr">
        <is>
          <t>601321600</t>
        </is>
      </c>
      <c r="D217" t="inlineStr">
        <is>
          <t>合金结构圆钢|圆钢|30CrMnSiA|Φ16|GB/T 3077</t>
        </is>
      </c>
      <c r="E217" t="inlineStr">
        <is>
          <t xml:space="preserve">物资名称 合金结构圆钢;物资简称 圆钢;牌号 30CrMnSiA;直径 Φ16;技术标准号 GB/T 3077;加工工艺 ;热处理工艺 ;特殊要求 ;规格标准号 </t>
        </is>
      </c>
      <c r="F217" t="inlineStr">
        <is>
          <t>千克</t>
        </is>
      </c>
      <c r="G217">
        <f>LEFT(D217,FIND("|",D217,1)-1)</f>
        <v/>
      </c>
      <c r="H217">
        <f>MID(D217,FIND("|",D217,FIND("|",D217,1))+1,FIND("|",D217,FIND("|",D217,1)+1)-FIND("|",D217,FIND("|",D217,1))-1)</f>
        <v/>
      </c>
      <c r="J217">
        <f>MID(D217,FIND(";",SUBSTITUTE(D217,"|",REPT(";",LEN(D217)),2))+1,FIND(";",SUBSTITUTE(D217,"|",REPT(";",LEN(D217)),3))-FIND(";",SUBSTITUTE(D217,"|",REPT(";",LEN(D217)),2))-1)</f>
        <v/>
      </c>
      <c r="K217">
        <f>MID(D217,FIND(";",SUBSTITUTE(D217,"|",REPT(";",LEN(D217)),3))+1,FIND(";",SUBSTITUTE(D217,"|",REPT(";",LEN(D217)),4))-FIND(";",SUBSTITUTE(D217,"|",REPT(";",LEN(D217)),3))-1)</f>
        <v/>
      </c>
      <c r="M217">
        <f>MID(D217,FIND(";",SUBSTITUTE(D217,"|",REPT(";",LEN(D217)),4))+1,LEN(D217))</f>
        <v/>
      </c>
    </row>
    <row r="218">
      <c r="A218" t="inlineStr">
        <is>
          <t>100201</t>
        </is>
      </c>
      <c r="B218" t="inlineStr">
        <is>
          <t>圆钢</t>
        </is>
      </c>
      <c r="C218" t="inlineStr">
        <is>
          <t>601321500</t>
        </is>
      </c>
      <c r="D218" t="inlineStr">
        <is>
          <t>合金结构圆钢|圆钢|30CrMnSiA|Φ210|GB/T 3077</t>
        </is>
      </c>
      <c r="E218" t="inlineStr">
        <is>
          <t xml:space="preserve">物资名称 合金结构圆钢;物资简称 圆钢;牌号 30CrMnSiA;直径 Φ210;技术标准号 GB/T 3077;加工工艺 ;热处理工艺 ;特殊要求 ;规格标准号 </t>
        </is>
      </c>
      <c r="F218" t="inlineStr">
        <is>
          <t>千克</t>
        </is>
      </c>
      <c r="G218">
        <f>LEFT(D218,FIND("|",D218,1)-1)</f>
        <v/>
      </c>
      <c r="H218">
        <f>MID(D218,FIND("|",D218,FIND("|",D218,1))+1,FIND("|",D218,FIND("|",D218,1)+1)-FIND("|",D218,FIND("|",D218,1))-1)</f>
        <v/>
      </c>
      <c r="J218">
        <f>MID(D218,FIND(";",SUBSTITUTE(D218,"|",REPT(";",LEN(D218)),2))+1,FIND(";",SUBSTITUTE(D218,"|",REPT(";",LEN(D218)),3))-FIND(";",SUBSTITUTE(D218,"|",REPT(";",LEN(D218)),2))-1)</f>
        <v/>
      </c>
      <c r="K218">
        <f>MID(D218,FIND(";",SUBSTITUTE(D218,"|",REPT(";",LEN(D218)),3))+1,FIND(";",SUBSTITUTE(D218,"|",REPT(";",LEN(D218)),4))-FIND(";",SUBSTITUTE(D218,"|",REPT(";",LEN(D218)),3))-1)</f>
        <v/>
      </c>
      <c r="M218">
        <f>MID(D218,FIND(";",SUBSTITUTE(D218,"|",REPT(";",LEN(D218)),4))+1,LEN(D218))</f>
        <v/>
      </c>
    </row>
    <row r="219">
      <c r="A219" t="inlineStr">
        <is>
          <t>100201</t>
        </is>
      </c>
      <c r="B219" t="inlineStr">
        <is>
          <t>圆钢</t>
        </is>
      </c>
      <c r="C219" t="inlineStr">
        <is>
          <t>601321400</t>
        </is>
      </c>
      <c r="D219" t="inlineStr">
        <is>
          <t>合金结构圆钢|圆钢|35CrMoA|Φ45|GB/T 3077</t>
        </is>
      </c>
      <c r="E219" t="inlineStr">
        <is>
          <t xml:space="preserve">物资名称 合金结构圆钢;物资简称 圆钢;牌号 35CrMoA;直径 Φ45;技术标准号 GB/T 3077;加工工艺 ;热处理工艺 ;特殊要求 ;规格标准号 </t>
        </is>
      </c>
      <c r="F219" t="inlineStr">
        <is>
          <t>千克</t>
        </is>
      </c>
      <c r="G219">
        <f>LEFT(D219,FIND("|",D219,1)-1)</f>
        <v/>
      </c>
      <c r="H219">
        <f>MID(D219,FIND("|",D219,FIND("|",D219,1))+1,FIND("|",D219,FIND("|",D219,1)+1)-FIND("|",D219,FIND("|",D219,1))-1)</f>
        <v/>
      </c>
      <c r="J219">
        <f>MID(D219,FIND(";",SUBSTITUTE(D219,"|",REPT(";",LEN(D219)),2))+1,FIND(";",SUBSTITUTE(D219,"|",REPT(";",LEN(D219)),3))-FIND(";",SUBSTITUTE(D219,"|",REPT(";",LEN(D219)),2))-1)</f>
        <v/>
      </c>
      <c r="K219">
        <f>MID(D219,FIND(";",SUBSTITUTE(D219,"|",REPT(";",LEN(D219)),3))+1,FIND(";",SUBSTITUTE(D219,"|",REPT(";",LEN(D219)),4))-FIND(";",SUBSTITUTE(D219,"|",REPT(";",LEN(D219)),3))-1)</f>
        <v/>
      </c>
      <c r="M219">
        <f>MID(D219,FIND(";",SUBSTITUTE(D219,"|",REPT(";",LEN(D219)),4))+1,LEN(D219))</f>
        <v/>
      </c>
    </row>
    <row r="220">
      <c r="A220" t="inlineStr">
        <is>
          <t>100201</t>
        </is>
      </c>
      <c r="B220" t="inlineStr">
        <is>
          <t>圆钢</t>
        </is>
      </c>
      <c r="C220" t="inlineStr">
        <is>
          <t>601321300</t>
        </is>
      </c>
      <c r="D220" t="inlineStr">
        <is>
          <t>航空用优质结构钢棒|圆钢|38CrMoAlA|Φ120|GJB 1951-1994</t>
        </is>
      </c>
      <c r="E220" t="inlineStr">
        <is>
          <t xml:space="preserve">物资名称 航空用优质结构钢棒;物资简称 圆钢;牌号 38CrMoAlA;直径 Φ120;技术标准号 GJB 1951-1994;加工工艺 ;热处理工艺 ;特殊要求 ;规格标准号 </t>
        </is>
      </c>
      <c r="F220" t="inlineStr">
        <is>
          <t>千克</t>
        </is>
      </c>
      <c r="G220">
        <f>LEFT(D220,FIND("|",D220,1)-1)</f>
        <v/>
      </c>
      <c r="H220">
        <f>MID(D220,FIND("|",D220,FIND("|",D220,1))+1,FIND("|",D220,FIND("|",D220,1)+1)-FIND("|",D220,FIND("|",D220,1))-1)</f>
        <v/>
      </c>
      <c r="J220">
        <f>MID(D220,FIND(";",SUBSTITUTE(D220,"|",REPT(";",LEN(D220)),2))+1,FIND(";",SUBSTITUTE(D220,"|",REPT(";",LEN(D220)),3))-FIND(";",SUBSTITUTE(D220,"|",REPT(";",LEN(D220)),2))-1)</f>
        <v/>
      </c>
      <c r="K220">
        <f>MID(D220,FIND(";",SUBSTITUTE(D220,"|",REPT(";",LEN(D220)),3))+1,FIND(";",SUBSTITUTE(D220,"|",REPT(";",LEN(D220)),4))-FIND(";",SUBSTITUTE(D220,"|",REPT(";",LEN(D220)),3))-1)</f>
        <v/>
      </c>
      <c r="M220">
        <f>MID(D220,FIND(";",SUBSTITUTE(D220,"|",REPT(";",LEN(D220)),4))+1,LEN(D220))</f>
        <v/>
      </c>
    </row>
    <row r="221">
      <c r="A221" t="inlineStr">
        <is>
          <t>100201</t>
        </is>
      </c>
      <c r="B221" t="inlineStr">
        <is>
          <t>圆钢</t>
        </is>
      </c>
      <c r="C221" t="inlineStr">
        <is>
          <t>601321200</t>
        </is>
      </c>
      <c r="D221" t="inlineStr">
        <is>
          <t>航空用优质结构钢棒|圆钢|38CrMoALA|Φ30|空</t>
        </is>
      </c>
      <c r="E221" t="inlineStr">
        <is>
          <t xml:space="preserve">物资名称 航空用优质结构钢棒;物资简称 圆钢;牌号 38CrMoALA;直径 Φ30;技术标准号 空;加工工艺 ;热处理工艺 ;特殊要求 ;规格标准号 </t>
        </is>
      </c>
      <c r="F221" t="inlineStr">
        <is>
          <t>千克</t>
        </is>
      </c>
      <c r="G221">
        <f>LEFT(D221,FIND("|",D221,1)-1)</f>
        <v/>
      </c>
      <c r="H221">
        <f>MID(D221,FIND("|",D221,FIND("|",D221,1))+1,FIND("|",D221,FIND("|",D221,1)+1)-FIND("|",D221,FIND("|",D221,1))-1)</f>
        <v/>
      </c>
      <c r="J221">
        <f>MID(D221,FIND(";",SUBSTITUTE(D221,"|",REPT(";",LEN(D221)),2))+1,FIND(";",SUBSTITUTE(D221,"|",REPT(";",LEN(D221)),3))-FIND(";",SUBSTITUTE(D221,"|",REPT(";",LEN(D221)),2))-1)</f>
        <v/>
      </c>
      <c r="K221">
        <f>MID(D221,FIND(";",SUBSTITUTE(D221,"|",REPT(";",LEN(D221)),3))+1,FIND(";",SUBSTITUTE(D221,"|",REPT(";",LEN(D221)),4))-FIND(";",SUBSTITUTE(D221,"|",REPT(";",LEN(D221)),3))-1)</f>
        <v/>
      </c>
      <c r="M221">
        <f>MID(D221,FIND(";",SUBSTITUTE(D221,"|",REPT(";",LEN(D221)),4))+1,LEN(D221))</f>
        <v/>
      </c>
    </row>
    <row r="222">
      <c r="A222" t="inlineStr">
        <is>
          <t>100201</t>
        </is>
      </c>
      <c r="B222" t="inlineStr">
        <is>
          <t>圆钢</t>
        </is>
      </c>
      <c r="C222" t="inlineStr">
        <is>
          <t>601321100</t>
        </is>
      </c>
      <c r="D222" t="inlineStr">
        <is>
          <t>合金结构圆钢|圆钢|40Cr|Φ16|GB/T 3077</t>
        </is>
      </c>
      <c r="E222" t="inlineStr">
        <is>
          <t xml:space="preserve">物资名称 合金结构圆钢;物资简称 圆钢;牌号 40Cr;直径 Φ16;技术标准号 GB/T 3077;加工工艺 ;热处理工艺 ;特殊要求 ;规格标准号 </t>
        </is>
      </c>
      <c r="F222" t="inlineStr">
        <is>
          <t>千克</t>
        </is>
      </c>
      <c r="G222">
        <f>LEFT(D222,FIND("|",D222,1)-1)</f>
        <v/>
      </c>
      <c r="H222">
        <f>MID(D222,FIND("|",D222,FIND("|",D222,1))+1,FIND("|",D222,FIND("|",D222,1)+1)-FIND("|",D222,FIND("|",D222,1))-1)</f>
        <v/>
      </c>
      <c r="J222">
        <f>MID(D222,FIND(";",SUBSTITUTE(D222,"|",REPT(";",LEN(D222)),2))+1,FIND(";",SUBSTITUTE(D222,"|",REPT(";",LEN(D222)),3))-FIND(";",SUBSTITUTE(D222,"|",REPT(";",LEN(D222)),2))-1)</f>
        <v/>
      </c>
      <c r="K222">
        <f>MID(D222,FIND(";",SUBSTITUTE(D222,"|",REPT(";",LEN(D222)),3))+1,FIND(";",SUBSTITUTE(D222,"|",REPT(";",LEN(D222)),4))-FIND(";",SUBSTITUTE(D222,"|",REPT(";",LEN(D222)),3))-1)</f>
        <v/>
      </c>
      <c r="M222">
        <f>MID(D222,FIND(";",SUBSTITUTE(D222,"|",REPT(";",LEN(D222)),4))+1,LEN(D222))</f>
        <v/>
      </c>
    </row>
    <row r="223">
      <c r="A223" t="inlineStr">
        <is>
          <t>100201</t>
        </is>
      </c>
      <c r="B223" t="inlineStr">
        <is>
          <t>圆钢</t>
        </is>
      </c>
      <c r="C223" t="inlineStr">
        <is>
          <t>601321000</t>
        </is>
      </c>
      <c r="D223" t="inlineStr">
        <is>
          <t>合金结构圆钢|圆钢|40Cr|Φ55|GB/T 3077</t>
        </is>
      </c>
      <c r="E223" t="inlineStr">
        <is>
          <t xml:space="preserve">物资名称 合金结构圆钢;物资简称 圆钢;牌号 40Cr;直径 Φ55;技术标准号 GB/T 3077;加工工艺 ;热处理工艺 ;特殊要求 ;规格标准号 </t>
        </is>
      </c>
      <c r="F223" t="inlineStr">
        <is>
          <t>千克</t>
        </is>
      </c>
      <c r="G223">
        <f>LEFT(D223,FIND("|",D223,1)-1)</f>
        <v/>
      </c>
      <c r="H223">
        <f>MID(D223,FIND("|",D223,FIND("|",D223,1))+1,FIND("|",D223,FIND("|",D223,1)+1)-FIND("|",D223,FIND("|",D223,1))-1)</f>
        <v/>
      </c>
      <c r="J223">
        <f>MID(D223,FIND(";",SUBSTITUTE(D223,"|",REPT(";",LEN(D223)),2))+1,FIND(";",SUBSTITUTE(D223,"|",REPT(";",LEN(D223)),3))-FIND(";",SUBSTITUTE(D223,"|",REPT(";",LEN(D223)),2))-1)</f>
        <v/>
      </c>
      <c r="K223">
        <f>MID(D223,FIND(";",SUBSTITUTE(D223,"|",REPT(";",LEN(D223)),3))+1,FIND(";",SUBSTITUTE(D223,"|",REPT(";",LEN(D223)),4))-FIND(";",SUBSTITUTE(D223,"|",REPT(";",LEN(D223)),3))-1)</f>
        <v/>
      </c>
      <c r="M223">
        <f>MID(D223,FIND(";",SUBSTITUTE(D223,"|",REPT(";",LEN(D223)),4))+1,LEN(D223))</f>
        <v/>
      </c>
    </row>
    <row r="224">
      <c r="A224" t="inlineStr">
        <is>
          <t>100201</t>
        </is>
      </c>
      <c r="B224" t="inlineStr">
        <is>
          <t>圆钢</t>
        </is>
      </c>
      <c r="C224" t="inlineStr">
        <is>
          <t>601320900</t>
        </is>
      </c>
      <c r="D224" t="inlineStr">
        <is>
          <t>合金结构圆钢|圆钢|40Cr|Φ6|GB/T 3077|大连钢丝</t>
        </is>
      </c>
      <c r="E224" t="inlineStr">
        <is>
          <t xml:space="preserve">物资名称 合金结构圆钢;物资简称 圆钢;牌号 40Cr;直径 Φ6;技术标准号 GB/T 3077;加工工艺 ;热处理工艺 ;特殊要求 大连钢丝;规格标准号 </t>
        </is>
      </c>
      <c r="F224" t="inlineStr">
        <is>
          <t>千克</t>
        </is>
      </c>
      <c r="G224">
        <f>LEFT(D224,FIND("|",D224,1)-1)</f>
        <v/>
      </c>
      <c r="H224">
        <f>MID(D224,FIND("|",D224,FIND("|",D224,1))+1,FIND("|",D224,FIND("|",D224,1)+1)-FIND("|",D224,FIND("|",D224,1))-1)</f>
        <v/>
      </c>
      <c r="J224">
        <f>MID(D224,FIND(";",SUBSTITUTE(D224,"|",REPT(";",LEN(D224)),2))+1,FIND(";",SUBSTITUTE(D224,"|",REPT(";",LEN(D224)),3))-FIND(";",SUBSTITUTE(D224,"|",REPT(";",LEN(D224)),2))-1)</f>
        <v/>
      </c>
      <c r="K224">
        <f>MID(D224,FIND(";",SUBSTITUTE(D224,"|",REPT(";",LEN(D224)),3))+1,FIND(";",SUBSTITUTE(D224,"|",REPT(";",LEN(D224)),4))-FIND(";",SUBSTITUTE(D224,"|",REPT(";",LEN(D224)),3))-1)</f>
        <v/>
      </c>
      <c r="M224">
        <f>MID(D224,FIND(";",SUBSTITUTE(D224,"|",REPT(";",LEN(D224)),4))+1,FIND(";",SUBSTITUTE(D224,"|",REPT(";",LEN(D224)),5))-FIND(";",SUBSTITUTE(D224,"|",REPT(";",LEN(D224)),4))-1)</f>
        <v/>
      </c>
      <c r="Q224">
        <f>MID(D224,FIND(";",SUBSTITUTE(D224,"|",REPT(";",LEN(D224)),5))+1,LEN(D224))</f>
        <v/>
      </c>
    </row>
    <row r="225">
      <c r="A225" t="inlineStr">
        <is>
          <t>100201</t>
        </is>
      </c>
      <c r="B225" t="inlineStr">
        <is>
          <t>圆钢</t>
        </is>
      </c>
      <c r="C225" t="inlineStr">
        <is>
          <t>601320800</t>
        </is>
      </c>
      <c r="D225" t="inlineStr">
        <is>
          <t>合金结构圆钢|圆钢|40Cr|Φ70|GB/T 3077</t>
        </is>
      </c>
      <c r="E225" t="inlineStr">
        <is>
          <t xml:space="preserve">物资名称 合金结构圆钢;物资简称 圆钢;牌号 40Cr;直径 Φ70;技术标准号 GB/T 3077;加工工艺 ;热处理工艺 ;特殊要求 ;规格标准号 </t>
        </is>
      </c>
      <c r="F225" t="inlineStr">
        <is>
          <t>千克</t>
        </is>
      </c>
      <c r="G225">
        <f>LEFT(D225,FIND("|",D225,1)-1)</f>
        <v/>
      </c>
      <c r="H225">
        <f>MID(D225,FIND("|",D225,FIND("|",D225,1))+1,FIND("|",D225,FIND("|",D225,1)+1)-FIND("|",D225,FIND("|",D225,1))-1)</f>
        <v/>
      </c>
      <c r="J225">
        <f>MID(D225,FIND(";",SUBSTITUTE(D225,"|",REPT(";",LEN(D225)),2))+1,FIND(";",SUBSTITUTE(D225,"|",REPT(";",LEN(D225)),3))-FIND(";",SUBSTITUTE(D225,"|",REPT(";",LEN(D225)),2))-1)</f>
        <v/>
      </c>
      <c r="K225">
        <f>MID(D225,FIND(";",SUBSTITUTE(D225,"|",REPT(";",LEN(D225)),3))+1,FIND(";",SUBSTITUTE(D225,"|",REPT(";",LEN(D225)),4))-FIND(";",SUBSTITUTE(D225,"|",REPT(";",LEN(D225)),3))-1)</f>
        <v/>
      </c>
      <c r="M225">
        <f>MID(D225,FIND(";",SUBSTITUTE(D225,"|",REPT(";",LEN(D225)),4))+1,LEN(D225))</f>
        <v/>
      </c>
    </row>
    <row r="226">
      <c r="A226" t="inlineStr">
        <is>
          <t>100201</t>
        </is>
      </c>
      <c r="B226" t="inlineStr">
        <is>
          <t>圆钢</t>
        </is>
      </c>
      <c r="C226" t="inlineStr">
        <is>
          <t>601320700</t>
        </is>
      </c>
      <c r="D226" t="inlineStr">
        <is>
          <t>合金结构圆钢|圆钢|40Cr|Φ8|GB/T 3077|大连钢丝</t>
        </is>
      </c>
      <c r="E226" t="inlineStr">
        <is>
          <t xml:space="preserve">物资名称 合金结构圆钢;物资简称 圆钢;牌号 40Cr;直径 Φ8;技术标准号 GB/T 3077;加工工艺 ;热处理工艺 ;特殊要求 大连钢丝;规格标准号 </t>
        </is>
      </c>
      <c r="F226" t="inlineStr">
        <is>
          <t>千克</t>
        </is>
      </c>
      <c r="G226">
        <f>LEFT(D226,FIND("|",D226,1)-1)</f>
        <v/>
      </c>
      <c r="H226">
        <f>MID(D226,FIND("|",D226,FIND("|",D226,1))+1,FIND("|",D226,FIND("|",D226,1)+1)-FIND("|",D226,FIND("|",D226,1))-1)</f>
        <v/>
      </c>
      <c r="J226">
        <f>MID(D226,FIND(";",SUBSTITUTE(D226,"|",REPT(";",LEN(D226)),2))+1,FIND(";",SUBSTITUTE(D226,"|",REPT(";",LEN(D226)),3))-FIND(";",SUBSTITUTE(D226,"|",REPT(";",LEN(D226)),2))-1)</f>
        <v/>
      </c>
      <c r="K226">
        <f>MID(D226,FIND(";",SUBSTITUTE(D226,"|",REPT(";",LEN(D226)),3))+1,FIND(";",SUBSTITUTE(D226,"|",REPT(";",LEN(D226)),4))-FIND(";",SUBSTITUTE(D226,"|",REPT(";",LEN(D226)),3))-1)</f>
        <v/>
      </c>
      <c r="M226">
        <f>MID(D226,FIND(";",SUBSTITUTE(D226,"|",REPT(";",LEN(D226)),4))+1,FIND(";",SUBSTITUTE(D226,"|",REPT(";",LEN(D226)),5))-FIND(";",SUBSTITUTE(D226,"|",REPT(";",LEN(D226)),4))-1)</f>
        <v/>
      </c>
      <c r="Q226">
        <f>MID(D226,FIND(";",SUBSTITUTE(D226,"|",REPT(";",LEN(D226)),5))+1,LEN(D226))</f>
        <v/>
      </c>
    </row>
    <row r="227">
      <c r="A227" t="inlineStr">
        <is>
          <t>100201</t>
        </is>
      </c>
      <c r="B227" t="inlineStr">
        <is>
          <t>圆钢</t>
        </is>
      </c>
      <c r="C227" t="inlineStr">
        <is>
          <t>601320600</t>
        </is>
      </c>
      <c r="D227" t="inlineStr">
        <is>
          <t>合金结构圆钢|圆钢|40CrNiMoA|Φ45|GB/T 3077</t>
        </is>
      </c>
      <c r="E227" t="inlineStr">
        <is>
          <t xml:space="preserve">物资名称 合金结构圆钢;物资简称 圆钢;牌号 40CrNiMoA;直径 Φ45;技术标准号 GB/T 3077;加工工艺 ;热处理工艺 ;特殊要求 ;规格标准号 </t>
        </is>
      </c>
      <c r="F227" t="inlineStr">
        <is>
          <t>千克</t>
        </is>
      </c>
      <c r="G227">
        <f>LEFT(D227,FIND("|",D227,1)-1)</f>
        <v/>
      </c>
      <c r="H227">
        <f>MID(D227,FIND("|",D227,FIND("|",D227,1))+1,FIND("|",D227,FIND("|",D227,1)+1)-FIND("|",D227,FIND("|",D227,1))-1)</f>
        <v/>
      </c>
      <c r="J227">
        <f>MID(D227,FIND(";",SUBSTITUTE(D227,"|",REPT(";",LEN(D227)),2))+1,FIND(";",SUBSTITUTE(D227,"|",REPT(";",LEN(D227)),3))-FIND(";",SUBSTITUTE(D227,"|",REPT(";",LEN(D227)),2))-1)</f>
        <v/>
      </c>
      <c r="K227">
        <f>MID(D227,FIND(";",SUBSTITUTE(D227,"|",REPT(";",LEN(D227)),3))+1,FIND(";",SUBSTITUTE(D227,"|",REPT(";",LEN(D227)),4))-FIND(";",SUBSTITUTE(D227,"|",REPT(";",LEN(D227)),3))-1)</f>
        <v/>
      </c>
      <c r="M227">
        <f>MID(D227,FIND(";",SUBSTITUTE(D227,"|",REPT(";",LEN(D227)),4))+1,LEN(D227))</f>
        <v/>
      </c>
    </row>
    <row r="228">
      <c r="A228" t="inlineStr">
        <is>
          <t>100201</t>
        </is>
      </c>
      <c r="B228" t="inlineStr">
        <is>
          <t>圆钢</t>
        </is>
      </c>
      <c r="C228" t="inlineStr">
        <is>
          <t>601320500</t>
        </is>
      </c>
      <c r="D228" t="inlineStr">
        <is>
          <t>合金结构圆钢|圆钢|45CrNiMoVA|Φ190|GB/T 3077</t>
        </is>
      </c>
      <c r="E228" t="inlineStr">
        <is>
          <t xml:space="preserve">物资名称 合金结构圆钢;物资简称 圆钢;牌号 45CrNiMoVA;直径 Φ190;技术标准号 GB/T 3077;加工工艺 ;热处理工艺 ;特殊要求 ;规格标准号 </t>
        </is>
      </c>
      <c r="F228" t="inlineStr">
        <is>
          <t>千克</t>
        </is>
      </c>
      <c r="G228">
        <f>LEFT(D228,FIND("|",D228,1)-1)</f>
        <v/>
      </c>
      <c r="H228">
        <f>MID(D228,FIND("|",D228,FIND("|",D228,1))+1,FIND("|",D228,FIND("|",D228,1)+1)-FIND("|",D228,FIND("|",D228,1))-1)</f>
        <v/>
      </c>
      <c r="J228">
        <f>MID(D228,FIND(";",SUBSTITUTE(D228,"|",REPT(";",LEN(D228)),2))+1,FIND(";",SUBSTITUTE(D228,"|",REPT(";",LEN(D228)),3))-FIND(";",SUBSTITUTE(D228,"|",REPT(";",LEN(D228)),2))-1)</f>
        <v/>
      </c>
      <c r="K228">
        <f>MID(D228,FIND(";",SUBSTITUTE(D228,"|",REPT(";",LEN(D228)),3))+1,FIND(";",SUBSTITUTE(D228,"|",REPT(";",LEN(D228)),4))-FIND(";",SUBSTITUTE(D228,"|",REPT(";",LEN(D228)),3))-1)</f>
        <v/>
      </c>
      <c r="M228">
        <f>MID(D228,FIND(";",SUBSTITUTE(D228,"|",REPT(";",LEN(D228)),4))+1,LEN(D228))</f>
        <v/>
      </c>
    </row>
    <row r="229">
      <c r="A229" t="inlineStr">
        <is>
          <t>100201</t>
        </is>
      </c>
      <c r="B229" t="inlineStr">
        <is>
          <t>圆钢</t>
        </is>
      </c>
      <c r="C229" t="inlineStr">
        <is>
          <t>601320400</t>
        </is>
      </c>
      <c r="D229" t="inlineStr">
        <is>
          <t>合金结构圆钢|圆钢|45CrNiMoVA|Φ200|GB/T 3077</t>
        </is>
      </c>
      <c r="E229" t="inlineStr">
        <is>
          <t xml:space="preserve">物资名称 合金结构圆钢;物资简称 圆钢;牌号 45CrNiMoVA;直径 Φ200;技术标准号 GB/T 3077;加工工艺 ;热处理工艺 ;特殊要求 ;规格标准号 </t>
        </is>
      </c>
      <c r="F229" t="inlineStr">
        <is>
          <t>千克</t>
        </is>
      </c>
      <c r="G229">
        <f>LEFT(D229,FIND("|",D229,1)-1)</f>
        <v/>
      </c>
      <c r="H229">
        <f>MID(D229,FIND("|",D229,FIND("|",D229,1))+1,FIND("|",D229,FIND("|",D229,1)+1)-FIND("|",D229,FIND("|",D229,1))-1)</f>
        <v/>
      </c>
      <c r="J229">
        <f>MID(D229,FIND(";",SUBSTITUTE(D229,"|",REPT(";",LEN(D229)),2))+1,FIND(";",SUBSTITUTE(D229,"|",REPT(";",LEN(D229)),3))-FIND(";",SUBSTITUTE(D229,"|",REPT(";",LEN(D229)),2))-1)</f>
        <v/>
      </c>
      <c r="K229">
        <f>MID(D229,FIND(";",SUBSTITUTE(D229,"|",REPT(";",LEN(D229)),3))+1,FIND(";",SUBSTITUTE(D229,"|",REPT(";",LEN(D229)),4))-FIND(";",SUBSTITUTE(D229,"|",REPT(";",LEN(D229)),3))-1)</f>
        <v/>
      </c>
      <c r="M229">
        <f>MID(D229,FIND(";",SUBSTITUTE(D229,"|",REPT(";",LEN(D229)),4))+1,LEN(D229))</f>
        <v/>
      </c>
    </row>
    <row r="230">
      <c r="A230" t="inlineStr">
        <is>
          <t>100201</t>
        </is>
      </c>
      <c r="B230" t="inlineStr">
        <is>
          <t>圆钢</t>
        </is>
      </c>
      <c r="C230" t="inlineStr">
        <is>
          <t>601320300</t>
        </is>
      </c>
      <c r="D230" t="inlineStr">
        <is>
          <t>合金结构圆钢|圆钢|45CrNiMoVA|Φ220|GB/T 3077</t>
        </is>
      </c>
      <c r="E230" t="inlineStr">
        <is>
          <t xml:space="preserve">物资名称 合金结构圆钢;物资简称 圆钢;牌号 45CrNiMoVA;直径 Φ220;技术标准号 GB/T 3077;加工工艺 ;热处理工艺 ;特殊要求 ;规格标准号 </t>
        </is>
      </c>
      <c r="F230" t="inlineStr">
        <is>
          <t>千克</t>
        </is>
      </c>
      <c r="G230">
        <f>LEFT(D230,FIND("|",D230,1)-1)</f>
        <v/>
      </c>
      <c r="H230">
        <f>MID(D230,FIND("|",D230,FIND("|",D230,1))+1,FIND("|",D230,FIND("|",D230,1)+1)-FIND("|",D230,FIND("|",D230,1))-1)</f>
        <v/>
      </c>
      <c r="J230">
        <f>MID(D230,FIND(";",SUBSTITUTE(D230,"|",REPT(";",LEN(D230)),2))+1,FIND(";",SUBSTITUTE(D230,"|",REPT(";",LEN(D230)),3))-FIND(";",SUBSTITUTE(D230,"|",REPT(";",LEN(D230)),2))-1)</f>
        <v/>
      </c>
      <c r="K230">
        <f>MID(D230,FIND(";",SUBSTITUTE(D230,"|",REPT(";",LEN(D230)),3))+1,FIND(";",SUBSTITUTE(D230,"|",REPT(";",LEN(D230)),4))-FIND(";",SUBSTITUTE(D230,"|",REPT(";",LEN(D230)),3))-1)</f>
        <v/>
      </c>
      <c r="M230">
        <f>MID(D230,FIND(";",SUBSTITUTE(D230,"|",REPT(";",LEN(D230)),4))+1,LEN(D230))</f>
        <v/>
      </c>
    </row>
    <row r="231">
      <c r="A231" t="inlineStr">
        <is>
          <t>100201</t>
        </is>
      </c>
      <c r="B231" t="inlineStr">
        <is>
          <t>圆钢</t>
        </is>
      </c>
      <c r="C231" t="inlineStr">
        <is>
          <t>601320200</t>
        </is>
      </c>
      <c r="D231" t="inlineStr">
        <is>
          <t>合金结构圆钢|圆钢|45CrNiMoVA|Φ70|GB/T 3077</t>
        </is>
      </c>
      <c r="E231" t="inlineStr">
        <is>
          <t xml:space="preserve">物资名称 合金结构圆钢;物资简称 圆钢;牌号 45CrNiMoVA;直径 Φ70;技术标准号 GB/T 3077;加工工艺 ;热处理工艺 ;特殊要求 ;规格标准号 </t>
        </is>
      </c>
      <c r="F231" t="inlineStr">
        <is>
          <t>千克</t>
        </is>
      </c>
      <c r="G231">
        <f>LEFT(D231,FIND("|",D231,1)-1)</f>
        <v/>
      </c>
      <c r="H231">
        <f>MID(D231,FIND("|",D231,FIND("|",D231,1))+1,FIND("|",D231,FIND("|",D231,1)+1)-FIND("|",D231,FIND("|",D231,1))-1)</f>
        <v/>
      </c>
      <c r="J231">
        <f>MID(D231,FIND(";",SUBSTITUTE(D231,"|",REPT(";",LEN(D231)),2))+1,FIND(";",SUBSTITUTE(D231,"|",REPT(";",LEN(D231)),3))-FIND(";",SUBSTITUTE(D231,"|",REPT(";",LEN(D231)),2))-1)</f>
        <v/>
      </c>
      <c r="K231">
        <f>MID(D231,FIND(";",SUBSTITUTE(D231,"|",REPT(";",LEN(D231)),3))+1,FIND(";",SUBSTITUTE(D231,"|",REPT(";",LEN(D231)),4))-FIND(";",SUBSTITUTE(D231,"|",REPT(";",LEN(D231)),3))-1)</f>
        <v/>
      </c>
      <c r="M231">
        <f>MID(D231,FIND(";",SUBSTITUTE(D231,"|",REPT(";",LEN(D231)),4))+1,LEN(D231))</f>
        <v/>
      </c>
    </row>
    <row r="232">
      <c r="A232" t="inlineStr">
        <is>
          <t>100201</t>
        </is>
      </c>
      <c r="B232" t="inlineStr">
        <is>
          <t>圆钢</t>
        </is>
      </c>
      <c r="C232" t="inlineStr">
        <is>
          <t>601320100</t>
        </is>
      </c>
      <c r="D232" t="inlineStr">
        <is>
          <t>合金结构圆钢|圆钢|45CrNiMoVA|Φ80|GB/T 3077</t>
        </is>
      </c>
      <c r="E232" t="inlineStr">
        <is>
          <t xml:space="preserve">物资名称 合金结构圆钢;物资简称 圆钢;牌号 45CrNiMoVA;直径 Φ80;技术标准号 GB/T 3077;加工工艺 ;热处理工艺 ;特殊要求 ;规格标准号 </t>
        </is>
      </c>
      <c r="F232" t="inlineStr">
        <is>
          <t>千克</t>
        </is>
      </c>
      <c r="G232">
        <f>LEFT(D232,FIND("|",D232,1)-1)</f>
        <v/>
      </c>
      <c r="H232">
        <f>MID(D232,FIND("|",D232,FIND("|",D232,1))+1,FIND("|",D232,FIND("|",D232,1)+1)-FIND("|",D232,FIND("|",D232,1))-1)</f>
        <v/>
      </c>
      <c r="J232">
        <f>MID(D232,FIND(";",SUBSTITUTE(D232,"|",REPT(";",LEN(D232)),2))+1,FIND(";",SUBSTITUTE(D232,"|",REPT(";",LEN(D232)),3))-FIND(";",SUBSTITUTE(D232,"|",REPT(";",LEN(D232)),2))-1)</f>
        <v/>
      </c>
      <c r="K232">
        <f>MID(D232,FIND(";",SUBSTITUTE(D232,"|",REPT(";",LEN(D232)),3))+1,FIND(";",SUBSTITUTE(D232,"|",REPT(";",LEN(D232)),4))-FIND(";",SUBSTITUTE(D232,"|",REPT(";",LEN(D232)),3))-1)</f>
        <v/>
      </c>
      <c r="M232">
        <f>MID(D232,FIND(";",SUBSTITUTE(D232,"|",REPT(";",LEN(D232)),4))+1,LEN(D232))</f>
        <v/>
      </c>
    </row>
    <row r="233">
      <c r="A233" t="inlineStr">
        <is>
          <t>100201</t>
        </is>
      </c>
      <c r="B233" t="inlineStr">
        <is>
          <t>圆钢</t>
        </is>
      </c>
      <c r="C233" t="inlineStr">
        <is>
          <t>601320000</t>
        </is>
      </c>
      <c r="D233" t="inlineStr">
        <is>
          <t>合金结构圆钢|圆钢|锻制45CrNiMoVA|ΦT=28、30、40、50、86|空</t>
        </is>
      </c>
      <c r="E233" t="inlineStr">
        <is>
          <t xml:space="preserve">物资名称 合金结构圆钢;物资简称 圆钢;牌号 锻制45CrNiMoVA;直径 ΦT=28、30、40、50、86;技术标准号 空;加工工艺 ;热处理工艺 ;特殊要求 ;规格标准号 </t>
        </is>
      </c>
      <c r="F233" t="inlineStr">
        <is>
          <t>千克</t>
        </is>
      </c>
      <c r="G233">
        <f>LEFT(D233,FIND("|",D233,1)-1)</f>
        <v/>
      </c>
      <c r="H233">
        <f>MID(D233,FIND("|",D233,FIND("|",D233,1))+1,FIND("|",D233,FIND("|",D233,1)+1)-FIND("|",D233,FIND("|",D233,1))-1)</f>
        <v/>
      </c>
      <c r="J233">
        <f>MID(D233,FIND(";",SUBSTITUTE(D233,"|",REPT(";",LEN(D233)),2))+1,FIND(";",SUBSTITUTE(D233,"|",REPT(";",LEN(D233)),3))-FIND(";",SUBSTITUTE(D233,"|",REPT(";",LEN(D233)),2))-1)</f>
        <v/>
      </c>
      <c r="K233">
        <f>MID(D233,FIND(";",SUBSTITUTE(D233,"|",REPT(";",LEN(D233)),3))+1,FIND(";",SUBSTITUTE(D233,"|",REPT(";",LEN(D233)),4))-FIND(";",SUBSTITUTE(D233,"|",REPT(";",LEN(D233)),3))-1)</f>
        <v/>
      </c>
      <c r="M233">
        <f>MID(D233,FIND(";",SUBSTITUTE(D233,"|",REPT(";",LEN(D233)),4))+1,LEN(D233))</f>
        <v/>
      </c>
    </row>
    <row r="234">
      <c r="A234" t="inlineStr">
        <is>
          <t>100201</t>
        </is>
      </c>
      <c r="B234" t="inlineStr">
        <is>
          <t>圆钢</t>
        </is>
      </c>
      <c r="C234" t="inlineStr">
        <is>
          <t>601319900</t>
        </is>
      </c>
      <c r="D234" t="inlineStr">
        <is>
          <t>冷拉优质碳素结构圆钢|圆钢|20|Φ8|空|冷拉</t>
        </is>
      </c>
      <c r="E234" t="inlineStr">
        <is>
          <t xml:space="preserve">物资名称 冷拉优质碳素结构圆钢;物资简称 圆钢;牌号 20;直径 Φ8;技术标准号 空;加工工艺 冷拉;热处理工艺 ;特殊要求 ;规格标准号 </t>
        </is>
      </c>
      <c r="F234" t="inlineStr">
        <is>
          <t>千克</t>
        </is>
      </c>
      <c r="G234">
        <f>LEFT(D234,FIND("|",D234,1)-1)</f>
        <v/>
      </c>
      <c r="H234">
        <f>MID(D234,FIND("|",D234,FIND("|",D234,1))+1,FIND("|",D234,FIND("|",D234,1)+1)-FIND("|",D234,FIND("|",D234,1))-1)</f>
        <v/>
      </c>
      <c r="J234">
        <f>MID(D234,FIND(";",SUBSTITUTE(D234,"|",REPT(";",LEN(D234)),2))+1,FIND(";",SUBSTITUTE(D234,"|",REPT(";",LEN(D234)),3))-FIND(";",SUBSTITUTE(D234,"|",REPT(";",LEN(D234)),2))-1)</f>
        <v/>
      </c>
      <c r="K234">
        <f>MID(D234,FIND(";",SUBSTITUTE(D234,"|",REPT(";",LEN(D234)),3))+1,FIND(";",SUBSTITUTE(D234,"|",REPT(";",LEN(D234)),4))-FIND(";",SUBSTITUTE(D234,"|",REPT(";",LEN(D234)),3))-1)</f>
        <v/>
      </c>
      <c r="M234">
        <f>MID(D234,FIND(";",SUBSTITUTE(D234,"|",REPT(";",LEN(D234)),4))+1,FIND(";",SUBSTITUTE(D234,"|",REPT(";",LEN(D234)),5))-FIND(";",SUBSTITUTE(D234,"|",REPT(";",LEN(D234)),4))-1)</f>
        <v/>
      </c>
      <c r="O234">
        <f>MID(D234,FIND(";",SUBSTITUTE(D234,"|",REPT(";",LEN(D234)),5))+1,LEN(D234))</f>
        <v/>
      </c>
    </row>
    <row r="235">
      <c r="A235" t="inlineStr">
        <is>
          <t>100201</t>
        </is>
      </c>
      <c r="B235" t="inlineStr">
        <is>
          <t>圆钢</t>
        </is>
      </c>
      <c r="C235" t="inlineStr">
        <is>
          <t>601319800</t>
        </is>
      </c>
      <c r="D235" t="inlineStr">
        <is>
          <t>碳素工具圆钢|圆钢|T10|Φ28|空</t>
        </is>
      </c>
      <c r="E235" t="inlineStr">
        <is>
          <t xml:space="preserve">物资名称 碳素工具圆钢;物资简称 圆钢;牌号 T10;直径 Φ28;技术标准号 空;加工工艺 ;热处理工艺 ;特殊要求 ;规格标准号 </t>
        </is>
      </c>
      <c r="F235" t="inlineStr">
        <is>
          <t>千克</t>
        </is>
      </c>
      <c r="G235">
        <f>LEFT(D235,FIND("|",D235,1)-1)</f>
        <v/>
      </c>
      <c r="H235">
        <f>MID(D235,FIND("|",D235,FIND("|",D235,1))+1,FIND("|",D235,FIND("|",D235,1)+1)-FIND("|",D235,FIND("|",D235,1))-1)</f>
        <v/>
      </c>
      <c r="J235">
        <f>MID(D235,FIND(";",SUBSTITUTE(D235,"|",REPT(";",LEN(D235)),2))+1,FIND(";",SUBSTITUTE(D235,"|",REPT(";",LEN(D235)),3))-FIND(";",SUBSTITUTE(D235,"|",REPT(";",LEN(D235)),2))-1)</f>
        <v/>
      </c>
      <c r="K235">
        <f>MID(D235,FIND(";",SUBSTITUTE(D235,"|",REPT(";",LEN(D235)),3))+1,FIND(";",SUBSTITUTE(D235,"|",REPT(";",LEN(D235)),4))-FIND(";",SUBSTITUTE(D235,"|",REPT(";",LEN(D235)),3))-1)</f>
        <v/>
      </c>
      <c r="M235">
        <f>MID(D235,FIND(";",SUBSTITUTE(D235,"|",REPT(";",LEN(D235)),4))+1,LEN(D235))</f>
        <v/>
      </c>
    </row>
    <row r="236">
      <c r="A236" t="inlineStr">
        <is>
          <t>100201</t>
        </is>
      </c>
      <c r="B236" t="inlineStr">
        <is>
          <t>圆钢</t>
        </is>
      </c>
      <c r="C236" t="inlineStr">
        <is>
          <t>601319700</t>
        </is>
      </c>
      <c r="D236" t="inlineStr">
        <is>
          <t>碳素工具圆钢|圆钢|T10|Φ45|空</t>
        </is>
      </c>
      <c r="E236" t="inlineStr">
        <is>
          <t xml:space="preserve">物资名称 碳素工具圆钢;物资简称 圆钢;牌号 T10;直径 Φ45;技术标准号 空;加工工艺 ;热处理工艺 ;特殊要求 ;规格标准号 </t>
        </is>
      </c>
      <c r="F236" t="inlineStr">
        <is>
          <t>千克</t>
        </is>
      </c>
      <c r="G236">
        <f>LEFT(D236,FIND("|",D236,1)-1)</f>
        <v/>
      </c>
      <c r="H236">
        <f>MID(D236,FIND("|",D236,FIND("|",D236,1))+1,FIND("|",D236,FIND("|",D236,1)+1)-FIND("|",D236,FIND("|",D236,1))-1)</f>
        <v/>
      </c>
      <c r="J236">
        <f>MID(D236,FIND(";",SUBSTITUTE(D236,"|",REPT(";",LEN(D236)),2))+1,FIND(";",SUBSTITUTE(D236,"|",REPT(";",LEN(D236)),3))-FIND(";",SUBSTITUTE(D236,"|",REPT(";",LEN(D236)),2))-1)</f>
        <v/>
      </c>
      <c r="K236">
        <f>MID(D236,FIND(";",SUBSTITUTE(D236,"|",REPT(";",LEN(D236)),3))+1,FIND(";",SUBSTITUTE(D236,"|",REPT(";",LEN(D236)),4))-FIND(";",SUBSTITUTE(D236,"|",REPT(";",LEN(D236)),3))-1)</f>
        <v/>
      </c>
      <c r="M236">
        <f>MID(D236,FIND(";",SUBSTITUTE(D236,"|",REPT(";",LEN(D236)),4))+1,LEN(D236))</f>
        <v/>
      </c>
    </row>
    <row r="237">
      <c r="A237" t="inlineStr">
        <is>
          <t>100201</t>
        </is>
      </c>
      <c r="B237" t="inlineStr">
        <is>
          <t>圆钢</t>
        </is>
      </c>
      <c r="C237" t="inlineStr">
        <is>
          <t>601319600</t>
        </is>
      </c>
      <c r="D237" t="inlineStr">
        <is>
          <t>碳素工具圆钢|圆钢|T10|Φ50|空</t>
        </is>
      </c>
      <c r="E237" t="inlineStr">
        <is>
          <t xml:space="preserve">物资名称 碳素工具圆钢;物资简称 圆钢;牌号 T10;直径 Φ50;技术标准号 空;加工工艺 ;热处理工艺 ;特殊要求 ;规格标准号 </t>
        </is>
      </c>
      <c r="F237" t="inlineStr">
        <is>
          <t>千克</t>
        </is>
      </c>
      <c r="G237">
        <f>LEFT(D237,FIND("|",D237,1)-1)</f>
        <v/>
      </c>
      <c r="H237">
        <f>MID(D237,FIND("|",D237,FIND("|",D237,1))+1,FIND("|",D237,FIND("|",D237,1)+1)-FIND("|",D237,FIND("|",D237,1))-1)</f>
        <v/>
      </c>
      <c r="J237">
        <f>MID(D237,FIND(";",SUBSTITUTE(D237,"|",REPT(";",LEN(D237)),2))+1,FIND(";",SUBSTITUTE(D237,"|",REPT(";",LEN(D237)),3))-FIND(";",SUBSTITUTE(D237,"|",REPT(";",LEN(D237)),2))-1)</f>
        <v/>
      </c>
      <c r="K237">
        <f>MID(D237,FIND(";",SUBSTITUTE(D237,"|",REPT(";",LEN(D237)),3))+1,FIND(";",SUBSTITUTE(D237,"|",REPT(";",LEN(D237)),4))-FIND(";",SUBSTITUTE(D237,"|",REPT(";",LEN(D237)),3))-1)</f>
        <v/>
      </c>
      <c r="M237">
        <f>MID(D237,FIND(";",SUBSTITUTE(D237,"|",REPT(";",LEN(D237)),4))+1,LEN(D237))</f>
        <v/>
      </c>
    </row>
    <row r="238">
      <c r="A238" t="inlineStr">
        <is>
          <t>100201</t>
        </is>
      </c>
      <c r="B238" t="inlineStr">
        <is>
          <t>圆钢</t>
        </is>
      </c>
      <c r="C238" t="inlineStr">
        <is>
          <t>601319500</t>
        </is>
      </c>
      <c r="D238" t="inlineStr">
        <is>
          <t>碳素工具圆钢|圆钢|T10A|Φ12|空|抚顺森亚</t>
        </is>
      </c>
      <c r="E238" t="inlineStr">
        <is>
          <t xml:space="preserve">物资名称 碳素工具圆钢;物资简称 圆钢;牌号 T10A;直径 Φ12;技术标准号 空;加工工艺 ;热处理工艺 ;特殊要求 抚顺森亚;规格标准号 </t>
        </is>
      </c>
      <c r="F238" t="inlineStr">
        <is>
          <t>千克</t>
        </is>
      </c>
      <c r="G238">
        <f>LEFT(D238,FIND("|",D238,1)-1)</f>
        <v/>
      </c>
      <c r="H238">
        <f>MID(D238,FIND("|",D238,FIND("|",D238,1))+1,FIND("|",D238,FIND("|",D238,1)+1)-FIND("|",D238,FIND("|",D238,1))-1)</f>
        <v/>
      </c>
      <c r="J238">
        <f>MID(D238,FIND(";",SUBSTITUTE(D238,"|",REPT(";",LEN(D238)),2))+1,FIND(";",SUBSTITUTE(D238,"|",REPT(";",LEN(D238)),3))-FIND(";",SUBSTITUTE(D238,"|",REPT(";",LEN(D238)),2))-1)</f>
        <v/>
      </c>
      <c r="K238">
        <f>MID(D238,FIND(";",SUBSTITUTE(D238,"|",REPT(";",LEN(D238)),3))+1,FIND(";",SUBSTITUTE(D238,"|",REPT(";",LEN(D238)),4))-FIND(";",SUBSTITUTE(D238,"|",REPT(";",LEN(D238)),3))-1)</f>
        <v/>
      </c>
      <c r="M238">
        <f>MID(D238,FIND(";",SUBSTITUTE(D238,"|",REPT(";",LEN(D238)),4))+1,FIND(";",SUBSTITUTE(D238,"|",REPT(";",LEN(D238)),5))-FIND(";",SUBSTITUTE(D238,"|",REPT(";",LEN(D238)),4))-1)</f>
        <v/>
      </c>
      <c r="Q238">
        <f>MID(D238,FIND(";",SUBSTITUTE(D238,"|",REPT(";",LEN(D238)),5))+1,LEN(D238))</f>
        <v/>
      </c>
    </row>
    <row r="239">
      <c r="A239" t="inlineStr">
        <is>
          <t>100201</t>
        </is>
      </c>
      <c r="B239" t="inlineStr">
        <is>
          <t>圆钢</t>
        </is>
      </c>
      <c r="C239" t="inlineStr">
        <is>
          <t>601319400</t>
        </is>
      </c>
      <c r="D239" t="inlineStr">
        <is>
          <t>碳素工具圆钢|圆钢|T10A|Φ130|空</t>
        </is>
      </c>
      <c r="E239" t="inlineStr">
        <is>
          <t xml:space="preserve">物资名称 碳素工具圆钢;物资简称 圆钢;牌号 T10A;直径 Φ130;技术标准号 空;加工工艺 ;热处理工艺 ;特殊要求 ;规格标准号 </t>
        </is>
      </c>
      <c r="F239" t="inlineStr">
        <is>
          <t>千克</t>
        </is>
      </c>
      <c r="G239">
        <f>LEFT(D239,FIND("|",D239,1)-1)</f>
        <v/>
      </c>
      <c r="H239">
        <f>MID(D239,FIND("|",D239,FIND("|",D239,1))+1,FIND("|",D239,FIND("|",D239,1)+1)-FIND("|",D239,FIND("|",D239,1))-1)</f>
        <v/>
      </c>
      <c r="J239">
        <f>MID(D239,FIND(";",SUBSTITUTE(D239,"|",REPT(";",LEN(D239)),2))+1,FIND(";",SUBSTITUTE(D239,"|",REPT(";",LEN(D239)),3))-FIND(";",SUBSTITUTE(D239,"|",REPT(";",LEN(D239)),2))-1)</f>
        <v/>
      </c>
      <c r="K239">
        <f>MID(D239,FIND(";",SUBSTITUTE(D239,"|",REPT(";",LEN(D239)),3))+1,FIND(";",SUBSTITUTE(D239,"|",REPT(";",LEN(D239)),4))-FIND(";",SUBSTITUTE(D239,"|",REPT(";",LEN(D239)),3))-1)</f>
        <v/>
      </c>
      <c r="M239">
        <f>MID(D239,FIND(";",SUBSTITUTE(D239,"|",REPT(";",LEN(D239)),4))+1,LEN(D239))</f>
        <v/>
      </c>
    </row>
    <row r="240">
      <c r="A240" t="inlineStr">
        <is>
          <t>100201</t>
        </is>
      </c>
      <c r="B240" t="inlineStr">
        <is>
          <t>圆钢</t>
        </is>
      </c>
      <c r="C240" t="inlineStr">
        <is>
          <t>601319300</t>
        </is>
      </c>
      <c r="D240" t="inlineStr">
        <is>
          <t>碳素工具圆钢|圆钢|T10A|Φ14|空|抚顺森亚</t>
        </is>
      </c>
      <c r="E240" t="inlineStr">
        <is>
          <t xml:space="preserve">物资名称 碳素工具圆钢;物资简称 圆钢;牌号 T10A;直径 Φ14;技术标准号 空;加工工艺 ;热处理工艺 ;特殊要求 抚顺森亚;规格标准号 </t>
        </is>
      </c>
      <c r="F240" t="inlineStr">
        <is>
          <t>千克</t>
        </is>
      </c>
      <c r="G240">
        <f>LEFT(D240,FIND("|",D240,1)-1)</f>
        <v/>
      </c>
      <c r="H240">
        <f>MID(D240,FIND("|",D240,FIND("|",D240,1))+1,FIND("|",D240,FIND("|",D240,1)+1)-FIND("|",D240,FIND("|",D240,1))-1)</f>
        <v/>
      </c>
      <c r="J240">
        <f>MID(D240,FIND(";",SUBSTITUTE(D240,"|",REPT(";",LEN(D240)),2))+1,FIND(";",SUBSTITUTE(D240,"|",REPT(";",LEN(D240)),3))-FIND(";",SUBSTITUTE(D240,"|",REPT(";",LEN(D240)),2))-1)</f>
        <v/>
      </c>
      <c r="K240">
        <f>MID(D240,FIND(";",SUBSTITUTE(D240,"|",REPT(";",LEN(D240)),3))+1,FIND(";",SUBSTITUTE(D240,"|",REPT(";",LEN(D240)),4))-FIND(";",SUBSTITUTE(D240,"|",REPT(";",LEN(D240)),3))-1)</f>
        <v/>
      </c>
      <c r="M240">
        <f>MID(D240,FIND(";",SUBSTITUTE(D240,"|",REPT(";",LEN(D240)),4))+1,FIND(";",SUBSTITUTE(D240,"|",REPT(";",LEN(D240)),5))-FIND(";",SUBSTITUTE(D240,"|",REPT(";",LEN(D240)),4))-1)</f>
        <v/>
      </c>
      <c r="Q240">
        <f>MID(D240,FIND(";",SUBSTITUTE(D240,"|",REPT(";",LEN(D240)),5))+1,LEN(D240))</f>
        <v/>
      </c>
    </row>
    <row r="241">
      <c r="A241" t="inlineStr">
        <is>
          <t>100201</t>
        </is>
      </c>
      <c r="B241" t="inlineStr">
        <is>
          <t>圆钢</t>
        </is>
      </c>
      <c r="C241" t="inlineStr">
        <is>
          <t>601319200</t>
        </is>
      </c>
      <c r="D241" t="inlineStr">
        <is>
          <t>碳素工具圆钢|圆钢|T10A|Φ18|空|抚顺森亚</t>
        </is>
      </c>
      <c r="E241" t="inlineStr">
        <is>
          <t xml:space="preserve">物资名称 碳素工具圆钢;物资简称 圆钢;牌号 T10A;直径 Φ18;技术标准号 空;加工工艺 ;热处理工艺 ;特殊要求 抚顺森亚;规格标准号 </t>
        </is>
      </c>
      <c r="F241" t="inlineStr">
        <is>
          <t>千克</t>
        </is>
      </c>
      <c r="G241">
        <f>LEFT(D241,FIND("|",D241,1)-1)</f>
        <v/>
      </c>
      <c r="H241">
        <f>MID(D241,FIND("|",D241,FIND("|",D241,1))+1,FIND("|",D241,FIND("|",D241,1)+1)-FIND("|",D241,FIND("|",D241,1))-1)</f>
        <v/>
      </c>
      <c r="J241">
        <f>MID(D241,FIND(";",SUBSTITUTE(D241,"|",REPT(";",LEN(D241)),2))+1,FIND(";",SUBSTITUTE(D241,"|",REPT(";",LEN(D241)),3))-FIND(";",SUBSTITUTE(D241,"|",REPT(";",LEN(D241)),2))-1)</f>
        <v/>
      </c>
      <c r="K241">
        <f>MID(D241,FIND(";",SUBSTITUTE(D241,"|",REPT(";",LEN(D241)),3))+1,FIND(";",SUBSTITUTE(D241,"|",REPT(";",LEN(D241)),4))-FIND(";",SUBSTITUTE(D241,"|",REPT(";",LEN(D241)),3))-1)</f>
        <v/>
      </c>
      <c r="M241">
        <f>MID(D241,FIND(";",SUBSTITUTE(D241,"|",REPT(";",LEN(D241)),4))+1,FIND(";",SUBSTITUTE(D241,"|",REPT(";",LEN(D241)),5))-FIND(";",SUBSTITUTE(D241,"|",REPT(";",LEN(D241)),4))-1)</f>
        <v/>
      </c>
      <c r="Q241">
        <f>MID(D241,FIND(";",SUBSTITUTE(D241,"|",REPT(";",LEN(D241)),5))+1,LEN(D241))</f>
        <v/>
      </c>
    </row>
    <row r="242">
      <c r="A242" t="inlineStr">
        <is>
          <t>100201</t>
        </is>
      </c>
      <c r="B242" t="inlineStr">
        <is>
          <t>圆钢</t>
        </is>
      </c>
      <c r="C242" t="inlineStr">
        <is>
          <t>601319100</t>
        </is>
      </c>
      <c r="D242" t="inlineStr">
        <is>
          <t>碳素工具圆钢|圆钢|T10A|Φ20|空|抚顺森亚</t>
        </is>
      </c>
      <c r="E242" t="inlineStr">
        <is>
          <t xml:space="preserve">物资名称 碳素工具圆钢;物资简称 圆钢;牌号 T10A;直径 Φ20;技术标准号 空;加工工艺 ;热处理工艺 ;特殊要求 抚顺森亚;规格标准号 </t>
        </is>
      </c>
      <c r="F242" t="inlineStr">
        <is>
          <t>千克</t>
        </is>
      </c>
      <c r="G242">
        <f>LEFT(D242,FIND("|",D242,1)-1)</f>
        <v/>
      </c>
      <c r="H242">
        <f>MID(D242,FIND("|",D242,FIND("|",D242,1))+1,FIND("|",D242,FIND("|",D242,1)+1)-FIND("|",D242,FIND("|",D242,1))-1)</f>
        <v/>
      </c>
      <c r="J242">
        <f>MID(D242,FIND(";",SUBSTITUTE(D242,"|",REPT(";",LEN(D242)),2))+1,FIND(";",SUBSTITUTE(D242,"|",REPT(";",LEN(D242)),3))-FIND(";",SUBSTITUTE(D242,"|",REPT(";",LEN(D242)),2))-1)</f>
        <v/>
      </c>
      <c r="K242">
        <f>MID(D242,FIND(";",SUBSTITUTE(D242,"|",REPT(";",LEN(D242)),3))+1,FIND(";",SUBSTITUTE(D242,"|",REPT(";",LEN(D242)),4))-FIND(";",SUBSTITUTE(D242,"|",REPT(";",LEN(D242)),3))-1)</f>
        <v/>
      </c>
      <c r="M242">
        <f>MID(D242,FIND(";",SUBSTITUTE(D242,"|",REPT(";",LEN(D242)),4))+1,FIND(";",SUBSTITUTE(D242,"|",REPT(";",LEN(D242)),5))-FIND(";",SUBSTITUTE(D242,"|",REPT(";",LEN(D242)),4))-1)</f>
        <v/>
      </c>
      <c r="Q242">
        <f>MID(D242,FIND(";",SUBSTITUTE(D242,"|",REPT(";",LEN(D242)),5))+1,LEN(D242))</f>
        <v/>
      </c>
    </row>
    <row r="243">
      <c r="A243" t="inlineStr">
        <is>
          <t>100201</t>
        </is>
      </c>
      <c r="B243" t="inlineStr">
        <is>
          <t>圆钢</t>
        </is>
      </c>
      <c r="C243" t="inlineStr">
        <is>
          <t>601319000</t>
        </is>
      </c>
      <c r="D243" t="inlineStr">
        <is>
          <t>碳素工具圆钢|圆钢|T10A|Φ25|空|抚顺森亚</t>
        </is>
      </c>
      <c r="E243" t="inlineStr">
        <is>
          <t xml:space="preserve">物资名称 碳素工具圆钢;物资简称 圆钢;牌号 T10A;直径 Φ25;技术标准号 空;加工工艺 ;热处理工艺 ;特殊要求 抚顺森亚;规格标准号 </t>
        </is>
      </c>
      <c r="F243" t="inlineStr">
        <is>
          <t>千克</t>
        </is>
      </c>
      <c r="G243">
        <f>LEFT(D243,FIND("|",D243,1)-1)</f>
        <v/>
      </c>
      <c r="H243">
        <f>MID(D243,FIND("|",D243,FIND("|",D243,1))+1,FIND("|",D243,FIND("|",D243,1)+1)-FIND("|",D243,FIND("|",D243,1))-1)</f>
        <v/>
      </c>
      <c r="J243">
        <f>MID(D243,FIND(";",SUBSTITUTE(D243,"|",REPT(";",LEN(D243)),2))+1,FIND(";",SUBSTITUTE(D243,"|",REPT(";",LEN(D243)),3))-FIND(";",SUBSTITUTE(D243,"|",REPT(";",LEN(D243)),2))-1)</f>
        <v/>
      </c>
      <c r="K243">
        <f>MID(D243,FIND(";",SUBSTITUTE(D243,"|",REPT(";",LEN(D243)),3))+1,FIND(";",SUBSTITUTE(D243,"|",REPT(";",LEN(D243)),4))-FIND(";",SUBSTITUTE(D243,"|",REPT(";",LEN(D243)),3))-1)</f>
        <v/>
      </c>
      <c r="M243">
        <f>MID(D243,FIND(";",SUBSTITUTE(D243,"|",REPT(";",LEN(D243)),4))+1,FIND(";",SUBSTITUTE(D243,"|",REPT(";",LEN(D243)),5))-FIND(";",SUBSTITUTE(D243,"|",REPT(";",LEN(D243)),4))-1)</f>
        <v/>
      </c>
      <c r="Q243">
        <f>MID(D243,FIND(";",SUBSTITUTE(D243,"|",REPT(";",LEN(D243)),5))+1,LEN(D243))</f>
        <v/>
      </c>
    </row>
    <row r="244">
      <c r="A244" t="inlineStr">
        <is>
          <t>100201</t>
        </is>
      </c>
      <c r="B244" t="inlineStr">
        <is>
          <t>圆钢</t>
        </is>
      </c>
      <c r="C244" t="inlineStr">
        <is>
          <t>601318900</t>
        </is>
      </c>
      <c r="D244" t="inlineStr">
        <is>
          <t>碳素工具圆钢|圆钢|T10A|Φ32|空|抚顺森亚</t>
        </is>
      </c>
      <c r="E244" t="inlineStr">
        <is>
          <t xml:space="preserve">物资名称 碳素工具圆钢;物资简称 圆钢;牌号 T10A;直径 Φ32;技术标准号 空;加工工艺 ;热处理工艺 ;特殊要求 抚顺森亚;规格标准号 </t>
        </is>
      </c>
      <c r="F244" t="inlineStr">
        <is>
          <t>千克</t>
        </is>
      </c>
      <c r="G244">
        <f>LEFT(D244,FIND("|",D244,1)-1)</f>
        <v/>
      </c>
      <c r="H244">
        <f>MID(D244,FIND("|",D244,FIND("|",D244,1))+1,FIND("|",D244,FIND("|",D244,1)+1)-FIND("|",D244,FIND("|",D244,1))-1)</f>
        <v/>
      </c>
      <c r="J244">
        <f>MID(D244,FIND(";",SUBSTITUTE(D244,"|",REPT(";",LEN(D244)),2))+1,FIND(";",SUBSTITUTE(D244,"|",REPT(";",LEN(D244)),3))-FIND(";",SUBSTITUTE(D244,"|",REPT(";",LEN(D244)),2))-1)</f>
        <v/>
      </c>
      <c r="K244">
        <f>MID(D244,FIND(";",SUBSTITUTE(D244,"|",REPT(";",LEN(D244)),3))+1,FIND(";",SUBSTITUTE(D244,"|",REPT(";",LEN(D244)),4))-FIND(";",SUBSTITUTE(D244,"|",REPT(";",LEN(D244)),3))-1)</f>
        <v/>
      </c>
      <c r="M244">
        <f>MID(D244,FIND(";",SUBSTITUTE(D244,"|",REPT(";",LEN(D244)),4))+1,FIND(";",SUBSTITUTE(D244,"|",REPT(";",LEN(D244)),5))-FIND(";",SUBSTITUTE(D244,"|",REPT(";",LEN(D244)),4))-1)</f>
        <v/>
      </c>
      <c r="Q244">
        <f>MID(D244,FIND(";",SUBSTITUTE(D244,"|",REPT(";",LEN(D244)),5))+1,LEN(D244))</f>
        <v/>
      </c>
    </row>
    <row r="245">
      <c r="A245" t="inlineStr">
        <is>
          <t>100201</t>
        </is>
      </c>
      <c r="B245" t="inlineStr">
        <is>
          <t>圆钢</t>
        </is>
      </c>
      <c r="C245" t="inlineStr">
        <is>
          <t>601318800</t>
        </is>
      </c>
      <c r="D245" t="inlineStr">
        <is>
          <t>碳素工具圆钢|圆钢|T10A|Φ35|空</t>
        </is>
      </c>
      <c r="E245" t="inlineStr">
        <is>
          <t xml:space="preserve">物资名称 碳素工具圆钢;物资简称 圆钢;牌号 T10A;直径 Φ35;技术标准号 空;加工工艺 ;热处理工艺 ;特殊要求 ;规格标准号 </t>
        </is>
      </c>
      <c r="F245" t="inlineStr">
        <is>
          <t>千克</t>
        </is>
      </c>
      <c r="G245">
        <f>LEFT(D245,FIND("|",D245,1)-1)</f>
        <v/>
      </c>
      <c r="H245">
        <f>MID(D245,FIND("|",D245,FIND("|",D245,1))+1,FIND("|",D245,FIND("|",D245,1)+1)-FIND("|",D245,FIND("|",D245,1))-1)</f>
        <v/>
      </c>
      <c r="J245">
        <f>MID(D245,FIND(";",SUBSTITUTE(D245,"|",REPT(";",LEN(D245)),2))+1,FIND(";",SUBSTITUTE(D245,"|",REPT(";",LEN(D245)),3))-FIND(";",SUBSTITUTE(D245,"|",REPT(";",LEN(D245)),2))-1)</f>
        <v/>
      </c>
      <c r="K245">
        <f>MID(D245,FIND(";",SUBSTITUTE(D245,"|",REPT(";",LEN(D245)),3))+1,FIND(";",SUBSTITUTE(D245,"|",REPT(";",LEN(D245)),4))-FIND(";",SUBSTITUTE(D245,"|",REPT(";",LEN(D245)),3))-1)</f>
        <v/>
      </c>
      <c r="M245">
        <f>MID(D245,FIND(";",SUBSTITUTE(D245,"|",REPT(";",LEN(D245)),4))+1,LEN(D245))</f>
        <v/>
      </c>
    </row>
    <row r="246">
      <c r="A246" t="inlineStr">
        <is>
          <t>100201</t>
        </is>
      </c>
      <c r="B246" t="inlineStr">
        <is>
          <t>圆钢</t>
        </is>
      </c>
      <c r="C246" t="inlineStr">
        <is>
          <t>601318700</t>
        </is>
      </c>
      <c r="D246" t="inlineStr">
        <is>
          <t>碳素工具圆钢|圆钢|T10A|Φ45|空</t>
        </is>
      </c>
      <c r="E246" t="inlineStr">
        <is>
          <t xml:space="preserve">物资名称 碳素工具圆钢;物资简称 圆钢;牌号 T10A;直径 Φ45;技术标准号 空;加工工艺 ;热处理工艺 ;特殊要求 ;规格标准号 </t>
        </is>
      </c>
      <c r="F246" t="inlineStr">
        <is>
          <t>千克</t>
        </is>
      </c>
      <c r="G246">
        <f>LEFT(D246,FIND("|",D246,1)-1)</f>
        <v/>
      </c>
      <c r="H246">
        <f>MID(D246,FIND("|",D246,FIND("|",D246,1))+1,FIND("|",D246,FIND("|",D246,1)+1)-FIND("|",D246,FIND("|",D246,1))-1)</f>
        <v/>
      </c>
      <c r="J246">
        <f>MID(D246,FIND(";",SUBSTITUTE(D246,"|",REPT(";",LEN(D246)),2))+1,FIND(";",SUBSTITUTE(D246,"|",REPT(";",LEN(D246)),3))-FIND(";",SUBSTITUTE(D246,"|",REPT(";",LEN(D246)),2))-1)</f>
        <v/>
      </c>
      <c r="K246">
        <f>MID(D246,FIND(";",SUBSTITUTE(D246,"|",REPT(";",LEN(D246)),3))+1,FIND(";",SUBSTITUTE(D246,"|",REPT(";",LEN(D246)),4))-FIND(";",SUBSTITUTE(D246,"|",REPT(";",LEN(D246)),3))-1)</f>
        <v/>
      </c>
      <c r="M246">
        <f>MID(D246,FIND(";",SUBSTITUTE(D246,"|",REPT(";",LEN(D246)),4))+1,LEN(D246))</f>
        <v/>
      </c>
    </row>
    <row r="247">
      <c r="A247" t="inlineStr">
        <is>
          <t>100201</t>
        </is>
      </c>
      <c r="B247" t="inlineStr">
        <is>
          <t>圆钢</t>
        </is>
      </c>
      <c r="C247" t="inlineStr">
        <is>
          <t>601318600</t>
        </is>
      </c>
      <c r="D247" t="inlineStr">
        <is>
          <t>碳素工具圆钢|圆钢|T10A|Φ60|空</t>
        </is>
      </c>
      <c r="E247" t="inlineStr">
        <is>
          <t xml:space="preserve">物资名称 碳素工具圆钢;物资简称 圆钢;牌号 T10A;直径 Φ60;技术标准号 空;加工工艺 ;热处理工艺 ;特殊要求 ;规格标准号 </t>
        </is>
      </c>
      <c r="F247" t="inlineStr">
        <is>
          <t>千克</t>
        </is>
      </c>
      <c r="G247">
        <f>LEFT(D247,FIND("|",D247,1)-1)</f>
        <v/>
      </c>
      <c r="H247">
        <f>MID(D247,FIND("|",D247,FIND("|",D247,1))+1,FIND("|",D247,FIND("|",D247,1)+1)-FIND("|",D247,FIND("|",D247,1))-1)</f>
        <v/>
      </c>
      <c r="J247">
        <f>MID(D247,FIND(";",SUBSTITUTE(D247,"|",REPT(";",LEN(D247)),2))+1,FIND(";",SUBSTITUTE(D247,"|",REPT(";",LEN(D247)),3))-FIND(";",SUBSTITUTE(D247,"|",REPT(";",LEN(D247)),2))-1)</f>
        <v/>
      </c>
      <c r="K247">
        <f>MID(D247,FIND(";",SUBSTITUTE(D247,"|",REPT(";",LEN(D247)),3))+1,FIND(";",SUBSTITUTE(D247,"|",REPT(";",LEN(D247)),4))-FIND(";",SUBSTITUTE(D247,"|",REPT(";",LEN(D247)),3))-1)</f>
        <v/>
      </c>
      <c r="M247">
        <f>MID(D247,FIND(";",SUBSTITUTE(D247,"|",REPT(";",LEN(D247)),4))+1,LEN(D247))</f>
        <v/>
      </c>
    </row>
    <row r="248">
      <c r="A248" t="inlineStr">
        <is>
          <t>100201</t>
        </is>
      </c>
      <c r="B248" t="inlineStr">
        <is>
          <t>圆钢</t>
        </is>
      </c>
      <c r="C248" t="inlineStr">
        <is>
          <t>601318500</t>
        </is>
      </c>
      <c r="D248" t="inlineStr">
        <is>
          <t>碳素工具圆钢|圆钢|T10A|Φ70|空|抚顺森亚</t>
        </is>
      </c>
      <c r="E248" t="inlineStr">
        <is>
          <t xml:space="preserve">物资名称 碳素工具圆钢;物资简称 圆钢;牌号 T10A;直径 Φ70;技术标准号 空;加工工艺 ;热处理工艺 ;特殊要求 抚顺森亚;规格标准号 </t>
        </is>
      </c>
      <c r="F248" t="inlineStr">
        <is>
          <t>千克</t>
        </is>
      </c>
      <c r="G248">
        <f>LEFT(D248,FIND("|",D248,1)-1)</f>
        <v/>
      </c>
      <c r="H248">
        <f>MID(D248,FIND("|",D248,FIND("|",D248,1))+1,FIND("|",D248,FIND("|",D248,1)+1)-FIND("|",D248,FIND("|",D248,1))-1)</f>
        <v/>
      </c>
      <c r="J248">
        <f>MID(D248,FIND(";",SUBSTITUTE(D248,"|",REPT(";",LEN(D248)),2))+1,FIND(";",SUBSTITUTE(D248,"|",REPT(";",LEN(D248)),3))-FIND(";",SUBSTITUTE(D248,"|",REPT(";",LEN(D248)),2))-1)</f>
        <v/>
      </c>
      <c r="K248">
        <f>MID(D248,FIND(";",SUBSTITUTE(D248,"|",REPT(";",LEN(D248)),3))+1,FIND(";",SUBSTITUTE(D248,"|",REPT(";",LEN(D248)),4))-FIND(";",SUBSTITUTE(D248,"|",REPT(";",LEN(D248)),3))-1)</f>
        <v/>
      </c>
      <c r="M248">
        <f>MID(D248,FIND(";",SUBSTITUTE(D248,"|",REPT(";",LEN(D248)),4))+1,FIND(";",SUBSTITUTE(D248,"|",REPT(";",LEN(D248)),5))-FIND(";",SUBSTITUTE(D248,"|",REPT(";",LEN(D248)),4))-1)</f>
        <v/>
      </c>
      <c r="Q248">
        <f>MID(D248,FIND(";",SUBSTITUTE(D248,"|",REPT(";",LEN(D248)),5))+1,LEN(D248))</f>
        <v/>
      </c>
    </row>
    <row r="249">
      <c r="A249" t="inlineStr">
        <is>
          <t>100201</t>
        </is>
      </c>
      <c r="B249" t="inlineStr">
        <is>
          <t>圆钢</t>
        </is>
      </c>
      <c r="C249" t="inlineStr">
        <is>
          <t>601318400</t>
        </is>
      </c>
      <c r="D249" t="inlineStr">
        <is>
          <t>碳素工具圆钢|圆钢|T10A|Φ90|空</t>
        </is>
      </c>
      <c r="E249" t="inlineStr">
        <is>
          <t xml:space="preserve">物资名称 碳素工具圆钢;物资简称 圆钢;牌号 T10A;直径 Φ90;技术标准号 空;加工工艺 ;热处理工艺 ;特殊要求 ;规格标准号 </t>
        </is>
      </c>
      <c r="F249" t="inlineStr">
        <is>
          <t>千克</t>
        </is>
      </c>
      <c r="G249">
        <f>LEFT(D249,FIND("|",D249,1)-1)</f>
        <v/>
      </c>
      <c r="H249">
        <f>MID(D249,FIND("|",D249,FIND("|",D249,1))+1,FIND("|",D249,FIND("|",D249,1)+1)-FIND("|",D249,FIND("|",D249,1))-1)</f>
        <v/>
      </c>
      <c r="J249">
        <f>MID(D249,FIND(";",SUBSTITUTE(D249,"|",REPT(";",LEN(D249)),2))+1,FIND(";",SUBSTITUTE(D249,"|",REPT(";",LEN(D249)),3))-FIND(";",SUBSTITUTE(D249,"|",REPT(";",LEN(D249)),2))-1)</f>
        <v/>
      </c>
      <c r="K249">
        <f>MID(D249,FIND(";",SUBSTITUTE(D249,"|",REPT(";",LEN(D249)),3))+1,FIND(";",SUBSTITUTE(D249,"|",REPT(";",LEN(D249)),4))-FIND(";",SUBSTITUTE(D249,"|",REPT(";",LEN(D249)),3))-1)</f>
        <v/>
      </c>
      <c r="M249">
        <f>MID(D249,FIND(";",SUBSTITUTE(D249,"|",REPT(";",LEN(D249)),4))+1,LEN(D249))</f>
        <v/>
      </c>
    </row>
    <row r="250">
      <c r="A250" t="inlineStr">
        <is>
          <t>100201</t>
        </is>
      </c>
      <c r="B250" t="inlineStr">
        <is>
          <t>圆钢</t>
        </is>
      </c>
      <c r="C250" t="inlineStr">
        <is>
          <t>601318300</t>
        </is>
      </c>
      <c r="D250" t="inlineStr">
        <is>
          <t>优质碳素结构圆钢|圆钢|20|Φ14|空</t>
        </is>
      </c>
      <c r="E250" t="inlineStr">
        <is>
          <t xml:space="preserve">物资名称 优质碳素结构圆钢;物资简称 圆钢;牌号 20;直径 Φ14;技术标准号 空;加工工艺 ;热处理工艺 ;特殊要求 ;规格标准号 </t>
        </is>
      </c>
      <c r="F250" t="inlineStr">
        <is>
          <t>千克</t>
        </is>
      </c>
      <c r="G250">
        <f>LEFT(D250,FIND("|",D250,1)-1)</f>
        <v/>
      </c>
      <c r="H250">
        <f>MID(D250,FIND("|",D250,FIND("|",D250,1))+1,FIND("|",D250,FIND("|",D250,1)+1)-FIND("|",D250,FIND("|",D250,1))-1)</f>
        <v/>
      </c>
      <c r="J250">
        <f>MID(D250,FIND(";",SUBSTITUTE(D250,"|",REPT(";",LEN(D250)),2))+1,FIND(";",SUBSTITUTE(D250,"|",REPT(";",LEN(D250)),3))-FIND(";",SUBSTITUTE(D250,"|",REPT(";",LEN(D250)),2))-1)</f>
        <v/>
      </c>
      <c r="K250">
        <f>MID(D250,FIND(";",SUBSTITUTE(D250,"|",REPT(";",LEN(D250)),3))+1,FIND(";",SUBSTITUTE(D250,"|",REPT(";",LEN(D250)),4))-FIND(";",SUBSTITUTE(D250,"|",REPT(";",LEN(D250)),3))-1)</f>
        <v/>
      </c>
      <c r="M250">
        <f>MID(D250,FIND(";",SUBSTITUTE(D250,"|",REPT(";",LEN(D250)),4))+1,LEN(D250))</f>
        <v/>
      </c>
    </row>
    <row r="251">
      <c r="A251" t="inlineStr">
        <is>
          <t>100201</t>
        </is>
      </c>
      <c r="B251" t="inlineStr">
        <is>
          <t>圆钢</t>
        </is>
      </c>
      <c r="C251" t="inlineStr">
        <is>
          <t>601318200</t>
        </is>
      </c>
      <c r="D251" t="inlineStr">
        <is>
          <t>优质碳素结构圆钢|圆钢|20|Φ40|空</t>
        </is>
      </c>
      <c r="E251" t="inlineStr">
        <is>
          <t xml:space="preserve">物资名称 优质碳素结构圆钢;物资简称 圆钢;牌号 20;直径 Φ40;技术标准号 空;加工工艺 ;热处理工艺 ;特殊要求 ;规格标准号 </t>
        </is>
      </c>
      <c r="F251" t="inlineStr">
        <is>
          <t>千克</t>
        </is>
      </c>
      <c r="G251">
        <f>LEFT(D251,FIND("|",D251,1)-1)</f>
        <v/>
      </c>
      <c r="H251">
        <f>MID(D251,FIND("|",D251,FIND("|",D251,1))+1,FIND("|",D251,FIND("|",D251,1)+1)-FIND("|",D251,FIND("|",D251,1))-1)</f>
        <v/>
      </c>
      <c r="J251">
        <f>MID(D251,FIND(";",SUBSTITUTE(D251,"|",REPT(";",LEN(D251)),2))+1,FIND(";",SUBSTITUTE(D251,"|",REPT(";",LEN(D251)),3))-FIND(";",SUBSTITUTE(D251,"|",REPT(";",LEN(D251)),2))-1)</f>
        <v/>
      </c>
      <c r="K251">
        <f>MID(D251,FIND(";",SUBSTITUTE(D251,"|",REPT(";",LEN(D251)),3))+1,FIND(";",SUBSTITUTE(D251,"|",REPT(";",LEN(D251)),4))-FIND(";",SUBSTITUTE(D251,"|",REPT(";",LEN(D251)),3))-1)</f>
        <v/>
      </c>
      <c r="M251">
        <f>MID(D251,FIND(";",SUBSTITUTE(D251,"|",REPT(";",LEN(D251)),4))+1,LEN(D251))</f>
        <v/>
      </c>
    </row>
    <row r="252">
      <c r="A252" t="inlineStr">
        <is>
          <t>100201</t>
        </is>
      </c>
      <c r="B252" t="inlineStr">
        <is>
          <t>圆钢</t>
        </is>
      </c>
      <c r="C252" t="inlineStr">
        <is>
          <t>601318100</t>
        </is>
      </c>
      <c r="D252" t="inlineStr">
        <is>
          <t>优质碳素结构圆钢|圆钢|45|Φ130|空</t>
        </is>
      </c>
      <c r="E252" t="inlineStr">
        <is>
          <t xml:space="preserve">物资名称 优质碳素结构圆钢;物资简称 圆钢;牌号 45;直径 Φ130;技术标准号 空;加工工艺 ;热处理工艺 ;特殊要求 ;规格标准号 </t>
        </is>
      </c>
      <c r="F252" t="inlineStr">
        <is>
          <t>千克</t>
        </is>
      </c>
      <c r="G252">
        <f>LEFT(D252,FIND("|",D252,1)-1)</f>
        <v/>
      </c>
      <c r="H252">
        <f>MID(D252,FIND("|",D252,FIND("|",D252,1))+1,FIND("|",D252,FIND("|",D252,1)+1)-FIND("|",D252,FIND("|",D252,1))-1)</f>
        <v/>
      </c>
      <c r="J252">
        <f>MID(D252,FIND(";",SUBSTITUTE(D252,"|",REPT(";",LEN(D252)),2))+1,FIND(";",SUBSTITUTE(D252,"|",REPT(";",LEN(D252)),3))-FIND(";",SUBSTITUTE(D252,"|",REPT(";",LEN(D252)),2))-1)</f>
        <v/>
      </c>
      <c r="K252">
        <f>MID(D252,FIND(";",SUBSTITUTE(D252,"|",REPT(";",LEN(D252)),3))+1,FIND(";",SUBSTITUTE(D252,"|",REPT(";",LEN(D252)),4))-FIND(";",SUBSTITUTE(D252,"|",REPT(";",LEN(D252)),3))-1)</f>
        <v/>
      </c>
      <c r="M252">
        <f>MID(D252,FIND(";",SUBSTITUTE(D252,"|",REPT(";",LEN(D252)),4))+1,LEN(D252))</f>
        <v/>
      </c>
    </row>
    <row r="253">
      <c r="A253" t="inlineStr">
        <is>
          <t>100201</t>
        </is>
      </c>
      <c r="B253" t="inlineStr">
        <is>
          <t>圆钢</t>
        </is>
      </c>
      <c r="C253" t="inlineStr">
        <is>
          <t>601318000</t>
        </is>
      </c>
      <c r="D253" t="inlineStr">
        <is>
          <t>优质碳素结构圆钢|圆钢|45|Φ14|空|东北特殊</t>
        </is>
      </c>
      <c r="E253" t="inlineStr">
        <is>
          <t xml:space="preserve">物资名称 优质碳素结构圆钢;物资简称 圆钢;牌号 45;直径 Φ14;技术标准号 空;加工工艺 ;热处理工艺 ;特殊要求 东北特殊;规格标准号 </t>
        </is>
      </c>
      <c r="F253" t="inlineStr">
        <is>
          <t>千克</t>
        </is>
      </c>
      <c r="G253">
        <f>LEFT(D253,FIND("|",D253,1)-1)</f>
        <v/>
      </c>
      <c r="H253">
        <f>MID(D253,FIND("|",D253,FIND("|",D253,1))+1,FIND("|",D253,FIND("|",D253,1)+1)-FIND("|",D253,FIND("|",D253,1))-1)</f>
        <v/>
      </c>
      <c r="J253">
        <f>MID(D253,FIND(";",SUBSTITUTE(D253,"|",REPT(";",LEN(D253)),2))+1,FIND(";",SUBSTITUTE(D253,"|",REPT(";",LEN(D253)),3))-FIND(";",SUBSTITUTE(D253,"|",REPT(";",LEN(D253)),2))-1)</f>
        <v/>
      </c>
      <c r="K253">
        <f>MID(D253,FIND(";",SUBSTITUTE(D253,"|",REPT(";",LEN(D253)),3))+1,FIND(";",SUBSTITUTE(D253,"|",REPT(";",LEN(D253)),4))-FIND(";",SUBSTITUTE(D253,"|",REPT(";",LEN(D253)),3))-1)</f>
        <v/>
      </c>
      <c r="M253">
        <f>MID(D253,FIND(";",SUBSTITUTE(D253,"|",REPT(";",LEN(D253)),4))+1,FIND(";",SUBSTITUTE(D253,"|",REPT(";",LEN(D253)),5))-FIND(";",SUBSTITUTE(D253,"|",REPT(";",LEN(D253)),4))-1)</f>
        <v/>
      </c>
      <c r="Q253">
        <f>MID(D253,FIND(";",SUBSTITUTE(D253,"|",REPT(";",LEN(D253)),5))+1,LEN(D253))</f>
        <v/>
      </c>
    </row>
    <row r="254">
      <c r="A254" t="inlineStr">
        <is>
          <t>100201</t>
        </is>
      </c>
      <c r="B254" t="inlineStr">
        <is>
          <t>圆钢</t>
        </is>
      </c>
      <c r="C254" t="inlineStr">
        <is>
          <t>601317900</t>
        </is>
      </c>
      <c r="D254" t="inlineStr">
        <is>
          <t>优质碳素结构圆钢|圆钢|45|Φ140|空</t>
        </is>
      </c>
      <c r="E254" t="inlineStr">
        <is>
          <t xml:space="preserve">物资名称 优质碳素结构圆钢;物资简称 圆钢;牌号 45;直径 Φ140;技术标准号 空;加工工艺 ;热处理工艺 ;特殊要求 ;规格标准号 </t>
        </is>
      </c>
      <c r="F254" t="inlineStr">
        <is>
          <t>千克</t>
        </is>
      </c>
      <c r="G254">
        <f>LEFT(D254,FIND("|",D254,1)-1)</f>
        <v/>
      </c>
      <c r="H254">
        <f>MID(D254,FIND("|",D254,FIND("|",D254,1))+1,FIND("|",D254,FIND("|",D254,1)+1)-FIND("|",D254,FIND("|",D254,1))-1)</f>
        <v/>
      </c>
      <c r="J254">
        <f>MID(D254,FIND(";",SUBSTITUTE(D254,"|",REPT(";",LEN(D254)),2))+1,FIND(";",SUBSTITUTE(D254,"|",REPT(";",LEN(D254)),3))-FIND(";",SUBSTITUTE(D254,"|",REPT(";",LEN(D254)),2))-1)</f>
        <v/>
      </c>
      <c r="K254">
        <f>MID(D254,FIND(";",SUBSTITUTE(D254,"|",REPT(";",LEN(D254)),3))+1,FIND(";",SUBSTITUTE(D254,"|",REPT(";",LEN(D254)),4))-FIND(";",SUBSTITUTE(D254,"|",REPT(";",LEN(D254)),3))-1)</f>
        <v/>
      </c>
      <c r="M254">
        <f>MID(D254,FIND(";",SUBSTITUTE(D254,"|",REPT(";",LEN(D254)),4))+1,LEN(D254))</f>
        <v/>
      </c>
    </row>
    <row r="255">
      <c r="A255" t="inlineStr">
        <is>
          <t>100201</t>
        </is>
      </c>
      <c r="B255" t="inlineStr">
        <is>
          <t>圆钢</t>
        </is>
      </c>
      <c r="C255" t="inlineStr">
        <is>
          <t>601317800</t>
        </is>
      </c>
      <c r="D255" t="inlineStr">
        <is>
          <t>优质碳素结构圆钢|圆钢|45|Φ180|空</t>
        </is>
      </c>
      <c r="E255" t="inlineStr">
        <is>
          <t xml:space="preserve">物资名称 优质碳素结构圆钢;物资简称 圆钢;牌号 45;直径 Φ180;技术标准号 空;加工工艺 ;热处理工艺 ;特殊要求 ;规格标准号 </t>
        </is>
      </c>
      <c r="F255" t="inlineStr">
        <is>
          <t>千克</t>
        </is>
      </c>
      <c r="G255">
        <f>LEFT(D255,FIND("|",D255,1)-1)</f>
        <v/>
      </c>
      <c r="H255">
        <f>MID(D255,FIND("|",D255,FIND("|",D255,1))+1,FIND("|",D255,FIND("|",D255,1)+1)-FIND("|",D255,FIND("|",D255,1))-1)</f>
        <v/>
      </c>
      <c r="J255">
        <f>MID(D255,FIND(";",SUBSTITUTE(D255,"|",REPT(";",LEN(D255)),2))+1,FIND(";",SUBSTITUTE(D255,"|",REPT(";",LEN(D255)),3))-FIND(";",SUBSTITUTE(D255,"|",REPT(";",LEN(D255)),2))-1)</f>
        <v/>
      </c>
      <c r="K255">
        <f>MID(D255,FIND(";",SUBSTITUTE(D255,"|",REPT(";",LEN(D255)),3))+1,FIND(";",SUBSTITUTE(D255,"|",REPT(";",LEN(D255)),4))-FIND(";",SUBSTITUTE(D255,"|",REPT(";",LEN(D255)),3))-1)</f>
        <v/>
      </c>
      <c r="M255">
        <f>MID(D255,FIND(";",SUBSTITUTE(D255,"|",REPT(";",LEN(D255)),4))+1,LEN(D255))</f>
        <v/>
      </c>
    </row>
    <row r="256">
      <c r="A256" t="inlineStr">
        <is>
          <t>100201</t>
        </is>
      </c>
      <c r="B256" t="inlineStr">
        <is>
          <t>圆钢</t>
        </is>
      </c>
      <c r="C256" t="inlineStr">
        <is>
          <t>601317700</t>
        </is>
      </c>
      <c r="D256" t="inlineStr">
        <is>
          <t>优质碳素结构圆钢|圆钢|45|Φ230|空</t>
        </is>
      </c>
      <c r="E256" t="inlineStr">
        <is>
          <t xml:space="preserve">物资名称 优质碳素结构圆钢;物资简称 圆钢;牌号 45;直径 Φ230;技术标准号 空;加工工艺 ;热处理工艺 ;特殊要求 ;规格标准号 </t>
        </is>
      </c>
      <c r="F256" t="inlineStr">
        <is>
          <t>千克</t>
        </is>
      </c>
      <c r="G256">
        <f>LEFT(D256,FIND("|",D256,1)-1)</f>
        <v/>
      </c>
      <c r="H256">
        <f>MID(D256,FIND("|",D256,FIND("|",D256,1))+1,FIND("|",D256,FIND("|",D256,1)+1)-FIND("|",D256,FIND("|",D256,1))-1)</f>
        <v/>
      </c>
      <c r="J256">
        <f>MID(D256,FIND(";",SUBSTITUTE(D256,"|",REPT(";",LEN(D256)),2))+1,FIND(";",SUBSTITUTE(D256,"|",REPT(";",LEN(D256)),3))-FIND(";",SUBSTITUTE(D256,"|",REPT(";",LEN(D256)),2))-1)</f>
        <v/>
      </c>
      <c r="K256">
        <f>MID(D256,FIND(";",SUBSTITUTE(D256,"|",REPT(";",LEN(D256)),3))+1,FIND(";",SUBSTITUTE(D256,"|",REPT(";",LEN(D256)),4))-FIND(";",SUBSTITUTE(D256,"|",REPT(";",LEN(D256)),3))-1)</f>
        <v/>
      </c>
      <c r="M256">
        <f>MID(D256,FIND(";",SUBSTITUTE(D256,"|",REPT(";",LEN(D256)),4))+1,LEN(D256))</f>
        <v/>
      </c>
    </row>
    <row r="257">
      <c r="A257" t="inlineStr">
        <is>
          <t>100201</t>
        </is>
      </c>
      <c r="B257" t="inlineStr">
        <is>
          <t>圆钢</t>
        </is>
      </c>
      <c r="C257" t="inlineStr">
        <is>
          <t>601317600</t>
        </is>
      </c>
      <c r="D257" t="inlineStr">
        <is>
          <t>优质碳素结构圆钢|圆钢|45|Φ270|空</t>
        </is>
      </c>
      <c r="E257" t="inlineStr">
        <is>
          <t xml:space="preserve">物资名称 优质碳素结构圆钢;物资简称 圆钢;牌号 45;直径 Φ270;技术标准号 空;加工工艺 ;热处理工艺 ;特殊要求 ;规格标准号 </t>
        </is>
      </c>
      <c r="F257" t="inlineStr">
        <is>
          <t>千克</t>
        </is>
      </c>
      <c r="G257">
        <f>LEFT(D257,FIND("|",D257,1)-1)</f>
        <v/>
      </c>
      <c r="H257">
        <f>MID(D257,FIND("|",D257,FIND("|",D257,1))+1,FIND("|",D257,FIND("|",D257,1)+1)-FIND("|",D257,FIND("|",D257,1))-1)</f>
        <v/>
      </c>
      <c r="J257">
        <f>MID(D257,FIND(";",SUBSTITUTE(D257,"|",REPT(";",LEN(D257)),2))+1,FIND(";",SUBSTITUTE(D257,"|",REPT(";",LEN(D257)),3))-FIND(";",SUBSTITUTE(D257,"|",REPT(";",LEN(D257)),2))-1)</f>
        <v/>
      </c>
      <c r="K257">
        <f>MID(D257,FIND(";",SUBSTITUTE(D257,"|",REPT(";",LEN(D257)),3))+1,FIND(";",SUBSTITUTE(D257,"|",REPT(";",LEN(D257)),4))-FIND(";",SUBSTITUTE(D257,"|",REPT(";",LEN(D257)),3))-1)</f>
        <v/>
      </c>
      <c r="M257">
        <f>MID(D257,FIND(";",SUBSTITUTE(D257,"|",REPT(";",LEN(D257)),4))+1,LEN(D257))</f>
        <v/>
      </c>
    </row>
    <row r="258">
      <c r="A258" t="inlineStr">
        <is>
          <t>100201</t>
        </is>
      </c>
      <c r="B258" t="inlineStr">
        <is>
          <t>圆钢</t>
        </is>
      </c>
      <c r="C258" t="inlineStr">
        <is>
          <t>601317500</t>
        </is>
      </c>
      <c r="D258" t="inlineStr">
        <is>
          <t>优质碳素结构圆钢|圆钢|45|Φ300|空</t>
        </is>
      </c>
      <c r="E258" t="inlineStr">
        <is>
          <t xml:space="preserve">物资名称 优质碳素结构圆钢;物资简称 圆钢;牌号 45;直径 Φ300;技术标准号 空;加工工艺 ;热处理工艺 ;特殊要求 ;规格标准号 </t>
        </is>
      </c>
      <c r="F258" t="inlineStr">
        <is>
          <t>千克</t>
        </is>
      </c>
      <c r="G258">
        <f>LEFT(D258,FIND("|",D258,1)-1)</f>
        <v/>
      </c>
      <c r="H258">
        <f>MID(D258,FIND("|",D258,FIND("|",D258,1))+1,FIND("|",D258,FIND("|",D258,1)+1)-FIND("|",D258,FIND("|",D258,1))-1)</f>
        <v/>
      </c>
      <c r="J258">
        <f>MID(D258,FIND(";",SUBSTITUTE(D258,"|",REPT(";",LEN(D258)),2))+1,FIND(";",SUBSTITUTE(D258,"|",REPT(";",LEN(D258)),3))-FIND(";",SUBSTITUTE(D258,"|",REPT(";",LEN(D258)),2))-1)</f>
        <v/>
      </c>
      <c r="K258">
        <f>MID(D258,FIND(";",SUBSTITUTE(D258,"|",REPT(";",LEN(D258)),3))+1,FIND(";",SUBSTITUTE(D258,"|",REPT(";",LEN(D258)),4))-FIND(";",SUBSTITUTE(D258,"|",REPT(";",LEN(D258)),3))-1)</f>
        <v/>
      </c>
      <c r="M258">
        <f>MID(D258,FIND(";",SUBSTITUTE(D258,"|",REPT(";",LEN(D258)),4))+1,LEN(D258))</f>
        <v/>
      </c>
    </row>
    <row r="259">
      <c r="A259" t="inlineStr">
        <is>
          <t>100201</t>
        </is>
      </c>
      <c r="B259" t="inlineStr">
        <is>
          <t>圆钢</t>
        </is>
      </c>
      <c r="C259" t="inlineStr">
        <is>
          <t>601317400</t>
        </is>
      </c>
      <c r="D259" t="inlineStr">
        <is>
          <t>优质碳素结构圆钢|圆钢|45|Φ36|空</t>
        </is>
      </c>
      <c r="E259" t="inlineStr">
        <is>
          <t xml:space="preserve">物资名称 优质碳素结构圆钢;物资简称 圆钢;牌号 45;直径 Φ36;技术标准号 空;加工工艺 ;热处理工艺 ;特殊要求 ;规格标准号 </t>
        </is>
      </c>
      <c r="F259" t="inlineStr">
        <is>
          <t>千克</t>
        </is>
      </c>
      <c r="G259">
        <f>LEFT(D259,FIND("|",D259,1)-1)</f>
        <v/>
      </c>
      <c r="H259">
        <f>MID(D259,FIND("|",D259,FIND("|",D259,1))+1,FIND("|",D259,FIND("|",D259,1)+1)-FIND("|",D259,FIND("|",D259,1))-1)</f>
        <v/>
      </c>
      <c r="J259">
        <f>MID(D259,FIND(";",SUBSTITUTE(D259,"|",REPT(";",LEN(D259)),2))+1,FIND(";",SUBSTITUTE(D259,"|",REPT(";",LEN(D259)),3))-FIND(";",SUBSTITUTE(D259,"|",REPT(";",LEN(D259)),2))-1)</f>
        <v/>
      </c>
      <c r="K259">
        <f>MID(D259,FIND(";",SUBSTITUTE(D259,"|",REPT(";",LEN(D259)),3))+1,FIND(";",SUBSTITUTE(D259,"|",REPT(";",LEN(D259)),4))-FIND(";",SUBSTITUTE(D259,"|",REPT(";",LEN(D259)),3))-1)</f>
        <v/>
      </c>
      <c r="M259">
        <f>MID(D259,FIND(";",SUBSTITUTE(D259,"|",REPT(";",LEN(D259)),4))+1,LEN(D259))</f>
        <v/>
      </c>
    </row>
    <row r="260">
      <c r="A260" t="inlineStr">
        <is>
          <t>100201</t>
        </is>
      </c>
      <c r="B260" t="inlineStr">
        <is>
          <t>圆钢</t>
        </is>
      </c>
      <c r="C260" t="inlineStr">
        <is>
          <t>601317300</t>
        </is>
      </c>
      <c r="D260" t="inlineStr">
        <is>
          <t>优质碳素结构圆钢|圆钢|45|Φ60|空</t>
        </is>
      </c>
      <c r="E260" t="inlineStr">
        <is>
          <t xml:space="preserve">物资名称 优质碳素结构圆钢;物资简称 圆钢;牌号 45;直径 Φ60;技术标准号 空;加工工艺 ;热处理工艺 ;特殊要求 ;规格标准号 </t>
        </is>
      </c>
      <c r="F260" t="inlineStr">
        <is>
          <t>千克</t>
        </is>
      </c>
      <c r="G260">
        <f>LEFT(D260,FIND("|",D260,1)-1)</f>
        <v/>
      </c>
      <c r="H260">
        <f>MID(D260,FIND("|",D260,FIND("|",D260,1))+1,FIND("|",D260,FIND("|",D260,1)+1)-FIND("|",D260,FIND("|",D260,1))-1)</f>
        <v/>
      </c>
      <c r="J260">
        <f>MID(D260,FIND(";",SUBSTITUTE(D260,"|",REPT(";",LEN(D260)),2))+1,FIND(";",SUBSTITUTE(D260,"|",REPT(";",LEN(D260)),3))-FIND(";",SUBSTITUTE(D260,"|",REPT(";",LEN(D260)),2))-1)</f>
        <v/>
      </c>
      <c r="K260">
        <f>MID(D260,FIND(";",SUBSTITUTE(D260,"|",REPT(";",LEN(D260)),3))+1,FIND(";",SUBSTITUTE(D260,"|",REPT(";",LEN(D260)),4))-FIND(";",SUBSTITUTE(D260,"|",REPT(";",LEN(D260)),3))-1)</f>
        <v/>
      </c>
      <c r="M260">
        <f>MID(D260,FIND(";",SUBSTITUTE(D260,"|",REPT(";",LEN(D260)),4))+1,LEN(D260))</f>
        <v/>
      </c>
    </row>
    <row r="261">
      <c r="A261" t="inlineStr">
        <is>
          <t>100201</t>
        </is>
      </c>
      <c r="B261" t="inlineStr">
        <is>
          <t>圆钢</t>
        </is>
      </c>
      <c r="C261" t="inlineStr">
        <is>
          <t>601317200</t>
        </is>
      </c>
      <c r="D261" t="inlineStr">
        <is>
          <t>优质碳素结构圆钢|圆钢|45|Φ85|空</t>
        </is>
      </c>
      <c r="E261" t="inlineStr">
        <is>
          <t xml:space="preserve">物资名称 优质碳素结构圆钢;物资简称 圆钢;牌号 45;直径 Φ85;技术标准号 空;加工工艺 ;热处理工艺 ;特殊要求 ;规格标准号 </t>
        </is>
      </c>
      <c r="F261" t="inlineStr">
        <is>
          <t>千克</t>
        </is>
      </c>
      <c r="G261">
        <f>LEFT(D261,FIND("|",D261,1)-1)</f>
        <v/>
      </c>
      <c r="H261">
        <f>MID(D261,FIND("|",D261,FIND("|",D261,1))+1,FIND("|",D261,FIND("|",D261,1)+1)-FIND("|",D261,FIND("|",D261,1))-1)</f>
        <v/>
      </c>
      <c r="J261">
        <f>MID(D261,FIND(";",SUBSTITUTE(D261,"|",REPT(";",LEN(D261)),2))+1,FIND(";",SUBSTITUTE(D261,"|",REPT(";",LEN(D261)),3))-FIND(";",SUBSTITUTE(D261,"|",REPT(";",LEN(D261)),2))-1)</f>
        <v/>
      </c>
      <c r="K261">
        <f>MID(D261,FIND(";",SUBSTITUTE(D261,"|",REPT(";",LEN(D261)),3))+1,FIND(";",SUBSTITUTE(D261,"|",REPT(";",LEN(D261)),4))-FIND(";",SUBSTITUTE(D261,"|",REPT(";",LEN(D261)),3))-1)</f>
        <v/>
      </c>
      <c r="M261">
        <f>MID(D261,FIND(";",SUBSTITUTE(D261,"|",REPT(";",LEN(D261)),4))+1,LEN(D261))</f>
        <v/>
      </c>
    </row>
    <row r="262">
      <c r="A262" t="inlineStr">
        <is>
          <t>100201</t>
        </is>
      </c>
      <c r="B262" t="inlineStr">
        <is>
          <t>圆钢</t>
        </is>
      </c>
      <c r="C262" t="inlineStr">
        <is>
          <t>601317100</t>
        </is>
      </c>
      <c r="D262" t="inlineStr">
        <is>
          <t>优质碳素结构圆钢|圆钢|CK22|Φ70|空</t>
        </is>
      </c>
      <c r="E262" t="inlineStr">
        <is>
          <t xml:space="preserve">物资名称 优质碳素结构圆钢;物资简称 圆钢;牌号 CK22;直径 Φ70;技术标准号 空;加工工艺 ;热处理工艺 ;特殊要求 ;规格标准号 </t>
        </is>
      </c>
      <c r="F262" t="inlineStr">
        <is>
          <t>千克</t>
        </is>
      </c>
      <c r="G262">
        <f>LEFT(D262,FIND("|",D262,1)-1)</f>
        <v/>
      </c>
      <c r="H262">
        <f>MID(D262,FIND("|",D262,FIND("|",D262,1))+1,FIND("|",D262,FIND("|",D262,1)+1)-FIND("|",D262,FIND("|",D262,1))-1)</f>
        <v/>
      </c>
      <c r="J262">
        <f>MID(D262,FIND(";",SUBSTITUTE(D262,"|",REPT(";",LEN(D262)),2))+1,FIND(";",SUBSTITUTE(D262,"|",REPT(";",LEN(D262)),3))-FIND(";",SUBSTITUTE(D262,"|",REPT(";",LEN(D262)),2))-1)</f>
        <v/>
      </c>
      <c r="K262">
        <f>MID(D262,FIND(";",SUBSTITUTE(D262,"|",REPT(";",LEN(D262)),3))+1,FIND(";",SUBSTITUTE(D262,"|",REPT(";",LEN(D262)),4))-FIND(";",SUBSTITUTE(D262,"|",REPT(";",LEN(D262)),3))-1)</f>
        <v/>
      </c>
      <c r="M262">
        <f>MID(D262,FIND(";",SUBSTITUTE(D262,"|",REPT(";",LEN(D262)),4))+1,LEN(D262))</f>
        <v/>
      </c>
    </row>
    <row r="263">
      <c r="A263" t="inlineStr">
        <is>
          <t>100201</t>
        </is>
      </c>
      <c r="B263" t="inlineStr">
        <is>
          <t>圆钢</t>
        </is>
      </c>
      <c r="C263" t="inlineStr">
        <is>
          <t>601317000</t>
        </is>
      </c>
      <c r="D263" t="inlineStr">
        <is>
          <t>优质碳素结构圆钢|圆钢|20|Φ20|空</t>
        </is>
      </c>
      <c r="E263" t="inlineStr">
        <is>
          <t xml:space="preserve">物资名称 优质碳素结构圆钢;物资简称 圆钢;牌号 20;直径 Φ20;技术标准号 空;加工工艺 ;热处理工艺 ;特殊要求 ;规格标准号 </t>
        </is>
      </c>
      <c r="F263" t="inlineStr">
        <is>
          <t>千克</t>
        </is>
      </c>
      <c r="G263">
        <f>LEFT(D263,FIND("|",D263,1)-1)</f>
        <v/>
      </c>
      <c r="H263">
        <f>MID(D263,FIND("|",D263,FIND("|",D263,1))+1,FIND("|",D263,FIND("|",D263,1)+1)-FIND("|",D263,FIND("|",D263,1))-1)</f>
        <v/>
      </c>
      <c r="J263">
        <f>MID(D263,FIND(";",SUBSTITUTE(D263,"|",REPT(";",LEN(D263)),2))+1,FIND(";",SUBSTITUTE(D263,"|",REPT(";",LEN(D263)),3))-FIND(";",SUBSTITUTE(D263,"|",REPT(";",LEN(D263)),2))-1)</f>
        <v/>
      </c>
      <c r="K263">
        <f>MID(D263,FIND(";",SUBSTITUTE(D263,"|",REPT(";",LEN(D263)),3))+1,FIND(";",SUBSTITUTE(D263,"|",REPT(";",LEN(D263)),4))-FIND(";",SUBSTITUTE(D263,"|",REPT(";",LEN(D263)),3))-1)</f>
        <v/>
      </c>
      <c r="M263">
        <f>MID(D263,FIND(";",SUBSTITUTE(D263,"|",REPT(";",LEN(D263)),4))+1,LEN(D263))</f>
        <v/>
      </c>
    </row>
    <row r="264">
      <c r="A264" t="inlineStr">
        <is>
          <t>100201</t>
        </is>
      </c>
      <c r="B264" t="inlineStr">
        <is>
          <t>圆钢</t>
        </is>
      </c>
      <c r="C264" t="inlineStr">
        <is>
          <t>601316900</t>
        </is>
      </c>
      <c r="D264" t="inlineStr">
        <is>
          <t>优质碳素结构圆钢|圆钢|20|Φ26|空</t>
        </is>
      </c>
      <c r="E264" t="inlineStr">
        <is>
          <t xml:space="preserve">物资名称 优质碳素结构圆钢;物资简称 圆钢;牌号 20;直径 Φ26;技术标准号 空;加工工艺 ;热处理工艺 ;特殊要求 ;规格标准号 </t>
        </is>
      </c>
      <c r="F264" t="inlineStr">
        <is>
          <t>千克</t>
        </is>
      </c>
      <c r="G264">
        <f>LEFT(D264,FIND("|",D264,1)-1)</f>
        <v/>
      </c>
      <c r="H264">
        <f>MID(D264,FIND("|",D264,FIND("|",D264,1))+1,FIND("|",D264,FIND("|",D264,1)+1)-FIND("|",D264,FIND("|",D264,1))-1)</f>
        <v/>
      </c>
      <c r="J264">
        <f>MID(D264,FIND(";",SUBSTITUTE(D264,"|",REPT(";",LEN(D264)),2))+1,FIND(";",SUBSTITUTE(D264,"|",REPT(";",LEN(D264)),3))-FIND(";",SUBSTITUTE(D264,"|",REPT(";",LEN(D264)),2))-1)</f>
        <v/>
      </c>
      <c r="K264">
        <f>MID(D264,FIND(";",SUBSTITUTE(D264,"|",REPT(";",LEN(D264)),3))+1,FIND(";",SUBSTITUTE(D264,"|",REPT(";",LEN(D264)),4))-FIND(";",SUBSTITUTE(D264,"|",REPT(";",LEN(D264)),3))-1)</f>
        <v/>
      </c>
      <c r="M264">
        <f>MID(D264,FIND(";",SUBSTITUTE(D264,"|",REPT(";",LEN(D264)),4))+1,LEN(D264))</f>
        <v/>
      </c>
    </row>
    <row r="265">
      <c r="A265" t="inlineStr">
        <is>
          <t>100201</t>
        </is>
      </c>
      <c r="B265" t="inlineStr">
        <is>
          <t>圆钢</t>
        </is>
      </c>
      <c r="C265" t="inlineStr">
        <is>
          <t>601316800</t>
        </is>
      </c>
      <c r="D265" t="inlineStr">
        <is>
          <t>优质碳素结构圆钢|圆钢|20|Φ8|空|天鸟</t>
        </is>
      </c>
      <c r="E265" t="inlineStr">
        <is>
          <t xml:space="preserve">物资名称 优质碳素结构圆钢;物资简称 圆钢;牌号 20;直径 Φ8;技术标准号 空;加工工艺 ;热处理工艺 ;特殊要求 天鸟;规格标准号 </t>
        </is>
      </c>
      <c r="F265" t="inlineStr">
        <is>
          <t>千克</t>
        </is>
      </c>
      <c r="G265">
        <f>LEFT(D265,FIND("|",D265,1)-1)</f>
        <v/>
      </c>
      <c r="H265">
        <f>MID(D265,FIND("|",D265,FIND("|",D265,1))+1,FIND("|",D265,FIND("|",D265,1)+1)-FIND("|",D265,FIND("|",D265,1))-1)</f>
        <v/>
      </c>
      <c r="J265">
        <f>MID(D265,FIND(";",SUBSTITUTE(D265,"|",REPT(";",LEN(D265)),2))+1,FIND(";",SUBSTITUTE(D265,"|",REPT(";",LEN(D265)),3))-FIND(";",SUBSTITUTE(D265,"|",REPT(";",LEN(D265)),2))-1)</f>
        <v/>
      </c>
      <c r="K265">
        <f>MID(D265,FIND(";",SUBSTITUTE(D265,"|",REPT(";",LEN(D265)),3))+1,FIND(";",SUBSTITUTE(D265,"|",REPT(";",LEN(D265)),4))-FIND(";",SUBSTITUTE(D265,"|",REPT(";",LEN(D265)),3))-1)</f>
        <v/>
      </c>
      <c r="M265">
        <f>MID(D265,FIND(";",SUBSTITUTE(D265,"|",REPT(";",LEN(D265)),4))+1,FIND(";",SUBSTITUTE(D265,"|",REPT(";",LEN(D265)),5))-FIND(";",SUBSTITUTE(D265,"|",REPT(";",LEN(D265)),4))-1)</f>
        <v/>
      </c>
      <c r="Q265">
        <f>MID(D265,FIND(";",SUBSTITUTE(D265,"|",REPT(";",LEN(D265)),5))+1,LEN(D265))</f>
        <v/>
      </c>
    </row>
    <row r="266">
      <c r="A266" t="inlineStr">
        <is>
          <t>100201</t>
        </is>
      </c>
      <c r="B266" t="inlineStr">
        <is>
          <t>圆钢</t>
        </is>
      </c>
      <c r="C266" t="inlineStr">
        <is>
          <t>601316700</t>
        </is>
      </c>
      <c r="D266" t="inlineStr">
        <is>
          <t>优质碳素结构圆钢|圆钢|45|Φ27|空</t>
        </is>
      </c>
      <c r="E266" t="inlineStr">
        <is>
          <t xml:space="preserve">物资名称 优质碳素结构圆钢;物资简称 圆钢;牌号 45;直径 Φ27;技术标准号 空;加工工艺 ;热处理工艺 ;特殊要求 ;规格标准号 </t>
        </is>
      </c>
      <c r="F266" t="inlineStr">
        <is>
          <t>千克</t>
        </is>
      </c>
      <c r="G266">
        <f>LEFT(D266,FIND("|",D266,1)-1)</f>
        <v/>
      </c>
      <c r="H266">
        <f>MID(D266,FIND("|",D266,FIND("|",D266,1))+1,FIND("|",D266,FIND("|",D266,1)+1)-FIND("|",D266,FIND("|",D266,1))-1)</f>
        <v/>
      </c>
      <c r="J266">
        <f>MID(D266,FIND(";",SUBSTITUTE(D266,"|",REPT(";",LEN(D266)),2))+1,FIND(";",SUBSTITUTE(D266,"|",REPT(";",LEN(D266)),3))-FIND(";",SUBSTITUTE(D266,"|",REPT(";",LEN(D266)),2))-1)</f>
        <v/>
      </c>
      <c r="K266">
        <f>MID(D266,FIND(";",SUBSTITUTE(D266,"|",REPT(";",LEN(D266)),3))+1,FIND(";",SUBSTITUTE(D266,"|",REPT(";",LEN(D266)),4))-FIND(";",SUBSTITUTE(D266,"|",REPT(";",LEN(D266)),3))-1)</f>
        <v/>
      </c>
      <c r="M266">
        <f>MID(D266,FIND(";",SUBSTITUTE(D266,"|",REPT(";",LEN(D266)),4))+1,LEN(D266))</f>
        <v/>
      </c>
    </row>
    <row r="267">
      <c r="A267" t="inlineStr">
        <is>
          <t>100201</t>
        </is>
      </c>
      <c r="B267" t="inlineStr">
        <is>
          <t>圆钢</t>
        </is>
      </c>
      <c r="C267" t="inlineStr">
        <is>
          <t>601316600</t>
        </is>
      </c>
      <c r="D267" t="inlineStr">
        <is>
          <t>优质碳素结构圆钢|圆钢|45|Φ8|空</t>
        </is>
      </c>
      <c r="E267" t="inlineStr">
        <is>
          <t xml:space="preserve">物资名称 优质碳素结构圆钢;物资简称 圆钢;牌号 45;直径 Φ8;技术标准号 空;加工工艺 ;热处理工艺 ;特殊要求 ;规格标准号 </t>
        </is>
      </c>
      <c r="F267" t="inlineStr">
        <is>
          <t>千克</t>
        </is>
      </c>
      <c r="G267">
        <f>LEFT(D267,FIND("|",D267,1)-1)</f>
        <v/>
      </c>
      <c r="H267">
        <f>MID(D267,FIND("|",D267,FIND("|",D267,1))+1,FIND("|",D267,FIND("|",D267,1)+1)-FIND("|",D267,FIND("|",D267,1))-1)</f>
        <v/>
      </c>
      <c r="J267">
        <f>MID(D267,FIND(";",SUBSTITUTE(D267,"|",REPT(";",LEN(D267)),2))+1,FIND(";",SUBSTITUTE(D267,"|",REPT(";",LEN(D267)),3))-FIND(";",SUBSTITUTE(D267,"|",REPT(";",LEN(D267)),2))-1)</f>
        <v/>
      </c>
      <c r="K267">
        <f>MID(D267,FIND(";",SUBSTITUTE(D267,"|",REPT(";",LEN(D267)),3))+1,FIND(";",SUBSTITUTE(D267,"|",REPT(";",LEN(D267)),4))-FIND(";",SUBSTITUTE(D267,"|",REPT(";",LEN(D267)),3))-1)</f>
        <v/>
      </c>
      <c r="M267">
        <f>MID(D267,FIND(";",SUBSTITUTE(D267,"|",REPT(";",LEN(D267)),4))+1,LEN(D267))</f>
        <v/>
      </c>
    </row>
    <row r="268">
      <c r="A268" t="inlineStr">
        <is>
          <t>100201</t>
        </is>
      </c>
      <c r="B268" t="inlineStr">
        <is>
          <t>圆钢</t>
        </is>
      </c>
      <c r="C268" t="inlineStr">
        <is>
          <t>601316500</t>
        </is>
      </c>
      <c r="D268" t="inlineStr">
        <is>
          <t>易切削结构圆钢|圆钢|Y12|Φ25|空</t>
        </is>
      </c>
      <c r="E268" t="inlineStr">
        <is>
          <t xml:space="preserve">物资名称 易切削结构圆钢;物资简称 圆钢;牌号 Y12;直径 Φ25;技术标准号 空;加工工艺 ;热处理工艺 ;特殊要求 ;规格标准号 </t>
        </is>
      </c>
      <c r="F268" t="inlineStr">
        <is>
          <t>千克</t>
        </is>
      </c>
      <c r="G268">
        <f>LEFT(D268,FIND("|",D268,1)-1)</f>
        <v/>
      </c>
      <c r="H268">
        <f>MID(D268,FIND("|",D268,FIND("|",D268,1))+1,FIND("|",D268,FIND("|",D268,1)+1)-FIND("|",D268,FIND("|",D268,1))-1)</f>
        <v/>
      </c>
      <c r="J268">
        <f>MID(D268,FIND(";",SUBSTITUTE(D268,"|",REPT(";",LEN(D268)),2))+1,FIND(";",SUBSTITUTE(D268,"|",REPT(";",LEN(D268)),3))-FIND(";",SUBSTITUTE(D268,"|",REPT(";",LEN(D268)),2))-1)</f>
        <v/>
      </c>
      <c r="K268">
        <f>MID(D268,FIND(";",SUBSTITUTE(D268,"|",REPT(";",LEN(D268)),3))+1,FIND(";",SUBSTITUTE(D268,"|",REPT(";",LEN(D268)),4))-FIND(";",SUBSTITUTE(D268,"|",REPT(";",LEN(D268)),3))-1)</f>
        <v/>
      </c>
      <c r="M268">
        <f>MID(D268,FIND(";",SUBSTITUTE(D268,"|",REPT(";",LEN(D268)),4))+1,LEN(D268))</f>
        <v/>
      </c>
    </row>
    <row r="269">
      <c r="A269" t="inlineStr">
        <is>
          <t>100201</t>
        </is>
      </c>
      <c r="B269" t="inlineStr">
        <is>
          <t>圆钢</t>
        </is>
      </c>
      <c r="C269" t="inlineStr">
        <is>
          <t>601316400</t>
        </is>
      </c>
      <c r="D269" t="inlineStr">
        <is>
          <t>易切削结构圆钢|圆钢|Y12|Φ8|空</t>
        </is>
      </c>
      <c r="E269" t="inlineStr">
        <is>
          <t xml:space="preserve">物资名称 易切削结构圆钢;物资简称 圆钢;牌号 Y12;直径 Φ8;技术标准号 空;加工工艺 ;热处理工艺 ;特殊要求 ;规格标准号 </t>
        </is>
      </c>
      <c r="F269" t="inlineStr">
        <is>
          <t>千克</t>
        </is>
      </c>
      <c r="G269">
        <f>LEFT(D269,FIND("|",D269,1)-1)</f>
        <v/>
      </c>
      <c r="H269">
        <f>MID(D269,FIND("|",D269,FIND("|",D269,1))+1,FIND("|",D269,FIND("|",D269,1)+1)-FIND("|",D269,FIND("|",D269,1))-1)</f>
        <v/>
      </c>
      <c r="J269">
        <f>MID(D269,FIND(";",SUBSTITUTE(D269,"|",REPT(";",LEN(D269)),2))+1,FIND(";",SUBSTITUTE(D269,"|",REPT(";",LEN(D269)),3))-FIND(";",SUBSTITUTE(D269,"|",REPT(";",LEN(D269)),2))-1)</f>
        <v/>
      </c>
      <c r="K269">
        <f>MID(D269,FIND(";",SUBSTITUTE(D269,"|",REPT(";",LEN(D269)),3))+1,FIND(";",SUBSTITUTE(D269,"|",REPT(";",LEN(D269)),4))-FIND(";",SUBSTITUTE(D269,"|",REPT(";",LEN(D269)),3))-1)</f>
        <v/>
      </c>
      <c r="M269">
        <f>MID(D269,FIND(";",SUBSTITUTE(D269,"|",REPT(";",LEN(D269)),4))+1,LEN(D269))</f>
        <v/>
      </c>
    </row>
    <row r="270">
      <c r="A270" t="inlineStr">
        <is>
          <t>100201</t>
        </is>
      </c>
      <c r="B270" t="inlineStr">
        <is>
          <t>圆钢</t>
        </is>
      </c>
      <c r="C270" t="inlineStr">
        <is>
          <t>601316300</t>
        </is>
      </c>
      <c r="D270" t="inlineStr">
        <is>
          <t>高碳铬轴承圆钢|圆钢|GCr15|Φ12|空</t>
        </is>
      </c>
      <c r="E270" t="inlineStr">
        <is>
          <t xml:space="preserve">物资名称 高碳铬轴承圆钢;物资简称 圆钢;牌号 GCr15;直径 Φ12;技术标准号 空;加工工艺 ;热处理工艺 ;特殊要求 ;规格标准号 </t>
        </is>
      </c>
      <c r="F270" t="inlineStr">
        <is>
          <t>千克</t>
        </is>
      </c>
      <c r="G270">
        <f>LEFT(D270,FIND("|",D270,1)-1)</f>
        <v/>
      </c>
      <c r="H270">
        <f>MID(D270,FIND("|",D270,FIND("|",D270,1))+1,FIND("|",D270,FIND("|",D270,1)+1)-FIND("|",D270,FIND("|",D270,1))-1)</f>
        <v/>
      </c>
      <c r="J270">
        <f>MID(D270,FIND(";",SUBSTITUTE(D270,"|",REPT(";",LEN(D270)),2))+1,FIND(";",SUBSTITUTE(D270,"|",REPT(";",LEN(D270)),3))-FIND(";",SUBSTITUTE(D270,"|",REPT(";",LEN(D270)),2))-1)</f>
        <v/>
      </c>
      <c r="K270">
        <f>MID(D270,FIND(";",SUBSTITUTE(D270,"|",REPT(";",LEN(D270)),3))+1,FIND(";",SUBSTITUTE(D270,"|",REPT(";",LEN(D270)),4))-FIND(";",SUBSTITUTE(D270,"|",REPT(";",LEN(D270)),3))-1)</f>
        <v/>
      </c>
      <c r="M270">
        <f>MID(D270,FIND(";",SUBSTITUTE(D270,"|",REPT(";",LEN(D270)),4))+1,LEN(D270))</f>
        <v/>
      </c>
    </row>
    <row r="271">
      <c r="A271" t="inlineStr">
        <is>
          <t>100201</t>
        </is>
      </c>
      <c r="B271" t="inlineStr">
        <is>
          <t>圆钢</t>
        </is>
      </c>
      <c r="C271" t="inlineStr">
        <is>
          <t>601316200</t>
        </is>
      </c>
      <c r="D271" t="inlineStr">
        <is>
          <t>高碳铬轴承圆钢|圆钢|GCr15|Φ90|空</t>
        </is>
      </c>
      <c r="E271" t="inlineStr">
        <is>
          <t xml:space="preserve">物资名称 高碳铬轴承圆钢;物资简称 圆钢;牌号 GCr15;直径 Φ90;技术标准号 空;加工工艺 ;热处理工艺 ;特殊要求 ;规格标准号 </t>
        </is>
      </c>
      <c r="F271" t="inlineStr">
        <is>
          <t>千克</t>
        </is>
      </c>
      <c r="G271">
        <f>LEFT(D271,FIND("|",D271,1)-1)</f>
        <v/>
      </c>
      <c r="H271">
        <f>MID(D271,FIND("|",D271,FIND("|",D271,1))+1,FIND("|",D271,FIND("|",D271,1)+1)-FIND("|",D271,FIND("|",D271,1))-1)</f>
        <v/>
      </c>
      <c r="J271">
        <f>MID(D271,FIND(";",SUBSTITUTE(D271,"|",REPT(";",LEN(D271)),2))+1,FIND(";",SUBSTITUTE(D271,"|",REPT(";",LEN(D271)),3))-FIND(";",SUBSTITUTE(D271,"|",REPT(";",LEN(D271)),2))-1)</f>
        <v/>
      </c>
      <c r="K271">
        <f>MID(D271,FIND(";",SUBSTITUTE(D271,"|",REPT(";",LEN(D271)),3))+1,FIND(";",SUBSTITUTE(D271,"|",REPT(";",LEN(D271)),4))-FIND(";",SUBSTITUTE(D271,"|",REPT(";",LEN(D271)),3))-1)</f>
        <v/>
      </c>
      <c r="M271">
        <f>MID(D271,FIND(";",SUBSTITUTE(D271,"|",REPT(";",LEN(D271)),4))+1,LEN(D271))</f>
        <v/>
      </c>
    </row>
    <row r="272">
      <c r="A272" t="inlineStr">
        <is>
          <t>100201</t>
        </is>
      </c>
      <c r="B272" t="inlineStr">
        <is>
          <t>圆钢</t>
        </is>
      </c>
      <c r="C272" t="inlineStr">
        <is>
          <t>601316100</t>
        </is>
      </c>
      <c r="D272" t="inlineStr">
        <is>
          <t>优质碳素结构圆钢|圆钢|45|Φ300|GB/T 699</t>
        </is>
      </c>
      <c r="E272" t="inlineStr">
        <is>
          <t xml:space="preserve">物资名称 优质碳素结构圆钢;物资简称 圆钢;牌号 45;直径 Φ300;技术标准号 GB/T 699;加工工艺 ;热处理工艺 ;特殊要求 ;规格标准号 </t>
        </is>
      </c>
      <c r="F272" t="inlineStr">
        <is>
          <t>千克</t>
        </is>
      </c>
      <c r="G272">
        <f>LEFT(D272,FIND("|",D272,1)-1)</f>
        <v/>
      </c>
      <c r="H272">
        <f>MID(D272,FIND("|",D272,FIND("|",D272,1))+1,FIND("|",D272,FIND("|",D272,1)+1)-FIND("|",D272,FIND("|",D272,1))-1)</f>
        <v/>
      </c>
      <c r="J272">
        <f>MID(D272,FIND(";",SUBSTITUTE(D272,"|",REPT(";",LEN(D272)),2))+1,FIND(";",SUBSTITUTE(D272,"|",REPT(";",LEN(D272)),3))-FIND(";",SUBSTITUTE(D272,"|",REPT(";",LEN(D272)),2))-1)</f>
        <v/>
      </c>
      <c r="K272">
        <f>MID(D272,FIND(";",SUBSTITUTE(D272,"|",REPT(";",LEN(D272)),3))+1,FIND(";",SUBSTITUTE(D272,"|",REPT(";",LEN(D272)),4))-FIND(";",SUBSTITUTE(D272,"|",REPT(";",LEN(D272)),3))-1)</f>
        <v/>
      </c>
      <c r="M272">
        <f>MID(D272,FIND(";",SUBSTITUTE(D272,"|",REPT(";",LEN(D272)),4))+1,LEN(D272))</f>
        <v/>
      </c>
    </row>
    <row r="273">
      <c r="A273" t="inlineStr">
        <is>
          <t>100201</t>
        </is>
      </c>
      <c r="B273" t="inlineStr">
        <is>
          <t>圆钢</t>
        </is>
      </c>
      <c r="C273" t="inlineStr">
        <is>
          <t>601316000</t>
        </is>
      </c>
      <c r="D273" t="inlineStr">
        <is>
          <t>优质碳素结构圆钢|圆钢|45|Φ8|GB/T 699</t>
        </is>
      </c>
      <c r="E273" t="inlineStr">
        <is>
          <t xml:space="preserve">物资名称 优质碳素结构圆钢;物资简称 圆钢;牌号 45;直径 Φ8;技术标准号 GB/T 699;加工工艺 ;热处理工艺 ;特殊要求 ;规格标准号 </t>
        </is>
      </c>
      <c r="F273" t="inlineStr">
        <is>
          <t>千克</t>
        </is>
      </c>
      <c r="G273">
        <f>LEFT(D273,FIND("|",D273,1)-1)</f>
        <v/>
      </c>
      <c r="H273">
        <f>MID(D273,FIND("|",D273,FIND("|",D273,1))+1,FIND("|",D273,FIND("|",D273,1)+1)-FIND("|",D273,FIND("|",D273,1))-1)</f>
        <v/>
      </c>
      <c r="J273">
        <f>MID(D273,FIND(";",SUBSTITUTE(D273,"|",REPT(";",LEN(D273)),2))+1,FIND(";",SUBSTITUTE(D273,"|",REPT(";",LEN(D273)),3))-FIND(";",SUBSTITUTE(D273,"|",REPT(";",LEN(D273)),2))-1)</f>
        <v/>
      </c>
      <c r="K273">
        <f>MID(D273,FIND(";",SUBSTITUTE(D273,"|",REPT(";",LEN(D273)),3))+1,FIND(";",SUBSTITUTE(D273,"|",REPT(";",LEN(D273)),4))-FIND(";",SUBSTITUTE(D273,"|",REPT(";",LEN(D273)),3))-1)</f>
        <v/>
      </c>
      <c r="M273">
        <f>MID(D273,FIND(";",SUBSTITUTE(D273,"|",REPT(";",LEN(D273)),4))+1,LEN(D273))</f>
        <v/>
      </c>
    </row>
    <row r="274">
      <c r="A274" t="inlineStr">
        <is>
          <t>100201</t>
        </is>
      </c>
      <c r="B274" t="inlineStr">
        <is>
          <t>圆钢</t>
        </is>
      </c>
      <c r="C274" t="inlineStr">
        <is>
          <t>601315900</t>
        </is>
      </c>
      <c r="D274" t="inlineStr">
        <is>
          <t>锻制航空航天用超高强度圆钢|圆钢|45CrNiMo1VA|Φ195|GJB 5063-2001|锻制|GB/T 908-2008</t>
        </is>
      </c>
      <c r="E274" t="inlineStr">
        <is>
          <t>物资名称 锻制航空航天用超高强度圆钢;物资简称 圆钢;牌号 45CrNiMo1VA;直径 Φ195;技术标准号 GJB 5063-2001;加工工艺 锻制;热处理工艺 ;特殊要求 ;规格标准号 GB/T 908-2008</t>
        </is>
      </c>
      <c r="F274" t="inlineStr">
        <is>
          <t>千克</t>
        </is>
      </c>
      <c r="G274">
        <f>LEFT(D274,FIND("|",D274,1)-1)</f>
        <v/>
      </c>
      <c r="H274">
        <f>MID(D274,FIND("|",D274,FIND("|",D274,1))+1,FIND("|",D274,FIND("|",D274,1)+1)-FIND("|",D274,FIND("|",D274,1))-1)</f>
        <v/>
      </c>
      <c r="J274">
        <f>MID(D274,FIND(";",SUBSTITUTE(D274,"|",REPT(";",LEN(D274)),2))+1,FIND(";",SUBSTITUTE(D274,"|",REPT(";",LEN(D274)),3))-FIND(";",SUBSTITUTE(D274,"|",REPT(";",LEN(D274)),2))-1)</f>
        <v/>
      </c>
      <c r="K274">
        <f>MID(D274,FIND(";",SUBSTITUTE(D274,"|",REPT(";",LEN(D274)),3))+1,FIND(";",SUBSTITUTE(D274,"|",REPT(";",LEN(D274)),4))-FIND(";",SUBSTITUTE(D274,"|",REPT(";",LEN(D274)),3))-1)</f>
        <v/>
      </c>
      <c r="M274">
        <f>MID(D274,FIND(";",SUBSTITUTE(D274,"|",REPT(";",LEN(D274)),4))+1,FIND(";",SUBSTITUTE(D274,"|",REPT(";",LEN(D274)),5))-FIND(";",SUBSTITUTE(D274,"|",REPT(";",LEN(D274)),4))-1)</f>
        <v/>
      </c>
      <c r="N274">
        <f>MID(D274,FIND(";",SUBSTITUTE(D274,"|",REPT(";",LEN(D274)),6))+1,LEN(D274))</f>
        <v/>
      </c>
      <c r="O274">
        <f>MID(D274,FIND(";",SUBSTITUTE(D274,"|",REPT(";",LEN(D274)),5))+1,FIND(";",SUBSTITUTE(D274,"|",REPT(";",LEN(D274)),6))-FIND(";",SUBSTITUTE(D274,"|",REPT(";",LEN(D274)),5))-1)</f>
        <v/>
      </c>
    </row>
    <row r="275">
      <c r="A275" t="inlineStr">
        <is>
          <t>100201</t>
        </is>
      </c>
      <c r="B275" t="inlineStr">
        <is>
          <t>圆钢</t>
        </is>
      </c>
      <c r="C275" t="inlineStr">
        <is>
          <t>601018500</t>
        </is>
      </c>
      <c r="D275" t="inlineStr">
        <is>
          <t>热轧优质碳素结构圆钢|圆钢|45|Φ300|GB/T 699-1999|热轧|GB/T 702-2008</t>
        </is>
      </c>
      <c r="E275" t="inlineStr">
        <is>
          <t>物资名称 热轧优质碳素结构圆钢;物资简称 圆钢;牌号 45;直径 Φ300;技术标准号 GB/T 699-1999;加工工艺 热轧;热处理工艺 ;特殊要求 ;规格标准号 GB/T 702-2008</t>
        </is>
      </c>
      <c r="F275" t="inlineStr">
        <is>
          <t>千克</t>
        </is>
      </c>
      <c r="G275">
        <f>LEFT(D275,FIND("|",D275,1)-1)</f>
        <v/>
      </c>
      <c r="H275">
        <f>MID(D275,FIND("|",D275,FIND("|",D275,1))+1,FIND("|",D275,FIND("|",D275,1)+1)-FIND("|",D275,FIND("|",D275,1))-1)</f>
        <v/>
      </c>
      <c r="J275">
        <f>MID(D275,FIND(";",SUBSTITUTE(D275,"|",REPT(";",LEN(D275)),2))+1,FIND(";",SUBSTITUTE(D275,"|",REPT(";",LEN(D275)),3))-FIND(";",SUBSTITUTE(D275,"|",REPT(";",LEN(D275)),2))-1)</f>
        <v/>
      </c>
      <c r="K275">
        <f>MID(D275,FIND(";",SUBSTITUTE(D275,"|",REPT(";",LEN(D275)),3))+1,FIND(";",SUBSTITUTE(D275,"|",REPT(";",LEN(D275)),4))-FIND(";",SUBSTITUTE(D275,"|",REPT(";",LEN(D275)),3))-1)</f>
        <v/>
      </c>
      <c r="M275">
        <f>MID(D275,FIND(";",SUBSTITUTE(D275,"|",REPT(";",LEN(D275)),4))+1,FIND(";",SUBSTITUTE(D275,"|",REPT(";",LEN(D275)),5))-FIND(";",SUBSTITUTE(D275,"|",REPT(";",LEN(D275)),4))-1)</f>
        <v/>
      </c>
      <c r="N275">
        <f>MID(D275,FIND(";",SUBSTITUTE(D275,"|",REPT(";",LEN(D275)),6))+1,LEN(D275))</f>
        <v/>
      </c>
      <c r="O275">
        <f>MID(D275,FIND(";",SUBSTITUTE(D275,"|",REPT(";",LEN(D275)),5))+1,FIND(";",SUBSTITUTE(D275,"|",REPT(";",LEN(D275)),6))-FIND(";",SUBSTITUTE(D275,"|",REPT(";",LEN(D275)),5))-1)</f>
        <v/>
      </c>
    </row>
    <row r="276">
      <c r="A276" t="inlineStr">
        <is>
          <t>100201</t>
        </is>
      </c>
      <c r="B276" t="inlineStr">
        <is>
          <t>圆钢</t>
        </is>
      </c>
      <c r="C276" t="inlineStr">
        <is>
          <t>601009600</t>
        </is>
      </c>
      <c r="D276" t="inlineStr">
        <is>
          <t>热轧合金结构圆钢|圆钢|40Cr|Φ85|GB/T 3077-1999|热轧|GB/T 702-2008</t>
        </is>
      </c>
      <c r="E276" t="inlineStr">
        <is>
          <t>物资名称 热轧合金结构圆钢;物资简称 圆钢;牌号 40Cr;直径 Φ85;技术标准号 GB/T 3077-1999;加工工艺 热轧;热处理工艺 ;特殊要求 ;规格标准号 GB/T 702-2008</t>
        </is>
      </c>
      <c r="F276" t="inlineStr">
        <is>
          <t>千克</t>
        </is>
      </c>
      <c r="G276">
        <f>LEFT(D276,FIND("|",D276,1)-1)</f>
        <v/>
      </c>
      <c r="H276">
        <f>MID(D276,FIND("|",D276,FIND("|",D276,1))+1,FIND("|",D276,FIND("|",D276,1)+1)-FIND("|",D276,FIND("|",D276,1))-1)</f>
        <v/>
      </c>
      <c r="J276">
        <f>MID(D276,FIND(";",SUBSTITUTE(D276,"|",REPT(";",LEN(D276)),2))+1,FIND(";",SUBSTITUTE(D276,"|",REPT(";",LEN(D276)),3))-FIND(";",SUBSTITUTE(D276,"|",REPT(";",LEN(D276)),2))-1)</f>
        <v/>
      </c>
      <c r="K276">
        <f>MID(D276,FIND(";",SUBSTITUTE(D276,"|",REPT(";",LEN(D276)),3))+1,FIND(";",SUBSTITUTE(D276,"|",REPT(";",LEN(D276)),4))-FIND(";",SUBSTITUTE(D276,"|",REPT(";",LEN(D276)),3))-1)</f>
        <v/>
      </c>
      <c r="M276">
        <f>MID(D276,FIND(";",SUBSTITUTE(D276,"|",REPT(";",LEN(D276)),4))+1,FIND(";",SUBSTITUTE(D276,"|",REPT(";",LEN(D276)),5))-FIND(";",SUBSTITUTE(D276,"|",REPT(";",LEN(D276)),4))-1)</f>
        <v/>
      </c>
      <c r="N276">
        <f>MID(D276,FIND(";",SUBSTITUTE(D276,"|",REPT(";",LEN(D276)),6))+1,LEN(D276))</f>
        <v/>
      </c>
      <c r="O276">
        <f>MID(D276,FIND(";",SUBSTITUTE(D276,"|",REPT(";",LEN(D276)),5))+1,FIND(";",SUBSTITUTE(D276,"|",REPT(";",LEN(D276)),6))-FIND(";",SUBSTITUTE(D276,"|",REPT(";",LEN(D276)),5))-1)</f>
        <v/>
      </c>
    </row>
    <row r="277">
      <c r="A277" t="inlineStr">
        <is>
          <t>100201</t>
        </is>
      </c>
      <c r="B277" t="inlineStr">
        <is>
          <t>圆钢</t>
        </is>
      </c>
      <c r="C277" t="inlineStr">
        <is>
          <t>601003600</t>
        </is>
      </c>
      <c r="D277" t="inlineStr">
        <is>
          <t>热轧航空用优质结构圆钢|圆钢|38CrMoAlA|Φ25|GJB 1951-1994|热轧|GB/T 702-2008</t>
        </is>
      </c>
      <c r="E277" t="inlineStr">
        <is>
          <t>物资名称 热轧航空用优质结构圆钢;物资简称 圆钢;牌号 38CrMoAlA;直径 Φ25;技术标准号 GJB 1951-1994;加工工艺 热轧;热处理工艺 ;特殊要求 ;规格标准号 GB/T 702-2008</t>
        </is>
      </c>
      <c r="F277" t="inlineStr">
        <is>
          <t>千克</t>
        </is>
      </c>
      <c r="G277">
        <f>LEFT(D277,FIND("|",D277,1)-1)</f>
        <v/>
      </c>
      <c r="H277">
        <f>MID(D277,FIND("|",D277,FIND("|",D277,1))+1,FIND("|",D277,FIND("|",D277,1)+1)-FIND("|",D277,FIND("|",D277,1))-1)</f>
        <v/>
      </c>
      <c r="J277">
        <f>MID(D277,FIND(";",SUBSTITUTE(D277,"|",REPT(";",LEN(D277)),2))+1,FIND(";",SUBSTITUTE(D277,"|",REPT(";",LEN(D277)),3))-FIND(";",SUBSTITUTE(D277,"|",REPT(";",LEN(D277)),2))-1)</f>
        <v/>
      </c>
      <c r="K277">
        <f>MID(D277,FIND(";",SUBSTITUTE(D277,"|",REPT(";",LEN(D277)),3))+1,FIND(";",SUBSTITUTE(D277,"|",REPT(";",LEN(D277)),4))-FIND(";",SUBSTITUTE(D277,"|",REPT(";",LEN(D277)),3))-1)</f>
        <v/>
      </c>
      <c r="M277">
        <f>MID(D277,FIND(";",SUBSTITUTE(D277,"|",REPT(";",LEN(D277)),4))+1,FIND(";",SUBSTITUTE(D277,"|",REPT(";",LEN(D277)),5))-FIND(";",SUBSTITUTE(D277,"|",REPT(";",LEN(D277)),4))-1)</f>
        <v/>
      </c>
      <c r="N277">
        <f>MID(D277,FIND(";",SUBSTITUTE(D277,"|",REPT(";",LEN(D277)),6))+1,LEN(D277))</f>
        <v/>
      </c>
      <c r="O277">
        <f>MID(D277,FIND(";",SUBSTITUTE(D277,"|",REPT(";",LEN(D277)),5))+1,FIND(";",SUBSTITUTE(D277,"|",REPT(";",LEN(D277)),6))-FIND(";",SUBSTITUTE(D277,"|",REPT(";",LEN(D277)),5))-1)</f>
        <v/>
      </c>
    </row>
    <row r="278">
      <c r="A278" t="inlineStr">
        <is>
          <t>100201</t>
        </is>
      </c>
      <c r="B278" t="inlineStr">
        <is>
          <t>圆钢</t>
        </is>
      </c>
      <c r="C278" t="inlineStr">
        <is>
          <t>600999500</t>
        </is>
      </c>
      <c r="D278" t="inlineStr">
        <is>
          <t>热轧不锈圆钢|圆钢|2Cr13|Φ85|GB 1220-1992|热轧|GB/T 702-2008</t>
        </is>
      </c>
      <c r="E278" t="inlineStr">
        <is>
          <t>物资名称 热轧不锈圆钢;物资简称 圆钢;牌号 2Cr13;直径 Φ85;技术标准号 GB 1220-1992;加工工艺 热轧;热处理工艺 ;特殊要求 ;规格标准号 GB/T 702-2008</t>
        </is>
      </c>
      <c r="F278" t="inlineStr">
        <is>
          <t>千克</t>
        </is>
      </c>
      <c r="G278">
        <f>LEFT(D278,FIND("|",D278,1)-1)</f>
        <v/>
      </c>
      <c r="H278">
        <f>MID(D278,FIND("|",D278,FIND("|",D278,1))+1,FIND("|",D278,FIND("|",D278,1)+1)-FIND("|",D278,FIND("|",D278,1))-1)</f>
        <v/>
      </c>
      <c r="J278">
        <f>MID(D278,FIND(";",SUBSTITUTE(D278,"|",REPT(";",LEN(D278)),2))+1,FIND(";",SUBSTITUTE(D278,"|",REPT(";",LEN(D278)),3))-FIND(";",SUBSTITUTE(D278,"|",REPT(";",LEN(D278)),2))-1)</f>
        <v/>
      </c>
      <c r="K278">
        <f>MID(D278,FIND(";",SUBSTITUTE(D278,"|",REPT(";",LEN(D278)),3))+1,FIND(";",SUBSTITUTE(D278,"|",REPT(";",LEN(D278)),4))-FIND(";",SUBSTITUTE(D278,"|",REPT(";",LEN(D278)),3))-1)</f>
        <v/>
      </c>
      <c r="M278">
        <f>MID(D278,FIND(";",SUBSTITUTE(D278,"|",REPT(";",LEN(D278)),4))+1,FIND(";",SUBSTITUTE(D278,"|",REPT(";",LEN(D278)),5))-FIND(";",SUBSTITUTE(D278,"|",REPT(";",LEN(D278)),4))-1)</f>
        <v/>
      </c>
      <c r="N278">
        <f>MID(D278,FIND(";",SUBSTITUTE(D278,"|",REPT(";",LEN(D278)),6))+1,LEN(D278))</f>
        <v/>
      </c>
      <c r="O278">
        <f>MID(D278,FIND(";",SUBSTITUTE(D278,"|",REPT(";",LEN(D278)),5))+1,FIND(";",SUBSTITUTE(D278,"|",REPT(";",LEN(D278)),6))-FIND(";",SUBSTITUTE(D278,"|",REPT(";",LEN(D278)),5))-1)</f>
        <v/>
      </c>
    </row>
    <row r="279">
      <c r="A279" t="inlineStr">
        <is>
          <t>100201</t>
        </is>
      </c>
      <c r="B279" t="inlineStr">
        <is>
          <t>圆钢</t>
        </is>
      </c>
      <c r="C279" t="inlineStr">
        <is>
          <t>600999400</t>
        </is>
      </c>
      <c r="D279" t="inlineStr">
        <is>
          <t>热轧航空用不锈圆钢|圆钢|1Cr18Ni9Ti|Φ82|GJB 2294-1995|热轧|GB/T 702-2008</t>
        </is>
      </c>
      <c r="E279" t="inlineStr">
        <is>
          <t>物资名称 热轧航空用不锈圆钢;物资简称 圆钢;牌号 1Cr18Ni9Ti;直径 Φ82;技术标准号 GJB 2294-1995;加工工艺 热轧;热处理工艺 ;特殊要求 ;规格标准号 GB/T 702-2008</t>
        </is>
      </c>
      <c r="F279" t="inlineStr">
        <is>
          <t>千克</t>
        </is>
      </c>
      <c r="G279">
        <f>LEFT(D279,FIND("|",D279,1)-1)</f>
        <v/>
      </c>
      <c r="H279">
        <f>MID(D279,FIND("|",D279,FIND("|",D279,1))+1,FIND("|",D279,FIND("|",D279,1)+1)-FIND("|",D279,FIND("|",D279,1))-1)</f>
        <v/>
      </c>
      <c r="J279">
        <f>MID(D279,FIND(";",SUBSTITUTE(D279,"|",REPT(";",LEN(D279)),2))+1,FIND(";",SUBSTITUTE(D279,"|",REPT(";",LEN(D279)),3))-FIND(";",SUBSTITUTE(D279,"|",REPT(";",LEN(D279)),2))-1)</f>
        <v/>
      </c>
      <c r="K279">
        <f>MID(D279,FIND(";",SUBSTITUTE(D279,"|",REPT(";",LEN(D279)),3))+1,FIND(";",SUBSTITUTE(D279,"|",REPT(";",LEN(D279)),4))-FIND(";",SUBSTITUTE(D279,"|",REPT(";",LEN(D279)),3))-1)</f>
        <v/>
      </c>
      <c r="M279">
        <f>MID(D279,FIND(";",SUBSTITUTE(D279,"|",REPT(";",LEN(D279)),4))+1,FIND(";",SUBSTITUTE(D279,"|",REPT(";",LEN(D279)),5))-FIND(";",SUBSTITUTE(D279,"|",REPT(";",LEN(D279)),4))-1)</f>
        <v/>
      </c>
      <c r="N279">
        <f>MID(D279,FIND(";",SUBSTITUTE(D279,"|",REPT(";",LEN(D279)),6))+1,LEN(D279))</f>
        <v/>
      </c>
      <c r="O279">
        <f>MID(D279,FIND(";",SUBSTITUTE(D279,"|",REPT(";",LEN(D279)),5))+1,FIND(";",SUBSTITUTE(D279,"|",REPT(";",LEN(D279)),6))-FIND(";",SUBSTITUTE(D279,"|",REPT(";",LEN(D279)),5))-1)</f>
        <v/>
      </c>
    </row>
    <row r="280">
      <c r="A280" t="inlineStr">
        <is>
          <t>100201</t>
        </is>
      </c>
      <c r="B280" t="inlineStr">
        <is>
          <t>圆钢</t>
        </is>
      </c>
      <c r="C280" t="inlineStr">
        <is>
          <t>600996500</t>
        </is>
      </c>
      <c r="D280" t="inlineStr">
        <is>
          <t>热轧航空用优质结构圆钢|圆钢|38CrMoAlA|Φ118|GJB 1951-1994|热轧|GB/T 702-2008</t>
        </is>
      </c>
      <c r="E280" t="inlineStr">
        <is>
          <t>物资名称 热轧航空用优质结构圆钢;物资简称 圆钢;牌号 38CrMoAlA;直径 Φ118;技术标准号 GJB 1951-1994;加工工艺 热轧;热处理工艺 ;特殊要求 ;规格标准号 GB/T 702-2008</t>
        </is>
      </c>
      <c r="F280" t="inlineStr">
        <is>
          <t>千克</t>
        </is>
      </c>
      <c r="G280">
        <f>LEFT(D280,FIND("|",D280,1)-1)</f>
        <v/>
      </c>
      <c r="H280">
        <f>MID(D280,FIND("|",D280,FIND("|",D280,1))+1,FIND("|",D280,FIND("|",D280,1)+1)-FIND("|",D280,FIND("|",D280,1))-1)</f>
        <v/>
      </c>
      <c r="J280">
        <f>MID(D280,FIND(";",SUBSTITUTE(D280,"|",REPT(";",LEN(D280)),2))+1,FIND(";",SUBSTITUTE(D280,"|",REPT(";",LEN(D280)),3))-FIND(";",SUBSTITUTE(D280,"|",REPT(";",LEN(D280)),2))-1)</f>
        <v/>
      </c>
      <c r="K280">
        <f>MID(D280,FIND(";",SUBSTITUTE(D280,"|",REPT(";",LEN(D280)),3))+1,FIND(";",SUBSTITUTE(D280,"|",REPT(";",LEN(D280)),4))-FIND(";",SUBSTITUTE(D280,"|",REPT(";",LEN(D280)),3))-1)</f>
        <v/>
      </c>
      <c r="M280">
        <f>MID(D280,FIND(";",SUBSTITUTE(D280,"|",REPT(";",LEN(D280)),4))+1,FIND(";",SUBSTITUTE(D280,"|",REPT(";",LEN(D280)),5))-FIND(";",SUBSTITUTE(D280,"|",REPT(";",LEN(D280)),4))-1)</f>
        <v/>
      </c>
      <c r="N280">
        <f>MID(D280,FIND(";",SUBSTITUTE(D280,"|",REPT(";",LEN(D280)),6))+1,LEN(D280))</f>
        <v/>
      </c>
      <c r="O280">
        <f>MID(D280,FIND(";",SUBSTITUTE(D280,"|",REPT(";",LEN(D280)),5))+1,FIND(";",SUBSTITUTE(D280,"|",REPT(";",LEN(D280)),6))-FIND(";",SUBSTITUTE(D280,"|",REPT(";",LEN(D280)),5))-1)</f>
        <v/>
      </c>
    </row>
    <row r="281">
      <c r="A281" t="inlineStr">
        <is>
          <t>100201</t>
        </is>
      </c>
      <c r="B281" t="inlineStr">
        <is>
          <t>圆钢</t>
        </is>
      </c>
      <c r="C281" t="inlineStr">
        <is>
          <t>600996400</t>
        </is>
      </c>
      <c r="D281" t="inlineStr">
        <is>
          <t>热轧合金结构圆钢|圆钢|40Cr|Φ52|GB/T 3077-1999|热轧|GB/T 702-2008</t>
        </is>
      </c>
      <c r="E281" t="inlineStr">
        <is>
          <t>物资名称 热轧合金结构圆钢;物资简称 圆钢;牌号 40Cr;直径 Φ52;技术标准号 GB/T 3077-1999;加工工艺 热轧;热处理工艺 ;特殊要求 ;规格标准号 GB/T 702-2008</t>
        </is>
      </c>
      <c r="F281" t="inlineStr">
        <is>
          <t>千克</t>
        </is>
      </c>
      <c r="G281">
        <f>LEFT(D281,FIND("|",D281,1)-1)</f>
        <v/>
      </c>
      <c r="H281">
        <f>MID(D281,FIND("|",D281,FIND("|",D281,1))+1,FIND("|",D281,FIND("|",D281,1)+1)-FIND("|",D281,FIND("|",D281,1))-1)</f>
        <v/>
      </c>
      <c r="J281">
        <f>MID(D281,FIND(";",SUBSTITUTE(D281,"|",REPT(";",LEN(D281)),2))+1,FIND(";",SUBSTITUTE(D281,"|",REPT(";",LEN(D281)),3))-FIND(";",SUBSTITUTE(D281,"|",REPT(";",LEN(D281)),2))-1)</f>
        <v/>
      </c>
      <c r="K281">
        <f>MID(D281,FIND(";",SUBSTITUTE(D281,"|",REPT(";",LEN(D281)),3))+1,FIND(";",SUBSTITUTE(D281,"|",REPT(";",LEN(D281)),4))-FIND(";",SUBSTITUTE(D281,"|",REPT(";",LEN(D281)),3))-1)</f>
        <v/>
      </c>
      <c r="M281">
        <f>MID(D281,FIND(";",SUBSTITUTE(D281,"|",REPT(";",LEN(D281)),4))+1,FIND(";",SUBSTITUTE(D281,"|",REPT(";",LEN(D281)),5))-FIND(";",SUBSTITUTE(D281,"|",REPT(";",LEN(D281)),4))-1)</f>
        <v/>
      </c>
      <c r="N281">
        <f>MID(D281,FIND(";",SUBSTITUTE(D281,"|",REPT(";",LEN(D281)),6))+1,LEN(D281))</f>
        <v/>
      </c>
      <c r="O281">
        <f>MID(D281,FIND(";",SUBSTITUTE(D281,"|",REPT(";",LEN(D281)),5))+1,FIND(";",SUBSTITUTE(D281,"|",REPT(";",LEN(D281)),6))-FIND(";",SUBSTITUTE(D281,"|",REPT(";",LEN(D281)),5))-1)</f>
        <v/>
      </c>
    </row>
    <row r="282">
      <c r="A282" t="inlineStr">
        <is>
          <t>100201</t>
        </is>
      </c>
      <c r="B282" t="inlineStr">
        <is>
          <t>圆钢</t>
        </is>
      </c>
      <c r="C282" t="inlineStr">
        <is>
          <t>600996300</t>
        </is>
      </c>
      <c r="D282" t="inlineStr">
        <is>
          <t>热轧航空用不锈圆钢|圆钢|1Cr18Ni9Ti|Φ50|GJB 2294-1995|热轧|GB/T 702-2008</t>
        </is>
      </c>
      <c r="E282" t="inlineStr">
        <is>
          <t>物资名称 热轧航空用不锈圆钢;物资简称 圆钢;牌号 1Cr18Ni9Ti;直径 Φ50;技术标准号 GJB 2294-1995;加工工艺 热轧;热处理工艺 ;特殊要求 ;规格标准号 GB/T 702-2008</t>
        </is>
      </c>
      <c r="F282" t="inlineStr">
        <is>
          <t>千克</t>
        </is>
      </c>
      <c r="G282">
        <f>LEFT(D282,FIND("|",D282,1)-1)</f>
        <v/>
      </c>
      <c r="H282">
        <f>MID(D282,FIND("|",D282,FIND("|",D282,1))+1,FIND("|",D282,FIND("|",D282,1)+1)-FIND("|",D282,FIND("|",D282,1))-1)</f>
        <v/>
      </c>
      <c r="J282">
        <f>MID(D282,FIND(";",SUBSTITUTE(D282,"|",REPT(";",LEN(D282)),2))+1,FIND(";",SUBSTITUTE(D282,"|",REPT(";",LEN(D282)),3))-FIND(";",SUBSTITUTE(D282,"|",REPT(";",LEN(D282)),2))-1)</f>
        <v/>
      </c>
      <c r="K282">
        <f>MID(D282,FIND(";",SUBSTITUTE(D282,"|",REPT(";",LEN(D282)),3))+1,FIND(";",SUBSTITUTE(D282,"|",REPT(";",LEN(D282)),4))-FIND(";",SUBSTITUTE(D282,"|",REPT(";",LEN(D282)),3))-1)</f>
        <v/>
      </c>
      <c r="M282">
        <f>MID(D282,FIND(";",SUBSTITUTE(D282,"|",REPT(";",LEN(D282)),4))+1,FIND(";",SUBSTITUTE(D282,"|",REPT(";",LEN(D282)),5))-FIND(";",SUBSTITUTE(D282,"|",REPT(";",LEN(D282)),4))-1)</f>
        <v/>
      </c>
      <c r="N282">
        <f>MID(D282,FIND(";",SUBSTITUTE(D282,"|",REPT(";",LEN(D282)),6))+1,LEN(D282))</f>
        <v/>
      </c>
      <c r="O282">
        <f>MID(D282,FIND(";",SUBSTITUTE(D282,"|",REPT(";",LEN(D282)),5))+1,FIND(";",SUBSTITUTE(D282,"|",REPT(";",LEN(D282)),6))-FIND(";",SUBSTITUTE(D282,"|",REPT(";",LEN(D282)),5))-1)</f>
        <v/>
      </c>
    </row>
    <row r="283">
      <c r="A283" t="inlineStr">
        <is>
          <t>100201</t>
        </is>
      </c>
      <c r="B283" t="inlineStr">
        <is>
          <t>圆钢</t>
        </is>
      </c>
      <c r="C283" t="inlineStr">
        <is>
          <t>600996200</t>
        </is>
      </c>
      <c r="D283" t="inlineStr">
        <is>
          <t>热轧航空用不锈圆钢|圆钢|1Cr18Ni9Ti|Φ18|GJB 2294-1995|热轧|GB/T 702-2008</t>
        </is>
      </c>
      <c r="E283" t="inlineStr">
        <is>
          <t>物资名称 热轧航空用不锈圆钢;物资简称 圆钢;牌号 1Cr18Ni9Ti;直径 Φ18;技术标准号 GJB 2294-1995;加工工艺 热轧;热处理工艺 ;特殊要求 ;规格标准号 GB/T 702-2008</t>
        </is>
      </c>
      <c r="F283" t="inlineStr">
        <is>
          <t>千克</t>
        </is>
      </c>
      <c r="G283">
        <f>LEFT(D283,FIND("|",D283,1)-1)</f>
        <v/>
      </c>
      <c r="H283">
        <f>MID(D283,FIND("|",D283,FIND("|",D283,1))+1,FIND("|",D283,FIND("|",D283,1)+1)-FIND("|",D283,FIND("|",D283,1))-1)</f>
        <v/>
      </c>
      <c r="J283">
        <f>MID(D283,FIND(";",SUBSTITUTE(D283,"|",REPT(";",LEN(D283)),2))+1,FIND(";",SUBSTITUTE(D283,"|",REPT(";",LEN(D283)),3))-FIND(";",SUBSTITUTE(D283,"|",REPT(";",LEN(D283)),2))-1)</f>
        <v/>
      </c>
      <c r="K283">
        <f>MID(D283,FIND(";",SUBSTITUTE(D283,"|",REPT(";",LEN(D283)),3))+1,FIND(";",SUBSTITUTE(D283,"|",REPT(";",LEN(D283)),4))-FIND(";",SUBSTITUTE(D283,"|",REPT(";",LEN(D283)),3))-1)</f>
        <v/>
      </c>
      <c r="M283">
        <f>MID(D283,FIND(";",SUBSTITUTE(D283,"|",REPT(";",LEN(D283)),4))+1,FIND(";",SUBSTITUTE(D283,"|",REPT(";",LEN(D283)),5))-FIND(";",SUBSTITUTE(D283,"|",REPT(";",LEN(D283)),4))-1)</f>
        <v/>
      </c>
      <c r="N283">
        <f>MID(D283,FIND(";",SUBSTITUTE(D283,"|",REPT(";",LEN(D283)),6))+1,LEN(D283))</f>
        <v/>
      </c>
      <c r="O283">
        <f>MID(D283,FIND(";",SUBSTITUTE(D283,"|",REPT(";",LEN(D283)),5))+1,FIND(";",SUBSTITUTE(D283,"|",REPT(";",LEN(D283)),6))-FIND(";",SUBSTITUTE(D283,"|",REPT(";",LEN(D283)),5))-1)</f>
        <v/>
      </c>
    </row>
    <row r="284">
      <c r="A284" t="inlineStr">
        <is>
          <t>100201</t>
        </is>
      </c>
      <c r="B284" t="inlineStr">
        <is>
          <t>圆钢</t>
        </is>
      </c>
      <c r="C284" t="inlineStr">
        <is>
          <t>600996100</t>
        </is>
      </c>
      <c r="D284" t="inlineStr">
        <is>
          <t>热轧航空用不锈圆钢|圆钢|1Cr18Ni9Ti|Φ33|GJB 2294-1995|热轧|GB/T 702-2008</t>
        </is>
      </c>
      <c r="E284" t="inlineStr">
        <is>
          <t>物资名称 热轧航空用不锈圆钢;物资简称 圆钢;牌号 1Cr18Ni9Ti;直径 Φ33;技术标准号 GJB 2294-1995;加工工艺 热轧;热处理工艺 ;特殊要求 ;规格标准号 GB/T 702-2008</t>
        </is>
      </c>
      <c r="F284" t="inlineStr">
        <is>
          <t>千克</t>
        </is>
      </c>
      <c r="G284">
        <f>LEFT(D284,FIND("|",D284,1)-1)</f>
        <v/>
      </c>
      <c r="H284">
        <f>MID(D284,FIND("|",D284,FIND("|",D284,1))+1,FIND("|",D284,FIND("|",D284,1)+1)-FIND("|",D284,FIND("|",D284,1))-1)</f>
        <v/>
      </c>
      <c r="J284">
        <f>MID(D284,FIND(";",SUBSTITUTE(D284,"|",REPT(";",LEN(D284)),2))+1,FIND(";",SUBSTITUTE(D284,"|",REPT(";",LEN(D284)),3))-FIND(";",SUBSTITUTE(D284,"|",REPT(";",LEN(D284)),2))-1)</f>
        <v/>
      </c>
      <c r="K284">
        <f>MID(D284,FIND(";",SUBSTITUTE(D284,"|",REPT(";",LEN(D284)),3))+1,FIND(";",SUBSTITUTE(D284,"|",REPT(";",LEN(D284)),4))-FIND(";",SUBSTITUTE(D284,"|",REPT(";",LEN(D284)),3))-1)</f>
        <v/>
      </c>
      <c r="M284">
        <f>MID(D284,FIND(";",SUBSTITUTE(D284,"|",REPT(";",LEN(D284)),4))+1,FIND(";",SUBSTITUTE(D284,"|",REPT(";",LEN(D284)),5))-FIND(";",SUBSTITUTE(D284,"|",REPT(";",LEN(D284)),4))-1)</f>
        <v/>
      </c>
      <c r="N284">
        <f>MID(D284,FIND(";",SUBSTITUTE(D284,"|",REPT(";",LEN(D284)),6))+1,LEN(D284))</f>
        <v/>
      </c>
      <c r="O284">
        <f>MID(D284,FIND(";",SUBSTITUTE(D284,"|",REPT(";",LEN(D284)),5))+1,FIND(";",SUBSTITUTE(D284,"|",REPT(";",LEN(D284)),6))-FIND(";",SUBSTITUTE(D284,"|",REPT(";",LEN(D284)),5))-1)</f>
        <v/>
      </c>
    </row>
    <row r="285">
      <c r="A285" t="inlineStr">
        <is>
          <t>100201</t>
        </is>
      </c>
      <c r="B285" t="inlineStr">
        <is>
          <t>圆钢</t>
        </is>
      </c>
      <c r="C285" t="inlineStr">
        <is>
          <t>600996000</t>
        </is>
      </c>
      <c r="D285" t="inlineStr">
        <is>
          <t>热轧航空用不锈圆钢|圆钢|1Cr18Ni9Ti|Φ65|GJB 2294-1995|热轧|GB/T 702-2008</t>
        </is>
      </c>
      <c r="E285" t="inlineStr">
        <is>
          <t>物资名称 热轧航空用不锈圆钢;物资简称 圆钢;牌号 1Cr18Ni9Ti;直径 Φ65;技术标准号 GJB 2294-1995;加工工艺 热轧;热处理工艺 ;特殊要求 ;规格标准号 GB/T 702-2008</t>
        </is>
      </c>
      <c r="F285" t="inlineStr">
        <is>
          <t>千克</t>
        </is>
      </c>
      <c r="G285">
        <f>LEFT(D285,FIND("|",D285,1)-1)</f>
        <v/>
      </c>
      <c r="H285">
        <f>MID(D285,FIND("|",D285,FIND("|",D285,1))+1,FIND("|",D285,FIND("|",D285,1)+1)-FIND("|",D285,FIND("|",D285,1))-1)</f>
        <v/>
      </c>
      <c r="J285">
        <f>MID(D285,FIND(";",SUBSTITUTE(D285,"|",REPT(";",LEN(D285)),2))+1,FIND(";",SUBSTITUTE(D285,"|",REPT(";",LEN(D285)),3))-FIND(";",SUBSTITUTE(D285,"|",REPT(";",LEN(D285)),2))-1)</f>
        <v/>
      </c>
      <c r="K285">
        <f>MID(D285,FIND(";",SUBSTITUTE(D285,"|",REPT(";",LEN(D285)),3))+1,FIND(";",SUBSTITUTE(D285,"|",REPT(";",LEN(D285)),4))-FIND(";",SUBSTITUTE(D285,"|",REPT(";",LEN(D285)),3))-1)</f>
        <v/>
      </c>
      <c r="M285">
        <f>MID(D285,FIND(";",SUBSTITUTE(D285,"|",REPT(";",LEN(D285)),4))+1,FIND(";",SUBSTITUTE(D285,"|",REPT(";",LEN(D285)),5))-FIND(";",SUBSTITUTE(D285,"|",REPT(";",LEN(D285)),4))-1)</f>
        <v/>
      </c>
      <c r="N285">
        <f>MID(D285,FIND(";",SUBSTITUTE(D285,"|",REPT(";",LEN(D285)),6))+1,LEN(D285))</f>
        <v/>
      </c>
      <c r="O285">
        <f>MID(D285,FIND(";",SUBSTITUTE(D285,"|",REPT(";",LEN(D285)),5))+1,FIND(";",SUBSTITUTE(D285,"|",REPT(";",LEN(D285)),6))-FIND(";",SUBSTITUTE(D285,"|",REPT(";",LEN(D285)),5))-1)</f>
        <v/>
      </c>
    </row>
    <row r="286">
      <c r="A286" t="inlineStr">
        <is>
          <t>100201</t>
        </is>
      </c>
      <c r="B286" t="inlineStr">
        <is>
          <t>圆钢</t>
        </is>
      </c>
      <c r="C286" t="inlineStr">
        <is>
          <t>600995900</t>
        </is>
      </c>
      <c r="D286" t="inlineStr">
        <is>
          <t>热轧航空用不锈圆钢|圆钢|1Cr18Ni9Ti|Φ80|GJB 2294-1995|热轧|GB/T 702-2008</t>
        </is>
      </c>
      <c r="E286" t="inlineStr">
        <is>
          <t>物资名称 热轧航空用不锈圆钢;物资简称 圆钢;牌号 1Cr18Ni9Ti;直径 Φ80;技术标准号 GJB 2294-1995;加工工艺 热轧;热处理工艺 ;特殊要求 ;规格标准号 GB/T 702-2008</t>
        </is>
      </c>
      <c r="F286" t="inlineStr">
        <is>
          <t>千克</t>
        </is>
      </c>
      <c r="G286">
        <f>LEFT(D286,FIND("|",D286,1)-1)</f>
        <v/>
      </c>
      <c r="H286">
        <f>MID(D286,FIND("|",D286,FIND("|",D286,1))+1,FIND("|",D286,FIND("|",D286,1)+1)-FIND("|",D286,FIND("|",D286,1))-1)</f>
        <v/>
      </c>
      <c r="J286">
        <f>MID(D286,FIND(";",SUBSTITUTE(D286,"|",REPT(";",LEN(D286)),2))+1,FIND(";",SUBSTITUTE(D286,"|",REPT(";",LEN(D286)),3))-FIND(";",SUBSTITUTE(D286,"|",REPT(";",LEN(D286)),2))-1)</f>
        <v/>
      </c>
      <c r="K286">
        <f>MID(D286,FIND(";",SUBSTITUTE(D286,"|",REPT(";",LEN(D286)),3))+1,FIND(";",SUBSTITUTE(D286,"|",REPT(";",LEN(D286)),4))-FIND(";",SUBSTITUTE(D286,"|",REPT(";",LEN(D286)),3))-1)</f>
        <v/>
      </c>
      <c r="M286">
        <f>MID(D286,FIND(";",SUBSTITUTE(D286,"|",REPT(";",LEN(D286)),4))+1,FIND(";",SUBSTITUTE(D286,"|",REPT(";",LEN(D286)),5))-FIND(";",SUBSTITUTE(D286,"|",REPT(";",LEN(D286)),4))-1)</f>
        <v/>
      </c>
      <c r="N286">
        <f>MID(D286,FIND(";",SUBSTITUTE(D286,"|",REPT(";",LEN(D286)),6))+1,LEN(D286))</f>
        <v/>
      </c>
      <c r="O286">
        <f>MID(D286,FIND(";",SUBSTITUTE(D286,"|",REPT(";",LEN(D286)),5))+1,FIND(";",SUBSTITUTE(D286,"|",REPT(";",LEN(D286)),6))-FIND(";",SUBSTITUTE(D286,"|",REPT(";",LEN(D286)),5))-1)</f>
        <v/>
      </c>
    </row>
    <row r="287">
      <c r="A287" t="inlineStr">
        <is>
          <t>100201</t>
        </is>
      </c>
      <c r="B287" t="inlineStr">
        <is>
          <t>圆钢</t>
        </is>
      </c>
      <c r="C287" t="inlineStr">
        <is>
          <t>600995800</t>
        </is>
      </c>
      <c r="D287" t="inlineStr">
        <is>
          <t>热轧航空用不锈圆钢|圆钢|1Cr18Ni9Ti|Φ31|GJB 2294-1995|热轧|GB/T 702-2008</t>
        </is>
      </c>
      <c r="E287" t="inlineStr">
        <is>
          <t>物资名称 热轧航空用不锈圆钢;物资简称 圆钢;牌号 1Cr18Ni9Ti;直径 Φ31;技术标准号 GJB 2294-1995;加工工艺 热轧;热处理工艺 ;特殊要求 ;规格标准号 GB/T 702-2008</t>
        </is>
      </c>
      <c r="F287" t="inlineStr">
        <is>
          <t>千克</t>
        </is>
      </c>
      <c r="G287">
        <f>LEFT(D287,FIND("|",D287,1)-1)</f>
        <v/>
      </c>
      <c r="H287">
        <f>MID(D287,FIND("|",D287,FIND("|",D287,1))+1,FIND("|",D287,FIND("|",D287,1)+1)-FIND("|",D287,FIND("|",D287,1))-1)</f>
        <v/>
      </c>
      <c r="J287">
        <f>MID(D287,FIND(";",SUBSTITUTE(D287,"|",REPT(";",LEN(D287)),2))+1,FIND(";",SUBSTITUTE(D287,"|",REPT(";",LEN(D287)),3))-FIND(";",SUBSTITUTE(D287,"|",REPT(";",LEN(D287)),2))-1)</f>
        <v/>
      </c>
      <c r="K287">
        <f>MID(D287,FIND(";",SUBSTITUTE(D287,"|",REPT(";",LEN(D287)),3))+1,FIND(";",SUBSTITUTE(D287,"|",REPT(";",LEN(D287)),4))-FIND(";",SUBSTITUTE(D287,"|",REPT(";",LEN(D287)),3))-1)</f>
        <v/>
      </c>
      <c r="M287">
        <f>MID(D287,FIND(";",SUBSTITUTE(D287,"|",REPT(";",LEN(D287)),4))+1,FIND(";",SUBSTITUTE(D287,"|",REPT(";",LEN(D287)),5))-FIND(";",SUBSTITUTE(D287,"|",REPT(";",LEN(D287)),4))-1)</f>
        <v/>
      </c>
      <c r="N287">
        <f>MID(D287,FIND(";",SUBSTITUTE(D287,"|",REPT(";",LEN(D287)),6))+1,LEN(D287))</f>
        <v/>
      </c>
      <c r="O287">
        <f>MID(D287,FIND(";",SUBSTITUTE(D287,"|",REPT(";",LEN(D287)),5))+1,FIND(";",SUBSTITUTE(D287,"|",REPT(";",LEN(D287)),6))-FIND(";",SUBSTITUTE(D287,"|",REPT(";",LEN(D287)),5))-1)</f>
        <v/>
      </c>
    </row>
    <row r="288">
      <c r="A288" t="inlineStr">
        <is>
          <t>100201</t>
        </is>
      </c>
      <c r="B288" t="inlineStr">
        <is>
          <t>圆钢</t>
        </is>
      </c>
      <c r="C288" t="inlineStr">
        <is>
          <t>600995700</t>
        </is>
      </c>
      <c r="D288" t="inlineStr">
        <is>
          <t>热轧航空用不锈圆钢|圆钢|1Cr18Ni9Ti|Φ30|GJB 2294-1995|热轧|GB/T 702-2008</t>
        </is>
      </c>
      <c r="E288" t="inlineStr">
        <is>
          <t>物资名称 热轧航空用不锈圆钢;物资简称 圆钢;牌号 1Cr18Ni9Ti;直径 Φ30;技术标准号 GJB 2294-1995;加工工艺 热轧;热处理工艺 ;特殊要求 ;规格标准号 GB/T 702-2008</t>
        </is>
      </c>
      <c r="F288" t="inlineStr">
        <is>
          <t>千克</t>
        </is>
      </c>
      <c r="G288">
        <f>LEFT(D288,FIND("|",D288,1)-1)</f>
        <v/>
      </c>
      <c r="H288">
        <f>MID(D288,FIND("|",D288,FIND("|",D288,1))+1,FIND("|",D288,FIND("|",D288,1)+1)-FIND("|",D288,FIND("|",D288,1))-1)</f>
        <v/>
      </c>
      <c r="J288">
        <f>MID(D288,FIND(";",SUBSTITUTE(D288,"|",REPT(";",LEN(D288)),2))+1,FIND(";",SUBSTITUTE(D288,"|",REPT(";",LEN(D288)),3))-FIND(";",SUBSTITUTE(D288,"|",REPT(";",LEN(D288)),2))-1)</f>
        <v/>
      </c>
      <c r="K288">
        <f>MID(D288,FIND(";",SUBSTITUTE(D288,"|",REPT(";",LEN(D288)),3))+1,FIND(";",SUBSTITUTE(D288,"|",REPT(";",LEN(D288)),4))-FIND(";",SUBSTITUTE(D288,"|",REPT(";",LEN(D288)),3))-1)</f>
        <v/>
      </c>
      <c r="M288">
        <f>MID(D288,FIND(";",SUBSTITUTE(D288,"|",REPT(";",LEN(D288)),4))+1,FIND(";",SUBSTITUTE(D288,"|",REPT(";",LEN(D288)),5))-FIND(";",SUBSTITUTE(D288,"|",REPT(";",LEN(D288)),4))-1)</f>
        <v/>
      </c>
      <c r="N288">
        <f>MID(D288,FIND(";",SUBSTITUTE(D288,"|",REPT(";",LEN(D288)),6))+1,LEN(D288))</f>
        <v/>
      </c>
      <c r="O288">
        <f>MID(D288,FIND(";",SUBSTITUTE(D288,"|",REPT(";",LEN(D288)),5))+1,FIND(";",SUBSTITUTE(D288,"|",REPT(";",LEN(D288)),6))-FIND(";",SUBSTITUTE(D288,"|",REPT(";",LEN(D288)),5))-1)</f>
        <v/>
      </c>
    </row>
    <row r="289">
      <c r="A289" t="inlineStr">
        <is>
          <t>100201</t>
        </is>
      </c>
      <c r="B289" t="inlineStr">
        <is>
          <t>圆钢</t>
        </is>
      </c>
      <c r="C289" t="inlineStr">
        <is>
          <t>600995600</t>
        </is>
      </c>
      <c r="D289" t="inlineStr">
        <is>
          <t>热轧航空用不锈圆钢|圆钢|1Cr18Ni9Ti|Φ40|GJB 2294-1995|热轧|GB/T 702-2008</t>
        </is>
      </c>
      <c r="E289" t="inlineStr">
        <is>
          <t>物资名称 热轧航空用不锈圆钢;物资简称 圆钢;牌号 1Cr18Ni9Ti;直径 Φ40;技术标准号 GJB 2294-1995;加工工艺 热轧;热处理工艺 ;特殊要求 ;规格标准号 GB/T 702-2008</t>
        </is>
      </c>
      <c r="F289" t="inlineStr">
        <is>
          <t>千克</t>
        </is>
      </c>
      <c r="G289">
        <f>LEFT(D289,FIND("|",D289,1)-1)</f>
        <v/>
      </c>
      <c r="H289">
        <f>MID(D289,FIND("|",D289,FIND("|",D289,1))+1,FIND("|",D289,FIND("|",D289,1)+1)-FIND("|",D289,FIND("|",D289,1))-1)</f>
        <v/>
      </c>
      <c r="J289">
        <f>MID(D289,FIND(";",SUBSTITUTE(D289,"|",REPT(";",LEN(D289)),2))+1,FIND(";",SUBSTITUTE(D289,"|",REPT(";",LEN(D289)),3))-FIND(";",SUBSTITUTE(D289,"|",REPT(";",LEN(D289)),2))-1)</f>
        <v/>
      </c>
      <c r="K289">
        <f>MID(D289,FIND(";",SUBSTITUTE(D289,"|",REPT(";",LEN(D289)),3))+1,FIND(";",SUBSTITUTE(D289,"|",REPT(";",LEN(D289)),4))-FIND(";",SUBSTITUTE(D289,"|",REPT(";",LEN(D289)),3))-1)</f>
        <v/>
      </c>
      <c r="M289">
        <f>MID(D289,FIND(";",SUBSTITUTE(D289,"|",REPT(";",LEN(D289)),4))+1,FIND(";",SUBSTITUTE(D289,"|",REPT(";",LEN(D289)),5))-FIND(";",SUBSTITUTE(D289,"|",REPT(";",LEN(D289)),4))-1)</f>
        <v/>
      </c>
      <c r="N289">
        <f>MID(D289,FIND(";",SUBSTITUTE(D289,"|",REPT(";",LEN(D289)),6))+1,LEN(D289))</f>
        <v/>
      </c>
      <c r="O289">
        <f>MID(D289,FIND(";",SUBSTITUTE(D289,"|",REPT(";",LEN(D289)),5))+1,FIND(";",SUBSTITUTE(D289,"|",REPT(";",LEN(D289)),6))-FIND(";",SUBSTITUTE(D289,"|",REPT(";",LEN(D289)),5))-1)</f>
        <v/>
      </c>
    </row>
    <row r="290">
      <c r="A290" t="inlineStr">
        <is>
          <t>100201</t>
        </is>
      </c>
      <c r="B290" t="inlineStr">
        <is>
          <t>圆钢</t>
        </is>
      </c>
      <c r="C290" t="inlineStr">
        <is>
          <t>600995500</t>
        </is>
      </c>
      <c r="D290" t="inlineStr">
        <is>
          <t>热轧航空用不锈圆钢|圆钢|1Cr18Ni9Ti|Φ175|GJB 2294-1995|热轧|GB/T 702-2008</t>
        </is>
      </c>
      <c r="E290" t="inlineStr">
        <is>
          <t>物资名称 热轧航空用不锈圆钢;物资简称 圆钢;牌号 1Cr18Ni9Ti;直径 Φ175;技术标准号 GJB 2294-1995;加工工艺 热轧;热处理工艺 ;特殊要求 ;规格标准号 GB/T 702-2008</t>
        </is>
      </c>
      <c r="F290" t="inlineStr">
        <is>
          <t>千克</t>
        </is>
      </c>
      <c r="G290">
        <f>LEFT(D290,FIND("|",D290,1)-1)</f>
        <v/>
      </c>
      <c r="H290">
        <f>MID(D290,FIND("|",D290,FIND("|",D290,1))+1,FIND("|",D290,FIND("|",D290,1)+1)-FIND("|",D290,FIND("|",D290,1))-1)</f>
        <v/>
      </c>
      <c r="J290">
        <f>MID(D290,FIND(";",SUBSTITUTE(D290,"|",REPT(";",LEN(D290)),2))+1,FIND(";",SUBSTITUTE(D290,"|",REPT(";",LEN(D290)),3))-FIND(";",SUBSTITUTE(D290,"|",REPT(";",LEN(D290)),2))-1)</f>
        <v/>
      </c>
      <c r="K290">
        <f>MID(D290,FIND(";",SUBSTITUTE(D290,"|",REPT(";",LEN(D290)),3))+1,FIND(";",SUBSTITUTE(D290,"|",REPT(";",LEN(D290)),4))-FIND(";",SUBSTITUTE(D290,"|",REPT(";",LEN(D290)),3))-1)</f>
        <v/>
      </c>
      <c r="M290">
        <f>MID(D290,FIND(";",SUBSTITUTE(D290,"|",REPT(";",LEN(D290)),4))+1,FIND(";",SUBSTITUTE(D290,"|",REPT(";",LEN(D290)),5))-FIND(";",SUBSTITUTE(D290,"|",REPT(";",LEN(D290)),4))-1)</f>
        <v/>
      </c>
      <c r="N290">
        <f>MID(D290,FIND(";",SUBSTITUTE(D290,"|",REPT(";",LEN(D290)),6))+1,LEN(D290))</f>
        <v/>
      </c>
      <c r="O290">
        <f>MID(D290,FIND(";",SUBSTITUTE(D290,"|",REPT(";",LEN(D290)),5))+1,FIND(";",SUBSTITUTE(D290,"|",REPT(";",LEN(D290)),6))-FIND(";",SUBSTITUTE(D290,"|",REPT(";",LEN(D290)),5))-1)</f>
        <v/>
      </c>
    </row>
    <row r="291">
      <c r="A291" t="inlineStr">
        <is>
          <t>100201</t>
        </is>
      </c>
      <c r="B291" t="inlineStr">
        <is>
          <t>圆钢</t>
        </is>
      </c>
      <c r="C291" t="inlineStr">
        <is>
          <t>600995400</t>
        </is>
      </c>
      <c r="D291" t="inlineStr">
        <is>
          <t>热轧航空用不锈圆钢|圆钢|1Cr18Ni9Ti|Φ130|GJB 2294-1995|热轧|GB/T 702-2008</t>
        </is>
      </c>
      <c r="E291" t="inlineStr">
        <is>
          <t>物资名称 热轧航空用不锈圆钢;物资简称 圆钢;牌号 1Cr18Ni9Ti;直径 Φ130;技术标准号 GJB 2294-1995;加工工艺 热轧;热处理工艺 ;特殊要求 ;规格标准号 GB/T 702-2008</t>
        </is>
      </c>
      <c r="F291" t="inlineStr">
        <is>
          <t>千克</t>
        </is>
      </c>
      <c r="G291">
        <f>LEFT(D291,FIND("|",D291,1)-1)</f>
        <v/>
      </c>
      <c r="H291">
        <f>MID(D291,FIND("|",D291,FIND("|",D291,1))+1,FIND("|",D291,FIND("|",D291,1)+1)-FIND("|",D291,FIND("|",D291,1))-1)</f>
        <v/>
      </c>
      <c r="J291">
        <f>MID(D291,FIND(";",SUBSTITUTE(D291,"|",REPT(";",LEN(D291)),2))+1,FIND(";",SUBSTITUTE(D291,"|",REPT(";",LEN(D291)),3))-FIND(";",SUBSTITUTE(D291,"|",REPT(";",LEN(D291)),2))-1)</f>
        <v/>
      </c>
      <c r="K291">
        <f>MID(D291,FIND(";",SUBSTITUTE(D291,"|",REPT(";",LEN(D291)),3))+1,FIND(";",SUBSTITUTE(D291,"|",REPT(";",LEN(D291)),4))-FIND(";",SUBSTITUTE(D291,"|",REPT(";",LEN(D291)),3))-1)</f>
        <v/>
      </c>
      <c r="M291">
        <f>MID(D291,FIND(";",SUBSTITUTE(D291,"|",REPT(";",LEN(D291)),4))+1,FIND(";",SUBSTITUTE(D291,"|",REPT(";",LEN(D291)),5))-FIND(";",SUBSTITUTE(D291,"|",REPT(";",LEN(D291)),4))-1)</f>
        <v/>
      </c>
      <c r="N291">
        <f>MID(D291,FIND(";",SUBSTITUTE(D291,"|",REPT(";",LEN(D291)),6))+1,LEN(D291))</f>
        <v/>
      </c>
      <c r="O291">
        <f>MID(D291,FIND(";",SUBSTITUTE(D291,"|",REPT(";",LEN(D291)),5))+1,FIND(";",SUBSTITUTE(D291,"|",REPT(";",LEN(D291)),6))-FIND(";",SUBSTITUTE(D291,"|",REPT(";",LEN(D291)),5))-1)</f>
        <v/>
      </c>
    </row>
    <row r="292">
      <c r="A292" t="inlineStr">
        <is>
          <t>100201</t>
        </is>
      </c>
      <c r="B292" t="inlineStr">
        <is>
          <t>圆钢</t>
        </is>
      </c>
      <c r="C292" t="inlineStr">
        <is>
          <t>600995300</t>
        </is>
      </c>
      <c r="D292" t="inlineStr">
        <is>
          <t>热轧航空用不锈圆钢|圆钢|1Cr18Ni9Ti|Φ8|GJB 2294-1995|热轧|GB/T 702-2008</t>
        </is>
      </c>
      <c r="E292" t="inlineStr">
        <is>
          <t>物资名称 热轧航空用不锈圆钢;物资简称 圆钢;牌号 1Cr18Ni9Ti;直径 Φ8;技术标准号 GJB 2294-1995;加工工艺 热轧;热处理工艺 ;特殊要求 ;规格标准号 GB/T 702-2008</t>
        </is>
      </c>
      <c r="F292" t="inlineStr">
        <is>
          <t>千克</t>
        </is>
      </c>
      <c r="G292">
        <f>LEFT(D292,FIND("|",D292,1)-1)</f>
        <v/>
      </c>
      <c r="H292">
        <f>MID(D292,FIND("|",D292,FIND("|",D292,1))+1,FIND("|",D292,FIND("|",D292,1)+1)-FIND("|",D292,FIND("|",D292,1))-1)</f>
        <v/>
      </c>
      <c r="J292">
        <f>MID(D292,FIND(";",SUBSTITUTE(D292,"|",REPT(";",LEN(D292)),2))+1,FIND(";",SUBSTITUTE(D292,"|",REPT(";",LEN(D292)),3))-FIND(";",SUBSTITUTE(D292,"|",REPT(";",LEN(D292)),2))-1)</f>
        <v/>
      </c>
      <c r="K292">
        <f>MID(D292,FIND(";",SUBSTITUTE(D292,"|",REPT(";",LEN(D292)),3))+1,FIND(";",SUBSTITUTE(D292,"|",REPT(";",LEN(D292)),4))-FIND(";",SUBSTITUTE(D292,"|",REPT(";",LEN(D292)),3))-1)</f>
        <v/>
      </c>
      <c r="M292">
        <f>MID(D292,FIND(";",SUBSTITUTE(D292,"|",REPT(";",LEN(D292)),4))+1,FIND(";",SUBSTITUTE(D292,"|",REPT(";",LEN(D292)),5))-FIND(";",SUBSTITUTE(D292,"|",REPT(";",LEN(D292)),4))-1)</f>
        <v/>
      </c>
      <c r="N292">
        <f>MID(D292,FIND(";",SUBSTITUTE(D292,"|",REPT(";",LEN(D292)),6))+1,LEN(D292))</f>
        <v/>
      </c>
      <c r="O292">
        <f>MID(D292,FIND(";",SUBSTITUTE(D292,"|",REPT(";",LEN(D292)),5))+1,FIND(";",SUBSTITUTE(D292,"|",REPT(";",LEN(D292)),6))-FIND(";",SUBSTITUTE(D292,"|",REPT(";",LEN(D292)),5))-1)</f>
        <v/>
      </c>
    </row>
    <row r="293">
      <c r="A293" t="inlineStr">
        <is>
          <t>100201</t>
        </is>
      </c>
      <c r="B293" t="inlineStr">
        <is>
          <t>圆钢</t>
        </is>
      </c>
      <c r="C293" t="inlineStr">
        <is>
          <t>600995200</t>
        </is>
      </c>
      <c r="D293" t="inlineStr">
        <is>
          <t>热轧航空用不锈圆钢|圆钢|1Cr18Ni9Ti|Φ11|GJB 2294-1995|热轧|GB/T 702-2008</t>
        </is>
      </c>
      <c r="E293" t="inlineStr">
        <is>
          <t>物资名称 热轧航空用不锈圆钢;物资简称 圆钢;牌号 1Cr18Ni9Ti;直径 Φ11;技术标准号 GJB 2294-1995;加工工艺 热轧;热处理工艺 ;特殊要求 ;规格标准号 GB/T 702-2008</t>
        </is>
      </c>
      <c r="F293" t="inlineStr">
        <is>
          <t>千克</t>
        </is>
      </c>
      <c r="G293">
        <f>LEFT(D293,FIND("|",D293,1)-1)</f>
        <v/>
      </c>
      <c r="H293">
        <f>MID(D293,FIND("|",D293,FIND("|",D293,1))+1,FIND("|",D293,FIND("|",D293,1)+1)-FIND("|",D293,FIND("|",D293,1))-1)</f>
        <v/>
      </c>
      <c r="J293">
        <f>MID(D293,FIND(";",SUBSTITUTE(D293,"|",REPT(";",LEN(D293)),2))+1,FIND(";",SUBSTITUTE(D293,"|",REPT(";",LEN(D293)),3))-FIND(";",SUBSTITUTE(D293,"|",REPT(";",LEN(D293)),2))-1)</f>
        <v/>
      </c>
      <c r="K293">
        <f>MID(D293,FIND(";",SUBSTITUTE(D293,"|",REPT(";",LEN(D293)),3))+1,FIND(";",SUBSTITUTE(D293,"|",REPT(";",LEN(D293)),4))-FIND(";",SUBSTITUTE(D293,"|",REPT(";",LEN(D293)),3))-1)</f>
        <v/>
      </c>
      <c r="M293">
        <f>MID(D293,FIND(";",SUBSTITUTE(D293,"|",REPT(";",LEN(D293)),4))+1,FIND(";",SUBSTITUTE(D293,"|",REPT(";",LEN(D293)),5))-FIND(";",SUBSTITUTE(D293,"|",REPT(";",LEN(D293)),4))-1)</f>
        <v/>
      </c>
      <c r="N293">
        <f>MID(D293,FIND(";",SUBSTITUTE(D293,"|",REPT(";",LEN(D293)),6))+1,LEN(D293))</f>
        <v/>
      </c>
      <c r="O293">
        <f>MID(D293,FIND(";",SUBSTITUTE(D293,"|",REPT(";",LEN(D293)),5))+1,FIND(";",SUBSTITUTE(D293,"|",REPT(";",LEN(D293)),6))-FIND(";",SUBSTITUTE(D293,"|",REPT(";",LEN(D293)),5))-1)</f>
        <v/>
      </c>
    </row>
    <row r="294">
      <c r="A294" t="inlineStr">
        <is>
          <t>100201</t>
        </is>
      </c>
      <c r="B294" t="inlineStr">
        <is>
          <t>圆钢</t>
        </is>
      </c>
      <c r="C294" t="inlineStr">
        <is>
          <t>600995000</t>
        </is>
      </c>
      <c r="D294" t="inlineStr">
        <is>
          <t>热轧航空用不锈圆钢|圆钢|1Cr18Ni9Ti|Φ100|GJB 2294-1995|热轧|GB/T 702-2008</t>
        </is>
      </c>
      <c r="E294" t="inlineStr">
        <is>
          <t>物资名称 热轧航空用不锈圆钢;物资简称 圆钢;牌号 1Cr18Ni9Ti;直径 Φ100;技术标准号 GJB 2294-1995;加工工艺 热轧;热处理工艺 ;特殊要求 ;规格标准号 GB/T 702-2008</t>
        </is>
      </c>
      <c r="F294" t="inlineStr">
        <is>
          <t>千克</t>
        </is>
      </c>
      <c r="G294">
        <f>LEFT(D294,FIND("|",D294,1)-1)</f>
        <v/>
      </c>
      <c r="H294">
        <f>MID(D294,FIND("|",D294,FIND("|",D294,1))+1,FIND("|",D294,FIND("|",D294,1)+1)-FIND("|",D294,FIND("|",D294,1))-1)</f>
        <v/>
      </c>
      <c r="J294">
        <f>MID(D294,FIND(";",SUBSTITUTE(D294,"|",REPT(";",LEN(D294)),2))+1,FIND(";",SUBSTITUTE(D294,"|",REPT(";",LEN(D294)),3))-FIND(";",SUBSTITUTE(D294,"|",REPT(";",LEN(D294)),2))-1)</f>
        <v/>
      </c>
      <c r="K294">
        <f>MID(D294,FIND(";",SUBSTITUTE(D294,"|",REPT(";",LEN(D294)),3))+1,FIND(";",SUBSTITUTE(D294,"|",REPT(";",LEN(D294)),4))-FIND(";",SUBSTITUTE(D294,"|",REPT(";",LEN(D294)),3))-1)</f>
        <v/>
      </c>
      <c r="M294">
        <f>MID(D294,FIND(";",SUBSTITUTE(D294,"|",REPT(";",LEN(D294)),4))+1,FIND(";",SUBSTITUTE(D294,"|",REPT(";",LEN(D294)),5))-FIND(";",SUBSTITUTE(D294,"|",REPT(";",LEN(D294)),4))-1)</f>
        <v/>
      </c>
      <c r="N294">
        <f>MID(D294,FIND(";",SUBSTITUTE(D294,"|",REPT(";",LEN(D294)),6))+1,LEN(D294))</f>
        <v/>
      </c>
      <c r="O294">
        <f>MID(D294,FIND(";",SUBSTITUTE(D294,"|",REPT(";",LEN(D294)),5))+1,FIND(";",SUBSTITUTE(D294,"|",REPT(";",LEN(D294)),6))-FIND(";",SUBSTITUTE(D294,"|",REPT(";",LEN(D294)),5))-1)</f>
        <v/>
      </c>
    </row>
    <row r="295">
      <c r="A295" t="inlineStr">
        <is>
          <t>100201</t>
        </is>
      </c>
      <c r="B295" t="inlineStr">
        <is>
          <t>圆钢</t>
        </is>
      </c>
      <c r="C295" t="inlineStr">
        <is>
          <t>600994900</t>
        </is>
      </c>
      <c r="D295" t="inlineStr">
        <is>
          <t>热轧航空用不锈圆钢|圆钢|1Cr18Ni9Ti|Φ45|GJB 2294-1995|热轧|GB/T 702-2008</t>
        </is>
      </c>
      <c r="E295" t="inlineStr">
        <is>
          <t>物资名称 热轧航空用不锈圆钢;物资简称 圆钢;牌号 1Cr18Ni9Ti;直径 Φ45;技术标准号 GJB 2294-1995;加工工艺 热轧;热处理工艺 ;特殊要求 ;规格标准号 GB/T 702-2008</t>
        </is>
      </c>
      <c r="F295" t="inlineStr">
        <is>
          <t>千克</t>
        </is>
      </c>
      <c r="G295">
        <f>LEFT(D295,FIND("|",D295,1)-1)</f>
        <v/>
      </c>
      <c r="H295">
        <f>MID(D295,FIND("|",D295,FIND("|",D295,1))+1,FIND("|",D295,FIND("|",D295,1)+1)-FIND("|",D295,FIND("|",D295,1))-1)</f>
        <v/>
      </c>
      <c r="J295">
        <f>MID(D295,FIND(";",SUBSTITUTE(D295,"|",REPT(";",LEN(D295)),2))+1,FIND(";",SUBSTITUTE(D295,"|",REPT(";",LEN(D295)),3))-FIND(";",SUBSTITUTE(D295,"|",REPT(";",LEN(D295)),2))-1)</f>
        <v/>
      </c>
      <c r="K295">
        <f>MID(D295,FIND(";",SUBSTITUTE(D295,"|",REPT(";",LEN(D295)),3))+1,FIND(";",SUBSTITUTE(D295,"|",REPT(";",LEN(D295)),4))-FIND(";",SUBSTITUTE(D295,"|",REPT(";",LEN(D295)),3))-1)</f>
        <v/>
      </c>
      <c r="M295">
        <f>MID(D295,FIND(";",SUBSTITUTE(D295,"|",REPT(";",LEN(D295)),4))+1,FIND(";",SUBSTITUTE(D295,"|",REPT(";",LEN(D295)),5))-FIND(";",SUBSTITUTE(D295,"|",REPT(";",LEN(D295)),4))-1)</f>
        <v/>
      </c>
      <c r="N295">
        <f>MID(D295,FIND(";",SUBSTITUTE(D295,"|",REPT(";",LEN(D295)),6))+1,LEN(D295))</f>
        <v/>
      </c>
      <c r="O295">
        <f>MID(D295,FIND(";",SUBSTITUTE(D295,"|",REPT(";",LEN(D295)),5))+1,FIND(";",SUBSTITUTE(D295,"|",REPT(";",LEN(D295)),6))-FIND(";",SUBSTITUTE(D295,"|",REPT(";",LEN(D295)),5))-1)</f>
        <v/>
      </c>
    </row>
    <row r="296">
      <c r="A296" t="inlineStr">
        <is>
          <t>100201</t>
        </is>
      </c>
      <c r="B296" t="inlineStr">
        <is>
          <t>圆钢</t>
        </is>
      </c>
      <c r="C296" t="inlineStr">
        <is>
          <t>600994800</t>
        </is>
      </c>
      <c r="D296" t="inlineStr">
        <is>
          <t>热轧航空用不锈圆钢|圆钢|1Cr18Ni9Ti|Φ48|GJB 2294-1995|热轧|GB/T 702-2008</t>
        </is>
      </c>
      <c r="E296" t="inlineStr">
        <is>
          <t>物资名称 热轧航空用不锈圆钢;物资简称 圆钢;牌号 1Cr18Ni9Ti;直径 Φ48;技术标准号 GJB 2294-1995;加工工艺 热轧;热处理工艺 ;特殊要求 ;规格标准号 GB/T 702-2008</t>
        </is>
      </c>
      <c r="F296" t="inlineStr">
        <is>
          <t>千克</t>
        </is>
      </c>
      <c r="G296">
        <f>LEFT(D296,FIND("|",D296,1)-1)</f>
        <v/>
      </c>
      <c r="H296">
        <f>MID(D296,FIND("|",D296,FIND("|",D296,1))+1,FIND("|",D296,FIND("|",D296,1)+1)-FIND("|",D296,FIND("|",D296,1))-1)</f>
        <v/>
      </c>
      <c r="J296">
        <f>MID(D296,FIND(";",SUBSTITUTE(D296,"|",REPT(";",LEN(D296)),2))+1,FIND(";",SUBSTITUTE(D296,"|",REPT(";",LEN(D296)),3))-FIND(";",SUBSTITUTE(D296,"|",REPT(";",LEN(D296)),2))-1)</f>
        <v/>
      </c>
      <c r="K296">
        <f>MID(D296,FIND(";",SUBSTITUTE(D296,"|",REPT(";",LEN(D296)),3))+1,FIND(";",SUBSTITUTE(D296,"|",REPT(";",LEN(D296)),4))-FIND(";",SUBSTITUTE(D296,"|",REPT(";",LEN(D296)),3))-1)</f>
        <v/>
      </c>
      <c r="M296">
        <f>MID(D296,FIND(";",SUBSTITUTE(D296,"|",REPT(";",LEN(D296)),4))+1,FIND(";",SUBSTITUTE(D296,"|",REPT(";",LEN(D296)),5))-FIND(";",SUBSTITUTE(D296,"|",REPT(";",LEN(D296)),4))-1)</f>
        <v/>
      </c>
      <c r="N296">
        <f>MID(D296,FIND(";",SUBSTITUTE(D296,"|",REPT(";",LEN(D296)),6))+1,LEN(D296))</f>
        <v/>
      </c>
      <c r="O296">
        <f>MID(D296,FIND(";",SUBSTITUTE(D296,"|",REPT(";",LEN(D296)),5))+1,FIND(";",SUBSTITUTE(D296,"|",REPT(";",LEN(D296)),6))-FIND(";",SUBSTITUTE(D296,"|",REPT(";",LEN(D296)),5))-1)</f>
        <v/>
      </c>
    </row>
    <row r="297">
      <c r="A297" t="inlineStr">
        <is>
          <t>100201</t>
        </is>
      </c>
      <c r="B297" t="inlineStr">
        <is>
          <t>圆钢</t>
        </is>
      </c>
      <c r="C297" t="inlineStr">
        <is>
          <t>600994700</t>
        </is>
      </c>
      <c r="D297" t="inlineStr">
        <is>
          <t>热轧航空用不锈圆钢|圆钢|1Cr18Ni9Ti|Φ34|GJB 2294-1995|热轧|GB/T 702-2008</t>
        </is>
      </c>
      <c r="E297" t="inlineStr">
        <is>
          <t>物资名称 热轧航空用不锈圆钢;物资简称 圆钢;牌号 1Cr18Ni9Ti;直径 Φ34;技术标准号 GJB 2294-1995;加工工艺 热轧;热处理工艺 ;特殊要求 ;规格标准号 GB/T 702-2008</t>
        </is>
      </c>
      <c r="F297" t="inlineStr">
        <is>
          <t>千克</t>
        </is>
      </c>
      <c r="G297">
        <f>LEFT(D297,FIND("|",D297,1)-1)</f>
        <v/>
      </c>
      <c r="H297">
        <f>MID(D297,FIND("|",D297,FIND("|",D297,1))+1,FIND("|",D297,FIND("|",D297,1)+1)-FIND("|",D297,FIND("|",D297,1))-1)</f>
        <v/>
      </c>
      <c r="J297">
        <f>MID(D297,FIND(";",SUBSTITUTE(D297,"|",REPT(";",LEN(D297)),2))+1,FIND(";",SUBSTITUTE(D297,"|",REPT(";",LEN(D297)),3))-FIND(";",SUBSTITUTE(D297,"|",REPT(";",LEN(D297)),2))-1)</f>
        <v/>
      </c>
      <c r="K297">
        <f>MID(D297,FIND(";",SUBSTITUTE(D297,"|",REPT(";",LEN(D297)),3))+1,FIND(";",SUBSTITUTE(D297,"|",REPT(";",LEN(D297)),4))-FIND(";",SUBSTITUTE(D297,"|",REPT(";",LEN(D297)),3))-1)</f>
        <v/>
      </c>
      <c r="M297">
        <f>MID(D297,FIND(";",SUBSTITUTE(D297,"|",REPT(";",LEN(D297)),4))+1,FIND(";",SUBSTITUTE(D297,"|",REPT(";",LEN(D297)),5))-FIND(";",SUBSTITUTE(D297,"|",REPT(";",LEN(D297)),4))-1)</f>
        <v/>
      </c>
      <c r="N297">
        <f>MID(D297,FIND(";",SUBSTITUTE(D297,"|",REPT(";",LEN(D297)),6))+1,LEN(D297))</f>
        <v/>
      </c>
      <c r="O297">
        <f>MID(D297,FIND(";",SUBSTITUTE(D297,"|",REPT(";",LEN(D297)),5))+1,FIND(";",SUBSTITUTE(D297,"|",REPT(";",LEN(D297)),6))-FIND(";",SUBSTITUTE(D297,"|",REPT(";",LEN(D297)),5))-1)</f>
        <v/>
      </c>
    </row>
    <row r="298">
      <c r="A298" t="inlineStr">
        <is>
          <t>100201</t>
        </is>
      </c>
      <c r="B298" t="inlineStr">
        <is>
          <t>圆钢</t>
        </is>
      </c>
      <c r="C298" t="inlineStr">
        <is>
          <t>600994600</t>
        </is>
      </c>
      <c r="D298" t="inlineStr">
        <is>
          <t>热轧航空用不锈圆钢|圆钢|1Cr18Ni9Ti|Φ28|GJB 2294-1995|热轧|GB/T 702-2008</t>
        </is>
      </c>
      <c r="E298" t="inlineStr">
        <is>
          <t>物资名称 热轧航空用不锈圆钢;物资简称 圆钢;牌号 1Cr18Ni9Ti;直径 Φ28;技术标准号 GJB 2294-1995;加工工艺 热轧;热处理工艺 ;特殊要求 ;规格标准号 GB/T 702-2008</t>
        </is>
      </c>
      <c r="F298" t="inlineStr">
        <is>
          <t>千克</t>
        </is>
      </c>
      <c r="G298">
        <f>LEFT(D298,FIND("|",D298,1)-1)</f>
        <v/>
      </c>
      <c r="H298">
        <f>MID(D298,FIND("|",D298,FIND("|",D298,1))+1,FIND("|",D298,FIND("|",D298,1)+1)-FIND("|",D298,FIND("|",D298,1))-1)</f>
        <v/>
      </c>
      <c r="J298">
        <f>MID(D298,FIND(";",SUBSTITUTE(D298,"|",REPT(";",LEN(D298)),2))+1,FIND(";",SUBSTITUTE(D298,"|",REPT(";",LEN(D298)),3))-FIND(";",SUBSTITUTE(D298,"|",REPT(";",LEN(D298)),2))-1)</f>
        <v/>
      </c>
      <c r="K298">
        <f>MID(D298,FIND(";",SUBSTITUTE(D298,"|",REPT(";",LEN(D298)),3))+1,FIND(";",SUBSTITUTE(D298,"|",REPT(";",LEN(D298)),4))-FIND(";",SUBSTITUTE(D298,"|",REPT(";",LEN(D298)),3))-1)</f>
        <v/>
      </c>
      <c r="M298">
        <f>MID(D298,FIND(";",SUBSTITUTE(D298,"|",REPT(";",LEN(D298)),4))+1,FIND(";",SUBSTITUTE(D298,"|",REPT(";",LEN(D298)),5))-FIND(";",SUBSTITUTE(D298,"|",REPT(";",LEN(D298)),4))-1)</f>
        <v/>
      </c>
      <c r="N298">
        <f>MID(D298,FIND(";",SUBSTITUTE(D298,"|",REPT(";",LEN(D298)),6))+1,LEN(D298))</f>
        <v/>
      </c>
      <c r="O298">
        <f>MID(D298,FIND(";",SUBSTITUTE(D298,"|",REPT(";",LEN(D298)),5))+1,FIND(";",SUBSTITUTE(D298,"|",REPT(";",LEN(D298)),6))-FIND(";",SUBSTITUTE(D298,"|",REPT(";",LEN(D298)),5))-1)</f>
        <v/>
      </c>
    </row>
    <row r="299">
      <c r="A299" t="inlineStr">
        <is>
          <t>100201</t>
        </is>
      </c>
      <c r="B299" t="inlineStr">
        <is>
          <t>圆钢</t>
        </is>
      </c>
      <c r="C299" t="inlineStr">
        <is>
          <t>600993500</t>
        </is>
      </c>
      <c r="D299" t="inlineStr">
        <is>
          <t>热轧不锈圆钢|圆钢|Y1Cr18Ni9|Φ30|GB 1220-1992|热轧|GB/T 702-2008</t>
        </is>
      </c>
      <c r="E299" t="inlineStr">
        <is>
          <t>物资名称 热轧不锈圆钢;物资简称 圆钢;牌号 Y1Cr18Ni9;直径 Φ30;技术标准号 GB 1220-1992;加工工艺 热轧;热处理工艺 ;特殊要求 ;规格标准号 GB/T 702-2008</t>
        </is>
      </c>
      <c r="F299" t="inlineStr">
        <is>
          <t>千克</t>
        </is>
      </c>
      <c r="G299">
        <f>LEFT(D299,FIND("|",D299,1)-1)</f>
        <v/>
      </c>
      <c r="H299">
        <f>MID(D299,FIND("|",D299,FIND("|",D299,1))+1,FIND("|",D299,FIND("|",D299,1)+1)-FIND("|",D299,FIND("|",D299,1))-1)</f>
        <v/>
      </c>
      <c r="J299">
        <f>MID(D299,FIND(";",SUBSTITUTE(D299,"|",REPT(";",LEN(D299)),2))+1,FIND(";",SUBSTITUTE(D299,"|",REPT(";",LEN(D299)),3))-FIND(";",SUBSTITUTE(D299,"|",REPT(";",LEN(D299)),2))-1)</f>
        <v/>
      </c>
      <c r="K299">
        <f>MID(D299,FIND(";",SUBSTITUTE(D299,"|",REPT(";",LEN(D299)),3))+1,FIND(";",SUBSTITUTE(D299,"|",REPT(";",LEN(D299)),4))-FIND(";",SUBSTITUTE(D299,"|",REPT(";",LEN(D299)),3))-1)</f>
        <v/>
      </c>
      <c r="M299">
        <f>MID(D299,FIND(";",SUBSTITUTE(D299,"|",REPT(";",LEN(D299)),4))+1,FIND(";",SUBSTITUTE(D299,"|",REPT(";",LEN(D299)),5))-FIND(";",SUBSTITUTE(D299,"|",REPT(";",LEN(D299)),4))-1)</f>
        <v/>
      </c>
      <c r="N299">
        <f>MID(D299,FIND(";",SUBSTITUTE(D299,"|",REPT(";",LEN(D299)),6))+1,LEN(D299))</f>
        <v/>
      </c>
      <c r="O299">
        <f>MID(D299,FIND(";",SUBSTITUTE(D299,"|",REPT(";",LEN(D299)),5))+1,FIND(";",SUBSTITUTE(D299,"|",REPT(";",LEN(D299)),6))-FIND(";",SUBSTITUTE(D299,"|",REPT(";",LEN(D299)),5))-1)</f>
        <v/>
      </c>
    </row>
    <row r="300">
      <c r="A300" t="inlineStr">
        <is>
          <t>100201</t>
        </is>
      </c>
      <c r="B300" t="inlineStr">
        <is>
          <t>圆钢</t>
        </is>
      </c>
      <c r="C300" t="inlineStr">
        <is>
          <t>600992800</t>
        </is>
      </c>
      <c r="D300" t="inlineStr">
        <is>
          <t>热轧航空用不锈圆钢|圆钢|Y2Cr13Ni2|Φ28|GJB 2294-95|热轧|GB/T 702-2008</t>
        </is>
      </c>
      <c r="E300" t="inlineStr">
        <is>
          <t>物资名称 热轧航空用不锈圆钢;物资简称 圆钢;牌号 Y2Cr13Ni2;直径 Φ28;技术标准号 GJB 2294-95;加工工艺 热轧;热处理工艺 ;特殊要求 ;规格标准号 GB/T 702-2008</t>
        </is>
      </c>
      <c r="F300" t="inlineStr">
        <is>
          <t>千克</t>
        </is>
      </c>
      <c r="G300">
        <f>LEFT(D300,FIND("|",D300,1)-1)</f>
        <v/>
      </c>
      <c r="H300">
        <f>MID(D300,FIND("|",D300,FIND("|",D300,1))+1,FIND("|",D300,FIND("|",D300,1)+1)-FIND("|",D300,FIND("|",D300,1))-1)</f>
        <v/>
      </c>
      <c r="J300">
        <f>MID(D300,FIND(";",SUBSTITUTE(D300,"|",REPT(";",LEN(D300)),2))+1,FIND(";",SUBSTITUTE(D300,"|",REPT(";",LEN(D300)),3))-FIND(";",SUBSTITUTE(D300,"|",REPT(";",LEN(D300)),2))-1)</f>
        <v/>
      </c>
      <c r="K300">
        <f>MID(D300,FIND(";",SUBSTITUTE(D300,"|",REPT(";",LEN(D300)),3))+1,FIND(";",SUBSTITUTE(D300,"|",REPT(";",LEN(D300)),4))-FIND(";",SUBSTITUTE(D300,"|",REPT(";",LEN(D300)),3))-1)</f>
        <v/>
      </c>
      <c r="M300">
        <f>MID(D300,FIND(";",SUBSTITUTE(D300,"|",REPT(";",LEN(D300)),4))+1,FIND(";",SUBSTITUTE(D300,"|",REPT(";",LEN(D300)),5))-FIND(";",SUBSTITUTE(D300,"|",REPT(";",LEN(D300)),4))-1)</f>
        <v/>
      </c>
      <c r="N300">
        <f>MID(D300,FIND(";",SUBSTITUTE(D300,"|",REPT(";",LEN(D300)),6))+1,LEN(D300))</f>
        <v/>
      </c>
      <c r="O300">
        <f>MID(D300,FIND(";",SUBSTITUTE(D300,"|",REPT(";",LEN(D300)),5))+1,FIND(";",SUBSTITUTE(D300,"|",REPT(";",LEN(D300)),6))-FIND(";",SUBSTITUTE(D300,"|",REPT(";",LEN(D300)),5))-1)</f>
        <v/>
      </c>
    </row>
    <row r="301">
      <c r="A301" t="inlineStr">
        <is>
          <t>100201</t>
        </is>
      </c>
      <c r="B301" t="inlineStr">
        <is>
          <t>圆钢</t>
        </is>
      </c>
      <c r="C301" t="inlineStr">
        <is>
          <t>600992700</t>
        </is>
      </c>
      <c r="D301" t="inlineStr">
        <is>
          <t>热轧航空用不锈圆钢|圆钢|Y2Cr13Ni2|Φ7|GJB 2294-1995|热轧|GB/T 702-2008</t>
        </is>
      </c>
      <c r="E301" t="inlineStr">
        <is>
          <t>物资名称 热轧航空用不锈圆钢;物资简称 圆钢;牌号 Y2Cr13Ni2;直径 Φ7;技术标准号 GJB 2294-1995;加工工艺 热轧;热处理工艺 ;特殊要求 ;规格标准号 GB/T 702-2008</t>
        </is>
      </c>
      <c r="F301" t="inlineStr">
        <is>
          <t>千克</t>
        </is>
      </c>
      <c r="G301">
        <f>LEFT(D301,FIND("|",D301,1)-1)</f>
        <v/>
      </c>
      <c r="H301">
        <f>MID(D301,FIND("|",D301,FIND("|",D301,1))+1,FIND("|",D301,FIND("|",D301,1)+1)-FIND("|",D301,FIND("|",D301,1))-1)</f>
        <v/>
      </c>
      <c r="J301">
        <f>MID(D301,FIND(";",SUBSTITUTE(D301,"|",REPT(";",LEN(D301)),2))+1,FIND(";",SUBSTITUTE(D301,"|",REPT(";",LEN(D301)),3))-FIND(";",SUBSTITUTE(D301,"|",REPT(";",LEN(D301)),2))-1)</f>
        <v/>
      </c>
      <c r="K301">
        <f>MID(D301,FIND(";",SUBSTITUTE(D301,"|",REPT(";",LEN(D301)),3))+1,FIND(";",SUBSTITUTE(D301,"|",REPT(";",LEN(D301)),4))-FIND(";",SUBSTITUTE(D301,"|",REPT(";",LEN(D301)),3))-1)</f>
        <v/>
      </c>
      <c r="M301">
        <f>MID(D301,FIND(";",SUBSTITUTE(D301,"|",REPT(";",LEN(D301)),4))+1,FIND(";",SUBSTITUTE(D301,"|",REPT(";",LEN(D301)),5))-FIND(";",SUBSTITUTE(D301,"|",REPT(";",LEN(D301)),4))-1)</f>
        <v/>
      </c>
      <c r="N301">
        <f>MID(D301,FIND(";",SUBSTITUTE(D301,"|",REPT(";",LEN(D301)),6))+1,LEN(D301))</f>
        <v/>
      </c>
      <c r="O301">
        <f>MID(D301,FIND(";",SUBSTITUTE(D301,"|",REPT(";",LEN(D301)),5))+1,FIND(";",SUBSTITUTE(D301,"|",REPT(";",LEN(D301)),6))-FIND(";",SUBSTITUTE(D301,"|",REPT(";",LEN(D301)),5))-1)</f>
        <v/>
      </c>
    </row>
    <row r="302">
      <c r="A302" t="inlineStr">
        <is>
          <t>100201</t>
        </is>
      </c>
      <c r="B302" t="inlineStr">
        <is>
          <t>圆钢</t>
        </is>
      </c>
      <c r="C302" t="inlineStr">
        <is>
          <t>600992600</t>
        </is>
      </c>
      <c r="D302" t="inlineStr">
        <is>
          <t>热轧航空用不锈圆钢|圆钢|Y2Cr13Ni2|Φ12|GJB 2294-1995|热轧|GB/T 702-2008</t>
        </is>
      </c>
      <c r="E302" t="inlineStr">
        <is>
          <t>物资名称 热轧航空用不锈圆钢;物资简称 圆钢;牌号 Y2Cr13Ni2;直径 Φ12;技术标准号 GJB 2294-1995;加工工艺 热轧;热处理工艺 ;特殊要求 ;规格标准号 GB/T 702-2008</t>
        </is>
      </c>
      <c r="F302" t="inlineStr">
        <is>
          <t>千克</t>
        </is>
      </c>
      <c r="G302">
        <f>LEFT(D302,FIND("|",D302,1)-1)</f>
        <v/>
      </c>
      <c r="H302">
        <f>MID(D302,FIND("|",D302,FIND("|",D302,1))+1,FIND("|",D302,FIND("|",D302,1)+1)-FIND("|",D302,FIND("|",D302,1))-1)</f>
        <v/>
      </c>
      <c r="J302">
        <f>MID(D302,FIND(";",SUBSTITUTE(D302,"|",REPT(";",LEN(D302)),2))+1,FIND(";",SUBSTITUTE(D302,"|",REPT(";",LEN(D302)),3))-FIND(";",SUBSTITUTE(D302,"|",REPT(";",LEN(D302)),2))-1)</f>
        <v/>
      </c>
      <c r="K302">
        <f>MID(D302,FIND(";",SUBSTITUTE(D302,"|",REPT(";",LEN(D302)),3))+1,FIND(";",SUBSTITUTE(D302,"|",REPT(";",LEN(D302)),4))-FIND(";",SUBSTITUTE(D302,"|",REPT(";",LEN(D302)),3))-1)</f>
        <v/>
      </c>
      <c r="M302">
        <f>MID(D302,FIND(";",SUBSTITUTE(D302,"|",REPT(";",LEN(D302)),4))+1,FIND(";",SUBSTITUTE(D302,"|",REPT(";",LEN(D302)),5))-FIND(";",SUBSTITUTE(D302,"|",REPT(";",LEN(D302)),4))-1)</f>
        <v/>
      </c>
      <c r="N302">
        <f>MID(D302,FIND(";",SUBSTITUTE(D302,"|",REPT(";",LEN(D302)),6))+1,LEN(D302))</f>
        <v/>
      </c>
      <c r="O302">
        <f>MID(D302,FIND(";",SUBSTITUTE(D302,"|",REPT(";",LEN(D302)),5))+1,FIND(";",SUBSTITUTE(D302,"|",REPT(";",LEN(D302)),6))-FIND(";",SUBSTITUTE(D302,"|",REPT(";",LEN(D302)),5))-1)</f>
        <v/>
      </c>
    </row>
    <row r="303">
      <c r="A303" t="inlineStr">
        <is>
          <t>100201</t>
        </is>
      </c>
      <c r="B303" t="inlineStr">
        <is>
          <t>圆钢</t>
        </is>
      </c>
      <c r="C303" t="inlineStr">
        <is>
          <t>600992500</t>
        </is>
      </c>
      <c r="D303" t="inlineStr">
        <is>
          <t>热轧航空用不锈圆钢|圆钢|Y2Cr13Ni2|Φ6|GJB 2294-1995|热轧|GB/T 702-2008</t>
        </is>
      </c>
      <c r="E303" t="inlineStr">
        <is>
          <t>物资名称 热轧航空用不锈圆钢;物资简称 圆钢;牌号 Y2Cr13Ni2;直径 Φ6;技术标准号 GJB 2294-1995;加工工艺 热轧;热处理工艺 ;特殊要求 ;规格标准号 GB/T 702-2008</t>
        </is>
      </c>
      <c r="F303" t="inlineStr">
        <is>
          <t>千克</t>
        </is>
      </c>
      <c r="G303">
        <f>LEFT(D303,FIND("|",D303,1)-1)</f>
        <v/>
      </c>
      <c r="H303">
        <f>MID(D303,FIND("|",D303,FIND("|",D303,1))+1,FIND("|",D303,FIND("|",D303,1)+1)-FIND("|",D303,FIND("|",D303,1))-1)</f>
        <v/>
      </c>
      <c r="J303">
        <f>MID(D303,FIND(";",SUBSTITUTE(D303,"|",REPT(";",LEN(D303)),2))+1,FIND(";",SUBSTITUTE(D303,"|",REPT(";",LEN(D303)),3))-FIND(";",SUBSTITUTE(D303,"|",REPT(";",LEN(D303)),2))-1)</f>
        <v/>
      </c>
      <c r="K303">
        <f>MID(D303,FIND(";",SUBSTITUTE(D303,"|",REPT(";",LEN(D303)),3))+1,FIND(";",SUBSTITUTE(D303,"|",REPT(";",LEN(D303)),4))-FIND(";",SUBSTITUTE(D303,"|",REPT(";",LEN(D303)),3))-1)</f>
        <v/>
      </c>
      <c r="M303">
        <f>MID(D303,FIND(";",SUBSTITUTE(D303,"|",REPT(";",LEN(D303)),4))+1,FIND(";",SUBSTITUTE(D303,"|",REPT(";",LEN(D303)),5))-FIND(";",SUBSTITUTE(D303,"|",REPT(";",LEN(D303)),4))-1)</f>
        <v/>
      </c>
      <c r="N303">
        <f>MID(D303,FIND(";",SUBSTITUTE(D303,"|",REPT(";",LEN(D303)),6))+1,LEN(D303))</f>
        <v/>
      </c>
      <c r="O303">
        <f>MID(D303,FIND(";",SUBSTITUTE(D303,"|",REPT(";",LEN(D303)),5))+1,FIND(";",SUBSTITUTE(D303,"|",REPT(";",LEN(D303)),6))-FIND(";",SUBSTITUTE(D303,"|",REPT(";",LEN(D303)),5))-1)</f>
        <v/>
      </c>
    </row>
    <row r="304">
      <c r="A304" t="inlineStr">
        <is>
          <t>100201</t>
        </is>
      </c>
      <c r="B304" t="inlineStr">
        <is>
          <t>圆钢</t>
        </is>
      </c>
      <c r="C304" t="inlineStr">
        <is>
          <t>600992400</t>
        </is>
      </c>
      <c r="D304" t="inlineStr">
        <is>
          <t>热轧航空用不锈圆钢|圆钢|Y2Cr13Ni2|Φ18|GJB 2294-1995|GB/T 702-2008</t>
        </is>
      </c>
      <c r="E304" t="inlineStr">
        <is>
          <t>物资名称 热轧航空用不锈圆钢;物资简称 圆钢;牌号 Y2Cr13Ni2;直径 Φ18;技术标准号 GJB 2294-1995;加工工艺 ;热处理工艺 ;特殊要求 ;规格标准号 GB/T 702-2008</t>
        </is>
      </c>
      <c r="F304" t="inlineStr">
        <is>
          <t>千克</t>
        </is>
      </c>
      <c r="G304">
        <f>LEFT(D304,FIND("|",D304,1)-1)</f>
        <v/>
      </c>
      <c r="H304">
        <f>MID(D304,FIND("|",D304,FIND("|",D304,1))+1,FIND("|",D304,FIND("|",D304,1)+1)-FIND("|",D304,FIND("|",D304,1))-1)</f>
        <v/>
      </c>
      <c r="J304">
        <f>MID(D304,FIND(";",SUBSTITUTE(D304,"|",REPT(";",LEN(D304)),2))+1,FIND(";",SUBSTITUTE(D304,"|",REPT(";",LEN(D304)),3))-FIND(";",SUBSTITUTE(D304,"|",REPT(";",LEN(D304)),2))-1)</f>
        <v/>
      </c>
      <c r="K304">
        <f>MID(D304,FIND(";",SUBSTITUTE(D304,"|",REPT(";",LEN(D304)),3))+1,FIND(";",SUBSTITUTE(D304,"|",REPT(";",LEN(D304)),4))-FIND(";",SUBSTITUTE(D304,"|",REPT(";",LEN(D304)),3))-1)</f>
        <v/>
      </c>
      <c r="M304">
        <f>MID(D304,FIND(";",SUBSTITUTE(D304,"|",REPT(";",LEN(D304)),4))+1,FIND(";",SUBSTITUTE(D304,"|",REPT(";",LEN(D304)),5))-FIND(";",SUBSTITUTE(D304,"|",REPT(";",LEN(D304)),4))-1)</f>
        <v/>
      </c>
      <c r="N304">
        <f>MID(D304,FIND(";",SUBSTITUTE(D304,"|",REPT(";",LEN(D304)),5))+1,LEN(D304))</f>
        <v/>
      </c>
    </row>
    <row r="305">
      <c r="A305" t="inlineStr">
        <is>
          <t>100201</t>
        </is>
      </c>
      <c r="B305" t="inlineStr">
        <is>
          <t>圆钢</t>
        </is>
      </c>
      <c r="C305" t="inlineStr">
        <is>
          <t>600992300</t>
        </is>
      </c>
      <c r="D305" t="inlineStr">
        <is>
          <t>热轧航空用不锈圆钢|圆钢|Y2Cr13Ni2|Φ16|GJB 2294-1995|GB/T 702-2008</t>
        </is>
      </c>
      <c r="E305" t="inlineStr">
        <is>
          <t>物资名称 热轧航空用不锈圆钢;物资简称 圆钢;牌号 Y2Cr13Ni2;直径 Φ16;技术标准号 GJB 2294-1995;加工工艺 ;热处理工艺 ;特殊要求 ;规格标准号 GB/T 702-2008</t>
        </is>
      </c>
      <c r="F305" t="inlineStr">
        <is>
          <t>千克</t>
        </is>
      </c>
      <c r="G305">
        <f>LEFT(D305,FIND("|",D305,1)-1)</f>
        <v/>
      </c>
      <c r="H305">
        <f>MID(D305,FIND("|",D305,FIND("|",D305,1))+1,FIND("|",D305,FIND("|",D305,1)+1)-FIND("|",D305,FIND("|",D305,1))-1)</f>
        <v/>
      </c>
      <c r="J305">
        <f>MID(D305,FIND(";",SUBSTITUTE(D305,"|",REPT(";",LEN(D305)),2))+1,FIND(";",SUBSTITUTE(D305,"|",REPT(";",LEN(D305)),3))-FIND(";",SUBSTITUTE(D305,"|",REPT(";",LEN(D305)),2))-1)</f>
        <v/>
      </c>
      <c r="K305">
        <f>MID(D305,FIND(";",SUBSTITUTE(D305,"|",REPT(";",LEN(D305)),3))+1,FIND(";",SUBSTITUTE(D305,"|",REPT(";",LEN(D305)),4))-FIND(";",SUBSTITUTE(D305,"|",REPT(";",LEN(D305)),3))-1)</f>
        <v/>
      </c>
      <c r="M305">
        <f>MID(D305,FIND(";",SUBSTITUTE(D305,"|",REPT(";",LEN(D305)),4))+1,FIND(";",SUBSTITUTE(D305,"|",REPT(";",LEN(D305)),5))-FIND(";",SUBSTITUTE(D305,"|",REPT(";",LEN(D305)),4))-1)</f>
        <v/>
      </c>
      <c r="N305">
        <f>MID(D305,FIND(";",SUBSTITUTE(D305,"|",REPT(";",LEN(D305)),5))+1,LEN(D305))</f>
        <v/>
      </c>
    </row>
    <row r="306">
      <c r="A306" t="inlineStr">
        <is>
          <t>100201</t>
        </is>
      </c>
      <c r="B306" t="inlineStr">
        <is>
          <t>圆钢</t>
        </is>
      </c>
      <c r="C306" t="inlineStr">
        <is>
          <t>600992200</t>
        </is>
      </c>
      <c r="D306" t="inlineStr">
        <is>
          <t>热轧航空用不锈圆钢|圆钢|Y2Cr13Ni2|Φ11|GJB 2294-1995|GB/T 702-2008</t>
        </is>
      </c>
      <c r="E306" t="inlineStr">
        <is>
          <t>物资名称 热轧航空用不锈圆钢;物资简称 圆钢;牌号 Y2Cr13Ni2;直径 Φ11;技术标准号 GJB 2294-1995;加工工艺 ;热处理工艺 ;特殊要求 ;规格标准号 GB/T 702-2008</t>
        </is>
      </c>
      <c r="F306" t="inlineStr">
        <is>
          <t>千克</t>
        </is>
      </c>
      <c r="G306">
        <f>LEFT(D306,FIND("|",D306,1)-1)</f>
        <v/>
      </c>
      <c r="H306">
        <f>MID(D306,FIND("|",D306,FIND("|",D306,1))+1,FIND("|",D306,FIND("|",D306,1)+1)-FIND("|",D306,FIND("|",D306,1))-1)</f>
        <v/>
      </c>
      <c r="J306">
        <f>MID(D306,FIND(";",SUBSTITUTE(D306,"|",REPT(";",LEN(D306)),2))+1,FIND(";",SUBSTITUTE(D306,"|",REPT(";",LEN(D306)),3))-FIND(";",SUBSTITUTE(D306,"|",REPT(";",LEN(D306)),2))-1)</f>
        <v/>
      </c>
      <c r="K306">
        <f>MID(D306,FIND(";",SUBSTITUTE(D306,"|",REPT(";",LEN(D306)),3))+1,FIND(";",SUBSTITUTE(D306,"|",REPT(";",LEN(D306)),4))-FIND(";",SUBSTITUTE(D306,"|",REPT(";",LEN(D306)),3))-1)</f>
        <v/>
      </c>
      <c r="M306">
        <f>MID(D306,FIND(";",SUBSTITUTE(D306,"|",REPT(";",LEN(D306)),4))+1,FIND(";",SUBSTITUTE(D306,"|",REPT(";",LEN(D306)),5))-FIND(";",SUBSTITUTE(D306,"|",REPT(";",LEN(D306)),4))-1)</f>
        <v/>
      </c>
      <c r="N306">
        <f>MID(D306,FIND(";",SUBSTITUTE(D306,"|",REPT(";",LEN(D306)),5))+1,LEN(D306))</f>
        <v/>
      </c>
    </row>
    <row r="307">
      <c r="A307" t="inlineStr">
        <is>
          <t>100201</t>
        </is>
      </c>
      <c r="B307" t="inlineStr">
        <is>
          <t>圆钢</t>
        </is>
      </c>
      <c r="C307" t="inlineStr">
        <is>
          <t>600992100</t>
        </is>
      </c>
      <c r="D307" t="inlineStr">
        <is>
          <t>热轧航空用不锈圆钢|圆钢|Y2Cr13Ni2|Φ35|GJB 2294-1995|GB/T 702-2008</t>
        </is>
      </c>
      <c r="E307" t="inlineStr">
        <is>
          <t>物资名称 热轧航空用不锈圆钢;物资简称 圆钢;牌号 Y2Cr13Ni2;直径 Φ35;技术标准号 GJB 2294-1995;加工工艺 ;热处理工艺 ;特殊要求 ;规格标准号 GB/T 702-2008</t>
        </is>
      </c>
      <c r="F307" t="inlineStr">
        <is>
          <t>千克</t>
        </is>
      </c>
      <c r="G307">
        <f>LEFT(D307,FIND("|",D307,1)-1)</f>
        <v/>
      </c>
      <c r="H307">
        <f>MID(D307,FIND("|",D307,FIND("|",D307,1))+1,FIND("|",D307,FIND("|",D307,1)+1)-FIND("|",D307,FIND("|",D307,1))-1)</f>
        <v/>
      </c>
      <c r="J307">
        <f>MID(D307,FIND(";",SUBSTITUTE(D307,"|",REPT(";",LEN(D307)),2))+1,FIND(";",SUBSTITUTE(D307,"|",REPT(";",LEN(D307)),3))-FIND(";",SUBSTITUTE(D307,"|",REPT(";",LEN(D307)),2))-1)</f>
        <v/>
      </c>
      <c r="K307">
        <f>MID(D307,FIND(";",SUBSTITUTE(D307,"|",REPT(";",LEN(D307)),3))+1,FIND(";",SUBSTITUTE(D307,"|",REPT(";",LEN(D307)),4))-FIND(";",SUBSTITUTE(D307,"|",REPT(";",LEN(D307)),3))-1)</f>
        <v/>
      </c>
      <c r="M307">
        <f>MID(D307,FIND(";",SUBSTITUTE(D307,"|",REPT(";",LEN(D307)),4))+1,FIND(";",SUBSTITUTE(D307,"|",REPT(";",LEN(D307)),5))-FIND(";",SUBSTITUTE(D307,"|",REPT(";",LEN(D307)),4))-1)</f>
        <v/>
      </c>
      <c r="N307">
        <f>MID(D307,FIND(";",SUBSTITUTE(D307,"|",REPT(";",LEN(D307)),5))+1,LEN(D307))</f>
        <v/>
      </c>
    </row>
    <row r="308">
      <c r="A308" t="inlineStr">
        <is>
          <t>100201</t>
        </is>
      </c>
      <c r="B308" t="inlineStr">
        <is>
          <t>圆钢</t>
        </is>
      </c>
      <c r="C308" t="inlineStr">
        <is>
          <t>600992000</t>
        </is>
      </c>
      <c r="D308" t="inlineStr">
        <is>
          <t>热轧航空用不锈圆钢|圆钢|Y2Cr13Ni2|Φ9|GJB 2294-1995|热轧|GB/T 702-2008</t>
        </is>
      </c>
      <c r="E308" t="inlineStr">
        <is>
          <t>物资名称 热轧航空用不锈圆钢;物资简称 圆钢;牌号 Y2Cr13Ni2;直径 Φ9;技术标准号 GJB 2294-1995;加工工艺 热轧;热处理工艺 ;特殊要求 ;规格标准号 GB/T 702-2008</t>
        </is>
      </c>
      <c r="F308" t="inlineStr">
        <is>
          <t>千克</t>
        </is>
      </c>
      <c r="G308">
        <f>LEFT(D308,FIND("|",D308,1)-1)</f>
        <v/>
      </c>
      <c r="H308">
        <f>MID(D308,FIND("|",D308,FIND("|",D308,1))+1,FIND("|",D308,FIND("|",D308,1)+1)-FIND("|",D308,FIND("|",D308,1))-1)</f>
        <v/>
      </c>
      <c r="J308">
        <f>MID(D308,FIND(";",SUBSTITUTE(D308,"|",REPT(";",LEN(D308)),2))+1,FIND(";",SUBSTITUTE(D308,"|",REPT(";",LEN(D308)),3))-FIND(";",SUBSTITUTE(D308,"|",REPT(";",LEN(D308)),2))-1)</f>
        <v/>
      </c>
      <c r="K308">
        <f>MID(D308,FIND(";",SUBSTITUTE(D308,"|",REPT(";",LEN(D308)),3))+1,FIND(";",SUBSTITUTE(D308,"|",REPT(";",LEN(D308)),4))-FIND(";",SUBSTITUTE(D308,"|",REPT(";",LEN(D308)),3))-1)</f>
        <v/>
      </c>
      <c r="M308">
        <f>MID(D308,FIND(";",SUBSTITUTE(D308,"|",REPT(";",LEN(D308)),4))+1,FIND(";",SUBSTITUTE(D308,"|",REPT(";",LEN(D308)),5))-FIND(";",SUBSTITUTE(D308,"|",REPT(";",LEN(D308)),4))-1)</f>
        <v/>
      </c>
      <c r="N308">
        <f>MID(D308,FIND(";",SUBSTITUTE(D308,"|",REPT(";",LEN(D308)),6))+1,LEN(D308))</f>
        <v/>
      </c>
      <c r="O308">
        <f>MID(D308,FIND(";",SUBSTITUTE(D308,"|",REPT(";",LEN(D308)),5))+1,FIND(";",SUBSTITUTE(D308,"|",REPT(";",LEN(D308)),6))-FIND(";",SUBSTITUTE(D308,"|",REPT(";",LEN(D308)),5))-1)</f>
        <v/>
      </c>
    </row>
    <row r="309">
      <c r="A309" t="inlineStr">
        <is>
          <t>100201</t>
        </is>
      </c>
      <c r="B309" t="inlineStr">
        <is>
          <t>圆钢</t>
        </is>
      </c>
      <c r="C309" t="inlineStr">
        <is>
          <t>600991900</t>
        </is>
      </c>
      <c r="D309" t="inlineStr">
        <is>
          <t>热轧航空用不锈圆钢|圆钢|Y2Cr13Ni2|Φ5|GJB 2294-1995|热轧|GB/T 702-2008</t>
        </is>
      </c>
      <c r="E309" t="inlineStr">
        <is>
          <t>物资名称 热轧航空用不锈圆钢;物资简称 圆钢;牌号 Y2Cr13Ni2;直径 Φ5;技术标准号 GJB 2294-1995;加工工艺 热轧;热处理工艺 ;特殊要求 ;规格标准号 GB/T 702-2008</t>
        </is>
      </c>
      <c r="F309" t="inlineStr">
        <is>
          <t>千克</t>
        </is>
      </c>
      <c r="G309">
        <f>LEFT(D309,FIND("|",D309,1)-1)</f>
        <v/>
      </c>
      <c r="H309">
        <f>MID(D309,FIND("|",D309,FIND("|",D309,1))+1,FIND("|",D309,FIND("|",D309,1)+1)-FIND("|",D309,FIND("|",D309,1))-1)</f>
        <v/>
      </c>
      <c r="J309">
        <f>MID(D309,FIND(";",SUBSTITUTE(D309,"|",REPT(";",LEN(D309)),2))+1,FIND(";",SUBSTITUTE(D309,"|",REPT(";",LEN(D309)),3))-FIND(";",SUBSTITUTE(D309,"|",REPT(";",LEN(D309)),2))-1)</f>
        <v/>
      </c>
      <c r="K309">
        <f>MID(D309,FIND(";",SUBSTITUTE(D309,"|",REPT(";",LEN(D309)),3))+1,FIND(";",SUBSTITUTE(D309,"|",REPT(";",LEN(D309)),4))-FIND(";",SUBSTITUTE(D309,"|",REPT(";",LEN(D309)),3))-1)</f>
        <v/>
      </c>
      <c r="M309">
        <f>MID(D309,FIND(";",SUBSTITUTE(D309,"|",REPT(";",LEN(D309)),4))+1,FIND(";",SUBSTITUTE(D309,"|",REPT(";",LEN(D309)),5))-FIND(";",SUBSTITUTE(D309,"|",REPT(";",LEN(D309)),4))-1)</f>
        <v/>
      </c>
      <c r="N309">
        <f>MID(D309,FIND(";",SUBSTITUTE(D309,"|",REPT(";",LEN(D309)),6))+1,LEN(D309))</f>
        <v/>
      </c>
      <c r="O309">
        <f>MID(D309,FIND(";",SUBSTITUTE(D309,"|",REPT(";",LEN(D309)),5))+1,FIND(";",SUBSTITUTE(D309,"|",REPT(";",LEN(D309)),6))-FIND(";",SUBSTITUTE(D309,"|",REPT(";",LEN(D309)),5))-1)</f>
        <v/>
      </c>
    </row>
    <row r="310">
      <c r="A310" t="inlineStr">
        <is>
          <t>100201</t>
        </is>
      </c>
      <c r="B310" t="inlineStr">
        <is>
          <t>圆钢</t>
        </is>
      </c>
      <c r="C310" t="inlineStr">
        <is>
          <t>600991800</t>
        </is>
      </c>
      <c r="D310" t="inlineStr">
        <is>
          <t>热轧高碳铬轴承圆钢|圆钢|GCr15|Φ8|GB/T 18254-2002|热轧|GB/T 702-2008</t>
        </is>
      </c>
      <c r="E310" t="inlineStr">
        <is>
          <t>物资名称 热轧高碳铬轴承圆钢;物资简称 圆钢;牌号 GCr15;直径 Φ8;技术标准号 GB/T 18254-2002;加工工艺 热轧;热处理工艺 ;特殊要求 ;规格标准号 GB/T 702-2008</t>
        </is>
      </c>
      <c r="F310" t="inlineStr">
        <is>
          <t>千克</t>
        </is>
      </c>
      <c r="G310">
        <f>LEFT(D310,FIND("|",D310,1)-1)</f>
        <v/>
      </c>
      <c r="H310">
        <f>MID(D310,FIND("|",D310,FIND("|",D310,1))+1,FIND("|",D310,FIND("|",D310,1)+1)-FIND("|",D310,FIND("|",D310,1))-1)</f>
        <v/>
      </c>
      <c r="J310">
        <f>MID(D310,FIND(";",SUBSTITUTE(D310,"|",REPT(";",LEN(D310)),2))+1,FIND(";",SUBSTITUTE(D310,"|",REPT(";",LEN(D310)),3))-FIND(";",SUBSTITUTE(D310,"|",REPT(";",LEN(D310)),2))-1)</f>
        <v/>
      </c>
      <c r="K310">
        <f>MID(D310,FIND(";",SUBSTITUTE(D310,"|",REPT(";",LEN(D310)),3))+1,FIND(";",SUBSTITUTE(D310,"|",REPT(";",LEN(D310)),4))-FIND(";",SUBSTITUTE(D310,"|",REPT(";",LEN(D310)),3))-1)</f>
        <v/>
      </c>
      <c r="M310">
        <f>MID(D310,FIND(";",SUBSTITUTE(D310,"|",REPT(";",LEN(D310)),4))+1,FIND(";",SUBSTITUTE(D310,"|",REPT(";",LEN(D310)),5))-FIND(";",SUBSTITUTE(D310,"|",REPT(";",LEN(D310)),4))-1)</f>
        <v/>
      </c>
      <c r="N310">
        <f>MID(D310,FIND(";",SUBSTITUTE(D310,"|",REPT(";",LEN(D310)),6))+1,LEN(D310))</f>
        <v/>
      </c>
      <c r="O310">
        <f>MID(D310,FIND(";",SUBSTITUTE(D310,"|",REPT(";",LEN(D310)),5))+1,FIND(";",SUBSTITUTE(D310,"|",REPT(";",LEN(D310)),6))-FIND(";",SUBSTITUTE(D310,"|",REPT(";",LEN(D310)),5))-1)</f>
        <v/>
      </c>
    </row>
    <row r="311">
      <c r="A311" t="inlineStr">
        <is>
          <t>100201</t>
        </is>
      </c>
      <c r="B311" t="inlineStr">
        <is>
          <t>圆钢</t>
        </is>
      </c>
      <c r="C311" t="inlineStr">
        <is>
          <t>600988700</t>
        </is>
      </c>
      <c r="D311" t="inlineStr">
        <is>
          <t>热轧不锈圆钢|圆钢|1Cr18Ni9Ti|Φ52|GB 1220-1992|热轧|GB/T 702-2008</t>
        </is>
      </c>
      <c r="E311" t="inlineStr">
        <is>
          <t>物资名称 热轧不锈圆钢;物资简称 圆钢;牌号 1Cr18Ni9Ti;直径 Φ52;技术标准号 GB 1220-1992;加工工艺 热轧;热处理工艺 ;特殊要求 ;规格标准号 GB/T 702-2008</t>
        </is>
      </c>
      <c r="F311" t="inlineStr">
        <is>
          <t>千克</t>
        </is>
      </c>
      <c r="G311">
        <f>LEFT(D311,FIND("|",D311,1)-1)</f>
        <v/>
      </c>
      <c r="H311">
        <f>MID(D311,FIND("|",D311,FIND("|",D311,1))+1,FIND("|",D311,FIND("|",D311,1)+1)-FIND("|",D311,FIND("|",D311,1))-1)</f>
        <v/>
      </c>
      <c r="J311">
        <f>MID(D311,FIND(";",SUBSTITUTE(D311,"|",REPT(";",LEN(D311)),2))+1,FIND(";",SUBSTITUTE(D311,"|",REPT(";",LEN(D311)),3))-FIND(";",SUBSTITUTE(D311,"|",REPT(";",LEN(D311)),2))-1)</f>
        <v/>
      </c>
      <c r="K311">
        <f>MID(D311,FIND(";",SUBSTITUTE(D311,"|",REPT(";",LEN(D311)),3))+1,FIND(";",SUBSTITUTE(D311,"|",REPT(";",LEN(D311)),4))-FIND(";",SUBSTITUTE(D311,"|",REPT(";",LEN(D311)),3))-1)</f>
        <v/>
      </c>
      <c r="M311">
        <f>MID(D311,FIND(";",SUBSTITUTE(D311,"|",REPT(";",LEN(D311)),4))+1,FIND(";",SUBSTITUTE(D311,"|",REPT(";",LEN(D311)),5))-FIND(";",SUBSTITUTE(D311,"|",REPT(";",LEN(D311)),4))-1)</f>
        <v/>
      </c>
      <c r="N311">
        <f>MID(D311,FIND(";",SUBSTITUTE(D311,"|",REPT(";",LEN(D311)),6))+1,LEN(D311))</f>
        <v/>
      </c>
      <c r="O311">
        <f>MID(D311,FIND(";",SUBSTITUTE(D311,"|",REPT(";",LEN(D311)),5))+1,FIND(";",SUBSTITUTE(D311,"|",REPT(";",LEN(D311)),6))-FIND(";",SUBSTITUTE(D311,"|",REPT(";",LEN(D311)),5))-1)</f>
        <v/>
      </c>
    </row>
    <row r="312">
      <c r="A312" t="inlineStr">
        <is>
          <t>100201</t>
        </is>
      </c>
      <c r="B312" t="inlineStr">
        <is>
          <t>圆钢</t>
        </is>
      </c>
      <c r="C312" t="inlineStr">
        <is>
          <t>600988600</t>
        </is>
      </c>
      <c r="D312" t="inlineStr">
        <is>
          <t>热轧不锈圆钢|圆钢|1Cr18Ni9Ti|Φ78|GB 1220-1992|热轧|GB/T 702-2008</t>
        </is>
      </c>
      <c r="E312" t="inlineStr">
        <is>
          <t>物资名称 热轧不锈圆钢;物资简称 圆钢;牌号 1Cr18Ni9Ti;直径 Φ78;技术标准号 GB 1220-1992;加工工艺 热轧;热处理工艺 ;特殊要求 ;规格标准号 GB/T 702-2008</t>
        </is>
      </c>
      <c r="F312" t="inlineStr">
        <is>
          <t>千克</t>
        </is>
      </c>
      <c r="G312">
        <f>LEFT(D312,FIND("|",D312,1)-1)</f>
        <v/>
      </c>
      <c r="H312">
        <f>MID(D312,FIND("|",D312,FIND("|",D312,1))+1,FIND("|",D312,FIND("|",D312,1)+1)-FIND("|",D312,FIND("|",D312,1))-1)</f>
        <v/>
      </c>
      <c r="J312">
        <f>MID(D312,FIND(";",SUBSTITUTE(D312,"|",REPT(";",LEN(D312)),2))+1,FIND(";",SUBSTITUTE(D312,"|",REPT(";",LEN(D312)),3))-FIND(";",SUBSTITUTE(D312,"|",REPT(";",LEN(D312)),2))-1)</f>
        <v/>
      </c>
      <c r="K312">
        <f>MID(D312,FIND(";",SUBSTITUTE(D312,"|",REPT(";",LEN(D312)),3))+1,FIND(";",SUBSTITUTE(D312,"|",REPT(";",LEN(D312)),4))-FIND(";",SUBSTITUTE(D312,"|",REPT(";",LEN(D312)),3))-1)</f>
        <v/>
      </c>
      <c r="M312">
        <f>MID(D312,FIND(";",SUBSTITUTE(D312,"|",REPT(";",LEN(D312)),4))+1,FIND(";",SUBSTITUTE(D312,"|",REPT(";",LEN(D312)),5))-FIND(";",SUBSTITUTE(D312,"|",REPT(";",LEN(D312)),4))-1)</f>
        <v/>
      </c>
      <c r="N312">
        <f>MID(D312,FIND(";",SUBSTITUTE(D312,"|",REPT(";",LEN(D312)),6))+1,LEN(D312))</f>
        <v/>
      </c>
      <c r="O312">
        <f>MID(D312,FIND(";",SUBSTITUTE(D312,"|",REPT(";",LEN(D312)),5))+1,FIND(";",SUBSTITUTE(D312,"|",REPT(";",LEN(D312)),6))-FIND(";",SUBSTITUTE(D312,"|",REPT(";",LEN(D312)),5))-1)</f>
        <v/>
      </c>
    </row>
    <row r="313">
      <c r="A313" t="inlineStr">
        <is>
          <t>100201</t>
        </is>
      </c>
      <c r="B313" t="inlineStr">
        <is>
          <t>圆钢</t>
        </is>
      </c>
      <c r="C313" t="inlineStr">
        <is>
          <t>600988500</t>
        </is>
      </c>
      <c r="D313" t="inlineStr">
        <is>
          <t>热轧不锈圆钢|圆钢|1Cr18Ni9Ti|Φ33|GB 1220-1992|热轧|GB/T 702-2008</t>
        </is>
      </c>
      <c r="E313" t="inlineStr">
        <is>
          <t>物资名称 热轧不锈圆钢;物资简称 圆钢;牌号 1Cr18Ni9Ti;直径 Φ33;技术标准号 GB 1220-1992;加工工艺 热轧;热处理工艺 ;特殊要求 ;规格标准号 GB/T 702-2008</t>
        </is>
      </c>
      <c r="F313" t="inlineStr">
        <is>
          <t>千克</t>
        </is>
      </c>
      <c r="G313">
        <f>LEFT(D313,FIND("|",D313,1)-1)</f>
        <v/>
      </c>
      <c r="H313">
        <f>MID(D313,FIND("|",D313,FIND("|",D313,1))+1,FIND("|",D313,FIND("|",D313,1)+1)-FIND("|",D313,FIND("|",D313,1))-1)</f>
        <v/>
      </c>
      <c r="J313">
        <f>MID(D313,FIND(";",SUBSTITUTE(D313,"|",REPT(";",LEN(D313)),2))+1,FIND(";",SUBSTITUTE(D313,"|",REPT(";",LEN(D313)),3))-FIND(";",SUBSTITUTE(D313,"|",REPT(";",LEN(D313)),2))-1)</f>
        <v/>
      </c>
      <c r="K313">
        <f>MID(D313,FIND(";",SUBSTITUTE(D313,"|",REPT(";",LEN(D313)),3))+1,FIND(";",SUBSTITUTE(D313,"|",REPT(";",LEN(D313)),4))-FIND(";",SUBSTITUTE(D313,"|",REPT(";",LEN(D313)),3))-1)</f>
        <v/>
      </c>
      <c r="M313">
        <f>MID(D313,FIND(";",SUBSTITUTE(D313,"|",REPT(";",LEN(D313)),4))+1,FIND(";",SUBSTITUTE(D313,"|",REPT(";",LEN(D313)),5))-FIND(";",SUBSTITUTE(D313,"|",REPT(";",LEN(D313)),4))-1)</f>
        <v/>
      </c>
      <c r="N313">
        <f>MID(D313,FIND(";",SUBSTITUTE(D313,"|",REPT(";",LEN(D313)),6))+1,LEN(D313))</f>
        <v/>
      </c>
      <c r="O313">
        <f>MID(D313,FIND(";",SUBSTITUTE(D313,"|",REPT(";",LEN(D313)),5))+1,FIND(";",SUBSTITUTE(D313,"|",REPT(";",LEN(D313)),6))-FIND(";",SUBSTITUTE(D313,"|",REPT(";",LEN(D313)),5))-1)</f>
        <v/>
      </c>
    </row>
    <row r="314">
      <c r="A314" t="inlineStr">
        <is>
          <t>100201</t>
        </is>
      </c>
      <c r="B314" t="inlineStr">
        <is>
          <t>圆钢</t>
        </is>
      </c>
      <c r="C314" t="inlineStr">
        <is>
          <t>600988400</t>
        </is>
      </c>
      <c r="D314" t="inlineStr">
        <is>
          <t>热轧不锈圆钢|圆钢|1Cr18Ni9Ti|Φ48|GB 1220-1992|热轧|GB/T 702-2008</t>
        </is>
      </c>
      <c r="E314" t="inlineStr">
        <is>
          <t>物资名称 热轧不锈圆钢;物资简称 圆钢;牌号 1Cr18Ni9Ti;直径 Φ48;技术标准号 GB 1220-1992;加工工艺 热轧;热处理工艺 ;特殊要求 ;规格标准号 GB/T 702-2008</t>
        </is>
      </c>
      <c r="F314" t="inlineStr">
        <is>
          <t>千克</t>
        </is>
      </c>
      <c r="G314">
        <f>LEFT(D314,FIND("|",D314,1)-1)</f>
        <v/>
      </c>
      <c r="H314">
        <f>MID(D314,FIND("|",D314,FIND("|",D314,1))+1,FIND("|",D314,FIND("|",D314,1)+1)-FIND("|",D314,FIND("|",D314,1))-1)</f>
        <v/>
      </c>
      <c r="J314">
        <f>MID(D314,FIND(";",SUBSTITUTE(D314,"|",REPT(";",LEN(D314)),2))+1,FIND(";",SUBSTITUTE(D314,"|",REPT(";",LEN(D314)),3))-FIND(";",SUBSTITUTE(D314,"|",REPT(";",LEN(D314)),2))-1)</f>
        <v/>
      </c>
      <c r="K314">
        <f>MID(D314,FIND(";",SUBSTITUTE(D314,"|",REPT(";",LEN(D314)),3))+1,FIND(";",SUBSTITUTE(D314,"|",REPT(";",LEN(D314)),4))-FIND(";",SUBSTITUTE(D314,"|",REPT(";",LEN(D314)),3))-1)</f>
        <v/>
      </c>
      <c r="M314">
        <f>MID(D314,FIND(";",SUBSTITUTE(D314,"|",REPT(";",LEN(D314)),4))+1,FIND(";",SUBSTITUTE(D314,"|",REPT(";",LEN(D314)),5))-FIND(";",SUBSTITUTE(D314,"|",REPT(";",LEN(D314)),4))-1)</f>
        <v/>
      </c>
      <c r="N314">
        <f>MID(D314,FIND(";",SUBSTITUTE(D314,"|",REPT(";",LEN(D314)),6))+1,LEN(D314))</f>
        <v/>
      </c>
      <c r="O314">
        <f>MID(D314,FIND(";",SUBSTITUTE(D314,"|",REPT(";",LEN(D314)),5))+1,FIND(";",SUBSTITUTE(D314,"|",REPT(";",LEN(D314)),6))-FIND(";",SUBSTITUTE(D314,"|",REPT(";",LEN(D314)),5))-1)</f>
        <v/>
      </c>
    </row>
    <row r="315">
      <c r="A315" t="inlineStr">
        <is>
          <t>100201</t>
        </is>
      </c>
      <c r="B315" t="inlineStr">
        <is>
          <t>圆钢</t>
        </is>
      </c>
      <c r="C315" t="inlineStr">
        <is>
          <t>600988300</t>
        </is>
      </c>
      <c r="D315" t="inlineStr">
        <is>
          <t>热轧不锈圆钢|圆钢|1Cr18Ni9Ti|Φ45|GB 1220-1992|热轧|GB/T 702-2008</t>
        </is>
      </c>
      <c r="E315" t="inlineStr">
        <is>
          <t>物资名称 热轧不锈圆钢;物资简称 圆钢;牌号 1Cr18Ni9Ti;直径 Φ45;技术标准号 GB 1220-1992;加工工艺 热轧;热处理工艺 ;特殊要求 ;规格标准号 GB/T 702-2008</t>
        </is>
      </c>
      <c r="F315" t="inlineStr">
        <is>
          <t>千克</t>
        </is>
      </c>
      <c r="G315">
        <f>LEFT(D315,FIND("|",D315,1)-1)</f>
        <v/>
      </c>
      <c r="H315">
        <f>MID(D315,FIND("|",D315,FIND("|",D315,1))+1,FIND("|",D315,FIND("|",D315,1)+1)-FIND("|",D315,FIND("|",D315,1))-1)</f>
        <v/>
      </c>
      <c r="J315">
        <f>MID(D315,FIND(";",SUBSTITUTE(D315,"|",REPT(";",LEN(D315)),2))+1,FIND(";",SUBSTITUTE(D315,"|",REPT(";",LEN(D315)),3))-FIND(";",SUBSTITUTE(D315,"|",REPT(";",LEN(D315)),2))-1)</f>
        <v/>
      </c>
      <c r="K315">
        <f>MID(D315,FIND(";",SUBSTITUTE(D315,"|",REPT(";",LEN(D315)),3))+1,FIND(";",SUBSTITUTE(D315,"|",REPT(";",LEN(D315)),4))-FIND(";",SUBSTITUTE(D315,"|",REPT(";",LEN(D315)),3))-1)</f>
        <v/>
      </c>
      <c r="M315">
        <f>MID(D315,FIND(";",SUBSTITUTE(D315,"|",REPT(";",LEN(D315)),4))+1,FIND(";",SUBSTITUTE(D315,"|",REPT(";",LEN(D315)),5))-FIND(";",SUBSTITUTE(D315,"|",REPT(";",LEN(D315)),4))-1)</f>
        <v/>
      </c>
      <c r="N315">
        <f>MID(D315,FIND(";",SUBSTITUTE(D315,"|",REPT(";",LEN(D315)),6))+1,LEN(D315))</f>
        <v/>
      </c>
      <c r="O315">
        <f>MID(D315,FIND(";",SUBSTITUTE(D315,"|",REPT(";",LEN(D315)),5))+1,FIND(";",SUBSTITUTE(D315,"|",REPT(";",LEN(D315)),6))-FIND(";",SUBSTITUTE(D315,"|",REPT(";",LEN(D315)),5))-1)</f>
        <v/>
      </c>
    </row>
    <row r="316">
      <c r="A316" t="inlineStr">
        <is>
          <t>100201</t>
        </is>
      </c>
      <c r="B316" t="inlineStr">
        <is>
          <t>圆钢</t>
        </is>
      </c>
      <c r="C316" t="inlineStr">
        <is>
          <t>600988200</t>
        </is>
      </c>
      <c r="D316" t="inlineStr">
        <is>
          <t>热轧不锈圆钢|圆钢|1Cr18Ni9Ti|Φ12|GB 1220-1992|热轧|GB/T 702-2008</t>
        </is>
      </c>
      <c r="E316" t="inlineStr">
        <is>
          <t>物资名称 热轧不锈圆钢;物资简称 圆钢;牌号 1Cr18Ni9Ti;直径 Φ12;技术标准号 GB 1220-1992;加工工艺 热轧;热处理工艺 ;特殊要求 ;规格标准号 GB/T 702-2008</t>
        </is>
      </c>
      <c r="F316" t="inlineStr">
        <is>
          <t>千克</t>
        </is>
      </c>
      <c r="G316">
        <f>LEFT(D316,FIND("|",D316,1)-1)</f>
        <v/>
      </c>
      <c r="H316">
        <f>MID(D316,FIND("|",D316,FIND("|",D316,1))+1,FIND("|",D316,FIND("|",D316,1)+1)-FIND("|",D316,FIND("|",D316,1))-1)</f>
        <v/>
      </c>
      <c r="J316">
        <f>MID(D316,FIND(";",SUBSTITUTE(D316,"|",REPT(";",LEN(D316)),2))+1,FIND(";",SUBSTITUTE(D316,"|",REPT(";",LEN(D316)),3))-FIND(";",SUBSTITUTE(D316,"|",REPT(";",LEN(D316)),2))-1)</f>
        <v/>
      </c>
      <c r="K316">
        <f>MID(D316,FIND(";",SUBSTITUTE(D316,"|",REPT(";",LEN(D316)),3))+1,FIND(";",SUBSTITUTE(D316,"|",REPT(";",LEN(D316)),4))-FIND(";",SUBSTITUTE(D316,"|",REPT(";",LEN(D316)),3))-1)</f>
        <v/>
      </c>
      <c r="M316">
        <f>MID(D316,FIND(";",SUBSTITUTE(D316,"|",REPT(";",LEN(D316)),4))+1,FIND(";",SUBSTITUTE(D316,"|",REPT(";",LEN(D316)),5))-FIND(";",SUBSTITUTE(D316,"|",REPT(";",LEN(D316)),4))-1)</f>
        <v/>
      </c>
      <c r="N316">
        <f>MID(D316,FIND(";",SUBSTITUTE(D316,"|",REPT(";",LEN(D316)),6))+1,LEN(D316))</f>
        <v/>
      </c>
      <c r="O316">
        <f>MID(D316,FIND(";",SUBSTITUTE(D316,"|",REPT(";",LEN(D316)),5))+1,FIND(";",SUBSTITUTE(D316,"|",REPT(";",LEN(D316)),6))-FIND(";",SUBSTITUTE(D316,"|",REPT(";",LEN(D316)),5))-1)</f>
        <v/>
      </c>
    </row>
    <row r="317">
      <c r="A317" t="inlineStr">
        <is>
          <t>100201</t>
        </is>
      </c>
      <c r="B317" t="inlineStr">
        <is>
          <t>圆钢</t>
        </is>
      </c>
      <c r="C317" t="inlineStr">
        <is>
          <t>600984900</t>
        </is>
      </c>
      <c r="D317" t="inlineStr">
        <is>
          <t>合金结构圆钢|圆钢|30CrMnSi|Φ14|GB/T 3077-1999</t>
        </is>
      </c>
      <c r="E317" t="inlineStr">
        <is>
          <t xml:space="preserve">物资名称 合金结构圆钢;物资简称 圆钢;牌号 30CrMnSi;直径 Φ14;技术标准号 GB/T 3077-1999;加工工艺 ;热处理工艺 ;特殊要求 ;规格标准号 </t>
        </is>
      </c>
      <c r="F317" t="inlineStr">
        <is>
          <t>千克</t>
        </is>
      </c>
      <c r="G317">
        <f>LEFT(D317,FIND("|",D317,1)-1)</f>
        <v/>
      </c>
      <c r="H317">
        <f>MID(D317,FIND("|",D317,FIND("|",D317,1))+1,FIND("|",D317,FIND("|",D317,1)+1)-FIND("|",D317,FIND("|",D317,1))-1)</f>
        <v/>
      </c>
      <c r="J317">
        <f>MID(D317,FIND(";",SUBSTITUTE(D317,"|",REPT(";",LEN(D317)),2))+1,FIND(";",SUBSTITUTE(D317,"|",REPT(";",LEN(D317)),3))-FIND(";",SUBSTITUTE(D317,"|",REPT(";",LEN(D317)),2))-1)</f>
        <v/>
      </c>
      <c r="K317">
        <f>MID(D317,FIND(";",SUBSTITUTE(D317,"|",REPT(";",LEN(D317)),3))+1,FIND(";",SUBSTITUTE(D317,"|",REPT(";",LEN(D317)),4))-FIND(";",SUBSTITUTE(D317,"|",REPT(";",LEN(D317)),3))-1)</f>
        <v/>
      </c>
      <c r="M317">
        <f>MID(D317,FIND(";",SUBSTITUTE(D317,"|",REPT(";",LEN(D317)),4))+1,LEN(D317))</f>
        <v/>
      </c>
    </row>
    <row r="318">
      <c r="A318" t="inlineStr">
        <is>
          <t>100201</t>
        </is>
      </c>
      <c r="B318" t="inlineStr">
        <is>
          <t>圆钢</t>
        </is>
      </c>
      <c r="C318" t="inlineStr">
        <is>
          <t>600984800</t>
        </is>
      </c>
      <c r="D318" t="inlineStr">
        <is>
          <t>合金结构圆钢|圆钢|30CrMnSi|Φ22|GB/T 3077-1999</t>
        </is>
      </c>
      <c r="E318" t="inlineStr">
        <is>
          <t xml:space="preserve">物资名称 合金结构圆钢;物资简称 圆钢;牌号 30CrMnSi;直径 Φ22;技术标准号 GB/T 3077-1999;加工工艺 ;热处理工艺 ;特殊要求 ;规格标准号 </t>
        </is>
      </c>
      <c r="F318" t="inlineStr">
        <is>
          <t>千克</t>
        </is>
      </c>
      <c r="G318">
        <f>LEFT(D318,FIND("|",D318,1)-1)</f>
        <v/>
      </c>
      <c r="H318">
        <f>MID(D318,FIND("|",D318,FIND("|",D318,1))+1,FIND("|",D318,FIND("|",D318,1)+1)-FIND("|",D318,FIND("|",D318,1))-1)</f>
        <v/>
      </c>
      <c r="J318">
        <f>MID(D318,FIND(";",SUBSTITUTE(D318,"|",REPT(";",LEN(D318)),2))+1,FIND(";",SUBSTITUTE(D318,"|",REPT(";",LEN(D318)),3))-FIND(";",SUBSTITUTE(D318,"|",REPT(";",LEN(D318)),2))-1)</f>
        <v/>
      </c>
      <c r="K318">
        <f>MID(D318,FIND(";",SUBSTITUTE(D318,"|",REPT(";",LEN(D318)),3))+1,FIND(";",SUBSTITUTE(D318,"|",REPT(";",LEN(D318)),4))-FIND(";",SUBSTITUTE(D318,"|",REPT(";",LEN(D318)),3))-1)</f>
        <v/>
      </c>
      <c r="M318">
        <f>MID(D318,FIND(";",SUBSTITUTE(D318,"|",REPT(";",LEN(D318)),4))+1,LEN(D318))</f>
        <v/>
      </c>
    </row>
    <row r="319">
      <c r="A319" t="inlineStr">
        <is>
          <t>100201</t>
        </is>
      </c>
      <c r="B319" t="inlineStr">
        <is>
          <t>圆钢</t>
        </is>
      </c>
      <c r="C319" t="inlineStr">
        <is>
          <t>600984700</t>
        </is>
      </c>
      <c r="D319" t="inlineStr">
        <is>
          <t>合金结构圆钢|圆钢|30CrMnSiA|Φ18|GB/T 3078-1994</t>
        </is>
      </c>
      <c r="E319" t="inlineStr">
        <is>
          <t xml:space="preserve">物资名称 合金结构圆钢;物资简称 圆钢;牌号 30CrMnSiA;直径 Φ18;技术标准号 GB/T 3078-1994;加工工艺 ;热处理工艺 ;特殊要求 ;规格标准号 </t>
        </is>
      </c>
      <c r="F319" t="inlineStr">
        <is>
          <t>千克</t>
        </is>
      </c>
      <c r="G319">
        <f>LEFT(D319,FIND("|",D319,1)-1)</f>
        <v/>
      </c>
      <c r="H319">
        <f>MID(D319,FIND("|",D319,FIND("|",D319,1))+1,FIND("|",D319,FIND("|",D319,1)+1)-FIND("|",D319,FIND("|",D319,1))-1)</f>
        <v/>
      </c>
      <c r="J319">
        <f>MID(D319,FIND(";",SUBSTITUTE(D319,"|",REPT(";",LEN(D319)),2))+1,FIND(";",SUBSTITUTE(D319,"|",REPT(";",LEN(D319)),3))-FIND(";",SUBSTITUTE(D319,"|",REPT(";",LEN(D319)),2))-1)</f>
        <v/>
      </c>
      <c r="K319">
        <f>MID(D319,FIND(";",SUBSTITUTE(D319,"|",REPT(";",LEN(D319)),3))+1,FIND(";",SUBSTITUTE(D319,"|",REPT(";",LEN(D319)),4))-FIND(";",SUBSTITUTE(D319,"|",REPT(";",LEN(D319)),3))-1)</f>
        <v/>
      </c>
      <c r="M319">
        <f>MID(D319,FIND(";",SUBSTITUTE(D319,"|",REPT(";",LEN(D319)),4))+1,LEN(D319))</f>
        <v/>
      </c>
    </row>
    <row r="320">
      <c r="A320" t="inlineStr">
        <is>
          <t>100201</t>
        </is>
      </c>
      <c r="B320" t="inlineStr">
        <is>
          <t>圆钢</t>
        </is>
      </c>
      <c r="C320" t="inlineStr">
        <is>
          <t>600984600</t>
        </is>
      </c>
      <c r="D320" t="inlineStr">
        <is>
          <t>钢棒|圆钢|0Cr18Ni9|Φ65|GB/T 4237-1992</t>
        </is>
      </c>
      <c r="E320" t="inlineStr">
        <is>
          <t xml:space="preserve">物资名称 钢棒;物资简称 圆钢;牌号 0Cr18Ni9;直径 Φ65;技术标准号 GB/T 4237-1992;加工工艺 ;热处理工艺 ;特殊要求 ;规格标准号 </t>
        </is>
      </c>
      <c r="F320" t="inlineStr">
        <is>
          <t>千克</t>
        </is>
      </c>
      <c r="G320">
        <f>LEFT(D320,FIND("|",D320,1)-1)</f>
        <v/>
      </c>
      <c r="H320">
        <f>MID(D320,FIND("|",D320,FIND("|",D320,1))+1,FIND("|",D320,FIND("|",D320,1)+1)-FIND("|",D320,FIND("|",D320,1))-1)</f>
        <v/>
      </c>
      <c r="J320">
        <f>MID(D320,FIND(";",SUBSTITUTE(D320,"|",REPT(";",LEN(D320)),2))+1,FIND(";",SUBSTITUTE(D320,"|",REPT(";",LEN(D320)),3))-FIND(";",SUBSTITUTE(D320,"|",REPT(";",LEN(D320)),2))-1)</f>
        <v/>
      </c>
      <c r="K320">
        <f>MID(D320,FIND(";",SUBSTITUTE(D320,"|",REPT(";",LEN(D320)),3))+1,FIND(";",SUBSTITUTE(D320,"|",REPT(";",LEN(D320)),4))-FIND(";",SUBSTITUTE(D320,"|",REPT(";",LEN(D320)),3))-1)</f>
        <v/>
      </c>
      <c r="M320">
        <f>MID(D320,FIND(";",SUBSTITUTE(D320,"|",REPT(";",LEN(D320)),4))+1,LEN(D320))</f>
        <v/>
      </c>
    </row>
    <row r="321">
      <c r="A321" t="inlineStr">
        <is>
          <t>100201</t>
        </is>
      </c>
      <c r="B321" t="inlineStr">
        <is>
          <t>圆钢</t>
        </is>
      </c>
      <c r="C321" t="inlineStr">
        <is>
          <t>600984500</t>
        </is>
      </c>
      <c r="D321" t="inlineStr">
        <is>
          <t>热轧航空用不锈圆钢|圆钢|Y2Cr13Ni2|Φ3.5|GJB 2294-1995|热轧</t>
        </is>
      </c>
      <c r="E321" t="inlineStr">
        <is>
          <t xml:space="preserve">物资名称 热轧航空用不锈圆钢;物资简称 圆钢;牌号 Y2Cr13Ni2;直径 Φ3.5;技术标准号 GJB 2294-1995;加工工艺 热轧;热处理工艺 ;特殊要求 ;规格标准号 </t>
        </is>
      </c>
      <c r="F321" t="inlineStr">
        <is>
          <t>千克</t>
        </is>
      </c>
      <c r="G321">
        <f>LEFT(D321,FIND("|",D321,1)-1)</f>
        <v/>
      </c>
      <c r="H321">
        <f>MID(D321,FIND("|",D321,FIND("|",D321,1))+1,FIND("|",D321,FIND("|",D321,1)+1)-FIND("|",D321,FIND("|",D321,1))-1)</f>
        <v/>
      </c>
      <c r="J321">
        <f>MID(D321,FIND(";",SUBSTITUTE(D321,"|",REPT(";",LEN(D321)),2))+1,FIND(";",SUBSTITUTE(D321,"|",REPT(";",LEN(D321)),3))-FIND(";",SUBSTITUTE(D321,"|",REPT(";",LEN(D321)),2))-1)</f>
        <v/>
      </c>
      <c r="K321">
        <f>MID(D321,FIND(";",SUBSTITUTE(D321,"|",REPT(";",LEN(D321)),3))+1,FIND(";",SUBSTITUTE(D321,"|",REPT(";",LEN(D321)),4))-FIND(";",SUBSTITUTE(D321,"|",REPT(";",LEN(D321)),3))-1)</f>
        <v/>
      </c>
      <c r="M321">
        <f>MID(D321,FIND(";",SUBSTITUTE(D321,"|",REPT(";",LEN(D321)),4))+1,FIND(";",SUBSTITUTE(D321,"|",REPT(";",LEN(D321)),5))-FIND(";",SUBSTITUTE(D321,"|",REPT(";",LEN(D321)),4))-1)</f>
        <v/>
      </c>
      <c r="O321">
        <f>MID(D321,FIND(";",SUBSTITUTE(D321,"|",REPT(";",LEN(D321)),5))+1,LEN(D321))</f>
        <v/>
      </c>
    </row>
    <row r="322">
      <c r="A322" t="inlineStr">
        <is>
          <t>100201</t>
        </is>
      </c>
      <c r="B322" t="inlineStr">
        <is>
          <t>圆钢</t>
        </is>
      </c>
      <c r="C322" t="inlineStr">
        <is>
          <t>600984400</t>
        </is>
      </c>
      <c r="D322" t="inlineStr">
        <is>
          <t>圆钢|圆钢|Y20|Φ20|GB/T 8731-1988</t>
        </is>
      </c>
      <c r="E322" t="inlineStr">
        <is>
          <t xml:space="preserve">物资名称 圆钢;物资简称 圆钢;牌号 Y20;直径 Φ20;技术标准号 GB/T 8731-1988;加工工艺 ;热处理工艺 ;特殊要求 ;规格标准号 </t>
        </is>
      </c>
      <c r="F322" t="inlineStr">
        <is>
          <t>千克</t>
        </is>
      </c>
      <c r="G322">
        <f>LEFT(D322,FIND("|",D322,1)-1)</f>
        <v/>
      </c>
      <c r="H322">
        <f>MID(D322,FIND("|",D322,FIND("|",D322,1))+1,FIND("|",D322,FIND("|",D322,1)+1)-FIND("|",D322,FIND("|",D322,1))-1)</f>
        <v/>
      </c>
      <c r="J322">
        <f>MID(D322,FIND(";",SUBSTITUTE(D322,"|",REPT(";",LEN(D322)),2))+1,FIND(";",SUBSTITUTE(D322,"|",REPT(";",LEN(D322)),3))-FIND(";",SUBSTITUTE(D322,"|",REPT(";",LEN(D322)),2))-1)</f>
        <v/>
      </c>
      <c r="K322">
        <f>MID(D322,FIND(";",SUBSTITUTE(D322,"|",REPT(";",LEN(D322)),3))+1,FIND(";",SUBSTITUTE(D322,"|",REPT(";",LEN(D322)),4))-FIND(";",SUBSTITUTE(D322,"|",REPT(";",LEN(D322)),3))-1)</f>
        <v/>
      </c>
      <c r="M322">
        <f>MID(D322,FIND(";",SUBSTITUTE(D322,"|",REPT(";",LEN(D322)),4))+1,LEN(D322))</f>
        <v/>
      </c>
    </row>
    <row r="323">
      <c r="A323" t="inlineStr">
        <is>
          <t>100201</t>
        </is>
      </c>
      <c r="B323" t="inlineStr">
        <is>
          <t>圆钢</t>
        </is>
      </c>
      <c r="C323" t="inlineStr">
        <is>
          <t>600984300</t>
        </is>
      </c>
      <c r="D323" t="inlineStr">
        <is>
          <t>圆钢|钢棒|Y20|Φ14|GB/T 8731-1988</t>
        </is>
      </c>
      <c r="E323" t="inlineStr">
        <is>
          <t xml:space="preserve">物资名称 圆钢;物资简称 钢棒;牌号 Y20;直径 Φ14;技术标准号 GB/T 8731-1988;加工工艺 ;热处理工艺 ;特殊要求 ;规格标准号 </t>
        </is>
      </c>
      <c r="F323" t="inlineStr">
        <is>
          <t>千克</t>
        </is>
      </c>
      <c r="G323">
        <f>LEFT(D323,FIND("|",D323,1)-1)</f>
        <v/>
      </c>
      <c r="H323">
        <f>MID(D323,FIND("|",D323,FIND("|",D323,1))+1,FIND("|",D323,FIND("|",D323,1)+1)-FIND("|",D323,FIND("|",D323,1))-1)</f>
        <v/>
      </c>
      <c r="J323">
        <f>MID(D323,FIND(";",SUBSTITUTE(D323,"|",REPT(";",LEN(D323)),2))+1,FIND(";",SUBSTITUTE(D323,"|",REPT(";",LEN(D323)),3))-FIND(";",SUBSTITUTE(D323,"|",REPT(";",LEN(D323)),2))-1)</f>
        <v/>
      </c>
      <c r="K323">
        <f>MID(D323,FIND(";",SUBSTITUTE(D323,"|",REPT(";",LEN(D323)),3))+1,FIND(";",SUBSTITUTE(D323,"|",REPT(";",LEN(D323)),4))-FIND(";",SUBSTITUTE(D323,"|",REPT(";",LEN(D323)),3))-1)</f>
        <v/>
      </c>
      <c r="M323">
        <f>MID(D323,FIND(";",SUBSTITUTE(D323,"|",REPT(";",LEN(D323)),4))+1,LEN(D323))</f>
        <v/>
      </c>
    </row>
    <row r="324">
      <c r="A324" t="inlineStr">
        <is>
          <t>100201</t>
        </is>
      </c>
      <c r="B324" t="inlineStr">
        <is>
          <t>圆钢</t>
        </is>
      </c>
      <c r="C324" t="inlineStr">
        <is>
          <t>600984200</t>
        </is>
      </c>
      <c r="D324" t="inlineStr">
        <is>
          <t>圆钢|圆钢|Y20|Φ18|GB/T 8731-1988</t>
        </is>
      </c>
      <c r="E324" t="inlineStr">
        <is>
          <t xml:space="preserve">物资名称 圆钢;物资简称 圆钢;牌号 Y20;直径 Φ18;技术标准号 GB/T 8731-1988;加工工艺 ;热处理工艺 ;特殊要求 ;规格标准号 </t>
        </is>
      </c>
      <c r="F324" t="inlineStr">
        <is>
          <t>千克</t>
        </is>
      </c>
      <c r="G324">
        <f>LEFT(D324,FIND("|",D324,1)-1)</f>
        <v/>
      </c>
      <c r="H324">
        <f>MID(D324,FIND("|",D324,FIND("|",D324,1))+1,FIND("|",D324,FIND("|",D324,1)+1)-FIND("|",D324,FIND("|",D324,1))-1)</f>
        <v/>
      </c>
      <c r="J324">
        <f>MID(D324,FIND(";",SUBSTITUTE(D324,"|",REPT(";",LEN(D324)),2))+1,FIND(";",SUBSTITUTE(D324,"|",REPT(";",LEN(D324)),3))-FIND(";",SUBSTITUTE(D324,"|",REPT(";",LEN(D324)),2))-1)</f>
        <v/>
      </c>
      <c r="K324">
        <f>MID(D324,FIND(";",SUBSTITUTE(D324,"|",REPT(";",LEN(D324)),3))+1,FIND(";",SUBSTITUTE(D324,"|",REPT(";",LEN(D324)),4))-FIND(";",SUBSTITUTE(D324,"|",REPT(";",LEN(D324)),3))-1)</f>
        <v/>
      </c>
      <c r="M324">
        <f>MID(D324,FIND(";",SUBSTITUTE(D324,"|",REPT(";",LEN(D324)),4))+1,LEN(D324))</f>
        <v/>
      </c>
    </row>
    <row r="325">
      <c r="A325" t="inlineStr">
        <is>
          <t>100201</t>
        </is>
      </c>
      <c r="B325" t="inlineStr">
        <is>
          <t>圆钢</t>
        </is>
      </c>
      <c r="C325" t="inlineStr">
        <is>
          <t>600984100</t>
        </is>
      </c>
      <c r="D325" t="inlineStr">
        <is>
          <t>圆钢|圆钢|Y20|Φ21|GB/T 8731-1988</t>
        </is>
      </c>
      <c r="E325" t="inlineStr">
        <is>
          <t xml:space="preserve">物资名称 圆钢;物资简称 圆钢;牌号 Y20;直径 Φ21;技术标准号 GB/T 8731-1988;加工工艺 ;热处理工艺 ;特殊要求 ;规格标准号 </t>
        </is>
      </c>
      <c r="F325" t="inlineStr">
        <is>
          <t>千克</t>
        </is>
      </c>
      <c r="G325">
        <f>LEFT(D325,FIND("|",D325,1)-1)</f>
        <v/>
      </c>
      <c r="H325">
        <f>MID(D325,FIND("|",D325,FIND("|",D325,1))+1,FIND("|",D325,FIND("|",D325,1)+1)-FIND("|",D325,FIND("|",D325,1))-1)</f>
        <v/>
      </c>
      <c r="J325">
        <f>MID(D325,FIND(";",SUBSTITUTE(D325,"|",REPT(";",LEN(D325)),2))+1,FIND(";",SUBSTITUTE(D325,"|",REPT(";",LEN(D325)),3))-FIND(";",SUBSTITUTE(D325,"|",REPT(";",LEN(D325)),2))-1)</f>
        <v/>
      </c>
      <c r="K325">
        <f>MID(D325,FIND(";",SUBSTITUTE(D325,"|",REPT(";",LEN(D325)),3))+1,FIND(";",SUBSTITUTE(D325,"|",REPT(";",LEN(D325)),4))-FIND(";",SUBSTITUTE(D325,"|",REPT(";",LEN(D325)),3))-1)</f>
        <v/>
      </c>
      <c r="M325">
        <f>MID(D325,FIND(";",SUBSTITUTE(D325,"|",REPT(";",LEN(D325)),4))+1,LEN(D325))</f>
        <v/>
      </c>
    </row>
    <row r="326">
      <c r="A326" t="inlineStr">
        <is>
          <t>100201</t>
        </is>
      </c>
      <c r="B326" t="inlineStr">
        <is>
          <t>圆钢</t>
        </is>
      </c>
      <c r="C326" t="inlineStr">
        <is>
          <t>600984000</t>
        </is>
      </c>
      <c r="D326" t="inlineStr">
        <is>
          <t>热轧优质碳素结构圆钢|钢棒|45|Φ3|GB/T 699-1999|热轧</t>
        </is>
      </c>
      <c r="E326" t="inlineStr">
        <is>
          <t xml:space="preserve">物资名称 热轧优质碳素结构圆钢;物资简称 钢棒;牌号 45;直径 Φ3;技术标准号 GB/T 699-1999;加工工艺 热轧;热处理工艺 ;特殊要求 ;规格标准号 </t>
        </is>
      </c>
      <c r="F326" t="inlineStr">
        <is>
          <t>千克</t>
        </is>
      </c>
      <c r="G326">
        <f>LEFT(D326,FIND("|",D326,1)-1)</f>
        <v/>
      </c>
      <c r="H326">
        <f>MID(D326,FIND("|",D326,FIND("|",D326,1))+1,FIND("|",D326,FIND("|",D326,1)+1)-FIND("|",D326,FIND("|",D326,1))-1)</f>
        <v/>
      </c>
      <c r="J326">
        <f>MID(D326,FIND(";",SUBSTITUTE(D326,"|",REPT(";",LEN(D326)),2))+1,FIND(";",SUBSTITUTE(D326,"|",REPT(";",LEN(D326)),3))-FIND(";",SUBSTITUTE(D326,"|",REPT(";",LEN(D326)),2))-1)</f>
        <v/>
      </c>
      <c r="K326">
        <f>MID(D326,FIND(";",SUBSTITUTE(D326,"|",REPT(";",LEN(D326)),3))+1,FIND(";",SUBSTITUTE(D326,"|",REPT(";",LEN(D326)),4))-FIND(";",SUBSTITUTE(D326,"|",REPT(";",LEN(D326)),3))-1)</f>
        <v/>
      </c>
      <c r="M326">
        <f>MID(D326,FIND(";",SUBSTITUTE(D326,"|",REPT(";",LEN(D326)),4))+1,FIND(";",SUBSTITUTE(D326,"|",REPT(";",LEN(D326)),5))-FIND(";",SUBSTITUTE(D326,"|",REPT(";",LEN(D326)),4))-1)</f>
        <v/>
      </c>
      <c r="O326">
        <f>MID(D326,FIND(";",SUBSTITUTE(D326,"|",REPT(";",LEN(D326)),5))+1,LEN(D326))</f>
        <v/>
      </c>
    </row>
    <row r="327">
      <c r="A327" t="inlineStr">
        <is>
          <t>100201</t>
        </is>
      </c>
      <c r="B327" t="inlineStr">
        <is>
          <t>圆钢</t>
        </is>
      </c>
      <c r="C327" t="inlineStr">
        <is>
          <t>600983900</t>
        </is>
      </c>
      <c r="D327" t="inlineStr">
        <is>
          <t>热轧合金结构圆钢|圆钢|40Cr|Φ290|GB/T 3077-1999|热轧</t>
        </is>
      </c>
      <c r="E327" t="inlineStr">
        <is>
          <t xml:space="preserve">物资名称 热轧合金结构圆钢;物资简称 圆钢;牌号 40Cr;直径 Φ290;技术标准号 GB/T 3077-1999;加工工艺 热轧;热处理工艺 ;特殊要求 ;规格标准号 </t>
        </is>
      </c>
      <c r="F327" t="inlineStr">
        <is>
          <t>千克</t>
        </is>
      </c>
      <c r="G327">
        <f>LEFT(D327,FIND("|",D327,1)-1)</f>
        <v/>
      </c>
      <c r="H327">
        <f>MID(D327,FIND("|",D327,FIND("|",D327,1))+1,FIND("|",D327,FIND("|",D327,1)+1)-FIND("|",D327,FIND("|",D327,1))-1)</f>
        <v/>
      </c>
      <c r="J327">
        <f>MID(D327,FIND(";",SUBSTITUTE(D327,"|",REPT(";",LEN(D327)),2))+1,FIND(";",SUBSTITUTE(D327,"|",REPT(";",LEN(D327)),3))-FIND(";",SUBSTITUTE(D327,"|",REPT(";",LEN(D327)),2))-1)</f>
        <v/>
      </c>
      <c r="K327">
        <f>MID(D327,FIND(";",SUBSTITUTE(D327,"|",REPT(";",LEN(D327)),3))+1,FIND(";",SUBSTITUTE(D327,"|",REPT(";",LEN(D327)),4))-FIND(";",SUBSTITUTE(D327,"|",REPT(";",LEN(D327)),3))-1)</f>
        <v/>
      </c>
      <c r="M327">
        <f>MID(D327,FIND(";",SUBSTITUTE(D327,"|",REPT(";",LEN(D327)),4))+1,FIND(";",SUBSTITUTE(D327,"|",REPT(";",LEN(D327)),5))-FIND(";",SUBSTITUTE(D327,"|",REPT(";",LEN(D327)),4))-1)</f>
        <v/>
      </c>
      <c r="O327">
        <f>MID(D327,FIND(";",SUBSTITUTE(D327,"|",REPT(";",LEN(D327)),5))+1,LEN(D327))</f>
        <v/>
      </c>
    </row>
    <row r="328">
      <c r="A328" t="inlineStr">
        <is>
          <t>100201</t>
        </is>
      </c>
      <c r="B328" t="inlineStr">
        <is>
          <t>圆钢</t>
        </is>
      </c>
      <c r="C328" t="inlineStr">
        <is>
          <t>600969100</t>
        </is>
      </c>
      <c r="D328" t="inlineStr">
        <is>
          <t>圆钢|圆钢|30CrMnSiA|GB/T 3077-1999</t>
        </is>
      </c>
      <c r="E328" t="inlineStr">
        <is>
          <t xml:space="preserve">物资名称 圆钢;物资简称 圆钢;牌号 30CrMnSiA;直径 Φ;技术标准号 GB/T 3077-1999;加工工艺 ;热处理工艺 ;特殊要求 ;规格标准号 </t>
        </is>
      </c>
      <c r="F328" t="inlineStr">
        <is>
          <t>千克</t>
        </is>
      </c>
      <c r="G328">
        <f>LEFT(D328,FIND("|",D328,1)-1)</f>
        <v/>
      </c>
      <c r="H328">
        <f>MID(D328,FIND("|",D328,FIND("|",D328,1))+1,FIND("|",D328,FIND("|",D328,1)+1)-FIND("|",D328,FIND("|",D328,1))-1)</f>
        <v/>
      </c>
      <c r="J328">
        <f>MID(D328,FIND(";",SUBSTITUTE(D328,"|",REPT(";",LEN(D328)),2))+1,FIND(";",SUBSTITUTE(D328,"|",REPT(";",LEN(D328)),3))-FIND(";",SUBSTITUTE(D328,"|",REPT(";",LEN(D328)),2))-1)</f>
        <v/>
      </c>
      <c r="M328">
        <f>MID(D328,FIND(";",SUBSTITUTE(D328,"|",REPT(";",LEN(D328)),3))+1,LEN(D328))</f>
        <v/>
      </c>
    </row>
    <row r="329">
      <c r="A329" t="inlineStr">
        <is>
          <t>100201</t>
        </is>
      </c>
      <c r="B329" t="inlineStr">
        <is>
          <t>圆钢</t>
        </is>
      </c>
      <c r="C329" t="inlineStr">
        <is>
          <t>600950600</t>
        </is>
      </c>
      <c r="D329" t="inlineStr">
        <is>
          <t>不锈钢棒|钢棒|2Cr13|GB/T 1220-1992</t>
        </is>
      </c>
      <c r="E329" t="inlineStr">
        <is>
          <t xml:space="preserve">物资名称 不锈钢棒;物资简称 钢棒;牌号 2Cr13;直径 Φ;技术标准号 GB/T 1220-1992;加工工艺 ;热处理工艺 ;特殊要求 ;规格标准号 </t>
        </is>
      </c>
      <c r="F329" t="inlineStr">
        <is>
          <t>千克</t>
        </is>
      </c>
      <c r="G329">
        <f>LEFT(D329,FIND("|",D329,1)-1)</f>
        <v/>
      </c>
      <c r="H329">
        <f>MID(D329,FIND("|",D329,FIND("|",D329,1))+1,FIND("|",D329,FIND("|",D329,1)+1)-FIND("|",D329,FIND("|",D329,1))-1)</f>
        <v/>
      </c>
      <c r="J329">
        <f>MID(D329,FIND(";",SUBSTITUTE(D329,"|",REPT(";",LEN(D329)),2))+1,FIND(";",SUBSTITUTE(D329,"|",REPT(";",LEN(D329)),3))-FIND(";",SUBSTITUTE(D329,"|",REPT(";",LEN(D329)),2))-1)</f>
        <v/>
      </c>
      <c r="M329">
        <f>MID(D329,FIND(";",SUBSTITUTE(D329,"|",REPT(";",LEN(D329)),3))+1,LEN(D329))</f>
        <v/>
      </c>
    </row>
    <row r="330">
      <c r="A330" t="inlineStr">
        <is>
          <t>100201</t>
        </is>
      </c>
      <c r="B330" t="inlineStr">
        <is>
          <t>圆钢</t>
        </is>
      </c>
      <c r="C330" t="inlineStr">
        <is>
          <t>600949900</t>
        </is>
      </c>
      <c r="D330" t="inlineStr">
        <is>
          <t>不锈钢棒|钢棒|不锈钢Y1Cr18Ni9|GB/T 1220-1992</t>
        </is>
      </c>
      <c r="E330" t="inlineStr">
        <is>
          <t xml:space="preserve">物资名称 不锈钢棒;物资简称 钢棒;牌号 不锈钢Y1Cr18Ni9;直径 Φ;技术标准号 GB/T 1220-1992;加工工艺 ;热处理工艺 ;特殊要求 ;规格标准号 </t>
        </is>
      </c>
      <c r="F330" t="inlineStr">
        <is>
          <t>千克</t>
        </is>
      </c>
      <c r="G330">
        <f>LEFT(D330,FIND("|",D330,1)-1)</f>
        <v/>
      </c>
      <c r="H330">
        <f>MID(D330,FIND("|",D330,FIND("|",D330,1))+1,FIND("|",D330,FIND("|",D330,1)+1)-FIND("|",D330,FIND("|",D330,1))-1)</f>
        <v/>
      </c>
      <c r="J330">
        <f>MID(D330,FIND(";",SUBSTITUTE(D330,"|",REPT(";",LEN(D330)),2))+1,FIND(";",SUBSTITUTE(D330,"|",REPT(";",LEN(D330)),3))-FIND(";",SUBSTITUTE(D330,"|",REPT(";",LEN(D330)),2))-1)</f>
        <v/>
      </c>
      <c r="M330">
        <f>MID(D330,FIND(";",SUBSTITUTE(D330,"|",REPT(";",LEN(D330)),3))+1,LEN(D330))</f>
        <v/>
      </c>
    </row>
    <row r="331">
      <c r="A331" t="inlineStr">
        <is>
          <t>100201</t>
        </is>
      </c>
      <c r="B331" t="inlineStr">
        <is>
          <t>圆钢</t>
        </is>
      </c>
      <c r="C331" t="inlineStr">
        <is>
          <t>600947500</t>
        </is>
      </c>
      <c r="D331" t="inlineStr">
        <is>
          <t>热轧优质碳素结构圆钢|圆钢|45|Φ265|GB/T 699-1999|热轧|GB/T 702-2008</t>
        </is>
      </c>
      <c r="E331" t="inlineStr">
        <is>
          <t>物资名称 热轧优质碳素结构圆钢;物资简称 圆钢;牌号 45;直径 Φ265;技术标准号 GB/T 699-1999;加工工艺 热轧;热处理工艺 ;特殊要求 ;规格标准号 GB/T 702-2008</t>
        </is>
      </c>
      <c r="F331" t="inlineStr">
        <is>
          <t>千克</t>
        </is>
      </c>
      <c r="G331">
        <f>LEFT(D331,FIND("|",D331,1)-1)</f>
        <v/>
      </c>
      <c r="H331">
        <f>MID(D331,FIND("|",D331,FIND("|",D331,1))+1,FIND("|",D331,FIND("|",D331,1)+1)-FIND("|",D331,FIND("|",D331,1))-1)</f>
        <v/>
      </c>
      <c r="J331">
        <f>MID(D331,FIND(";",SUBSTITUTE(D331,"|",REPT(";",LEN(D331)),2))+1,FIND(";",SUBSTITUTE(D331,"|",REPT(";",LEN(D331)),3))-FIND(";",SUBSTITUTE(D331,"|",REPT(";",LEN(D331)),2))-1)</f>
        <v/>
      </c>
      <c r="K331">
        <f>MID(D331,FIND(";",SUBSTITUTE(D331,"|",REPT(";",LEN(D331)),3))+1,FIND(";",SUBSTITUTE(D331,"|",REPT(";",LEN(D331)),4))-FIND(";",SUBSTITUTE(D331,"|",REPT(";",LEN(D331)),3))-1)</f>
        <v/>
      </c>
      <c r="M331">
        <f>MID(D331,FIND(";",SUBSTITUTE(D331,"|",REPT(";",LEN(D331)),4))+1,FIND(";",SUBSTITUTE(D331,"|",REPT(";",LEN(D331)),5))-FIND(";",SUBSTITUTE(D331,"|",REPT(";",LEN(D331)),4))-1)</f>
        <v/>
      </c>
      <c r="N331">
        <f>MID(D331,FIND(";",SUBSTITUTE(D331,"|",REPT(";",LEN(D331)),6))+1,LEN(D331))</f>
        <v/>
      </c>
      <c r="O331">
        <f>MID(D331,FIND(";",SUBSTITUTE(D331,"|",REPT(";",LEN(D331)),5))+1,FIND(";",SUBSTITUTE(D331,"|",REPT(";",LEN(D331)),6))-FIND(";",SUBSTITUTE(D331,"|",REPT(";",LEN(D331)),5))-1)</f>
        <v/>
      </c>
    </row>
    <row r="332">
      <c r="A332" t="inlineStr">
        <is>
          <t>100201</t>
        </is>
      </c>
      <c r="B332" t="inlineStr">
        <is>
          <t>圆钢</t>
        </is>
      </c>
      <c r="C332" t="inlineStr">
        <is>
          <t>600947400</t>
        </is>
      </c>
      <c r="D332" t="inlineStr">
        <is>
          <t>热轧不锈圆钢|圆钢|40Cr13|Φ15|GB/T 1220-2007|热轧|GB/T 702-2008</t>
        </is>
      </c>
      <c r="E332" t="inlineStr">
        <is>
          <t>物资名称 热轧不锈圆钢;物资简称 圆钢;牌号 40Cr13;直径 Φ15;技术标准号 GB/T 1220-2007;加工工艺 热轧;热处理工艺 ;特殊要求 ;规格标准号 GB/T 702-2008</t>
        </is>
      </c>
      <c r="F332" t="inlineStr">
        <is>
          <t>千克</t>
        </is>
      </c>
      <c r="G332">
        <f>LEFT(D332,FIND("|",D332,1)-1)</f>
        <v/>
      </c>
      <c r="H332">
        <f>MID(D332,FIND("|",D332,FIND("|",D332,1))+1,FIND("|",D332,FIND("|",D332,1)+1)-FIND("|",D332,FIND("|",D332,1))-1)</f>
        <v/>
      </c>
      <c r="J332">
        <f>MID(D332,FIND(";",SUBSTITUTE(D332,"|",REPT(";",LEN(D332)),2))+1,FIND(";",SUBSTITUTE(D332,"|",REPT(";",LEN(D332)),3))-FIND(";",SUBSTITUTE(D332,"|",REPT(";",LEN(D332)),2))-1)</f>
        <v/>
      </c>
      <c r="K332">
        <f>MID(D332,FIND(";",SUBSTITUTE(D332,"|",REPT(";",LEN(D332)),3))+1,FIND(";",SUBSTITUTE(D332,"|",REPT(";",LEN(D332)),4))-FIND(";",SUBSTITUTE(D332,"|",REPT(";",LEN(D332)),3))-1)</f>
        <v/>
      </c>
      <c r="M332">
        <f>MID(D332,FIND(";",SUBSTITUTE(D332,"|",REPT(";",LEN(D332)),4))+1,FIND(";",SUBSTITUTE(D332,"|",REPT(";",LEN(D332)),5))-FIND(";",SUBSTITUTE(D332,"|",REPT(";",LEN(D332)),4))-1)</f>
        <v/>
      </c>
      <c r="N332">
        <f>MID(D332,FIND(";",SUBSTITUTE(D332,"|",REPT(";",LEN(D332)),6))+1,LEN(D332))</f>
        <v/>
      </c>
      <c r="O332">
        <f>MID(D332,FIND(";",SUBSTITUTE(D332,"|",REPT(";",LEN(D332)),5))+1,FIND(";",SUBSTITUTE(D332,"|",REPT(";",LEN(D332)),6))-FIND(";",SUBSTITUTE(D332,"|",REPT(";",LEN(D332)),5))-1)</f>
        <v/>
      </c>
    </row>
    <row r="333">
      <c r="A333" t="inlineStr">
        <is>
          <t>100201</t>
        </is>
      </c>
      <c r="B333" t="inlineStr">
        <is>
          <t>圆钢</t>
        </is>
      </c>
      <c r="C333" t="inlineStr">
        <is>
          <t>600947300</t>
        </is>
      </c>
      <c r="D333" t="inlineStr">
        <is>
          <t>热轧合金结构圆钢|圆钢|30CrMnSiA|Φ70|GB/T 3077-1999|热轧|GB/T 702-2008</t>
        </is>
      </c>
      <c r="E333" t="inlineStr">
        <is>
          <t>物资名称 热轧合金结构圆钢;物资简称 圆钢;牌号 30CrMnSiA;直径 Φ70;技术标准号 GB/T 3077-1999;加工工艺 热轧;热处理工艺 ;特殊要求 ;规格标准号 GB/T 702-2008</t>
        </is>
      </c>
      <c r="F333" t="inlineStr">
        <is>
          <t>千克</t>
        </is>
      </c>
      <c r="G333">
        <f>LEFT(D333,FIND("|",D333,1)-1)</f>
        <v/>
      </c>
      <c r="H333">
        <f>MID(D333,FIND("|",D333,FIND("|",D333,1))+1,FIND("|",D333,FIND("|",D333,1)+1)-FIND("|",D333,FIND("|",D333,1))-1)</f>
        <v/>
      </c>
      <c r="J333">
        <f>MID(D333,FIND(";",SUBSTITUTE(D333,"|",REPT(";",LEN(D333)),2))+1,FIND(";",SUBSTITUTE(D333,"|",REPT(";",LEN(D333)),3))-FIND(";",SUBSTITUTE(D333,"|",REPT(";",LEN(D333)),2))-1)</f>
        <v/>
      </c>
      <c r="K333">
        <f>MID(D333,FIND(";",SUBSTITUTE(D333,"|",REPT(";",LEN(D333)),3))+1,FIND(";",SUBSTITUTE(D333,"|",REPT(";",LEN(D333)),4))-FIND(";",SUBSTITUTE(D333,"|",REPT(";",LEN(D333)),3))-1)</f>
        <v/>
      </c>
      <c r="M333">
        <f>MID(D333,FIND(";",SUBSTITUTE(D333,"|",REPT(";",LEN(D333)),4))+1,FIND(";",SUBSTITUTE(D333,"|",REPT(";",LEN(D333)),5))-FIND(";",SUBSTITUTE(D333,"|",REPT(";",LEN(D333)),4))-1)</f>
        <v/>
      </c>
      <c r="N333">
        <f>MID(D333,FIND(";",SUBSTITUTE(D333,"|",REPT(";",LEN(D333)),6))+1,LEN(D333))</f>
        <v/>
      </c>
      <c r="O333">
        <f>MID(D333,FIND(";",SUBSTITUTE(D333,"|",REPT(";",LEN(D333)),5))+1,FIND(";",SUBSTITUTE(D333,"|",REPT(";",LEN(D333)),6))-FIND(";",SUBSTITUTE(D333,"|",REPT(";",LEN(D333)),5))-1)</f>
        <v/>
      </c>
    </row>
    <row r="334">
      <c r="A334" t="inlineStr">
        <is>
          <t>100201</t>
        </is>
      </c>
      <c r="B334" t="inlineStr">
        <is>
          <t>圆钢</t>
        </is>
      </c>
      <c r="C334" t="inlineStr">
        <is>
          <t>600947200</t>
        </is>
      </c>
      <c r="D334" t="inlineStr">
        <is>
          <t>热轧合金结构圆钢|圆钢|30CrMnSiA|Φ30|GB/T 3077-1999|热轧|GB/T 702-2008</t>
        </is>
      </c>
      <c r="E334" t="inlineStr">
        <is>
          <t>物资名称 热轧合金结构圆钢;物资简称 圆钢;牌号 30CrMnSiA;直径 Φ30;技术标准号 GB/T 3077-1999;加工工艺 热轧;热处理工艺 ;特殊要求 ;规格标准号 GB/T 702-2008</t>
        </is>
      </c>
      <c r="F334" t="inlineStr">
        <is>
          <t>千克</t>
        </is>
      </c>
      <c r="G334">
        <f>LEFT(D334,FIND("|",D334,1)-1)</f>
        <v/>
      </c>
      <c r="H334">
        <f>MID(D334,FIND("|",D334,FIND("|",D334,1))+1,FIND("|",D334,FIND("|",D334,1)+1)-FIND("|",D334,FIND("|",D334,1))-1)</f>
        <v/>
      </c>
      <c r="J334">
        <f>MID(D334,FIND(";",SUBSTITUTE(D334,"|",REPT(";",LEN(D334)),2))+1,FIND(";",SUBSTITUTE(D334,"|",REPT(";",LEN(D334)),3))-FIND(";",SUBSTITUTE(D334,"|",REPT(";",LEN(D334)),2))-1)</f>
        <v/>
      </c>
      <c r="K334">
        <f>MID(D334,FIND(";",SUBSTITUTE(D334,"|",REPT(";",LEN(D334)),3))+1,FIND(";",SUBSTITUTE(D334,"|",REPT(";",LEN(D334)),4))-FIND(";",SUBSTITUTE(D334,"|",REPT(";",LEN(D334)),3))-1)</f>
        <v/>
      </c>
      <c r="M334">
        <f>MID(D334,FIND(";",SUBSTITUTE(D334,"|",REPT(";",LEN(D334)),4))+1,FIND(";",SUBSTITUTE(D334,"|",REPT(";",LEN(D334)),5))-FIND(";",SUBSTITUTE(D334,"|",REPT(";",LEN(D334)),4))-1)</f>
        <v/>
      </c>
      <c r="N334">
        <f>MID(D334,FIND(";",SUBSTITUTE(D334,"|",REPT(";",LEN(D334)),6))+1,LEN(D334))</f>
        <v/>
      </c>
      <c r="O334">
        <f>MID(D334,FIND(";",SUBSTITUTE(D334,"|",REPT(";",LEN(D334)),5))+1,FIND(";",SUBSTITUTE(D334,"|",REPT(";",LEN(D334)),6))-FIND(";",SUBSTITUTE(D334,"|",REPT(";",LEN(D334)),5))-1)</f>
        <v/>
      </c>
    </row>
    <row r="335">
      <c r="A335" t="inlineStr">
        <is>
          <t>100201</t>
        </is>
      </c>
      <c r="B335" t="inlineStr">
        <is>
          <t>圆钢</t>
        </is>
      </c>
      <c r="C335" t="inlineStr">
        <is>
          <t>600947100</t>
        </is>
      </c>
      <c r="D335" t="inlineStr">
        <is>
          <t>热轧不锈圆钢|钢棒|1Cr17Ni2|Φ8|GB/T 1220-1992|GB/T 702-2008</t>
        </is>
      </c>
      <c r="E335" t="inlineStr">
        <is>
          <t>物资名称 热轧不锈圆钢;物资简称 钢棒;牌号 1Cr17Ni2;直径 Φ8;技术标准号 GB/T 1220-1992;加工工艺 ;热处理工艺 ;特殊要求 ;规格标准号 GB/T 702-2008</t>
        </is>
      </c>
      <c r="F335" t="inlineStr">
        <is>
          <t>千克</t>
        </is>
      </c>
      <c r="G335">
        <f>LEFT(D335,FIND("|",D335,1)-1)</f>
        <v/>
      </c>
      <c r="H335">
        <f>MID(D335,FIND("|",D335,FIND("|",D335,1))+1,FIND("|",D335,FIND("|",D335,1)+1)-FIND("|",D335,FIND("|",D335,1))-1)</f>
        <v/>
      </c>
      <c r="J335">
        <f>MID(D335,FIND(";",SUBSTITUTE(D335,"|",REPT(";",LEN(D335)),2))+1,FIND(";",SUBSTITUTE(D335,"|",REPT(";",LEN(D335)),3))-FIND(";",SUBSTITUTE(D335,"|",REPT(";",LEN(D335)),2))-1)</f>
        <v/>
      </c>
      <c r="K335">
        <f>MID(D335,FIND(";",SUBSTITUTE(D335,"|",REPT(";",LEN(D335)),3))+1,FIND(";",SUBSTITUTE(D335,"|",REPT(";",LEN(D335)),4))-FIND(";",SUBSTITUTE(D335,"|",REPT(";",LEN(D335)),3))-1)</f>
        <v/>
      </c>
      <c r="M335">
        <f>MID(D335,FIND(";",SUBSTITUTE(D335,"|",REPT(";",LEN(D335)),4))+1,FIND(";",SUBSTITUTE(D335,"|",REPT(";",LEN(D335)),5))-FIND(";",SUBSTITUTE(D335,"|",REPT(";",LEN(D335)),4))-1)</f>
        <v/>
      </c>
      <c r="N335">
        <f>MID(D335,FIND(";",SUBSTITUTE(D335,"|",REPT(";",LEN(D335)),5))+1,LEN(D335))</f>
        <v/>
      </c>
    </row>
    <row r="336">
      <c r="A336" t="inlineStr">
        <is>
          <t>100201</t>
        </is>
      </c>
      <c r="B336" t="inlineStr">
        <is>
          <t>圆钢</t>
        </is>
      </c>
      <c r="C336" t="inlineStr">
        <is>
          <t>600940600</t>
        </is>
      </c>
      <c r="D336" t="inlineStr">
        <is>
          <t>圆钢|圆钢|45|Φ13|GB/T 699-1999|GB/T 702-1986</t>
        </is>
      </c>
      <c r="E336" t="inlineStr">
        <is>
          <t>物资名称 圆钢;物资简称 圆钢;牌号 45;直径 Φ13;技术标准号 GB/T 699-1999;加工工艺 ;热处理工艺 ;特殊要求 ;规格标准号 GB/T 702-1986</t>
        </is>
      </c>
      <c r="F336" t="inlineStr">
        <is>
          <t>千克</t>
        </is>
      </c>
      <c r="G336">
        <f>LEFT(D336,FIND("|",D336,1)-1)</f>
        <v/>
      </c>
      <c r="H336">
        <f>MID(D336,FIND("|",D336,FIND("|",D336,1))+1,FIND("|",D336,FIND("|",D336,1)+1)-FIND("|",D336,FIND("|",D336,1))-1)</f>
        <v/>
      </c>
      <c r="J336">
        <f>MID(D336,FIND(";",SUBSTITUTE(D336,"|",REPT(";",LEN(D336)),2))+1,FIND(";",SUBSTITUTE(D336,"|",REPT(";",LEN(D336)),3))-FIND(";",SUBSTITUTE(D336,"|",REPT(";",LEN(D336)),2))-1)</f>
        <v/>
      </c>
      <c r="K336">
        <f>MID(D336,FIND(";",SUBSTITUTE(D336,"|",REPT(";",LEN(D336)),3))+1,FIND(";",SUBSTITUTE(D336,"|",REPT(";",LEN(D336)),4))-FIND(";",SUBSTITUTE(D336,"|",REPT(";",LEN(D336)),3))-1)</f>
        <v/>
      </c>
      <c r="M336">
        <f>MID(D336,FIND(";",SUBSTITUTE(D336,"|",REPT(";",LEN(D336)),4))+1,FIND(";",SUBSTITUTE(D336,"|",REPT(";",LEN(D336)),5))-FIND(";",SUBSTITUTE(D336,"|",REPT(";",LEN(D336)),4))-1)</f>
        <v/>
      </c>
      <c r="N336">
        <f>MID(D336,FIND(";",SUBSTITUTE(D336,"|",REPT(";",LEN(D336)),5))+1,LEN(D336))</f>
        <v/>
      </c>
    </row>
    <row r="337">
      <c r="A337" t="inlineStr">
        <is>
          <t>100201</t>
        </is>
      </c>
      <c r="B337" t="inlineStr">
        <is>
          <t>圆钢</t>
        </is>
      </c>
      <c r="C337" t="inlineStr">
        <is>
          <t>600940500</t>
        </is>
      </c>
      <c r="D337" t="inlineStr">
        <is>
          <t>圆钢|圆钢|45|Φ7|GB/T 699-1999|GB/T 702-1986</t>
        </is>
      </c>
      <c r="E337" t="inlineStr">
        <is>
          <t>物资名称 圆钢;物资简称 圆钢;牌号 45;直径 Φ7;技术标准号 GB/T 699-1999;加工工艺 ;热处理工艺 ;特殊要求 ;规格标准号 GB/T 702-1986</t>
        </is>
      </c>
      <c r="F337" t="inlineStr">
        <is>
          <t>千克</t>
        </is>
      </c>
      <c r="G337">
        <f>LEFT(D337,FIND("|",D337,1)-1)</f>
        <v/>
      </c>
      <c r="H337">
        <f>MID(D337,FIND("|",D337,FIND("|",D337,1))+1,FIND("|",D337,FIND("|",D337,1)+1)-FIND("|",D337,FIND("|",D337,1))-1)</f>
        <v/>
      </c>
      <c r="J337">
        <f>MID(D337,FIND(";",SUBSTITUTE(D337,"|",REPT(";",LEN(D337)),2))+1,FIND(";",SUBSTITUTE(D337,"|",REPT(";",LEN(D337)),3))-FIND(";",SUBSTITUTE(D337,"|",REPT(";",LEN(D337)),2))-1)</f>
        <v/>
      </c>
      <c r="K337">
        <f>MID(D337,FIND(";",SUBSTITUTE(D337,"|",REPT(";",LEN(D337)),3))+1,FIND(";",SUBSTITUTE(D337,"|",REPT(";",LEN(D337)),4))-FIND(";",SUBSTITUTE(D337,"|",REPT(";",LEN(D337)),3))-1)</f>
        <v/>
      </c>
      <c r="M337">
        <f>MID(D337,FIND(";",SUBSTITUTE(D337,"|",REPT(";",LEN(D337)),4))+1,FIND(";",SUBSTITUTE(D337,"|",REPT(";",LEN(D337)),5))-FIND(";",SUBSTITUTE(D337,"|",REPT(";",LEN(D337)),4))-1)</f>
        <v/>
      </c>
      <c r="N337">
        <f>MID(D337,FIND(";",SUBSTITUTE(D337,"|",REPT(";",LEN(D337)),5))+1,LEN(D337))</f>
        <v/>
      </c>
    </row>
    <row r="338">
      <c r="A338" t="inlineStr">
        <is>
          <t>100201</t>
        </is>
      </c>
      <c r="B338" t="inlineStr">
        <is>
          <t>圆钢</t>
        </is>
      </c>
      <c r="C338" t="inlineStr">
        <is>
          <t>600924800</t>
        </is>
      </c>
      <c r="D338" t="inlineStr">
        <is>
          <t>六角钢|六角钢|30CrMnSi|GB/T 3077-1999</t>
        </is>
      </c>
      <c r="E338" t="inlineStr">
        <is>
          <t xml:space="preserve">物资名称 六角钢;物资简称 六角钢;牌号 30CrMnSi;直径 Φ;技术标准号 GB/T 3077-1999;加工工艺 ;热处理工艺 ;特殊要求 ;规格标准号 </t>
        </is>
      </c>
      <c r="F338" t="inlineStr">
        <is>
          <t>千克</t>
        </is>
      </c>
      <c r="G338">
        <f>LEFT(D338,FIND("|",D338,1)-1)</f>
        <v/>
      </c>
      <c r="H338">
        <f>MID(D338,FIND("|",D338,FIND("|",D338,1))+1,FIND("|",D338,FIND("|",D338,1)+1)-FIND("|",D338,FIND("|",D338,1))-1)</f>
        <v/>
      </c>
      <c r="J338">
        <f>MID(D338,FIND(";",SUBSTITUTE(D338,"|",REPT(";",LEN(D338)),2))+1,FIND(";",SUBSTITUTE(D338,"|",REPT(";",LEN(D338)),3))-FIND(";",SUBSTITUTE(D338,"|",REPT(";",LEN(D338)),2))-1)</f>
        <v/>
      </c>
      <c r="M338">
        <f>MID(D338,FIND(";",SUBSTITUTE(D338,"|",REPT(";",LEN(D338)),3))+1,LEN(D338))</f>
        <v/>
      </c>
    </row>
    <row r="339">
      <c r="A339" t="inlineStr">
        <is>
          <t>100201</t>
        </is>
      </c>
      <c r="B339" t="inlineStr">
        <is>
          <t>圆钢</t>
        </is>
      </c>
      <c r="C339" t="inlineStr">
        <is>
          <t>600917700</t>
        </is>
      </c>
      <c r="D339" t="inlineStr">
        <is>
          <t>圆钢|圆钢|20|GB/T 699-1999</t>
        </is>
      </c>
      <c r="E339" t="inlineStr">
        <is>
          <t xml:space="preserve">物资名称 圆钢;物资简称 圆钢;牌号 20;直径 Φ;技术标准号 GB/T 699-1999;加工工艺 ;热处理工艺 ;特殊要求 ;规格标准号 </t>
        </is>
      </c>
      <c r="F339" t="inlineStr">
        <is>
          <t>千克</t>
        </is>
      </c>
      <c r="G339">
        <f>LEFT(D339,FIND("|",D339,1)-1)</f>
        <v/>
      </c>
      <c r="H339">
        <f>MID(D339,FIND("|",D339,FIND("|",D339,1))+1,FIND("|",D339,FIND("|",D339,1)+1)-FIND("|",D339,FIND("|",D339,1))-1)</f>
        <v/>
      </c>
      <c r="J339">
        <f>MID(D339,FIND(";",SUBSTITUTE(D339,"|",REPT(";",LEN(D339)),2))+1,FIND(";",SUBSTITUTE(D339,"|",REPT(";",LEN(D339)),3))-FIND(";",SUBSTITUTE(D339,"|",REPT(";",LEN(D339)),2))-1)</f>
        <v/>
      </c>
      <c r="M339">
        <f>MID(D339,FIND(";",SUBSTITUTE(D339,"|",REPT(";",LEN(D339)),3))+1,LEN(D339))</f>
        <v/>
      </c>
    </row>
    <row r="340">
      <c r="A340" t="inlineStr">
        <is>
          <t>100201</t>
        </is>
      </c>
      <c r="B340" t="inlineStr">
        <is>
          <t>圆钢</t>
        </is>
      </c>
      <c r="C340" t="inlineStr">
        <is>
          <t>600917600</t>
        </is>
      </c>
      <c r="D340" t="inlineStr">
        <is>
          <t>圆钢|圆钢|30CrMnSiA|GB/T 3078-1994</t>
        </is>
      </c>
      <c r="E340" t="inlineStr">
        <is>
          <t xml:space="preserve">物资名称 圆钢;物资简称 圆钢;牌号 30CrMnSiA;直径 Φ;技术标准号 GB/T 3078-1994;加工工艺 ;热处理工艺 ;特殊要求 ;规格标准号 </t>
        </is>
      </c>
      <c r="F340" t="inlineStr">
        <is>
          <t>千克</t>
        </is>
      </c>
      <c r="G340">
        <f>LEFT(D340,FIND("|",D340,1)-1)</f>
        <v/>
      </c>
      <c r="H340">
        <f>MID(D340,FIND("|",D340,FIND("|",D340,1))+1,FIND("|",D340,FIND("|",D340,1)+1)-FIND("|",D340,FIND("|",D340,1))-1)</f>
        <v/>
      </c>
      <c r="J340">
        <f>MID(D340,FIND(";",SUBSTITUTE(D340,"|",REPT(";",LEN(D340)),2))+1,FIND(";",SUBSTITUTE(D340,"|",REPT(";",LEN(D340)),3))-FIND(";",SUBSTITUTE(D340,"|",REPT(";",LEN(D340)),2))-1)</f>
        <v/>
      </c>
      <c r="M340">
        <f>MID(D340,FIND(";",SUBSTITUTE(D340,"|",REPT(";",LEN(D340)),3))+1,LEN(D340))</f>
        <v/>
      </c>
    </row>
    <row r="341">
      <c r="A341" t="inlineStr">
        <is>
          <t>100201</t>
        </is>
      </c>
      <c r="B341" t="inlineStr">
        <is>
          <t>圆钢</t>
        </is>
      </c>
      <c r="C341" t="inlineStr">
        <is>
          <t>600913400</t>
        </is>
      </c>
      <c r="D341" t="inlineStr">
        <is>
          <t>棒|棒|Y2Cr13Ni2|Φ25|GB/T 2294-95</t>
        </is>
      </c>
      <c r="E341" t="inlineStr">
        <is>
          <t xml:space="preserve">物资名称 棒;物资简称 棒;牌号 Y2Cr13Ni2;直径 Φ25;技术标准号 GB/T 2294-95;加工工艺 ;热处理工艺 ;特殊要求 ;规格标准号 </t>
        </is>
      </c>
      <c r="F341" t="inlineStr">
        <is>
          <t>千克</t>
        </is>
      </c>
      <c r="G341">
        <f>LEFT(D341,FIND("|",D341,1)-1)</f>
        <v/>
      </c>
      <c r="H341">
        <f>MID(D341,FIND("|",D341,FIND("|",D341,1))+1,FIND("|",D341,FIND("|",D341,1)+1)-FIND("|",D341,FIND("|",D341,1))-1)</f>
        <v/>
      </c>
      <c r="J341">
        <f>MID(D341,FIND(";",SUBSTITUTE(D341,"|",REPT(";",LEN(D341)),2))+1,FIND(";",SUBSTITUTE(D341,"|",REPT(";",LEN(D341)),3))-FIND(";",SUBSTITUTE(D341,"|",REPT(";",LEN(D341)),2))-1)</f>
        <v/>
      </c>
      <c r="K341">
        <f>MID(D341,FIND(";",SUBSTITUTE(D341,"|",REPT(";",LEN(D341)),3))+1,FIND(";",SUBSTITUTE(D341,"|",REPT(";",LEN(D341)),4))-FIND(";",SUBSTITUTE(D341,"|",REPT(";",LEN(D341)),3))-1)</f>
        <v/>
      </c>
      <c r="M341">
        <f>MID(D341,FIND(";",SUBSTITUTE(D341,"|",REPT(";",LEN(D341)),4))+1,LEN(D341))</f>
        <v/>
      </c>
    </row>
    <row r="342">
      <c r="A342" t="inlineStr">
        <is>
          <t>100201</t>
        </is>
      </c>
      <c r="B342" t="inlineStr">
        <is>
          <t>圆钢</t>
        </is>
      </c>
      <c r="C342" t="inlineStr">
        <is>
          <t>600910000</t>
        </is>
      </c>
      <c r="D342" t="inlineStr">
        <is>
          <t>圆钢|圆钢|45|GB/T 699-1999</t>
        </is>
      </c>
      <c r="E342" t="inlineStr">
        <is>
          <t xml:space="preserve">物资名称 圆钢;物资简称 圆钢;牌号 45;直径 Φ;技术标准号 GB/T 699-1999;加工工艺 ;热处理工艺 ;特殊要求 ;规格标准号 </t>
        </is>
      </c>
      <c r="F342" t="inlineStr">
        <is>
          <t>千克</t>
        </is>
      </c>
      <c r="G342">
        <f>LEFT(D342,FIND("|",D342,1)-1)</f>
        <v/>
      </c>
      <c r="H342">
        <f>MID(D342,FIND("|",D342,FIND("|",D342,1))+1,FIND("|",D342,FIND("|",D342,1)+1)-FIND("|",D342,FIND("|",D342,1))-1)</f>
        <v/>
      </c>
      <c r="J342">
        <f>MID(D342,FIND(";",SUBSTITUTE(D342,"|",REPT(";",LEN(D342)),2))+1,FIND(";",SUBSTITUTE(D342,"|",REPT(";",LEN(D342)),3))-FIND(";",SUBSTITUTE(D342,"|",REPT(";",LEN(D342)),2))-1)</f>
        <v/>
      </c>
      <c r="M342">
        <f>MID(D342,FIND(";",SUBSTITUTE(D342,"|",REPT(";",LEN(D342)),3))+1,LEN(D342))</f>
        <v/>
      </c>
    </row>
    <row r="343">
      <c r="A343" t="inlineStr">
        <is>
          <t>100201</t>
        </is>
      </c>
      <c r="B343" t="inlineStr">
        <is>
          <t>圆钢</t>
        </is>
      </c>
      <c r="C343" t="inlineStr">
        <is>
          <t>600909400</t>
        </is>
      </c>
      <c r="D343" t="inlineStr">
        <is>
          <t>圆钢|圆钢|Y20|GB/T 8731-1988</t>
        </is>
      </c>
      <c r="E343" t="inlineStr">
        <is>
          <t xml:space="preserve">物资名称 圆钢;物资简称 圆钢;牌号 Y20;直径 Φ;技术标准号 GB/T 8731-1988;加工工艺 ;热处理工艺 ;特殊要求 ;规格标准号 </t>
        </is>
      </c>
      <c r="F343" t="inlineStr">
        <is>
          <t>千克</t>
        </is>
      </c>
      <c r="G343">
        <f>LEFT(D343,FIND("|",D343,1)-1)</f>
        <v/>
      </c>
      <c r="H343">
        <f>MID(D343,FIND("|",D343,FIND("|",D343,1))+1,FIND("|",D343,FIND("|",D343,1)+1)-FIND("|",D343,FIND("|",D343,1))-1)</f>
        <v/>
      </c>
      <c r="J343">
        <f>MID(D343,FIND(";",SUBSTITUTE(D343,"|",REPT(";",LEN(D343)),2))+1,FIND(";",SUBSTITUTE(D343,"|",REPT(";",LEN(D343)),3))-FIND(";",SUBSTITUTE(D343,"|",REPT(";",LEN(D343)),2))-1)</f>
        <v/>
      </c>
      <c r="M343">
        <f>MID(D343,FIND(";",SUBSTITUTE(D343,"|",REPT(";",LEN(D343)),3))+1,LEN(D343))</f>
        <v/>
      </c>
    </row>
    <row r="344">
      <c r="A344" t="inlineStr">
        <is>
          <t>100201</t>
        </is>
      </c>
      <c r="B344" t="inlineStr">
        <is>
          <t>圆钢</t>
        </is>
      </c>
      <c r="C344" t="inlineStr">
        <is>
          <t>600909200</t>
        </is>
      </c>
      <c r="D344" t="inlineStr">
        <is>
          <t>圆钢|圆钢|Y2Cr13Ni2|GJB 2294-95</t>
        </is>
      </c>
      <c r="E344" t="inlineStr">
        <is>
          <t xml:space="preserve">物资名称 圆钢;物资简称 圆钢;牌号 Y2Cr13Ni2;直径 Φ;技术标准号 GJB 2294-95;加工工艺 ;热处理工艺 ;特殊要求 ;规格标准号 </t>
        </is>
      </c>
      <c r="F344" t="inlineStr">
        <is>
          <t>千克</t>
        </is>
      </c>
      <c r="G344">
        <f>LEFT(D344,FIND("|",D344,1)-1)</f>
        <v/>
      </c>
      <c r="H344">
        <f>MID(D344,FIND("|",D344,FIND("|",D344,1))+1,FIND("|",D344,FIND("|",D344,1)+1)-FIND("|",D344,FIND("|",D344,1))-1)</f>
        <v/>
      </c>
      <c r="J344">
        <f>MID(D344,FIND(";",SUBSTITUTE(D344,"|",REPT(";",LEN(D344)),2))+1,FIND(";",SUBSTITUTE(D344,"|",REPT(";",LEN(D344)),3))-FIND(";",SUBSTITUTE(D344,"|",REPT(";",LEN(D344)),2))-1)</f>
        <v/>
      </c>
      <c r="M344">
        <f>MID(D344,FIND(";",SUBSTITUTE(D344,"|",REPT(";",LEN(D344)),3))+1,LEN(D344))</f>
        <v/>
      </c>
    </row>
    <row r="345">
      <c r="A345" t="inlineStr">
        <is>
          <t>100201</t>
        </is>
      </c>
      <c r="B345" t="inlineStr">
        <is>
          <t>圆钢</t>
        </is>
      </c>
      <c r="C345" t="inlineStr">
        <is>
          <t>600908800</t>
        </is>
      </c>
      <c r="D345" t="inlineStr">
        <is>
          <t>圆钢|圆钢|Y2Cr13Ni2|GJB 2294-1995</t>
        </is>
      </c>
      <c r="E345" t="inlineStr">
        <is>
          <t xml:space="preserve">物资名称 圆钢;物资简称 圆钢;牌号 Y2Cr13Ni2;直径 Φ;技术标准号 GJB 2294-1995;加工工艺 ;热处理工艺 ;特殊要求 ;规格标准号 </t>
        </is>
      </c>
      <c r="F345" t="inlineStr">
        <is>
          <t>千克</t>
        </is>
      </c>
      <c r="G345">
        <f>LEFT(D345,FIND("|",D345,1)-1)</f>
        <v/>
      </c>
      <c r="H345">
        <f>MID(D345,FIND("|",D345,FIND("|",D345,1))+1,FIND("|",D345,FIND("|",D345,1)+1)-FIND("|",D345,FIND("|",D345,1))-1)</f>
        <v/>
      </c>
      <c r="J345">
        <f>MID(D345,FIND(";",SUBSTITUTE(D345,"|",REPT(";",LEN(D345)),2))+1,FIND(";",SUBSTITUTE(D345,"|",REPT(";",LEN(D345)),3))-FIND(";",SUBSTITUTE(D345,"|",REPT(";",LEN(D345)),2))-1)</f>
        <v/>
      </c>
      <c r="M345">
        <f>MID(D345,FIND(";",SUBSTITUTE(D345,"|",REPT(";",LEN(D345)),3))+1,LEN(D345))</f>
        <v/>
      </c>
    </row>
    <row r="346">
      <c r="A346" t="inlineStr">
        <is>
          <t>100201</t>
        </is>
      </c>
      <c r="B346" t="inlineStr">
        <is>
          <t>圆钢</t>
        </is>
      </c>
      <c r="C346" t="inlineStr">
        <is>
          <t>600901000</t>
        </is>
      </c>
      <c r="D346" t="inlineStr">
        <is>
          <t>热轧合金结构圆钢|圆钢|30CrMnSiA|GB/T 3077-1999|热轧|GB/T 702-2008</t>
        </is>
      </c>
      <c r="E346" t="inlineStr">
        <is>
          <t>物资名称 热轧合金结构圆钢;物资简称 圆钢;牌号 30CrMnSiA;直径 Φ;技术标准号 GB/T 3077-1999;加工工艺 热轧;热处理工艺 ;特殊要求 ;规格标准号 GB/T 702-2008</t>
        </is>
      </c>
      <c r="F346" t="inlineStr">
        <is>
          <t>千克</t>
        </is>
      </c>
      <c r="G346">
        <f>LEFT(D346,FIND("|",D346,1)-1)</f>
        <v/>
      </c>
      <c r="H346">
        <f>MID(D346,FIND("|",D346,FIND("|",D346,1))+1,FIND("|",D346,FIND("|",D346,1)+1)-FIND("|",D346,FIND("|",D346,1))-1)</f>
        <v/>
      </c>
      <c r="J346">
        <f>MID(D346,FIND(";",SUBSTITUTE(D346,"|",REPT(";",LEN(D346)),2))+1,FIND(";",SUBSTITUTE(D346,"|",REPT(";",LEN(D346)),3))-FIND(";",SUBSTITUTE(D346,"|",REPT(";",LEN(D346)),2))-1)</f>
        <v/>
      </c>
      <c r="M346">
        <f>MID(D346,FIND(";",SUBSTITUTE(D346,"|",REPT(";",LEN(D346)),3))+1,FIND(";",SUBSTITUTE(D346,"|",REPT(";",LEN(D346)),4))-FIND(";",SUBSTITUTE(D346,"|",REPT(";",LEN(D346)),3))-1)</f>
        <v/>
      </c>
      <c r="N346">
        <f>MID(D346,FIND(";",SUBSTITUTE(D346,"|",REPT(";",LEN(D346)),5))+1,LEN(D346))</f>
        <v/>
      </c>
      <c r="O346">
        <f>MID(D346,FIND(";",SUBSTITUTE(D346,"|",REPT(";",LEN(D346)),4))+1,FIND(";",SUBSTITUTE(D346,"|",REPT(";",LEN(D346)),5))-FIND(";",SUBSTITUTE(D346,"|",REPT(";",LEN(D346)),4))-1)</f>
        <v/>
      </c>
    </row>
    <row r="347">
      <c r="A347" t="inlineStr">
        <is>
          <t>100201</t>
        </is>
      </c>
      <c r="B347" t="inlineStr">
        <is>
          <t>圆钢</t>
        </is>
      </c>
      <c r="C347" t="inlineStr">
        <is>
          <t>600894600</t>
        </is>
      </c>
      <c r="D347" t="inlineStr">
        <is>
          <t>合金结构圆钢|圆钢|30CrMnSi|Φ48|GB/T 3077-1999</t>
        </is>
      </c>
      <c r="E347" t="inlineStr">
        <is>
          <t xml:space="preserve">物资名称 合金结构圆钢;物资简称 圆钢;牌号 30CrMnSi;直径 Φ48;技术标准号 GB/T 3077-1999;加工工艺 ;热处理工艺 ;特殊要求 ;规格标准号 </t>
        </is>
      </c>
      <c r="F347" t="inlineStr">
        <is>
          <t>千克</t>
        </is>
      </c>
      <c r="G347">
        <f>LEFT(D347,FIND("|",D347,1)-1)</f>
        <v/>
      </c>
      <c r="H347">
        <f>MID(D347,FIND("|",D347,FIND("|",D347,1))+1,FIND("|",D347,FIND("|",D347,1)+1)-FIND("|",D347,FIND("|",D347,1))-1)</f>
        <v/>
      </c>
      <c r="J347">
        <f>MID(D347,FIND(";",SUBSTITUTE(D347,"|",REPT(";",LEN(D347)),2))+1,FIND(";",SUBSTITUTE(D347,"|",REPT(";",LEN(D347)),3))-FIND(";",SUBSTITUTE(D347,"|",REPT(";",LEN(D347)),2))-1)</f>
        <v/>
      </c>
      <c r="K347">
        <f>MID(D347,FIND(";",SUBSTITUTE(D347,"|",REPT(";",LEN(D347)),3))+1,FIND(";",SUBSTITUTE(D347,"|",REPT(";",LEN(D347)),4))-FIND(";",SUBSTITUTE(D347,"|",REPT(";",LEN(D347)),3))-1)</f>
        <v/>
      </c>
      <c r="M347">
        <f>MID(D347,FIND(";",SUBSTITUTE(D347,"|",REPT(";",LEN(D347)),4))+1,LEN(D347))</f>
        <v/>
      </c>
    </row>
    <row r="348">
      <c r="A348" t="inlineStr">
        <is>
          <t>100201</t>
        </is>
      </c>
      <c r="B348" t="inlineStr">
        <is>
          <t>圆钢</t>
        </is>
      </c>
      <c r="C348" t="inlineStr">
        <is>
          <t>600891400</t>
        </is>
      </c>
      <c r="D348" t="inlineStr">
        <is>
          <t>热轧合金结构圆钢|圆钢|35CrMnSiA|Φ70|GB/T 3077-1999|热轧|退火|GB/T 702-2008</t>
        </is>
      </c>
      <c r="E348" t="inlineStr">
        <is>
          <t>物资名称 热轧合金结构圆钢;物资简称 圆钢;牌号 35CrMnSiA;直径 Φ70;技术标准号 GB/T 3077-1999;加工工艺 热轧;热处理工艺 退火;特殊要求 ;规格标准号 GB/T 702-2008</t>
        </is>
      </c>
      <c r="F348" t="inlineStr">
        <is>
          <t>千克</t>
        </is>
      </c>
      <c r="G348">
        <f>LEFT(D348,FIND("|",D348,1)-1)</f>
        <v/>
      </c>
      <c r="H348">
        <f>MID(D348,FIND("|",D348,FIND("|",D348,1))+1,FIND("|",D348,FIND("|",D348,1)+1)-FIND("|",D348,FIND("|",D348,1))-1)</f>
        <v/>
      </c>
      <c r="J348">
        <f>MID(D348,FIND(";",SUBSTITUTE(D348,"|",REPT(";",LEN(D348)),2))+1,FIND(";",SUBSTITUTE(D348,"|",REPT(";",LEN(D348)),3))-FIND(";",SUBSTITUTE(D348,"|",REPT(";",LEN(D348)),2))-1)</f>
        <v/>
      </c>
      <c r="K348">
        <f>MID(D348,FIND(";",SUBSTITUTE(D348,"|",REPT(";",LEN(D348)),3))+1,FIND(";",SUBSTITUTE(D348,"|",REPT(";",LEN(D348)),4))-FIND(";",SUBSTITUTE(D348,"|",REPT(";",LEN(D348)),3))-1)</f>
        <v/>
      </c>
      <c r="M348">
        <f>MID(D348,FIND(";",SUBSTITUTE(D348,"|",REPT(";",LEN(D348)),4))+1,FIND(";",SUBSTITUTE(D348,"|",REPT(";",LEN(D348)),5))-FIND(";",SUBSTITUTE(D348,"|",REPT(";",LEN(D348)),4))-1)</f>
        <v/>
      </c>
      <c r="N348">
        <f>MID(D348,FIND(";",SUBSTITUTE(D348,"|",REPT(";",LEN(D348)),7))+1,LEN(D348))</f>
        <v/>
      </c>
      <c r="O348">
        <f>MID(D348,FIND(";",SUBSTITUTE(D348,"|",REPT(";",LEN(D348)),5))+1,FIND(";",SUBSTITUTE(D348,"|",REPT(";",LEN(D348)),6))-FIND(";",SUBSTITUTE(D348,"|",REPT(";",LEN(D348)),5))-1)</f>
        <v/>
      </c>
      <c r="P348">
        <f>MID(D348,FIND(";",SUBSTITUTE(D348,"|",REPT(";",LEN(D348)),6))+1,FIND(";",SUBSTITUTE(D348,"|",REPT(";",LEN(D348)),7))-FIND(";",SUBSTITUTE(D348,"|",REPT(";",LEN(D348)),6))-1)</f>
        <v/>
      </c>
    </row>
    <row r="349">
      <c r="A349" t="inlineStr">
        <is>
          <t>100201</t>
        </is>
      </c>
      <c r="B349" t="inlineStr">
        <is>
          <t>圆钢</t>
        </is>
      </c>
      <c r="C349" t="inlineStr">
        <is>
          <t>600844200</t>
        </is>
      </c>
      <c r="D349" t="inlineStr">
        <is>
          <t>热轧不锈圆钢|圆钢|1Cr17Ni2|GB 1220-1992|GB/T702-2008</t>
        </is>
      </c>
      <c r="E349" t="inlineStr">
        <is>
          <t>物资名称 热轧不锈圆钢;物资简称 圆钢;牌号 1Cr17Ni2;直径 Φ;技术标准号 GB 1220-1992;加工工艺 ;热处理工艺 ;特殊要求 ;规格标准号 GB/T702-2008</t>
        </is>
      </c>
      <c r="F349" t="inlineStr">
        <is>
          <t>千克</t>
        </is>
      </c>
      <c r="G349">
        <f>LEFT(D349,FIND("|",D349,1)-1)</f>
        <v/>
      </c>
      <c r="H349">
        <f>MID(D349,FIND("|",D349,FIND("|",D349,1))+1,FIND("|",D349,FIND("|",D349,1)+1)-FIND("|",D349,FIND("|",D349,1))-1)</f>
        <v/>
      </c>
      <c r="J349">
        <f>MID(D349,FIND(";",SUBSTITUTE(D349,"|",REPT(";",LEN(D349)),2))+1,FIND(";",SUBSTITUTE(D349,"|",REPT(";",LEN(D349)),3))-FIND(";",SUBSTITUTE(D349,"|",REPT(";",LEN(D349)),2))-1)</f>
        <v/>
      </c>
      <c r="M349">
        <f>MID(D349,FIND(";",SUBSTITUTE(D349,"|",REPT(";",LEN(D349)),3))+1,FIND(";",SUBSTITUTE(D349,"|",REPT(";",LEN(D349)),4))-FIND(";",SUBSTITUTE(D349,"|",REPT(";",LEN(D349)),3))-1)</f>
        <v/>
      </c>
      <c r="N349">
        <f>MID(D349,FIND(";",SUBSTITUTE(D349,"|",REPT(";",LEN(D349)),4))+1,LEN(D349))</f>
        <v/>
      </c>
    </row>
    <row r="350">
      <c r="A350" t="inlineStr">
        <is>
          <t>100201</t>
        </is>
      </c>
      <c r="B350" t="inlineStr">
        <is>
          <t>圆钢</t>
        </is>
      </c>
      <c r="C350" t="inlineStr">
        <is>
          <t>600844100</t>
        </is>
      </c>
      <c r="D350" t="inlineStr">
        <is>
          <t>热轧不锈圆钢|圆钢|1Cr17Ni2|Φ6|GB 1220-1992|GB/T 702-2008</t>
        </is>
      </c>
      <c r="E350" t="inlineStr">
        <is>
          <t>物资名称 热轧不锈圆钢;物资简称 圆钢;牌号 1Cr17Ni2;直径 Φ6;技术标准号 GB 1220-1992;加工工艺 ;热处理工艺 ;特殊要求 ;规格标准号 GB/T 702-2008</t>
        </is>
      </c>
      <c r="F350" t="inlineStr">
        <is>
          <t>千克</t>
        </is>
      </c>
      <c r="G350">
        <f>LEFT(D350,FIND("|",D350,1)-1)</f>
        <v/>
      </c>
      <c r="H350">
        <f>MID(D350,FIND("|",D350,FIND("|",D350,1))+1,FIND("|",D350,FIND("|",D350,1)+1)-FIND("|",D350,FIND("|",D350,1))-1)</f>
        <v/>
      </c>
      <c r="J350">
        <f>MID(D350,FIND(";",SUBSTITUTE(D350,"|",REPT(";",LEN(D350)),2))+1,FIND(";",SUBSTITUTE(D350,"|",REPT(";",LEN(D350)),3))-FIND(";",SUBSTITUTE(D350,"|",REPT(";",LEN(D350)),2))-1)</f>
        <v/>
      </c>
      <c r="K350">
        <f>MID(D350,FIND(";",SUBSTITUTE(D350,"|",REPT(";",LEN(D350)),3))+1,FIND(";",SUBSTITUTE(D350,"|",REPT(";",LEN(D350)),4))-FIND(";",SUBSTITUTE(D350,"|",REPT(";",LEN(D350)),3))-1)</f>
        <v/>
      </c>
      <c r="M350">
        <f>MID(D350,FIND(";",SUBSTITUTE(D350,"|",REPT(";",LEN(D350)),4))+1,FIND(";",SUBSTITUTE(D350,"|",REPT(";",LEN(D350)),5))-FIND(";",SUBSTITUTE(D350,"|",REPT(";",LEN(D350)),4))-1)</f>
        <v/>
      </c>
      <c r="N350">
        <f>MID(D350,FIND(";",SUBSTITUTE(D350,"|",REPT(";",LEN(D350)),5))+1,LEN(D350))</f>
        <v/>
      </c>
    </row>
    <row r="351">
      <c r="A351" t="inlineStr">
        <is>
          <t>100201</t>
        </is>
      </c>
      <c r="B351" t="inlineStr">
        <is>
          <t>圆钢</t>
        </is>
      </c>
      <c r="C351" t="inlineStr">
        <is>
          <t>600843300</t>
        </is>
      </c>
      <c r="D351" t="inlineStr">
        <is>
          <t>冷拉优质碳素结构圆钢|圆钢|20|Φ18|GB/T 3078-2008|冷拉|允许偏差级别12|GB/T 905-1994</t>
        </is>
      </c>
      <c r="E351" t="inlineStr">
        <is>
          <t>物资名称 冷拉优质碳素结构圆钢;物资简称 圆钢;牌号 20;直径 Φ18;技术标准号 GB/T 3078-2008;加工工艺 冷拉;热处理工艺 ;特殊要求 允许偏差级别12;规格标准号 GB/T 905-1994</t>
        </is>
      </c>
      <c r="F351" t="inlineStr">
        <is>
          <t>千克</t>
        </is>
      </c>
      <c r="G351">
        <f>LEFT(D351,FIND("|",D351,1)-1)</f>
        <v/>
      </c>
      <c r="H351">
        <f>MID(D351,FIND("|",D351,FIND("|",D351,1))+1,FIND("|",D351,FIND("|",D351,1)+1)-FIND("|",D351,FIND("|",D351,1))-1)</f>
        <v/>
      </c>
      <c r="J351">
        <f>MID(D351,FIND(";",SUBSTITUTE(D351,"|",REPT(";",LEN(D351)),2))+1,FIND(";",SUBSTITUTE(D351,"|",REPT(";",LEN(D351)),3))-FIND(";",SUBSTITUTE(D351,"|",REPT(";",LEN(D351)),2))-1)</f>
        <v/>
      </c>
      <c r="K351">
        <f>MID(D351,FIND(";",SUBSTITUTE(D351,"|",REPT(";",LEN(D351)),3))+1,FIND(";",SUBSTITUTE(D351,"|",REPT(";",LEN(D351)),4))-FIND(";",SUBSTITUTE(D351,"|",REPT(";",LEN(D351)),3))-1)</f>
        <v/>
      </c>
      <c r="M351">
        <f>MID(D351,FIND(";",SUBSTITUTE(D351,"|",REPT(";",LEN(D351)),4))+1,FIND(";",SUBSTITUTE(D351,"|",REPT(";",LEN(D351)),5))-FIND(";",SUBSTITUTE(D351,"|",REPT(";",LEN(D351)),4))-1)</f>
        <v/>
      </c>
      <c r="N351">
        <f>MID(D351,FIND(";",SUBSTITUTE(D351,"|",REPT(";",LEN(D351)),7))+1,LEN(D351))</f>
        <v/>
      </c>
      <c r="O351">
        <f>MID(D351,FIND(";",SUBSTITUTE(D351,"|",REPT(";",LEN(D351)),5))+1,FIND(";",SUBSTITUTE(D351,"|",REPT(";",LEN(D351)),6))-FIND(";",SUBSTITUTE(D351,"|",REPT(";",LEN(D351)),5))-1)</f>
        <v/>
      </c>
      <c r="Q351">
        <f>MID(D351,FIND(";",SUBSTITUTE(D351,"|",REPT(";",LEN(D351)),6))+1,FIND(";",SUBSTITUTE(D351,"|",REPT(";",LEN(D351)),7))-FIND(";",SUBSTITUTE(D351,"|",REPT(";",LEN(D351)),6))-1)</f>
        <v/>
      </c>
    </row>
    <row r="352">
      <c r="A352" t="inlineStr">
        <is>
          <t>100201</t>
        </is>
      </c>
      <c r="B352" t="inlineStr">
        <is>
          <t>圆钢</t>
        </is>
      </c>
      <c r="C352" t="inlineStr">
        <is>
          <t>600843200</t>
        </is>
      </c>
      <c r="D352" t="inlineStr">
        <is>
          <t>冷拉优质碳素结构圆钢|圆钢|20|Φ4.5|GB/T 3078-2008|冷拉|允许偏差级别12|GB/T 905-1994</t>
        </is>
      </c>
      <c r="E352" t="inlineStr">
        <is>
          <t>物资名称 冷拉优质碳素结构圆钢;物资简称 圆钢;牌号 20;直径 Φ4.5;技术标准号 GB/T 3078-2008;加工工艺 冷拉;热处理工艺 ;特殊要求 允许偏差级别12;规格标准号 GB/T 905-1994</t>
        </is>
      </c>
      <c r="F352" t="inlineStr">
        <is>
          <t>千克</t>
        </is>
      </c>
      <c r="G352">
        <f>LEFT(D352,FIND("|",D352,1)-1)</f>
        <v/>
      </c>
      <c r="H352">
        <f>MID(D352,FIND("|",D352,FIND("|",D352,1))+1,FIND("|",D352,FIND("|",D352,1)+1)-FIND("|",D352,FIND("|",D352,1))-1)</f>
        <v/>
      </c>
      <c r="J352">
        <f>MID(D352,FIND(";",SUBSTITUTE(D352,"|",REPT(";",LEN(D352)),2))+1,FIND(";",SUBSTITUTE(D352,"|",REPT(";",LEN(D352)),3))-FIND(";",SUBSTITUTE(D352,"|",REPT(";",LEN(D352)),2))-1)</f>
        <v/>
      </c>
      <c r="K352">
        <f>MID(D352,FIND(";",SUBSTITUTE(D352,"|",REPT(";",LEN(D352)),3))+1,FIND(";",SUBSTITUTE(D352,"|",REPT(";",LEN(D352)),4))-FIND(";",SUBSTITUTE(D352,"|",REPT(";",LEN(D352)),3))-1)</f>
        <v/>
      </c>
      <c r="M352">
        <f>MID(D352,FIND(";",SUBSTITUTE(D352,"|",REPT(";",LEN(D352)),4))+1,FIND(";",SUBSTITUTE(D352,"|",REPT(";",LEN(D352)),5))-FIND(";",SUBSTITUTE(D352,"|",REPT(";",LEN(D352)),4))-1)</f>
        <v/>
      </c>
      <c r="N352">
        <f>MID(D352,FIND(";",SUBSTITUTE(D352,"|",REPT(";",LEN(D352)),7))+1,LEN(D352))</f>
        <v/>
      </c>
      <c r="O352">
        <f>MID(D352,FIND(";",SUBSTITUTE(D352,"|",REPT(";",LEN(D352)),5))+1,FIND(";",SUBSTITUTE(D352,"|",REPT(";",LEN(D352)),6))-FIND(";",SUBSTITUTE(D352,"|",REPT(";",LEN(D352)),5))-1)</f>
        <v/>
      </c>
      <c r="Q352">
        <f>MID(D352,FIND(";",SUBSTITUTE(D352,"|",REPT(";",LEN(D352)),6))+1,FIND(";",SUBSTITUTE(D352,"|",REPT(";",LEN(D352)),7))-FIND(";",SUBSTITUTE(D352,"|",REPT(";",LEN(D352)),6))-1)</f>
        <v/>
      </c>
    </row>
    <row r="353">
      <c r="A353" t="inlineStr">
        <is>
          <t>100201</t>
        </is>
      </c>
      <c r="B353" t="inlineStr">
        <is>
          <t>圆钢</t>
        </is>
      </c>
      <c r="C353" t="inlineStr">
        <is>
          <t>600843000</t>
        </is>
      </c>
      <c r="D353" t="inlineStr">
        <is>
          <t>航空用不锈钢棒|不锈钢棒|1Cr17Ni2|GJB 2294-1995</t>
        </is>
      </c>
      <c r="E353" t="inlineStr">
        <is>
          <t xml:space="preserve">物资名称 航空用不锈钢棒;物资简称 不锈钢棒;牌号 1Cr17Ni2;直径 Φ;技术标准号 GJB 2294-1995;加工工艺 ;热处理工艺 ;特殊要求 ;规格标准号 </t>
        </is>
      </c>
      <c r="F353" t="inlineStr">
        <is>
          <t>千克</t>
        </is>
      </c>
      <c r="G353">
        <f>LEFT(D353,FIND("|",D353,1)-1)</f>
        <v/>
      </c>
      <c r="H353">
        <f>MID(D353,FIND("|",D353,FIND("|",D353,1))+1,FIND("|",D353,FIND("|",D353,1)+1)-FIND("|",D353,FIND("|",D353,1))-1)</f>
        <v/>
      </c>
      <c r="J353">
        <f>MID(D353,FIND(";",SUBSTITUTE(D353,"|",REPT(";",LEN(D353)),2))+1,FIND(";",SUBSTITUTE(D353,"|",REPT(";",LEN(D353)),3))-FIND(";",SUBSTITUTE(D353,"|",REPT(";",LEN(D353)),2))-1)</f>
        <v/>
      </c>
      <c r="M353">
        <f>MID(D353,FIND(";",SUBSTITUTE(D353,"|",REPT(";",LEN(D353)),3))+1,LEN(D353))</f>
        <v/>
      </c>
    </row>
    <row r="354">
      <c r="A354" t="inlineStr">
        <is>
          <t>100201</t>
        </is>
      </c>
      <c r="B354" t="inlineStr">
        <is>
          <t>圆钢</t>
        </is>
      </c>
      <c r="C354" t="inlineStr">
        <is>
          <t>600842900</t>
        </is>
      </c>
      <c r="D354" t="inlineStr">
        <is>
          <t>航空用优质结构圆钢|圆钢|38CrMoAlA|GJB 1951-1994</t>
        </is>
      </c>
      <c r="E354" t="inlineStr">
        <is>
          <t xml:space="preserve">物资名称 航空用优质结构圆钢;物资简称 圆钢;牌号 38CrMoAlA;直径 Φ;技术标准号 GJB 1951-1994;加工工艺 ;热处理工艺 ;特殊要求 ;规格标准号 </t>
        </is>
      </c>
      <c r="F354" t="inlineStr">
        <is>
          <t>千克</t>
        </is>
      </c>
      <c r="G354">
        <f>LEFT(D354,FIND("|",D354,1)-1)</f>
        <v/>
      </c>
      <c r="H354">
        <f>MID(D354,FIND("|",D354,FIND("|",D354,1))+1,FIND("|",D354,FIND("|",D354,1)+1)-FIND("|",D354,FIND("|",D354,1))-1)</f>
        <v/>
      </c>
      <c r="J354">
        <f>MID(D354,FIND(";",SUBSTITUTE(D354,"|",REPT(";",LEN(D354)),2))+1,FIND(";",SUBSTITUTE(D354,"|",REPT(";",LEN(D354)),3))-FIND(";",SUBSTITUTE(D354,"|",REPT(";",LEN(D354)),2))-1)</f>
        <v/>
      </c>
      <c r="M354">
        <f>MID(D354,FIND(";",SUBSTITUTE(D354,"|",REPT(";",LEN(D354)),3))+1,LEN(D354))</f>
        <v/>
      </c>
    </row>
    <row r="355">
      <c r="A355" t="inlineStr">
        <is>
          <t>100201</t>
        </is>
      </c>
      <c r="B355" t="inlineStr">
        <is>
          <t>圆钢</t>
        </is>
      </c>
      <c r="C355" t="inlineStr">
        <is>
          <t>600842700</t>
        </is>
      </c>
      <c r="D355" t="inlineStr">
        <is>
          <t>航空用优质结构圆钢|圆钢|38CrMoAlA|Φ50|GJB 1951-1994|GB/T 702-2008</t>
        </is>
      </c>
      <c r="E355" t="inlineStr">
        <is>
          <t>物资名称 航空用优质结构圆钢;物资简称 圆钢;牌号 38CrMoAlA;直径 Φ50;技术标准号 GJB 1951-1994;加工工艺 ;热处理工艺 ;特殊要求 ;规格标准号 GB/T 702-2008</t>
        </is>
      </c>
      <c r="F355" t="inlineStr">
        <is>
          <t>千克</t>
        </is>
      </c>
      <c r="G355">
        <f>LEFT(D355,FIND("|",D355,1)-1)</f>
        <v/>
      </c>
      <c r="H355">
        <f>MID(D355,FIND("|",D355,FIND("|",D355,1))+1,FIND("|",D355,FIND("|",D355,1)+1)-FIND("|",D355,FIND("|",D355,1))-1)</f>
        <v/>
      </c>
      <c r="J355">
        <f>MID(D355,FIND(";",SUBSTITUTE(D355,"|",REPT(";",LEN(D355)),2))+1,FIND(";",SUBSTITUTE(D355,"|",REPT(";",LEN(D355)),3))-FIND(";",SUBSTITUTE(D355,"|",REPT(";",LEN(D355)),2))-1)</f>
        <v/>
      </c>
      <c r="K355">
        <f>MID(D355,FIND(";",SUBSTITUTE(D355,"|",REPT(";",LEN(D355)),3))+1,FIND(";",SUBSTITUTE(D355,"|",REPT(";",LEN(D355)),4))-FIND(";",SUBSTITUTE(D355,"|",REPT(";",LEN(D355)),3))-1)</f>
        <v/>
      </c>
      <c r="M355">
        <f>MID(D355,FIND(";",SUBSTITUTE(D355,"|",REPT(";",LEN(D355)),4))+1,FIND(";",SUBSTITUTE(D355,"|",REPT(";",LEN(D355)),5))-FIND(";",SUBSTITUTE(D355,"|",REPT(";",LEN(D355)),4))-1)</f>
        <v/>
      </c>
      <c r="N355">
        <f>MID(D355,FIND(";",SUBSTITUTE(D355,"|",REPT(";",LEN(D355)),5))+1,LEN(D355))</f>
        <v/>
      </c>
    </row>
    <row r="356">
      <c r="A356" t="inlineStr">
        <is>
          <t>100201</t>
        </is>
      </c>
      <c r="B356" t="inlineStr">
        <is>
          <t>圆钢</t>
        </is>
      </c>
      <c r="C356" t="inlineStr">
        <is>
          <t>600842600</t>
        </is>
      </c>
      <c r="D356" t="inlineStr">
        <is>
          <t>航空用优质结构圆钢|圆钢|38CrMoAlA|Φ110|GJB 1951-1994|GB/T 702-2008</t>
        </is>
      </c>
      <c r="E356" t="inlineStr">
        <is>
          <t>物资名称 航空用优质结构圆钢;物资简称 圆钢;牌号 38CrMoAlA;直径 Φ110;技术标准号 GJB 1951-1994;加工工艺 ;热处理工艺 ;特殊要求 ;规格标准号 GB/T 702-2008</t>
        </is>
      </c>
      <c r="F356" t="inlineStr">
        <is>
          <t>千克</t>
        </is>
      </c>
      <c r="G356">
        <f>LEFT(D356,FIND("|",D356,1)-1)</f>
        <v/>
      </c>
      <c r="H356">
        <f>MID(D356,FIND("|",D356,FIND("|",D356,1))+1,FIND("|",D356,FIND("|",D356,1)+1)-FIND("|",D356,FIND("|",D356,1))-1)</f>
        <v/>
      </c>
      <c r="J356">
        <f>MID(D356,FIND(";",SUBSTITUTE(D356,"|",REPT(";",LEN(D356)),2))+1,FIND(";",SUBSTITUTE(D356,"|",REPT(";",LEN(D356)),3))-FIND(";",SUBSTITUTE(D356,"|",REPT(";",LEN(D356)),2))-1)</f>
        <v/>
      </c>
      <c r="K356">
        <f>MID(D356,FIND(";",SUBSTITUTE(D356,"|",REPT(";",LEN(D356)),3))+1,FIND(";",SUBSTITUTE(D356,"|",REPT(";",LEN(D356)),4))-FIND(";",SUBSTITUTE(D356,"|",REPT(";",LEN(D356)),3))-1)</f>
        <v/>
      </c>
      <c r="M356">
        <f>MID(D356,FIND(";",SUBSTITUTE(D356,"|",REPT(";",LEN(D356)),4))+1,FIND(";",SUBSTITUTE(D356,"|",REPT(";",LEN(D356)),5))-FIND(";",SUBSTITUTE(D356,"|",REPT(";",LEN(D356)),4))-1)</f>
        <v/>
      </c>
      <c r="N356">
        <f>MID(D356,FIND(";",SUBSTITUTE(D356,"|",REPT(";",LEN(D356)),5))+1,LEN(D356))</f>
        <v/>
      </c>
    </row>
    <row r="357">
      <c r="A357" t="inlineStr">
        <is>
          <t>100201</t>
        </is>
      </c>
      <c r="B357" t="inlineStr">
        <is>
          <t>圆钢</t>
        </is>
      </c>
      <c r="C357" t="inlineStr">
        <is>
          <t>600837600</t>
        </is>
      </c>
      <c r="D357" t="inlineStr">
        <is>
          <t>热轧不锈圆钢|圆钢|1Cr17Ni2|Φ6|GB/T1220-1992|GB/T702-2008</t>
        </is>
      </c>
      <c r="E357" t="inlineStr">
        <is>
          <t>物资名称 热轧不锈圆钢;物资简称 圆钢;牌号 1Cr17Ni2;直径 Φ6;技术标准号 GB/T1220-1992;加工工艺 ;热处理工艺 ;特殊要求 ;规格标准号 GB/T702-2008</t>
        </is>
      </c>
      <c r="F357" t="inlineStr">
        <is>
          <t>千克</t>
        </is>
      </c>
      <c r="G357">
        <f>LEFT(D357,FIND("|",D357,1)-1)</f>
        <v/>
      </c>
      <c r="H357">
        <f>MID(D357,FIND("|",D357,FIND("|",D357,1))+1,FIND("|",D357,FIND("|",D357,1)+1)-FIND("|",D357,FIND("|",D357,1))-1)</f>
        <v/>
      </c>
      <c r="J357">
        <f>MID(D357,FIND(";",SUBSTITUTE(D357,"|",REPT(";",LEN(D357)),2))+1,FIND(";",SUBSTITUTE(D357,"|",REPT(";",LEN(D357)),3))-FIND(";",SUBSTITUTE(D357,"|",REPT(";",LEN(D357)),2))-1)</f>
        <v/>
      </c>
      <c r="K357">
        <f>MID(D357,FIND(";",SUBSTITUTE(D357,"|",REPT(";",LEN(D357)),3))+1,FIND(";",SUBSTITUTE(D357,"|",REPT(";",LEN(D357)),4))-FIND(";",SUBSTITUTE(D357,"|",REPT(";",LEN(D357)),3))-1)</f>
        <v/>
      </c>
      <c r="M357">
        <f>MID(D357,FIND(";",SUBSTITUTE(D357,"|",REPT(";",LEN(D357)),4))+1,FIND(";",SUBSTITUTE(D357,"|",REPT(";",LEN(D357)),5))-FIND(";",SUBSTITUTE(D357,"|",REPT(";",LEN(D357)),4))-1)</f>
        <v/>
      </c>
      <c r="N357">
        <f>MID(D357,FIND(";",SUBSTITUTE(D357,"|",REPT(";",LEN(D357)),5))+1,LEN(D357))</f>
        <v/>
      </c>
    </row>
    <row r="358">
      <c r="A358" t="inlineStr">
        <is>
          <t>100201</t>
        </is>
      </c>
      <c r="B358" t="inlineStr">
        <is>
          <t>圆钢</t>
        </is>
      </c>
      <c r="C358" t="inlineStr">
        <is>
          <t>600837500</t>
        </is>
      </c>
      <c r="D358" t="inlineStr">
        <is>
          <t>热轧弹簧圆钢|圆钢|60Si2MnA|Φ6|GB/T1222-2007|GB/T702-2008</t>
        </is>
      </c>
      <c r="E358" t="inlineStr">
        <is>
          <t>物资名称 热轧弹簧圆钢;物资简称 圆钢;牌号 60Si2MnA;直径 Φ6;技术标准号 GB/T1222-2007;加工工艺 ;热处理工艺 ;特殊要求 ;规格标准号 GB/T702-2008</t>
        </is>
      </c>
      <c r="F358" t="inlineStr">
        <is>
          <t>千克</t>
        </is>
      </c>
      <c r="G358">
        <f>LEFT(D358,FIND("|",D358,1)-1)</f>
        <v/>
      </c>
      <c r="H358">
        <f>MID(D358,FIND("|",D358,FIND("|",D358,1))+1,FIND("|",D358,FIND("|",D358,1)+1)-FIND("|",D358,FIND("|",D358,1))-1)</f>
        <v/>
      </c>
      <c r="J358">
        <f>MID(D358,FIND(";",SUBSTITUTE(D358,"|",REPT(";",LEN(D358)),2))+1,FIND(";",SUBSTITUTE(D358,"|",REPT(";",LEN(D358)),3))-FIND(";",SUBSTITUTE(D358,"|",REPT(";",LEN(D358)),2))-1)</f>
        <v/>
      </c>
      <c r="K358">
        <f>MID(D358,FIND(";",SUBSTITUTE(D358,"|",REPT(";",LEN(D358)),3))+1,FIND(";",SUBSTITUTE(D358,"|",REPT(";",LEN(D358)),4))-FIND(";",SUBSTITUTE(D358,"|",REPT(";",LEN(D358)),3))-1)</f>
        <v/>
      </c>
      <c r="M358">
        <f>MID(D358,FIND(";",SUBSTITUTE(D358,"|",REPT(";",LEN(D358)),4))+1,FIND(";",SUBSTITUTE(D358,"|",REPT(";",LEN(D358)),5))-FIND(";",SUBSTITUTE(D358,"|",REPT(";",LEN(D358)),4))-1)</f>
        <v/>
      </c>
      <c r="N358">
        <f>MID(D358,FIND(";",SUBSTITUTE(D358,"|",REPT(";",LEN(D358)),5))+1,LEN(D358))</f>
        <v/>
      </c>
    </row>
    <row r="359">
      <c r="A359" t="inlineStr">
        <is>
          <t>100201</t>
        </is>
      </c>
      <c r="B359" t="inlineStr">
        <is>
          <t>圆钢</t>
        </is>
      </c>
      <c r="C359" t="inlineStr">
        <is>
          <t>600823700</t>
        </is>
      </c>
      <c r="D359" t="inlineStr">
        <is>
          <t>热轧合金结构圆钢|圆钢|30CrMnSiA|Φ10|GB/T 3077-1999|GB/T 702-2008</t>
        </is>
      </c>
      <c r="E359" t="inlineStr">
        <is>
          <t>物资名称 热轧合金结构圆钢;物资简称 圆钢;牌号 30CrMnSiA;直径 Φ10;技术标准号 GB/T 3077-1999;加工工艺 ;热处理工艺 ;特殊要求 ;规格标准号 GB/T 702-2008</t>
        </is>
      </c>
      <c r="F359" t="inlineStr">
        <is>
          <t>千克</t>
        </is>
      </c>
      <c r="G359">
        <f>LEFT(D359,FIND("|",D359,1)-1)</f>
        <v/>
      </c>
      <c r="H359">
        <f>MID(D359,FIND("|",D359,FIND("|",D359,1))+1,FIND("|",D359,FIND("|",D359,1)+1)-FIND("|",D359,FIND("|",D359,1))-1)</f>
        <v/>
      </c>
      <c r="J359">
        <f>MID(D359,FIND(";",SUBSTITUTE(D359,"|",REPT(";",LEN(D359)),2))+1,FIND(";",SUBSTITUTE(D359,"|",REPT(";",LEN(D359)),3))-FIND(";",SUBSTITUTE(D359,"|",REPT(";",LEN(D359)),2))-1)</f>
        <v/>
      </c>
      <c r="K359">
        <f>MID(D359,FIND(";",SUBSTITUTE(D359,"|",REPT(";",LEN(D359)),3))+1,FIND(";",SUBSTITUTE(D359,"|",REPT(";",LEN(D359)),4))-FIND(";",SUBSTITUTE(D359,"|",REPT(";",LEN(D359)),3))-1)</f>
        <v/>
      </c>
      <c r="M359">
        <f>MID(D359,FIND(";",SUBSTITUTE(D359,"|",REPT(";",LEN(D359)),4))+1,FIND(";",SUBSTITUTE(D359,"|",REPT(";",LEN(D359)),5))-FIND(";",SUBSTITUTE(D359,"|",REPT(";",LEN(D359)),4))-1)</f>
        <v/>
      </c>
      <c r="N359">
        <f>MID(D359,FIND(";",SUBSTITUTE(D359,"|",REPT(";",LEN(D359)),5))+1,LEN(D359))</f>
        <v/>
      </c>
    </row>
    <row r="360">
      <c r="A360" t="inlineStr">
        <is>
          <t>100201</t>
        </is>
      </c>
      <c r="B360" t="inlineStr">
        <is>
          <t>圆钢</t>
        </is>
      </c>
      <c r="C360" t="inlineStr">
        <is>
          <t>600823600</t>
        </is>
      </c>
      <c r="D360" t="inlineStr">
        <is>
          <t>热轧优质碳素结构圆钢|圆钢|45|Φ17|GB/T 699-1999|热轧|GB/T 702-2008</t>
        </is>
      </c>
      <c r="E360" t="inlineStr">
        <is>
          <t>物资名称 热轧优质碳素结构圆钢;物资简称 圆钢;牌号 45;直径 Φ17;技术标准号 GB/T 699-1999;加工工艺 热轧;热处理工艺 ;特殊要求 ;规格标准号 GB/T 702-2008</t>
        </is>
      </c>
      <c r="F360" t="inlineStr">
        <is>
          <t>千克</t>
        </is>
      </c>
      <c r="G360">
        <f>LEFT(D360,FIND("|",D360,1)-1)</f>
        <v/>
      </c>
      <c r="H360">
        <f>MID(D360,FIND("|",D360,FIND("|",D360,1))+1,FIND("|",D360,FIND("|",D360,1)+1)-FIND("|",D360,FIND("|",D360,1))-1)</f>
        <v/>
      </c>
      <c r="J360">
        <f>MID(D360,FIND(";",SUBSTITUTE(D360,"|",REPT(";",LEN(D360)),2))+1,FIND(";",SUBSTITUTE(D360,"|",REPT(";",LEN(D360)),3))-FIND(";",SUBSTITUTE(D360,"|",REPT(";",LEN(D360)),2))-1)</f>
        <v/>
      </c>
      <c r="K360">
        <f>MID(D360,FIND(";",SUBSTITUTE(D360,"|",REPT(";",LEN(D360)),3))+1,FIND(";",SUBSTITUTE(D360,"|",REPT(";",LEN(D360)),4))-FIND(";",SUBSTITUTE(D360,"|",REPT(";",LEN(D360)),3))-1)</f>
        <v/>
      </c>
      <c r="M360">
        <f>MID(D360,FIND(";",SUBSTITUTE(D360,"|",REPT(";",LEN(D360)),4))+1,FIND(";",SUBSTITUTE(D360,"|",REPT(";",LEN(D360)),5))-FIND(";",SUBSTITUTE(D360,"|",REPT(";",LEN(D360)),4))-1)</f>
        <v/>
      </c>
      <c r="N360">
        <f>MID(D360,FIND(";",SUBSTITUTE(D360,"|",REPT(";",LEN(D360)),6))+1,LEN(D360))</f>
        <v/>
      </c>
      <c r="O360">
        <f>MID(D360,FIND(";",SUBSTITUTE(D360,"|",REPT(";",LEN(D360)),5))+1,FIND(";",SUBSTITUTE(D360,"|",REPT(";",LEN(D360)),6))-FIND(";",SUBSTITUTE(D360,"|",REPT(";",LEN(D360)),5))-1)</f>
        <v/>
      </c>
    </row>
    <row r="361">
      <c r="A361" t="inlineStr">
        <is>
          <t>100201</t>
        </is>
      </c>
      <c r="B361" t="inlineStr">
        <is>
          <t>圆钢</t>
        </is>
      </c>
      <c r="C361" t="inlineStr">
        <is>
          <t>600823500</t>
        </is>
      </c>
      <c r="D361" t="inlineStr">
        <is>
          <t>热轧优质碳素结构圆钢|圆钢|45|Φ9|GB/T 699-1999|热轧|GB/T 702-2008</t>
        </is>
      </c>
      <c r="E361" t="inlineStr">
        <is>
          <t>物资名称 热轧优质碳素结构圆钢;物资简称 圆钢;牌号 45;直径 Φ9;技术标准号 GB/T 699-1999;加工工艺 热轧;热处理工艺 ;特殊要求 ;规格标准号 GB/T 702-2008</t>
        </is>
      </c>
      <c r="F361" t="inlineStr">
        <is>
          <t>千克</t>
        </is>
      </c>
      <c r="G361">
        <f>LEFT(D361,FIND("|",D361,1)-1)</f>
        <v/>
      </c>
      <c r="H361">
        <f>MID(D361,FIND("|",D361,FIND("|",D361,1))+1,FIND("|",D361,FIND("|",D361,1)+1)-FIND("|",D361,FIND("|",D361,1))-1)</f>
        <v/>
      </c>
      <c r="J361">
        <f>MID(D361,FIND(";",SUBSTITUTE(D361,"|",REPT(";",LEN(D361)),2))+1,FIND(";",SUBSTITUTE(D361,"|",REPT(";",LEN(D361)),3))-FIND(";",SUBSTITUTE(D361,"|",REPT(";",LEN(D361)),2))-1)</f>
        <v/>
      </c>
      <c r="K361">
        <f>MID(D361,FIND(";",SUBSTITUTE(D361,"|",REPT(";",LEN(D361)),3))+1,FIND(";",SUBSTITUTE(D361,"|",REPT(";",LEN(D361)),4))-FIND(";",SUBSTITUTE(D361,"|",REPT(";",LEN(D361)),3))-1)</f>
        <v/>
      </c>
      <c r="M361">
        <f>MID(D361,FIND(";",SUBSTITUTE(D361,"|",REPT(";",LEN(D361)),4))+1,FIND(";",SUBSTITUTE(D361,"|",REPT(";",LEN(D361)),5))-FIND(";",SUBSTITUTE(D361,"|",REPT(";",LEN(D361)),4))-1)</f>
        <v/>
      </c>
      <c r="N361">
        <f>MID(D361,FIND(";",SUBSTITUTE(D361,"|",REPT(";",LEN(D361)),6))+1,LEN(D361))</f>
        <v/>
      </c>
      <c r="O361">
        <f>MID(D361,FIND(";",SUBSTITUTE(D361,"|",REPT(";",LEN(D361)),5))+1,FIND(";",SUBSTITUTE(D361,"|",REPT(";",LEN(D361)),6))-FIND(";",SUBSTITUTE(D361,"|",REPT(";",LEN(D361)),5))-1)</f>
        <v/>
      </c>
    </row>
    <row r="362">
      <c r="A362" t="inlineStr">
        <is>
          <t>100201</t>
        </is>
      </c>
      <c r="B362" t="inlineStr">
        <is>
          <t>圆钢</t>
        </is>
      </c>
      <c r="C362" t="inlineStr">
        <is>
          <t>600823400</t>
        </is>
      </c>
      <c r="D362" t="inlineStr">
        <is>
          <t>热轧合金结构圆钢|圆钢|30CrMnSiA|Φ48|GB/T 3077-1999|热轧|GB/T 702-2008</t>
        </is>
      </c>
      <c r="E362" t="inlineStr">
        <is>
          <t>物资名称 热轧合金结构圆钢;物资简称 圆钢;牌号 30CrMnSiA;直径 Φ48;技术标准号 GB/T 3077-1999;加工工艺 热轧;热处理工艺 ;特殊要求 ;规格标准号 GB/T 702-2008</t>
        </is>
      </c>
      <c r="F362" t="inlineStr">
        <is>
          <t>千克</t>
        </is>
      </c>
      <c r="G362">
        <f>LEFT(D362,FIND("|",D362,1)-1)</f>
        <v/>
      </c>
      <c r="H362">
        <f>MID(D362,FIND("|",D362,FIND("|",D362,1))+1,FIND("|",D362,FIND("|",D362,1)+1)-FIND("|",D362,FIND("|",D362,1))-1)</f>
        <v/>
      </c>
      <c r="J362">
        <f>MID(D362,FIND(";",SUBSTITUTE(D362,"|",REPT(";",LEN(D362)),2))+1,FIND(";",SUBSTITUTE(D362,"|",REPT(";",LEN(D362)),3))-FIND(";",SUBSTITUTE(D362,"|",REPT(";",LEN(D362)),2))-1)</f>
        <v/>
      </c>
      <c r="K362">
        <f>MID(D362,FIND(";",SUBSTITUTE(D362,"|",REPT(";",LEN(D362)),3))+1,FIND(";",SUBSTITUTE(D362,"|",REPT(";",LEN(D362)),4))-FIND(";",SUBSTITUTE(D362,"|",REPT(";",LEN(D362)),3))-1)</f>
        <v/>
      </c>
      <c r="M362">
        <f>MID(D362,FIND(";",SUBSTITUTE(D362,"|",REPT(";",LEN(D362)),4))+1,FIND(";",SUBSTITUTE(D362,"|",REPT(";",LEN(D362)),5))-FIND(";",SUBSTITUTE(D362,"|",REPT(";",LEN(D362)),4))-1)</f>
        <v/>
      </c>
      <c r="N362">
        <f>MID(D362,FIND(";",SUBSTITUTE(D362,"|",REPT(";",LEN(D362)),6))+1,LEN(D362))</f>
        <v/>
      </c>
      <c r="O362">
        <f>MID(D362,FIND(";",SUBSTITUTE(D362,"|",REPT(";",LEN(D362)),5))+1,FIND(";",SUBSTITUTE(D362,"|",REPT(";",LEN(D362)),6))-FIND(";",SUBSTITUTE(D362,"|",REPT(";",LEN(D362)),5))-1)</f>
        <v/>
      </c>
    </row>
    <row r="363">
      <c r="A363" t="inlineStr">
        <is>
          <t>100201</t>
        </is>
      </c>
      <c r="B363" t="inlineStr">
        <is>
          <t>圆钢</t>
        </is>
      </c>
      <c r="C363" t="inlineStr">
        <is>
          <t>600624900</t>
        </is>
      </c>
      <c r="D363" t="inlineStr">
        <is>
          <t>航空用不锈钢棒|钢棒|1Cr18Ni9Ti|GJB 2294-1995</t>
        </is>
      </c>
      <c r="E363" t="inlineStr">
        <is>
          <t xml:space="preserve">物资名称 航空用不锈钢棒;物资简称 钢棒;牌号 1Cr18Ni9Ti;直径 Φ;技术标准号 GJB 2294-1995;加工工艺 ;热处理工艺 ;特殊要求 ;规格标准号 </t>
        </is>
      </c>
      <c r="F363" t="inlineStr">
        <is>
          <t>千克</t>
        </is>
      </c>
      <c r="G363">
        <f>LEFT(D363,FIND("|",D363,1)-1)</f>
        <v/>
      </c>
      <c r="H363">
        <f>MID(D363,FIND("|",D363,FIND("|",D363,1))+1,FIND("|",D363,FIND("|",D363,1)+1)-FIND("|",D363,FIND("|",D363,1))-1)</f>
        <v/>
      </c>
      <c r="J363">
        <f>MID(D363,FIND(";",SUBSTITUTE(D363,"|",REPT(";",LEN(D363)),2))+1,FIND(";",SUBSTITUTE(D363,"|",REPT(";",LEN(D363)),3))-FIND(";",SUBSTITUTE(D363,"|",REPT(";",LEN(D363)),2))-1)</f>
        <v/>
      </c>
      <c r="M363">
        <f>MID(D363,FIND(";",SUBSTITUTE(D363,"|",REPT(";",LEN(D363)),3))+1,LEN(D363))</f>
        <v/>
      </c>
    </row>
    <row r="364">
      <c r="A364" t="inlineStr">
        <is>
          <t>100201</t>
        </is>
      </c>
      <c r="B364" t="inlineStr">
        <is>
          <t>圆钢</t>
        </is>
      </c>
      <c r="C364" t="inlineStr">
        <is>
          <t>600624800</t>
        </is>
      </c>
      <c r="D364" t="inlineStr">
        <is>
          <t>热轧航空用不锈圆钢|圆钢|1Cr18Ni9Ti|GJB 2294-1995|GB/T 702-2008</t>
        </is>
      </c>
      <c r="E364" t="inlineStr">
        <is>
          <t>物资名称 热轧航空用不锈圆钢;物资简称 圆钢;牌号 1Cr18Ni9Ti;直径 Φ;技术标准号 GJB 2294-1995;加工工艺 ;热处理工艺 ;特殊要求 ;规格标准号 GB/T 702-2008</t>
        </is>
      </c>
      <c r="F364" t="inlineStr">
        <is>
          <t>千克</t>
        </is>
      </c>
      <c r="G364">
        <f>LEFT(D364,FIND("|",D364,1)-1)</f>
        <v/>
      </c>
      <c r="H364">
        <f>MID(D364,FIND("|",D364,FIND("|",D364,1))+1,FIND("|",D364,FIND("|",D364,1)+1)-FIND("|",D364,FIND("|",D364,1))-1)</f>
        <v/>
      </c>
      <c r="J364">
        <f>MID(D364,FIND(";",SUBSTITUTE(D364,"|",REPT(";",LEN(D364)),2))+1,FIND(";",SUBSTITUTE(D364,"|",REPT(";",LEN(D364)),3))-FIND(";",SUBSTITUTE(D364,"|",REPT(";",LEN(D364)),2))-1)</f>
        <v/>
      </c>
      <c r="M364">
        <f>MID(D364,FIND(";",SUBSTITUTE(D364,"|",REPT(";",LEN(D364)),3))+1,FIND(";",SUBSTITUTE(D364,"|",REPT(";",LEN(D364)),4))-FIND(";",SUBSTITUTE(D364,"|",REPT(";",LEN(D364)),3))-1)</f>
        <v/>
      </c>
      <c r="N364">
        <f>MID(D364,FIND(";",SUBSTITUTE(D364,"|",REPT(";",LEN(D364)),4))+1,LEN(D364))</f>
        <v/>
      </c>
    </row>
    <row r="365">
      <c r="A365" t="inlineStr">
        <is>
          <t>100201</t>
        </is>
      </c>
      <c r="B365" t="inlineStr">
        <is>
          <t>圆钢</t>
        </is>
      </c>
      <c r="C365" t="inlineStr">
        <is>
          <t>600624700</t>
        </is>
      </c>
      <c r="D365" t="inlineStr">
        <is>
          <t>热轧航空用不锈圆钢|圆钢|1Cr18Ni9Ti|Φ170|GJB 2294-1995|热轧|GB/T 702-2008</t>
        </is>
      </c>
      <c r="E365" t="inlineStr">
        <is>
          <t>物资名称 热轧航空用不锈圆钢;物资简称 圆钢;牌号 1Cr18Ni9Ti;直径 Φ170;技术标准号 GJB 2294-1995;加工工艺 热轧;热处理工艺 ;特殊要求 ;规格标准号 GB/T 702-2008</t>
        </is>
      </c>
      <c r="F365" t="inlineStr">
        <is>
          <t>千克</t>
        </is>
      </c>
      <c r="G365">
        <f>LEFT(D365,FIND("|",D365,1)-1)</f>
        <v/>
      </c>
      <c r="H365">
        <f>MID(D365,FIND("|",D365,FIND("|",D365,1))+1,FIND("|",D365,FIND("|",D365,1)+1)-FIND("|",D365,FIND("|",D365,1))-1)</f>
        <v/>
      </c>
      <c r="J365">
        <f>MID(D365,FIND(";",SUBSTITUTE(D365,"|",REPT(";",LEN(D365)),2))+1,FIND(";",SUBSTITUTE(D365,"|",REPT(";",LEN(D365)),3))-FIND(";",SUBSTITUTE(D365,"|",REPT(";",LEN(D365)),2))-1)</f>
        <v/>
      </c>
      <c r="K365">
        <f>MID(D365,FIND(";",SUBSTITUTE(D365,"|",REPT(";",LEN(D365)),3))+1,FIND(";",SUBSTITUTE(D365,"|",REPT(";",LEN(D365)),4))-FIND(";",SUBSTITUTE(D365,"|",REPT(";",LEN(D365)),3))-1)</f>
        <v/>
      </c>
      <c r="M365">
        <f>MID(D365,FIND(";",SUBSTITUTE(D365,"|",REPT(";",LEN(D365)),4))+1,FIND(";",SUBSTITUTE(D365,"|",REPT(";",LEN(D365)),5))-FIND(";",SUBSTITUTE(D365,"|",REPT(";",LEN(D365)),4))-1)</f>
        <v/>
      </c>
      <c r="N365">
        <f>MID(D365,FIND(";",SUBSTITUTE(D365,"|",REPT(";",LEN(D365)),6))+1,LEN(D365))</f>
        <v/>
      </c>
      <c r="O365">
        <f>MID(D365,FIND(";",SUBSTITUTE(D365,"|",REPT(";",LEN(D365)),5))+1,FIND(";",SUBSTITUTE(D365,"|",REPT(";",LEN(D365)),6))-FIND(";",SUBSTITUTE(D365,"|",REPT(";",LEN(D365)),5))-1)</f>
        <v/>
      </c>
    </row>
    <row r="366">
      <c r="A366" t="inlineStr">
        <is>
          <t>100201</t>
        </is>
      </c>
      <c r="B366" t="inlineStr">
        <is>
          <t>圆钢</t>
        </is>
      </c>
      <c r="C366" t="inlineStr">
        <is>
          <t>600624600</t>
        </is>
      </c>
      <c r="D366" t="inlineStr">
        <is>
          <t>热轧不锈圆钢|圆钢|1Cr18Ni9Ti|GB 1220-1992|GB/T 702-2008</t>
        </is>
      </c>
      <c r="E366" t="inlineStr">
        <is>
          <t>物资名称 热轧不锈圆钢;物资简称 圆钢;牌号 1Cr18Ni9Ti;直径 Φ;技术标准号 GB 1220-1992;加工工艺 ;热处理工艺 ;特殊要求 ;规格标准号 GB/T 702-2008</t>
        </is>
      </c>
      <c r="F366" t="inlineStr">
        <is>
          <t>千克</t>
        </is>
      </c>
      <c r="G366">
        <f>LEFT(D366,FIND("|",D366,1)-1)</f>
        <v/>
      </c>
      <c r="H366">
        <f>MID(D366,FIND("|",D366,FIND("|",D366,1))+1,FIND("|",D366,FIND("|",D366,1)+1)-FIND("|",D366,FIND("|",D366,1))-1)</f>
        <v/>
      </c>
      <c r="J366">
        <f>MID(D366,FIND(";",SUBSTITUTE(D366,"|",REPT(";",LEN(D366)),2))+1,FIND(";",SUBSTITUTE(D366,"|",REPT(";",LEN(D366)),3))-FIND(";",SUBSTITUTE(D366,"|",REPT(";",LEN(D366)),2))-1)</f>
        <v/>
      </c>
      <c r="M366">
        <f>MID(D366,FIND(";",SUBSTITUTE(D366,"|",REPT(";",LEN(D366)),3))+1,FIND(";",SUBSTITUTE(D366,"|",REPT(";",LEN(D366)),4))-FIND(";",SUBSTITUTE(D366,"|",REPT(";",LEN(D366)),3))-1)</f>
        <v/>
      </c>
      <c r="N366">
        <f>MID(D366,FIND(";",SUBSTITUTE(D366,"|",REPT(";",LEN(D366)),4))+1,LEN(D366))</f>
        <v/>
      </c>
    </row>
    <row r="367">
      <c r="A367" t="inlineStr">
        <is>
          <t>100201</t>
        </is>
      </c>
      <c r="B367" t="inlineStr">
        <is>
          <t>圆钢</t>
        </is>
      </c>
      <c r="C367" t="inlineStr">
        <is>
          <t>600624500</t>
        </is>
      </c>
      <c r="D367" t="inlineStr">
        <is>
          <t>热轧不锈圆钢|圆钢|1Cr18Ni9Ti|Φ10|GB 1220-1992|热轧|GB/T 702-2008</t>
        </is>
      </c>
      <c r="E367" t="inlineStr">
        <is>
          <t>物资名称 热轧不锈圆钢;物资简称 圆钢;牌号 1Cr18Ni9Ti;直径 Φ10;技术标准号 GB 1220-1992;加工工艺 热轧;热处理工艺 ;特殊要求 ;规格标准号 GB/T 702-2008</t>
        </is>
      </c>
      <c r="F367" t="inlineStr">
        <is>
          <t>千克</t>
        </is>
      </c>
      <c r="G367">
        <f>LEFT(D367,FIND("|",D367,1)-1)</f>
        <v/>
      </c>
      <c r="H367">
        <f>MID(D367,FIND("|",D367,FIND("|",D367,1))+1,FIND("|",D367,FIND("|",D367,1)+1)-FIND("|",D367,FIND("|",D367,1))-1)</f>
        <v/>
      </c>
      <c r="J367">
        <f>MID(D367,FIND(";",SUBSTITUTE(D367,"|",REPT(";",LEN(D367)),2))+1,FIND(";",SUBSTITUTE(D367,"|",REPT(";",LEN(D367)),3))-FIND(";",SUBSTITUTE(D367,"|",REPT(";",LEN(D367)),2))-1)</f>
        <v/>
      </c>
      <c r="K367">
        <f>MID(D367,FIND(";",SUBSTITUTE(D367,"|",REPT(";",LEN(D367)),3))+1,FIND(";",SUBSTITUTE(D367,"|",REPT(";",LEN(D367)),4))-FIND(";",SUBSTITUTE(D367,"|",REPT(";",LEN(D367)),3))-1)</f>
        <v/>
      </c>
      <c r="M367">
        <f>MID(D367,FIND(";",SUBSTITUTE(D367,"|",REPT(";",LEN(D367)),4))+1,FIND(";",SUBSTITUTE(D367,"|",REPT(";",LEN(D367)),5))-FIND(";",SUBSTITUTE(D367,"|",REPT(";",LEN(D367)),4))-1)</f>
        <v/>
      </c>
      <c r="N367">
        <f>MID(D367,FIND(";",SUBSTITUTE(D367,"|",REPT(";",LEN(D367)),6))+1,LEN(D367))</f>
        <v/>
      </c>
      <c r="O367">
        <f>MID(D367,FIND(";",SUBSTITUTE(D367,"|",REPT(";",LEN(D367)),5))+1,FIND(";",SUBSTITUTE(D367,"|",REPT(";",LEN(D367)),6))-FIND(";",SUBSTITUTE(D367,"|",REPT(";",LEN(D367)),5))-1)</f>
        <v/>
      </c>
    </row>
    <row r="368">
      <c r="A368" t="inlineStr">
        <is>
          <t>100201</t>
        </is>
      </c>
      <c r="B368" t="inlineStr">
        <is>
          <t>圆钢</t>
        </is>
      </c>
      <c r="C368" t="inlineStr">
        <is>
          <t>600624400</t>
        </is>
      </c>
      <c r="D368" t="inlineStr">
        <is>
          <t>热轧不锈圆钢|圆钢|1Cr18Ni9Ti|Φ13|GB 1220-1992|热轧|GB/T 702-2008</t>
        </is>
      </c>
      <c r="E368" t="inlineStr">
        <is>
          <t>物资名称 热轧不锈圆钢;物资简称 圆钢;牌号 1Cr18Ni9Ti;直径 Φ13;技术标准号 GB 1220-1992;加工工艺 热轧;热处理工艺 ;特殊要求 ;规格标准号 GB/T 702-2008</t>
        </is>
      </c>
      <c r="F368" t="inlineStr">
        <is>
          <t>千克</t>
        </is>
      </c>
      <c r="G368">
        <f>LEFT(D368,FIND("|",D368,1)-1)</f>
        <v/>
      </c>
      <c r="H368">
        <f>MID(D368,FIND("|",D368,FIND("|",D368,1))+1,FIND("|",D368,FIND("|",D368,1)+1)-FIND("|",D368,FIND("|",D368,1))-1)</f>
        <v/>
      </c>
      <c r="J368">
        <f>MID(D368,FIND(";",SUBSTITUTE(D368,"|",REPT(";",LEN(D368)),2))+1,FIND(";",SUBSTITUTE(D368,"|",REPT(";",LEN(D368)),3))-FIND(";",SUBSTITUTE(D368,"|",REPT(";",LEN(D368)),2))-1)</f>
        <v/>
      </c>
      <c r="K368">
        <f>MID(D368,FIND(";",SUBSTITUTE(D368,"|",REPT(";",LEN(D368)),3))+1,FIND(";",SUBSTITUTE(D368,"|",REPT(";",LEN(D368)),4))-FIND(";",SUBSTITUTE(D368,"|",REPT(";",LEN(D368)),3))-1)</f>
        <v/>
      </c>
      <c r="M368">
        <f>MID(D368,FIND(";",SUBSTITUTE(D368,"|",REPT(";",LEN(D368)),4))+1,FIND(";",SUBSTITUTE(D368,"|",REPT(";",LEN(D368)),5))-FIND(";",SUBSTITUTE(D368,"|",REPT(";",LEN(D368)),4))-1)</f>
        <v/>
      </c>
      <c r="N368">
        <f>MID(D368,FIND(";",SUBSTITUTE(D368,"|",REPT(";",LEN(D368)),6))+1,LEN(D368))</f>
        <v/>
      </c>
      <c r="O368">
        <f>MID(D368,FIND(";",SUBSTITUTE(D368,"|",REPT(";",LEN(D368)),5))+1,FIND(";",SUBSTITUTE(D368,"|",REPT(";",LEN(D368)),6))-FIND(";",SUBSTITUTE(D368,"|",REPT(";",LEN(D368)),5))-1)</f>
        <v/>
      </c>
    </row>
    <row r="369">
      <c r="A369" t="inlineStr">
        <is>
          <t>100201</t>
        </is>
      </c>
      <c r="B369" t="inlineStr">
        <is>
          <t>圆钢</t>
        </is>
      </c>
      <c r="C369" t="inlineStr">
        <is>
          <t>600624300</t>
        </is>
      </c>
      <c r="D369" t="inlineStr">
        <is>
          <t>热轧不锈圆钢|圆钢|1Cr18Ni9Ti|Φ14|GB 1220-1992|热轧|GB/T 702-2008</t>
        </is>
      </c>
      <c r="E369" t="inlineStr">
        <is>
          <t>物资名称 热轧不锈圆钢;物资简称 圆钢;牌号 1Cr18Ni9Ti;直径 Φ14;技术标准号 GB 1220-1992;加工工艺 热轧;热处理工艺 ;特殊要求 ;规格标准号 GB/T 702-2008</t>
        </is>
      </c>
      <c r="F369" t="inlineStr">
        <is>
          <t>千克</t>
        </is>
      </c>
      <c r="G369">
        <f>LEFT(D369,FIND("|",D369,1)-1)</f>
        <v/>
      </c>
      <c r="H369">
        <f>MID(D369,FIND("|",D369,FIND("|",D369,1))+1,FIND("|",D369,FIND("|",D369,1)+1)-FIND("|",D369,FIND("|",D369,1))-1)</f>
        <v/>
      </c>
      <c r="J369">
        <f>MID(D369,FIND(";",SUBSTITUTE(D369,"|",REPT(";",LEN(D369)),2))+1,FIND(";",SUBSTITUTE(D369,"|",REPT(";",LEN(D369)),3))-FIND(";",SUBSTITUTE(D369,"|",REPT(";",LEN(D369)),2))-1)</f>
        <v/>
      </c>
      <c r="K369">
        <f>MID(D369,FIND(";",SUBSTITUTE(D369,"|",REPT(";",LEN(D369)),3))+1,FIND(";",SUBSTITUTE(D369,"|",REPT(";",LEN(D369)),4))-FIND(";",SUBSTITUTE(D369,"|",REPT(";",LEN(D369)),3))-1)</f>
        <v/>
      </c>
      <c r="M369">
        <f>MID(D369,FIND(";",SUBSTITUTE(D369,"|",REPT(";",LEN(D369)),4))+1,FIND(";",SUBSTITUTE(D369,"|",REPT(";",LEN(D369)),5))-FIND(";",SUBSTITUTE(D369,"|",REPT(";",LEN(D369)),4))-1)</f>
        <v/>
      </c>
      <c r="N369">
        <f>MID(D369,FIND(";",SUBSTITUTE(D369,"|",REPT(";",LEN(D369)),6))+1,LEN(D369))</f>
        <v/>
      </c>
      <c r="O369">
        <f>MID(D369,FIND(";",SUBSTITUTE(D369,"|",REPT(";",LEN(D369)),5))+1,FIND(";",SUBSTITUTE(D369,"|",REPT(";",LEN(D369)),6))-FIND(";",SUBSTITUTE(D369,"|",REPT(";",LEN(D369)),5))-1)</f>
        <v/>
      </c>
    </row>
    <row r="370">
      <c r="A370" t="inlineStr">
        <is>
          <t>100201</t>
        </is>
      </c>
      <c r="B370" t="inlineStr">
        <is>
          <t>圆钢</t>
        </is>
      </c>
      <c r="C370" t="inlineStr">
        <is>
          <t>600624200</t>
        </is>
      </c>
      <c r="D370" t="inlineStr">
        <is>
          <t>热轧不锈圆钢|圆钢|1Cr18Ni9Ti|Φ16|GB 1220-1992|热轧|GB/T 702-2008</t>
        </is>
      </c>
      <c r="E370" t="inlineStr">
        <is>
          <t>物资名称 热轧不锈圆钢;物资简称 圆钢;牌号 1Cr18Ni9Ti;直径 Φ16;技术标准号 GB 1220-1992;加工工艺 热轧;热处理工艺 ;特殊要求 ;规格标准号 GB/T 702-2008</t>
        </is>
      </c>
      <c r="F370" t="inlineStr">
        <is>
          <t>千克</t>
        </is>
      </c>
      <c r="G370">
        <f>LEFT(D370,FIND("|",D370,1)-1)</f>
        <v/>
      </c>
      <c r="H370">
        <f>MID(D370,FIND("|",D370,FIND("|",D370,1))+1,FIND("|",D370,FIND("|",D370,1)+1)-FIND("|",D370,FIND("|",D370,1))-1)</f>
        <v/>
      </c>
      <c r="J370">
        <f>MID(D370,FIND(";",SUBSTITUTE(D370,"|",REPT(";",LEN(D370)),2))+1,FIND(";",SUBSTITUTE(D370,"|",REPT(";",LEN(D370)),3))-FIND(";",SUBSTITUTE(D370,"|",REPT(";",LEN(D370)),2))-1)</f>
        <v/>
      </c>
      <c r="K370">
        <f>MID(D370,FIND(";",SUBSTITUTE(D370,"|",REPT(";",LEN(D370)),3))+1,FIND(";",SUBSTITUTE(D370,"|",REPT(";",LEN(D370)),4))-FIND(";",SUBSTITUTE(D370,"|",REPT(";",LEN(D370)),3))-1)</f>
        <v/>
      </c>
      <c r="M370">
        <f>MID(D370,FIND(";",SUBSTITUTE(D370,"|",REPT(";",LEN(D370)),4))+1,FIND(";",SUBSTITUTE(D370,"|",REPT(";",LEN(D370)),5))-FIND(";",SUBSTITUTE(D370,"|",REPT(";",LEN(D370)),4))-1)</f>
        <v/>
      </c>
      <c r="N370">
        <f>MID(D370,FIND(";",SUBSTITUTE(D370,"|",REPT(";",LEN(D370)),6))+1,LEN(D370))</f>
        <v/>
      </c>
      <c r="O370">
        <f>MID(D370,FIND(";",SUBSTITUTE(D370,"|",REPT(";",LEN(D370)),5))+1,FIND(";",SUBSTITUTE(D370,"|",REPT(";",LEN(D370)),6))-FIND(";",SUBSTITUTE(D370,"|",REPT(";",LEN(D370)),5))-1)</f>
        <v/>
      </c>
    </row>
    <row r="371">
      <c r="A371" t="inlineStr">
        <is>
          <t>100201</t>
        </is>
      </c>
      <c r="B371" t="inlineStr">
        <is>
          <t>圆钢</t>
        </is>
      </c>
      <c r="C371" t="inlineStr">
        <is>
          <t>600624100</t>
        </is>
      </c>
      <c r="D371" t="inlineStr">
        <is>
          <t>热轧不锈圆钢|圆钢|1Cr18Ni9Ti|Φ18|GB 1220-1992|热轧|GB/T 702-2008</t>
        </is>
      </c>
      <c r="E371" t="inlineStr">
        <is>
          <t>物资名称 热轧不锈圆钢;物资简称 圆钢;牌号 1Cr18Ni9Ti;直径 Φ18;技术标准号 GB 1220-1992;加工工艺 热轧;热处理工艺 ;特殊要求 ;规格标准号 GB/T 702-2008</t>
        </is>
      </c>
      <c r="F371" t="inlineStr">
        <is>
          <t>千克</t>
        </is>
      </c>
      <c r="G371">
        <f>LEFT(D371,FIND("|",D371,1)-1)</f>
        <v/>
      </c>
      <c r="H371">
        <f>MID(D371,FIND("|",D371,FIND("|",D371,1))+1,FIND("|",D371,FIND("|",D371,1)+1)-FIND("|",D371,FIND("|",D371,1))-1)</f>
        <v/>
      </c>
      <c r="J371">
        <f>MID(D371,FIND(";",SUBSTITUTE(D371,"|",REPT(";",LEN(D371)),2))+1,FIND(";",SUBSTITUTE(D371,"|",REPT(";",LEN(D371)),3))-FIND(";",SUBSTITUTE(D371,"|",REPT(";",LEN(D371)),2))-1)</f>
        <v/>
      </c>
      <c r="K371">
        <f>MID(D371,FIND(";",SUBSTITUTE(D371,"|",REPT(";",LEN(D371)),3))+1,FIND(";",SUBSTITUTE(D371,"|",REPT(";",LEN(D371)),4))-FIND(";",SUBSTITUTE(D371,"|",REPT(";",LEN(D371)),3))-1)</f>
        <v/>
      </c>
      <c r="M371">
        <f>MID(D371,FIND(";",SUBSTITUTE(D371,"|",REPT(";",LEN(D371)),4))+1,FIND(";",SUBSTITUTE(D371,"|",REPT(";",LEN(D371)),5))-FIND(";",SUBSTITUTE(D371,"|",REPT(";",LEN(D371)),4))-1)</f>
        <v/>
      </c>
      <c r="N371">
        <f>MID(D371,FIND(";",SUBSTITUTE(D371,"|",REPT(";",LEN(D371)),6))+1,LEN(D371))</f>
        <v/>
      </c>
      <c r="O371">
        <f>MID(D371,FIND(";",SUBSTITUTE(D371,"|",REPT(";",LEN(D371)),5))+1,FIND(";",SUBSTITUTE(D371,"|",REPT(";",LEN(D371)),6))-FIND(";",SUBSTITUTE(D371,"|",REPT(";",LEN(D371)),5))-1)</f>
        <v/>
      </c>
    </row>
    <row r="372">
      <c r="A372" t="inlineStr">
        <is>
          <t>100201</t>
        </is>
      </c>
      <c r="B372" t="inlineStr">
        <is>
          <t>圆钢</t>
        </is>
      </c>
      <c r="C372" t="inlineStr">
        <is>
          <t>600624000</t>
        </is>
      </c>
      <c r="D372" t="inlineStr">
        <is>
          <t>热轧不锈圆钢|圆钢|1Cr18Ni9Ti|Φ20|GB 1220-1992|热轧|GB/T 702-2008</t>
        </is>
      </c>
      <c r="E372" t="inlineStr">
        <is>
          <t>物资名称 热轧不锈圆钢;物资简称 圆钢;牌号 1Cr18Ni9Ti;直径 Φ20;技术标准号 GB 1220-1992;加工工艺 热轧;热处理工艺 ;特殊要求 ;规格标准号 GB/T 702-2008</t>
        </is>
      </c>
      <c r="F372" t="inlineStr">
        <is>
          <t>千克</t>
        </is>
      </c>
      <c r="G372">
        <f>LEFT(D372,FIND("|",D372,1)-1)</f>
        <v/>
      </c>
      <c r="H372">
        <f>MID(D372,FIND("|",D372,FIND("|",D372,1))+1,FIND("|",D372,FIND("|",D372,1)+1)-FIND("|",D372,FIND("|",D372,1))-1)</f>
        <v/>
      </c>
      <c r="J372">
        <f>MID(D372,FIND(";",SUBSTITUTE(D372,"|",REPT(";",LEN(D372)),2))+1,FIND(";",SUBSTITUTE(D372,"|",REPT(";",LEN(D372)),3))-FIND(";",SUBSTITUTE(D372,"|",REPT(";",LEN(D372)),2))-1)</f>
        <v/>
      </c>
      <c r="K372">
        <f>MID(D372,FIND(";",SUBSTITUTE(D372,"|",REPT(";",LEN(D372)),3))+1,FIND(";",SUBSTITUTE(D372,"|",REPT(";",LEN(D372)),4))-FIND(";",SUBSTITUTE(D372,"|",REPT(";",LEN(D372)),3))-1)</f>
        <v/>
      </c>
      <c r="M372">
        <f>MID(D372,FIND(";",SUBSTITUTE(D372,"|",REPT(";",LEN(D372)),4))+1,FIND(";",SUBSTITUTE(D372,"|",REPT(";",LEN(D372)),5))-FIND(";",SUBSTITUTE(D372,"|",REPT(";",LEN(D372)),4))-1)</f>
        <v/>
      </c>
      <c r="N372">
        <f>MID(D372,FIND(";",SUBSTITUTE(D372,"|",REPT(";",LEN(D372)),6))+1,LEN(D372))</f>
        <v/>
      </c>
      <c r="O372">
        <f>MID(D372,FIND(";",SUBSTITUTE(D372,"|",REPT(";",LEN(D372)),5))+1,FIND(";",SUBSTITUTE(D372,"|",REPT(";",LEN(D372)),6))-FIND(";",SUBSTITUTE(D372,"|",REPT(";",LEN(D372)),5))-1)</f>
        <v/>
      </c>
    </row>
    <row r="373">
      <c r="A373" t="inlineStr">
        <is>
          <t>100201</t>
        </is>
      </c>
      <c r="B373" t="inlineStr">
        <is>
          <t>圆钢</t>
        </is>
      </c>
      <c r="C373" t="inlineStr">
        <is>
          <t>600623900</t>
        </is>
      </c>
      <c r="D373" t="inlineStr">
        <is>
          <t>热轧不锈圆钢|圆钢|1Cr18Ni9Ti|Φ25|GB 1220-1992|热轧|GB/T 702-2008</t>
        </is>
      </c>
      <c r="E373" t="inlineStr">
        <is>
          <t>物资名称 热轧不锈圆钢;物资简称 圆钢;牌号 1Cr18Ni9Ti;直径 Φ25;技术标准号 GB 1220-1992;加工工艺 热轧;热处理工艺 ;特殊要求 ;规格标准号 GB/T 702-2008</t>
        </is>
      </c>
      <c r="F373" t="inlineStr">
        <is>
          <t>千克</t>
        </is>
      </c>
      <c r="G373">
        <f>LEFT(D373,FIND("|",D373,1)-1)</f>
        <v/>
      </c>
      <c r="H373">
        <f>MID(D373,FIND("|",D373,FIND("|",D373,1))+1,FIND("|",D373,FIND("|",D373,1)+1)-FIND("|",D373,FIND("|",D373,1))-1)</f>
        <v/>
      </c>
      <c r="J373">
        <f>MID(D373,FIND(";",SUBSTITUTE(D373,"|",REPT(";",LEN(D373)),2))+1,FIND(";",SUBSTITUTE(D373,"|",REPT(";",LEN(D373)),3))-FIND(";",SUBSTITUTE(D373,"|",REPT(";",LEN(D373)),2))-1)</f>
        <v/>
      </c>
      <c r="K373">
        <f>MID(D373,FIND(";",SUBSTITUTE(D373,"|",REPT(";",LEN(D373)),3))+1,FIND(";",SUBSTITUTE(D373,"|",REPT(";",LEN(D373)),4))-FIND(";",SUBSTITUTE(D373,"|",REPT(";",LEN(D373)),3))-1)</f>
        <v/>
      </c>
      <c r="M373">
        <f>MID(D373,FIND(";",SUBSTITUTE(D373,"|",REPT(";",LEN(D373)),4))+1,FIND(";",SUBSTITUTE(D373,"|",REPT(";",LEN(D373)),5))-FIND(";",SUBSTITUTE(D373,"|",REPT(";",LEN(D373)),4))-1)</f>
        <v/>
      </c>
      <c r="N373">
        <f>MID(D373,FIND(";",SUBSTITUTE(D373,"|",REPT(";",LEN(D373)),6))+1,LEN(D373))</f>
        <v/>
      </c>
      <c r="O373">
        <f>MID(D373,FIND(";",SUBSTITUTE(D373,"|",REPT(";",LEN(D373)),5))+1,FIND(";",SUBSTITUTE(D373,"|",REPT(";",LEN(D373)),6))-FIND(";",SUBSTITUTE(D373,"|",REPT(";",LEN(D373)),5))-1)</f>
        <v/>
      </c>
    </row>
    <row r="374">
      <c r="A374" t="inlineStr">
        <is>
          <t>100201</t>
        </is>
      </c>
      <c r="B374" t="inlineStr">
        <is>
          <t>圆钢</t>
        </is>
      </c>
      <c r="C374" t="inlineStr">
        <is>
          <t>600623800</t>
        </is>
      </c>
      <c r="D374" t="inlineStr">
        <is>
          <t>热轧不锈圆钢|圆钢|1Cr18Ni9Ti|Φ28|GB 1220-1992|热轧|GB/T 702-2008</t>
        </is>
      </c>
      <c r="E374" t="inlineStr">
        <is>
          <t>物资名称 热轧不锈圆钢;物资简称 圆钢;牌号 1Cr18Ni9Ti;直径 Φ28;技术标准号 GB 1220-1992;加工工艺 热轧;热处理工艺 ;特殊要求 ;规格标准号 GB/T 702-2008</t>
        </is>
      </c>
      <c r="F374" t="inlineStr">
        <is>
          <t>千克</t>
        </is>
      </c>
      <c r="G374">
        <f>LEFT(D374,FIND("|",D374,1)-1)</f>
        <v/>
      </c>
      <c r="H374">
        <f>MID(D374,FIND("|",D374,FIND("|",D374,1))+1,FIND("|",D374,FIND("|",D374,1)+1)-FIND("|",D374,FIND("|",D374,1))-1)</f>
        <v/>
      </c>
      <c r="J374">
        <f>MID(D374,FIND(";",SUBSTITUTE(D374,"|",REPT(";",LEN(D374)),2))+1,FIND(";",SUBSTITUTE(D374,"|",REPT(";",LEN(D374)),3))-FIND(";",SUBSTITUTE(D374,"|",REPT(";",LEN(D374)),2))-1)</f>
        <v/>
      </c>
      <c r="K374">
        <f>MID(D374,FIND(";",SUBSTITUTE(D374,"|",REPT(";",LEN(D374)),3))+1,FIND(";",SUBSTITUTE(D374,"|",REPT(";",LEN(D374)),4))-FIND(";",SUBSTITUTE(D374,"|",REPT(";",LEN(D374)),3))-1)</f>
        <v/>
      </c>
      <c r="M374">
        <f>MID(D374,FIND(";",SUBSTITUTE(D374,"|",REPT(";",LEN(D374)),4))+1,FIND(";",SUBSTITUTE(D374,"|",REPT(";",LEN(D374)),5))-FIND(";",SUBSTITUTE(D374,"|",REPT(";",LEN(D374)),4))-1)</f>
        <v/>
      </c>
      <c r="N374">
        <f>MID(D374,FIND(";",SUBSTITUTE(D374,"|",REPT(";",LEN(D374)),6))+1,LEN(D374))</f>
        <v/>
      </c>
      <c r="O374">
        <f>MID(D374,FIND(";",SUBSTITUTE(D374,"|",REPT(";",LEN(D374)),5))+1,FIND(";",SUBSTITUTE(D374,"|",REPT(";",LEN(D374)),6))-FIND(";",SUBSTITUTE(D374,"|",REPT(";",LEN(D374)),5))-1)</f>
        <v/>
      </c>
    </row>
    <row r="375">
      <c r="A375" t="inlineStr">
        <is>
          <t>100201</t>
        </is>
      </c>
      <c r="B375" t="inlineStr">
        <is>
          <t>圆钢</t>
        </is>
      </c>
      <c r="C375" t="inlineStr">
        <is>
          <t>600623700</t>
        </is>
      </c>
      <c r="D375" t="inlineStr">
        <is>
          <t>热轧不锈圆钢|圆钢|1Cr18Ni9Ti|Φ30|GB 1220-1992|热轧|GB/T 702-2008</t>
        </is>
      </c>
      <c r="E375" t="inlineStr">
        <is>
          <t>物资名称 热轧不锈圆钢;物资简称 圆钢;牌号 1Cr18Ni9Ti;直径 Φ30;技术标准号 GB 1220-1992;加工工艺 热轧;热处理工艺 ;特殊要求 ;规格标准号 GB/T 702-2008</t>
        </is>
      </c>
      <c r="F375" t="inlineStr">
        <is>
          <t>千克</t>
        </is>
      </c>
      <c r="G375">
        <f>LEFT(D375,FIND("|",D375,1)-1)</f>
        <v/>
      </c>
      <c r="H375">
        <f>MID(D375,FIND("|",D375,FIND("|",D375,1))+1,FIND("|",D375,FIND("|",D375,1)+1)-FIND("|",D375,FIND("|",D375,1))-1)</f>
        <v/>
      </c>
      <c r="J375">
        <f>MID(D375,FIND(";",SUBSTITUTE(D375,"|",REPT(";",LEN(D375)),2))+1,FIND(";",SUBSTITUTE(D375,"|",REPT(";",LEN(D375)),3))-FIND(";",SUBSTITUTE(D375,"|",REPT(";",LEN(D375)),2))-1)</f>
        <v/>
      </c>
      <c r="K375">
        <f>MID(D375,FIND(";",SUBSTITUTE(D375,"|",REPT(";",LEN(D375)),3))+1,FIND(";",SUBSTITUTE(D375,"|",REPT(";",LEN(D375)),4))-FIND(";",SUBSTITUTE(D375,"|",REPT(";",LEN(D375)),3))-1)</f>
        <v/>
      </c>
      <c r="M375">
        <f>MID(D375,FIND(";",SUBSTITUTE(D375,"|",REPT(";",LEN(D375)),4))+1,FIND(";",SUBSTITUTE(D375,"|",REPT(";",LEN(D375)),5))-FIND(";",SUBSTITUTE(D375,"|",REPT(";",LEN(D375)),4))-1)</f>
        <v/>
      </c>
      <c r="N375">
        <f>MID(D375,FIND(";",SUBSTITUTE(D375,"|",REPT(";",LEN(D375)),6))+1,LEN(D375))</f>
        <v/>
      </c>
      <c r="O375">
        <f>MID(D375,FIND(";",SUBSTITUTE(D375,"|",REPT(";",LEN(D375)),5))+1,FIND(";",SUBSTITUTE(D375,"|",REPT(";",LEN(D375)),6))-FIND(";",SUBSTITUTE(D375,"|",REPT(";",LEN(D375)),5))-1)</f>
        <v/>
      </c>
    </row>
    <row r="376">
      <c r="A376" t="inlineStr">
        <is>
          <t>100201</t>
        </is>
      </c>
      <c r="B376" t="inlineStr">
        <is>
          <t>圆钢</t>
        </is>
      </c>
      <c r="C376" t="inlineStr">
        <is>
          <t>600623600</t>
        </is>
      </c>
      <c r="D376" t="inlineStr">
        <is>
          <t>热轧不锈圆钢|圆钢|1Cr18Ni9Ti|Φ35|GB 1220-1992|热轧|GB/T 702-2008</t>
        </is>
      </c>
      <c r="E376" t="inlineStr">
        <is>
          <t>物资名称 热轧不锈圆钢;物资简称 圆钢;牌号 1Cr18Ni9Ti;直径 Φ35;技术标准号 GB 1220-1992;加工工艺 热轧;热处理工艺 ;特殊要求 ;规格标准号 GB/T 702-2008</t>
        </is>
      </c>
      <c r="F376" t="inlineStr">
        <is>
          <t>千克</t>
        </is>
      </c>
      <c r="G376">
        <f>LEFT(D376,FIND("|",D376,1)-1)</f>
        <v/>
      </c>
      <c r="H376">
        <f>MID(D376,FIND("|",D376,FIND("|",D376,1))+1,FIND("|",D376,FIND("|",D376,1)+1)-FIND("|",D376,FIND("|",D376,1))-1)</f>
        <v/>
      </c>
      <c r="J376">
        <f>MID(D376,FIND(";",SUBSTITUTE(D376,"|",REPT(";",LEN(D376)),2))+1,FIND(";",SUBSTITUTE(D376,"|",REPT(";",LEN(D376)),3))-FIND(";",SUBSTITUTE(D376,"|",REPT(";",LEN(D376)),2))-1)</f>
        <v/>
      </c>
      <c r="K376">
        <f>MID(D376,FIND(";",SUBSTITUTE(D376,"|",REPT(";",LEN(D376)),3))+1,FIND(";",SUBSTITUTE(D376,"|",REPT(";",LEN(D376)),4))-FIND(";",SUBSTITUTE(D376,"|",REPT(";",LEN(D376)),3))-1)</f>
        <v/>
      </c>
      <c r="M376">
        <f>MID(D376,FIND(";",SUBSTITUTE(D376,"|",REPT(";",LEN(D376)),4))+1,FIND(";",SUBSTITUTE(D376,"|",REPT(";",LEN(D376)),5))-FIND(";",SUBSTITUTE(D376,"|",REPT(";",LEN(D376)),4))-1)</f>
        <v/>
      </c>
      <c r="N376">
        <f>MID(D376,FIND(";",SUBSTITUTE(D376,"|",REPT(";",LEN(D376)),6))+1,LEN(D376))</f>
        <v/>
      </c>
      <c r="O376">
        <f>MID(D376,FIND(";",SUBSTITUTE(D376,"|",REPT(";",LEN(D376)),5))+1,FIND(";",SUBSTITUTE(D376,"|",REPT(";",LEN(D376)),6))-FIND(";",SUBSTITUTE(D376,"|",REPT(";",LEN(D376)),5))-1)</f>
        <v/>
      </c>
    </row>
    <row r="377">
      <c r="A377" t="inlineStr">
        <is>
          <t>100201</t>
        </is>
      </c>
      <c r="B377" t="inlineStr">
        <is>
          <t>圆钢</t>
        </is>
      </c>
      <c r="C377" t="inlineStr">
        <is>
          <t>600623500</t>
        </is>
      </c>
      <c r="D377" t="inlineStr">
        <is>
          <t>热轧不锈圆钢|圆钢|1Cr18Ni9Ti|Φ38|GB 1220-1992|热轧|GB/T 702-2008</t>
        </is>
      </c>
      <c r="E377" t="inlineStr">
        <is>
          <t>物资名称 热轧不锈圆钢;物资简称 圆钢;牌号 1Cr18Ni9Ti;直径 Φ38;技术标准号 GB 1220-1992;加工工艺 热轧;热处理工艺 ;特殊要求 ;规格标准号 GB/T 702-2008</t>
        </is>
      </c>
      <c r="F377" t="inlineStr">
        <is>
          <t>千克</t>
        </is>
      </c>
      <c r="G377">
        <f>LEFT(D377,FIND("|",D377,1)-1)</f>
        <v/>
      </c>
      <c r="H377">
        <f>MID(D377,FIND("|",D377,FIND("|",D377,1))+1,FIND("|",D377,FIND("|",D377,1)+1)-FIND("|",D377,FIND("|",D377,1))-1)</f>
        <v/>
      </c>
      <c r="J377">
        <f>MID(D377,FIND(";",SUBSTITUTE(D377,"|",REPT(";",LEN(D377)),2))+1,FIND(";",SUBSTITUTE(D377,"|",REPT(";",LEN(D377)),3))-FIND(";",SUBSTITUTE(D377,"|",REPT(";",LEN(D377)),2))-1)</f>
        <v/>
      </c>
      <c r="K377">
        <f>MID(D377,FIND(";",SUBSTITUTE(D377,"|",REPT(";",LEN(D377)),3))+1,FIND(";",SUBSTITUTE(D377,"|",REPT(";",LEN(D377)),4))-FIND(";",SUBSTITUTE(D377,"|",REPT(";",LEN(D377)),3))-1)</f>
        <v/>
      </c>
      <c r="M377">
        <f>MID(D377,FIND(";",SUBSTITUTE(D377,"|",REPT(";",LEN(D377)),4))+1,FIND(";",SUBSTITUTE(D377,"|",REPT(";",LEN(D377)),5))-FIND(";",SUBSTITUTE(D377,"|",REPT(";",LEN(D377)),4))-1)</f>
        <v/>
      </c>
      <c r="N377">
        <f>MID(D377,FIND(";",SUBSTITUTE(D377,"|",REPT(";",LEN(D377)),6))+1,LEN(D377))</f>
        <v/>
      </c>
      <c r="O377">
        <f>MID(D377,FIND(";",SUBSTITUTE(D377,"|",REPT(";",LEN(D377)),5))+1,FIND(";",SUBSTITUTE(D377,"|",REPT(";",LEN(D377)),6))-FIND(";",SUBSTITUTE(D377,"|",REPT(";",LEN(D377)),5))-1)</f>
        <v/>
      </c>
    </row>
    <row r="378">
      <c r="A378" t="inlineStr">
        <is>
          <t>100201</t>
        </is>
      </c>
      <c r="B378" t="inlineStr">
        <is>
          <t>圆钢</t>
        </is>
      </c>
      <c r="C378" t="inlineStr">
        <is>
          <t>600623400</t>
        </is>
      </c>
      <c r="D378" t="inlineStr">
        <is>
          <t>热轧不锈圆钢|圆钢|1Cr18Ni9Ti|Φ40|GB 1220-1992|热轧|GB/T 702-2008</t>
        </is>
      </c>
      <c r="E378" t="inlineStr">
        <is>
          <t>物资名称 热轧不锈圆钢;物资简称 圆钢;牌号 1Cr18Ni9Ti;直径 Φ40;技术标准号 GB 1220-1992;加工工艺 热轧;热处理工艺 ;特殊要求 ;规格标准号 GB/T 702-2008</t>
        </is>
      </c>
      <c r="F378" t="inlineStr">
        <is>
          <t>千克</t>
        </is>
      </c>
      <c r="G378">
        <f>LEFT(D378,FIND("|",D378,1)-1)</f>
        <v/>
      </c>
      <c r="H378">
        <f>MID(D378,FIND("|",D378,FIND("|",D378,1))+1,FIND("|",D378,FIND("|",D378,1)+1)-FIND("|",D378,FIND("|",D378,1))-1)</f>
        <v/>
      </c>
      <c r="J378">
        <f>MID(D378,FIND(";",SUBSTITUTE(D378,"|",REPT(";",LEN(D378)),2))+1,FIND(";",SUBSTITUTE(D378,"|",REPT(";",LEN(D378)),3))-FIND(";",SUBSTITUTE(D378,"|",REPT(";",LEN(D378)),2))-1)</f>
        <v/>
      </c>
      <c r="K378">
        <f>MID(D378,FIND(";",SUBSTITUTE(D378,"|",REPT(";",LEN(D378)),3))+1,FIND(";",SUBSTITUTE(D378,"|",REPT(";",LEN(D378)),4))-FIND(";",SUBSTITUTE(D378,"|",REPT(";",LEN(D378)),3))-1)</f>
        <v/>
      </c>
      <c r="M378">
        <f>MID(D378,FIND(";",SUBSTITUTE(D378,"|",REPT(";",LEN(D378)),4))+1,FIND(";",SUBSTITUTE(D378,"|",REPT(";",LEN(D378)),5))-FIND(";",SUBSTITUTE(D378,"|",REPT(";",LEN(D378)),4))-1)</f>
        <v/>
      </c>
      <c r="N378">
        <f>MID(D378,FIND(";",SUBSTITUTE(D378,"|",REPT(";",LEN(D378)),6))+1,LEN(D378))</f>
        <v/>
      </c>
      <c r="O378">
        <f>MID(D378,FIND(";",SUBSTITUTE(D378,"|",REPT(";",LEN(D378)),5))+1,FIND(";",SUBSTITUTE(D378,"|",REPT(";",LEN(D378)),6))-FIND(";",SUBSTITUTE(D378,"|",REPT(";",LEN(D378)),5))-1)</f>
        <v/>
      </c>
    </row>
    <row r="379">
      <c r="A379" t="inlineStr">
        <is>
          <t>100201</t>
        </is>
      </c>
      <c r="B379" t="inlineStr">
        <is>
          <t>圆钢</t>
        </is>
      </c>
      <c r="C379" t="inlineStr">
        <is>
          <t>600623300</t>
        </is>
      </c>
      <c r="D379" t="inlineStr">
        <is>
          <t>热轧不锈圆钢|圆钢|1Cr18Ni9Ti|Φ50|GB 1220-1992|热轧|GB/T 702-2008</t>
        </is>
      </c>
      <c r="E379" t="inlineStr">
        <is>
          <t>物资名称 热轧不锈圆钢;物资简称 圆钢;牌号 1Cr18Ni9Ti;直径 Φ50;技术标准号 GB 1220-1992;加工工艺 热轧;热处理工艺 ;特殊要求 ;规格标准号 GB/T 702-2008</t>
        </is>
      </c>
      <c r="F379" t="inlineStr">
        <is>
          <t>千克</t>
        </is>
      </c>
      <c r="G379">
        <f>LEFT(D379,FIND("|",D379,1)-1)</f>
        <v/>
      </c>
      <c r="H379">
        <f>MID(D379,FIND("|",D379,FIND("|",D379,1))+1,FIND("|",D379,FIND("|",D379,1)+1)-FIND("|",D379,FIND("|",D379,1))-1)</f>
        <v/>
      </c>
      <c r="J379">
        <f>MID(D379,FIND(";",SUBSTITUTE(D379,"|",REPT(";",LEN(D379)),2))+1,FIND(";",SUBSTITUTE(D379,"|",REPT(";",LEN(D379)),3))-FIND(";",SUBSTITUTE(D379,"|",REPT(";",LEN(D379)),2))-1)</f>
        <v/>
      </c>
      <c r="K379">
        <f>MID(D379,FIND(";",SUBSTITUTE(D379,"|",REPT(";",LEN(D379)),3))+1,FIND(";",SUBSTITUTE(D379,"|",REPT(";",LEN(D379)),4))-FIND(";",SUBSTITUTE(D379,"|",REPT(";",LEN(D379)),3))-1)</f>
        <v/>
      </c>
      <c r="M379">
        <f>MID(D379,FIND(";",SUBSTITUTE(D379,"|",REPT(";",LEN(D379)),4))+1,FIND(";",SUBSTITUTE(D379,"|",REPT(";",LEN(D379)),5))-FIND(";",SUBSTITUTE(D379,"|",REPT(";",LEN(D379)),4))-1)</f>
        <v/>
      </c>
      <c r="N379">
        <f>MID(D379,FIND(";",SUBSTITUTE(D379,"|",REPT(";",LEN(D379)),6))+1,LEN(D379))</f>
        <v/>
      </c>
      <c r="O379">
        <f>MID(D379,FIND(";",SUBSTITUTE(D379,"|",REPT(";",LEN(D379)),5))+1,FIND(";",SUBSTITUTE(D379,"|",REPT(";",LEN(D379)),6))-FIND(";",SUBSTITUTE(D379,"|",REPT(";",LEN(D379)),5))-1)</f>
        <v/>
      </c>
    </row>
    <row r="380">
      <c r="A380" t="inlineStr">
        <is>
          <t>100201</t>
        </is>
      </c>
      <c r="B380" t="inlineStr">
        <is>
          <t>圆钢</t>
        </is>
      </c>
      <c r="C380" t="inlineStr">
        <is>
          <t>600623200</t>
        </is>
      </c>
      <c r="D380" t="inlineStr">
        <is>
          <t>热轧不锈圆钢|圆钢|1Cr18Ni9Ti|Φ55|GB 1220-1992|热轧|GB/T 702-2008</t>
        </is>
      </c>
      <c r="E380" t="inlineStr">
        <is>
          <t>物资名称 热轧不锈圆钢;物资简称 圆钢;牌号 1Cr18Ni9Ti;直径 Φ55;技术标准号 GB 1220-1992;加工工艺 热轧;热处理工艺 ;特殊要求 ;规格标准号 GB/T 702-2008</t>
        </is>
      </c>
      <c r="F380" t="inlineStr">
        <is>
          <t>千克</t>
        </is>
      </c>
      <c r="G380">
        <f>LEFT(D380,FIND("|",D380,1)-1)</f>
        <v/>
      </c>
      <c r="H380">
        <f>MID(D380,FIND("|",D380,FIND("|",D380,1))+1,FIND("|",D380,FIND("|",D380,1)+1)-FIND("|",D380,FIND("|",D380,1))-1)</f>
        <v/>
      </c>
      <c r="J380">
        <f>MID(D380,FIND(";",SUBSTITUTE(D380,"|",REPT(";",LEN(D380)),2))+1,FIND(";",SUBSTITUTE(D380,"|",REPT(";",LEN(D380)),3))-FIND(";",SUBSTITUTE(D380,"|",REPT(";",LEN(D380)),2))-1)</f>
        <v/>
      </c>
      <c r="K380">
        <f>MID(D380,FIND(";",SUBSTITUTE(D380,"|",REPT(";",LEN(D380)),3))+1,FIND(";",SUBSTITUTE(D380,"|",REPT(";",LEN(D380)),4))-FIND(";",SUBSTITUTE(D380,"|",REPT(";",LEN(D380)),3))-1)</f>
        <v/>
      </c>
      <c r="M380">
        <f>MID(D380,FIND(";",SUBSTITUTE(D380,"|",REPT(";",LEN(D380)),4))+1,FIND(";",SUBSTITUTE(D380,"|",REPT(";",LEN(D380)),5))-FIND(";",SUBSTITUTE(D380,"|",REPT(";",LEN(D380)),4))-1)</f>
        <v/>
      </c>
      <c r="N380">
        <f>MID(D380,FIND(";",SUBSTITUTE(D380,"|",REPT(";",LEN(D380)),6))+1,LEN(D380))</f>
        <v/>
      </c>
      <c r="O380">
        <f>MID(D380,FIND(";",SUBSTITUTE(D380,"|",REPT(";",LEN(D380)),5))+1,FIND(";",SUBSTITUTE(D380,"|",REPT(";",LEN(D380)),6))-FIND(";",SUBSTITUTE(D380,"|",REPT(";",LEN(D380)),5))-1)</f>
        <v/>
      </c>
    </row>
    <row r="381">
      <c r="A381" t="inlineStr">
        <is>
          <t>100201</t>
        </is>
      </c>
      <c r="B381" t="inlineStr">
        <is>
          <t>圆钢</t>
        </is>
      </c>
      <c r="C381" t="inlineStr">
        <is>
          <t>600623100</t>
        </is>
      </c>
      <c r="D381" t="inlineStr">
        <is>
          <t>热轧不锈圆钢|圆钢|1Cr18Ni9Ti|Φ60|GB 1220-1992|热轧|GB/T 702-2008</t>
        </is>
      </c>
      <c r="E381" t="inlineStr">
        <is>
          <t>物资名称 热轧不锈圆钢;物资简称 圆钢;牌号 1Cr18Ni9Ti;直径 Φ60;技术标准号 GB 1220-1992;加工工艺 热轧;热处理工艺 ;特殊要求 ;规格标准号 GB/T 702-2008</t>
        </is>
      </c>
      <c r="F381" t="inlineStr">
        <is>
          <t>千克</t>
        </is>
      </c>
      <c r="G381">
        <f>LEFT(D381,FIND("|",D381,1)-1)</f>
        <v/>
      </c>
      <c r="H381">
        <f>MID(D381,FIND("|",D381,FIND("|",D381,1))+1,FIND("|",D381,FIND("|",D381,1)+1)-FIND("|",D381,FIND("|",D381,1))-1)</f>
        <v/>
      </c>
      <c r="J381">
        <f>MID(D381,FIND(";",SUBSTITUTE(D381,"|",REPT(";",LEN(D381)),2))+1,FIND(";",SUBSTITUTE(D381,"|",REPT(";",LEN(D381)),3))-FIND(";",SUBSTITUTE(D381,"|",REPT(";",LEN(D381)),2))-1)</f>
        <v/>
      </c>
      <c r="K381">
        <f>MID(D381,FIND(";",SUBSTITUTE(D381,"|",REPT(";",LEN(D381)),3))+1,FIND(";",SUBSTITUTE(D381,"|",REPT(";",LEN(D381)),4))-FIND(";",SUBSTITUTE(D381,"|",REPT(";",LEN(D381)),3))-1)</f>
        <v/>
      </c>
      <c r="M381">
        <f>MID(D381,FIND(";",SUBSTITUTE(D381,"|",REPT(";",LEN(D381)),4))+1,FIND(";",SUBSTITUTE(D381,"|",REPT(";",LEN(D381)),5))-FIND(";",SUBSTITUTE(D381,"|",REPT(";",LEN(D381)),4))-1)</f>
        <v/>
      </c>
      <c r="N381">
        <f>MID(D381,FIND(";",SUBSTITUTE(D381,"|",REPT(";",LEN(D381)),6))+1,LEN(D381))</f>
        <v/>
      </c>
      <c r="O381">
        <f>MID(D381,FIND(";",SUBSTITUTE(D381,"|",REPT(";",LEN(D381)),5))+1,FIND(";",SUBSTITUTE(D381,"|",REPT(";",LEN(D381)),6))-FIND(";",SUBSTITUTE(D381,"|",REPT(";",LEN(D381)),5))-1)</f>
        <v/>
      </c>
    </row>
    <row r="382">
      <c r="A382" t="inlineStr">
        <is>
          <t>100201</t>
        </is>
      </c>
      <c r="B382" t="inlineStr">
        <is>
          <t>圆钢</t>
        </is>
      </c>
      <c r="C382" t="inlineStr">
        <is>
          <t>600623000</t>
        </is>
      </c>
      <c r="D382" t="inlineStr">
        <is>
          <t>热轧不锈圆钢|圆钢|1Cr18Ni9Ti|Φ70|GB 1220-1992|热轧|GB/T 702-2008</t>
        </is>
      </c>
      <c r="E382" t="inlineStr">
        <is>
          <t>物资名称 热轧不锈圆钢;物资简称 圆钢;牌号 1Cr18Ni9Ti;直径 Φ70;技术标准号 GB 1220-1992;加工工艺 热轧;热处理工艺 ;特殊要求 ;规格标准号 GB/T 702-2008</t>
        </is>
      </c>
      <c r="F382" t="inlineStr">
        <is>
          <t>千克</t>
        </is>
      </c>
      <c r="G382">
        <f>LEFT(D382,FIND("|",D382,1)-1)</f>
        <v/>
      </c>
      <c r="H382">
        <f>MID(D382,FIND("|",D382,FIND("|",D382,1))+1,FIND("|",D382,FIND("|",D382,1)+1)-FIND("|",D382,FIND("|",D382,1))-1)</f>
        <v/>
      </c>
      <c r="J382">
        <f>MID(D382,FIND(";",SUBSTITUTE(D382,"|",REPT(";",LEN(D382)),2))+1,FIND(";",SUBSTITUTE(D382,"|",REPT(";",LEN(D382)),3))-FIND(";",SUBSTITUTE(D382,"|",REPT(";",LEN(D382)),2))-1)</f>
        <v/>
      </c>
      <c r="K382">
        <f>MID(D382,FIND(";",SUBSTITUTE(D382,"|",REPT(";",LEN(D382)),3))+1,FIND(";",SUBSTITUTE(D382,"|",REPT(";",LEN(D382)),4))-FIND(";",SUBSTITUTE(D382,"|",REPT(";",LEN(D382)),3))-1)</f>
        <v/>
      </c>
      <c r="M382">
        <f>MID(D382,FIND(";",SUBSTITUTE(D382,"|",REPT(";",LEN(D382)),4))+1,FIND(";",SUBSTITUTE(D382,"|",REPT(";",LEN(D382)),5))-FIND(";",SUBSTITUTE(D382,"|",REPT(";",LEN(D382)),4))-1)</f>
        <v/>
      </c>
      <c r="N382">
        <f>MID(D382,FIND(";",SUBSTITUTE(D382,"|",REPT(";",LEN(D382)),6))+1,LEN(D382))</f>
        <v/>
      </c>
      <c r="O382">
        <f>MID(D382,FIND(";",SUBSTITUTE(D382,"|",REPT(";",LEN(D382)),5))+1,FIND(";",SUBSTITUTE(D382,"|",REPT(";",LEN(D382)),6))-FIND(";",SUBSTITUTE(D382,"|",REPT(";",LEN(D382)),5))-1)</f>
        <v/>
      </c>
    </row>
    <row r="383">
      <c r="A383" t="inlineStr">
        <is>
          <t>100201</t>
        </is>
      </c>
      <c r="B383" t="inlineStr">
        <is>
          <t>圆钢</t>
        </is>
      </c>
      <c r="C383" t="inlineStr">
        <is>
          <t>600622900</t>
        </is>
      </c>
      <c r="D383" t="inlineStr">
        <is>
          <t>热轧不锈圆钢|圆钢|1Cr18Ni9Ti|Φ75|GB 1220-1992|热轧|GB/T 702-2008</t>
        </is>
      </c>
      <c r="E383" t="inlineStr">
        <is>
          <t>物资名称 热轧不锈圆钢;物资简称 圆钢;牌号 1Cr18Ni9Ti;直径 Φ75;技术标准号 GB 1220-1992;加工工艺 热轧;热处理工艺 ;特殊要求 ;规格标准号 GB/T 702-2008</t>
        </is>
      </c>
      <c r="F383" t="inlineStr">
        <is>
          <t>千克</t>
        </is>
      </c>
      <c r="G383">
        <f>LEFT(D383,FIND("|",D383,1)-1)</f>
        <v/>
      </c>
      <c r="H383">
        <f>MID(D383,FIND("|",D383,FIND("|",D383,1))+1,FIND("|",D383,FIND("|",D383,1)+1)-FIND("|",D383,FIND("|",D383,1))-1)</f>
        <v/>
      </c>
      <c r="J383">
        <f>MID(D383,FIND(";",SUBSTITUTE(D383,"|",REPT(";",LEN(D383)),2))+1,FIND(";",SUBSTITUTE(D383,"|",REPT(";",LEN(D383)),3))-FIND(";",SUBSTITUTE(D383,"|",REPT(";",LEN(D383)),2))-1)</f>
        <v/>
      </c>
      <c r="K383">
        <f>MID(D383,FIND(";",SUBSTITUTE(D383,"|",REPT(";",LEN(D383)),3))+1,FIND(";",SUBSTITUTE(D383,"|",REPT(";",LEN(D383)),4))-FIND(";",SUBSTITUTE(D383,"|",REPT(";",LEN(D383)),3))-1)</f>
        <v/>
      </c>
      <c r="M383">
        <f>MID(D383,FIND(";",SUBSTITUTE(D383,"|",REPT(";",LEN(D383)),4))+1,FIND(";",SUBSTITUTE(D383,"|",REPT(";",LEN(D383)),5))-FIND(";",SUBSTITUTE(D383,"|",REPT(";",LEN(D383)),4))-1)</f>
        <v/>
      </c>
      <c r="N383">
        <f>MID(D383,FIND(";",SUBSTITUTE(D383,"|",REPT(";",LEN(D383)),6))+1,LEN(D383))</f>
        <v/>
      </c>
      <c r="O383">
        <f>MID(D383,FIND(";",SUBSTITUTE(D383,"|",REPT(";",LEN(D383)),5))+1,FIND(";",SUBSTITUTE(D383,"|",REPT(";",LEN(D383)),6))-FIND(";",SUBSTITUTE(D383,"|",REPT(";",LEN(D383)),5))-1)</f>
        <v/>
      </c>
    </row>
    <row r="384">
      <c r="A384" t="inlineStr">
        <is>
          <t>100201</t>
        </is>
      </c>
      <c r="B384" t="inlineStr">
        <is>
          <t>圆钢</t>
        </is>
      </c>
      <c r="C384" t="inlineStr">
        <is>
          <t>600622800</t>
        </is>
      </c>
      <c r="D384" t="inlineStr">
        <is>
          <t>热轧不锈圆钢|圆钢|1Cr18Ni9Ti|Φ80|GB 1220-1992|热轧|GB/T 702-2008</t>
        </is>
      </c>
      <c r="E384" t="inlineStr">
        <is>
          <t>物资名称 热轧不锈圆钢;物资简称 圆钢;牌号 1Cr18Ni9Ti;直径 Φ80;技术标准号 GB 1220-1992;加工工艺 热轧;热处理工艺 ;特殊要求 ;规格标准号 GB/T 702-2008</t>
        </is>
      </c>
      <c r="F384" t="inlineStr">
        <is>
          <t>千克</t>
        </is>
      </c>
      <c r="G384">
        <f>LEFT(D384,FIND("|",D384,1)-1)</f>
        <v/>
      </c>
      <c r="H384">
        <f>MID(D384,FIND("|",D384,FIND("|",D384,1))+1,FIND("|",D384,FIND("|",D384,1)+1)-FIND("|",D384,FIND("|",D384,1))-1)</f>
        <v/>
      </c>
      <c r="J384">
        <f>MID(D384,FIND(";",SUBSTITUTE(D384,"|",REPT(";",LEN(D384)),2))+1,FIND(";",SUBSTITUTE(D384,"|",REPT(";",LEN(D384)),3))-FIND(";",SUBSTITUTE(D384,"|",REPT(";",LEN(D384)),2))-1)</f>
        <v/>
      </c>
      <c r="K384">
        <f>MID(D384,FIND(";",SUBSTITUTE(D384,"|",REPT(";",LEN(D384)),3))+1,FIND(";",SUBSTITUTE(D384,"|",REPT(";",LEN(D384)),4))-FIND(";",SUBSTITUTE(D384,"|",REPT(";",LEN(D384)),3))-1)</f>
        <v/>
      </c>
      <c r="M384">
        <f>MID(D384,FIND(";",SUBSTITUTE(D384,"|",REPT(";",LEN(D384)),4))+1,FIND(";",SUBSTITUTE(D384,"|",REPT(";",LEN(D384)),5))-FIND(";",SUBSTITUTE(D384,"|",REPT(";",LEN(D384)),4))-1)</f>
        <v/>
      </c>
      <c r="N384">
        <f>MID(D384,FIND(";",SUBSTITUTE(D384,"|",REPT(";",LEN(D384)),6))+1,LEN(D384))</f>
        <v/>
      </c>
      <c r="O384">
        <f>MID(D384,FIND(";",SUBSTITUTE(D384,"|",REPT(";",LEN(D384)),5))+1,FIND(";",SUBSTITUTE(D384,"|",REPT(";",LEN(D384)),6))-FIND(";",SUBSTITUTE(D384,"|",REPT(";",LEN(D384)),5))-1)</f>
        <v/>
      </c>
    </row>
    <row r="385">
      <c r="A385" t="inlineStr">
        <is>
          <t>100201</t>
        </is>
      </c>
      <c r="B385" t="inlineStr">
        <is>
          <t>圆钢</t>
        </is>
      </c>
      <c r="C385" t="inlineStr">
        <is>
          <t>600622700</t>
        </is>
      </c>
      <c r="D385" t="inlineStr">
        <is>
          <t>热轧不锈圆钢|圆钢|1Cr18Ni9Ti|Φ85|GB 1220-1992|热轧|GB/T 702-2008</t>
        </is>
      </c>
      <c r="E385" t="inlineStr">
        <is>
          <t>物资名称 热轧不锈圆钢;物资简称 圆钢;牌号 1Cr18Ni9Ti;直径 Φ85;技术标准号 GB 1220-1992;加工工艺 热轧;热处理工艺 ;特殊要求 ;规格标准号 GB/T 702-2008</t>
        </is>
      </c>
      <c r="F385" t="inlineStr">
        <is>
          <t>千克</t>
        </is>
      </c>
      <c r="G385">
        <f>LEFT(D385,FIND("|",D385,1)-1)</f>
        <v/>
      </c>
      <c r="H385">
        <f>MID(D385,FIND("|",D385,FIND("|",D385,1))+1,FIND("|",D385,FIND("|",D385,1)+1)-FIND("|",D385,FIND("|",D385,1))-1)</f>
        <v/>
      </c>
      <c r="J385">
        <f>MID(D385,FIND(";",SUBSTITUTE(D385,"|",REPT(";",LEN(D385)),2))+1,FIND(";",SUBSTITUTE(D385,"|",REPT(";",LEN(D385)),3))-FIND(";",SUBSTITUTE(D385,"|",REPT(";",LEN(D385)),2))-1)</f>
        <v/>
      </c>
      <c r="K385">
        <f>MID(D385,FIND(";",SUBSTITUTE(D385,"|",REPT(";",LEN(D385)),3))+1,FIND(";",SUBSTITUTE(D385,"|",REPT(";",LEN(D385)),4))-FIND(";",SUBSTITUTE(D385,"|",REPT(";",LEN(D385)),3))-1)</f>
        <v/>
      </c>
      <c r="M385">
        <f>MID(D385,FIND(";",SUBSTITUTE(D385,"|",REPT(";",LEN(D385)),4))+1,FIND(";",SUBSTITUTE(D385,"|",REPT(";",LEN(D385)),5))-FIND(";",SUBSTITUTE(D385,"|",REPT(";",LEN(D385)),4))-1)</f>
        <v/>
      </c>
      <c r="N385">
        <f>MID(D385,FIND(";",SUBSTITUTE(D385,"|",REPT(";",LEN(D385)),6))+1,LEN(D385))</f>
        <v/>
      </c>
      <c r="O385">
        <f>MID(D385,FIND(";",SUBSTITUTE(D385,"|",REPT(";",LEN(D385)),5))+1,FIND(";",SUBSTITUTE(D385,"|",REPT(";",LEN(D385)),6))-FIND(";",SUBSTITUTE(D385,"|",REPT(";",LEN(D385)),5))-1)</f>
        <v/>
      </c>
    </row>
    <row r="386">
      <c r="A386" t="inlineStr">
        <is>
          <t>100201</t>
        </is>
      </c>
      <c r="B386" t="inlineStr">
        <is>
          <t>圆钢</t>
        </is>
      </c>
      <c r="C386" t="inlineStr">
        <is>
          <t>600622600</t>
        </is>
      </c>
      <c r="D386" t="inlineStr">
        <is>
          <t>热轧不锈圆钢|圆钢|1Cr18Ni9Ti|Φ90|GB 1220-1992|热轧|GB/T 702-2008</t>
        </is>
      </c>
      <c r="E386" t="inlineStr">
        <is>
          <t>物资名称 热轧不锈圆钢;物资简称 圆钢;牌号 1Cr18Ni9Ti;直径 Φ90;技术标准号 GB 1220-1992;加工工艺 热轧;热处理工艺 ;特殊要求 ;规格标准号 GB/T 702-2008</t>
        </is>
      </c>
      <c r="F386" t="inlineStr">
        <is>
          <t>千克</t>
        </is>
      </c>
      <c r="G386">
        <f>LEFT(D386,FIND("|",D386,1)-1)</f>
        <v/>
      </c>
      <c r="H386">
        <f>MID(D386,FIND("|",D386,FIND("|",D386,1))+1,FIND("|",D386,FIND("|",D386,1)+1)-FIND("|",D386,FIND("|",D386,1))-1)</f>
        <v/>
      </c>
      <c r="J386">
        <f>MID(D386,FIND(";",SUBSTITUTE(D386,"|",REPT(";",LEN(D386)),2))+1,FIND(";",SUBSTITUTE(D386,"|",REPT(";",LEN(D386)),3))-FIND(";",SUBSTITUTE(D386,"|",REPT(";",LEN(D386)),2))-1)</f>
        <v/>
      </c>
      <c r="K386">
        <f>MID(D386,FIND(";",SUBSTITUTE(D386,"|",REPT(";",LEN(D386)),3))+1,FIND(";",SUBSTITUTE(D386,"|",REPT(";",LEN(D386)),4))-FIND(";",SUBSTITUTE(D386,"|",REPT(";",LEN(D386)),3))-1)</f>
        <v/>
      </c>
      <c r="M386">
        <f>MID(D386,FIND(";",SUBSTITUTE(D386,"|",REPT(";",LEN(D386)),4))+1,FIND(";",SUBSTITUTE(D386,"|",REPT(";",LEN(D386)),5))-FIND(";",SUBSTITUTE(D386,"|",REPT(";",LEN(D386)),4))-1)</f>
        <v/>
      </c>
      <c r="N386">
        <f>MID(D386,FIND(";",SUBSTITUTE(D386,"|",REPT(";",LEN(D386)),6))+1,LEN(D386))</f>
        <v/>
      </c>
      <c r="O386">
        <f>MID(D386,FIND(";",SUBSTITUTE(D386,"|",REPT(";",LEN(D386)),5))+1,FIND(";",SUBSTITUTE(D386,"|",REPT(";",LEN(D386)),6))-FIND(";",SUBSTITUTE(D386,"|",REPT(";",LEN(D386)),5))-1)</f>
        <v/>
      </c>
    </row>
    <row r="387">
      <c r="A387" t="inlineStr">
        <is>
          <t>100201</t>
        </is>
      </c>
      <c r="B387" t="inlineStr">
        <is>
          <t>圆钢</t>
        </is>
      </c>
      <c r="C387" t="inlineStr">
        <is>
          <t>600622500</t>
        </is>
      </c>
      <c r="D387" t="inlineStr">
        <is>
          <t>热轧不锈圆钢|圆钢|1Cr18Ni9Ti|Φ100|GB 1220-1992|热轧|GB/T 702-2008</t>
        </is>
      </c>
      <c r="E387" t="inlineStr">
        <is>
          <t>物资名称 热轧不锈圆钢;物资简称 圆钢;牌号 1Cr18Ni9Ti;直径 Φ100;技术标准号 GB 1220-1992;加工工艺 热轧;热处理工艺 ;特殊要求 ;规格标准号 GB/T 702-2008</t>
        </is>
      </c>
      <c r="F387" t="inlineStr">
        <is>
          <t>千克</t>
        </is>
      </c>
      <c r="G387">
        <f>LEFT(D387,FIND("|",D387,1)-1)</f>
        <v/>
      </c>
      <c r="H387">
        <f>MID(D387,FIND("|",D387,FIND("|",D387,1))+1,FIND("|",D387,FIND("|",D387,1)+1)-FIND("|",D387,FIND("|",D387,1))-1)</f>
        <v/>
      </c>
      <c r="J387">
        <f>MID(D387,FIND(";",SUBSTITUTE(D387,"|",REPT(";",LEN(D387)),2))+1,FIND(";",SUBSTITUTE(D387,"|",REPT(";",LEN(D387)),3))-FIND(";",SUBSTITUTE(D387,"|",REPT(";",LEN(D387)),2))-1)</f>
        <v/>
      </c>
      <c r="K387">
        <f>MID(D387,FIND(";",SUBSTITUTE(D387,"|",REPT(";",LEN(D387)),3))+1,FIND(";",SUBSTITUTE(D387,"|",REPT(";",LEN(D387)),4))-FIND(";",SUBSTITUTE(D387,"|",REPT(";",LEN(D387)),3))-1)</f>
        <v/>
      </c>
      <c r="M387">
        <f>MID(D387,FIND(";",SUBSTITUTE(D387,"|",REPT(";",LEN(D387)),4))+1,FIND(";",SUBSTITUTE(D387,"|",REPT(";",LEN(D387)),5))-FIND(";",SUBSTITUTE(D387,"|",REPT(";",LEN(D387)),4))-1)</f>
        <v/>
      </c>
      <c r="N387">
        <f>MID(D387,FIND(";",SUBSTITUTE(D387,"|",REPT(";",LEN(D387)),6))+1,LEN(D387))</f>
        <v/>
      </c>
      <c r="O387">
        <f>MID(D387,FIND(";",SUBSTITUTE(D387,"|",REPT(";",LEN(D387)),5))+1,FIND(";",SUBSTITUTE(D387,"|",REPT(";",LEN(D387)),6))-FIND(";",SUBSTITUTE(D387,"|",REPT(";",LEN(D387)),5))-1)</f>
        <v/>
      </c>
    </row>
    <row r="388">
      <c r="A388" t="inlineStr">
        <is>
          <t>100201</t>
        </is>
      </c>
      <c r="B388" t="inlineStr">
        <is>
          <t>圆钢</t>
        </is>
      </c>
      <c r="C388" t="inlineStr">
        <is>
          <t>600622400</t>
        </is>
      </c>
      <c r="D388" t="inlineStr">
        <is>
          <t>热轧不锈圆钢|圆钢|1Cr18Ni9Ti|Φ130|GB 1220-1992|热轧|GB/T 702-2008</t>
        </is>
      </c>
      <c r="E388" t="inlineStr">
        <is>
          <t>物资名称 热轧不锈圆钢;物资简称 圆钢;牌号 1Cr18Ni9Ti;直径 Φ130;技术标准号 GB 1220-1992;加工工艺 热轧;热处理工艺 ;特殊要求 ;规格标准号 GB/T 702-2008</t>
        </is>
      </c>
      <c r="F388" t="inlineStr">
        <is>
          <t>千克</t>
        </is>
      </c>
      <c r="G388">
        <f>LEFT(D388,FIND("|",D388,1)-1)</f>
        <v/>
      </c>
      <c r="H388">
        <f>MID(D388,FIND("|",D388,FIND("|",D388,1))+1,FIND("|",D388,FIND("|",D388,1)+1)-FIND("|",D388,FIND("|",D388,1))-1)</f>
        <v/>
      </c>
      <c r="J388">
        <f>MID(D388,FIND(";",SUBSTITUTE(D388,"|",REPT(";",LEN(D388)),2))+1,FIND(";",SUBSTITUTE(D388,"|",REPT(";",LEN(D388)),3))-FIND(";",SUBSTITUTE(D388,"|",REPT(";",LEN(D388)),2))-1)</f>
        <v/>
      </c>
      <c r="K388">
        <f>MID(D388,FIND(";",SUBSTITUTE(D388,"|",REPT(";",LEN(D388)),3))+1,FIND(";",SUBSTITUTE(D388,"|",REPT(";",LEN(D388)),4))-FIND(";",SUBSTITUTE(D388,"|",REPT(";",LEN(D388)),3))-1)</f>
        <v/>
      </c>
      <c r="M388">
        <f>MID(D388,FIND(";",SUBSTITUTE(D388,"|",REPT(";",LEN(D388)),4))+1,FIND(";",SUBSTITUTE(D388,"|",REPT(";",LEN(D388)),5))-FIND(";",SUBSTITUTE(D388,"|",REPT(";",LEN(D388)),4))-1)</f>
        <v/>
      </c>
      <c r="N388">
        <f>MID(D388,FIND(";",SUBSTITUTE(D388,"|",REPT(";",LEN(D388)),6))+1,LEN(D388))</f>
        <v/>
      </c>
      <c r="O388">
        <f>MID(D388,FIND(";",SUBSTITUTE(D388,"|",REPT(";",LEN(D388)),5))+1,FIND(";",SUBSTITUTE(D388,"|",REPT(";",LEN(D388)),6))-FIND(";",SUBSTITUTE(D388,"|",REPT(";",LEN(D388)),5))-1)</f>
        <v/>
      </c>
    </row>
    <row r="389">
      <c r="A389" t="inlineStr">
        <is>
          <t>100201</t>
        </is>
      </c>
      <c r="B389" t="inlineStr">
        <is>
          <t>圆钢</t>
        </is>
      </c>
      <c r="C389" t="inlineStr">
        <is>
          <t>600622300</t>
        </is>
      </c>
      <c r="D389" t="inlineStr">
        <is>
          <t>热轧不锈圆钢|圆钢|1Cr18Ni9Ti|Φ170|GB 1220-1992|热轧|GB/T 702-2008</t>
        </is>
      </c>
      <c r="E389" t="inlineStr">
        <is>
          <t>物资名称 热轧不锈圆钢;物资简称 圆钢;牌号 1Cr18Ni9Ti;直径 Φ170;技术标准号 GB 1220-1992;加工工艺 热轧;热处理工艺 ;特殊要求 ;规格标准号 GB/T 702-2008</t>
        </is>
      </c>
      <c r="F389" t="inlineStr">
        <is>
          <t>千克</t>
        </is>
      </c>
      <c r="G389">
        <f>LEFT(D389,FIND("|",D389,1)-1)</f>
        <v/>
      </c>
      <c r="H389">
        <f>MID(D389,FIND("|",D389,FIND("|",D389,1))+1,FIND("|",D389,FIND("|",D389,1)+1)-FIND("|",D389,FIND("|",D389,1))-1)</f>
        <v/>
      </c>
      <c r="J389">
        <f>MID(D389,FIND(";",SUBSTITUTE(D389,"|",REPT(";",LEN(D389)),2))+1,FIND(";",SUBSTITUTE(D389,"|",REPT(";",LEN(D389)),3))-FIND(";",SUBSTITUTE(D389,"|",REPT(";",LEN(D389)),2))-1)</f>
        <v/>
      </c>
      <c r="K389">
        <f>MID(D389,FIND(";",SUBSTITUTE(D389,"|",REPT(";",LEN(D389)),3))+1,FIND(";",SUBSTITUTE(D389,"|",REPT(";",LEN(D389)),4))-FIND(";",SUBSTITUTE(D389,"|",REPT(";",LEN(D389)),3))-1)</f>
        <v/>
      </c>
      <c r="M389">
        <f>MID(D389,FIND(";",SUBSTITUTE(D389,"|",REPT(";",LEN(D389)),4))+1,FIND(";",SUBSTITUTE(D389,"|",REPT(";",LEN(D389)),5))-FIND(";",SUBSTITUTE(D389,"|",REPT(";",LEN(D389)),4))-1)</f>
        <v/>
      </c>
      <c r="N389">
        <f>MID(D389,FIND(";",SUBSTITUTE(D389,"|",REPT(";",LEN(D389)),6))+1,LEN(D389))</f>
        <v/>
      </c>
      <c r="O389">
        <f>MID(D389,FIND(";",SUBSTITUTE(D389,"|",REPT(";",LEN(D389)),5))+1,FIND(";",SUBSTITUTE(D389,"|",REPT(";",LEN(D389)),6))-FIND(";",SUBSTITUTE(D389,"|",REPT(";",LEN(D389)),5))-1)</f>
        <v/>
      </c>
    </row>
    <row r="390">
      <c r="A390" t="inlineStr">
        <is>
          <t>100201</t>
        </is>
      </c>
      <c r="B390" t="inlineStr">
        <is>
          <t>圆钢</t>
        </is>
      </c>
      <c r="C390" t="inlineStr">
        <is>
          <t>600622200</t>
        </is>
      </c>
      <c r="D390" t="inlineStr">
        <is>
          <t>锻制不锈圆钢|圆钢|1Cr18Ni9Ti|Φ220|GB 1220-1992|锻造|GB/T 908-2008</t>
        </is>
      </c>
      <c r="E390" t="inlineStr">
        <is>
          <t>物资名称 锻制不锈圆钢;物资简称 圆钢;牌号 1Cr18Ni9Ti;直径 Φ220;技术标准号 GB 1220-1992;加工工艺 锻造;热处理工艺 ;特殊要求 ;规格标准号 GB/T 908-2008</t>
        </is>
      </c>
      <c r="F390" t="inlineStr">
        <is>
          <t>千克</t>
        </is>
      </c>
      <c r="G390">
        <f>LEFT(D390,FIND("|",D390,1)-1)</f>
        <v/>
      </c>
      <c r="H390">
        <f>MID(D390,FIND("|",D390,FIND("|",D390,1))+1,FIND("|",D390,FIND("|",D390,1)+1)-FIND("|",D390,FIND("|",D390,1))-1)</f>
        <v/>
      </c>
      <c r="J390">
        <f>MID(D390,FIND(";",SUBSTITUTE(D390,"|",REPT(";",LEN(D390)),2))+1,FIND(";",SUBSTITUTE(D390,"|",REPT(";",LEN(D390)),3))-FIND(";",SUBSTITUTE(D390,"|",REPT(";",LEN(D390)),2))-1)</f>
        <v/>
      </c>
      <c r="K390">
        <f>MID(D390,FIND(";",SUBSTITUTE(D390,"|",REPT(";",LEN(D390)),3))+1,FIND(";",SUBSTITUTE(D390,"|",REPT(";",LEN(D390)),4))-FIND(";",SUBSTITUTE(D390,"|",REPT(";",LEN(D390)),3))-1)</f>
        <v/>
      </c>
      <c r="M390">
        <f>MID(D390,FIND(";",SUBSTITUTE(D390,"|",REPT(";",LEN(D390)),4))+1,FIND(";",SUBSTITUTE(D390,"|",REPT(";",LEN(D390)),5))-FIND(";",SUBSTITUTE(D390,"|",REPT(";",LEN(D390)),4))-1)</f>
        <v/>
      </c>
      <c r="N390">
        <f>MID(D390,FIND(";",SUBSTITUTE(D390,"|",REPT(";",LEN(D390)),6))+1,LEN(D390))</f>
        <v/>
      </c>
      <c r="O390">
        <f>MID(D390,FIND(";",SUBSTITUTE(D390,"|",REPT(";",LEN(D390)),5))+1,FIND(";",SUBSTITUTE(D390,"|",REPT(";",LEN(D390)),6))-FIND(";",SUBSTITUTE(D390,"|",REPT(";",LEN(D390)),5))-1)</f>
        <v/>
      </c>
    </row>
    <row r="391">
      <c r="A391" t="inlineStr">
        <is>
          <t>100201</t>
        </is>
      </c>
      <c r="B391" t="inlineStr">
        <is>
          <t>圆钢</t>
        </is>
      </c>
      <c r="C391" t="inlineStr">
        <is>
          <t>600622100</t>
        </is>
      </c>
      <c r="D391" t="inlineStr">
        <is>
          <t>不锈钢棒|钢棒|14Cr17Ni2|GB/T 1220-2007</t>
        </is>
      </c>
      <c r="E391" t="inlineStr">
        <is>
          <t xml:space="preserve">物资名称 不锈钢棒;物资简称 钢棒;牌号 14Cr17Ni2;直径 Φ;技术标准号 GB/T 1220-2007;加工工艺 ;热处理工艺 ;特殊要求 ;规格标准号 </t>
        </is>
      </c>
      <c r="F391" t="inlineStr">
        <is>
          <t>千克</t>
        </is>
      </c>
      <c r="G391">
        <f>LEFT(D391,FIND("|",D391,1)-1)</f>
        <v/>
      </c>
      <c r="H391">
        <f>MID(D391,FIND("|",D391,FIND("|",D391,1))+1,FIND("|",D391,FIND("|",D391,1)+1)-FIND("|",D391,FIND("|",D391,1))-1)</f>
        <v/>
      </c>
      <c r="J391">
        <f>MID(D391,FIND(";",SUBSTITUTE(D391,"|",REPT(";",LEN(D391)),2))+1,FIND(";",SUBSTITUTE(D391,"|",REPT(";",LEN(D391)),3))-FIND(";",SUBSTITUTE(D391,"|",REPT(";",LEN(D391)),2))-1)</f>
        <v/>
      </c>
      <c r="M391">
        <f>MID(D391,FIND(";",SUBSTITUTE(D391,"|",REPT(";",LEN(D391)),3))+1,LEN(D391))</f>
        <v/>
      </c>
    </row>
    <row r="392">
      <c r="A392" t="inlineStr">
        <is>
          <t>100201</t>
        </is>
      </c>
      <c r="B392" t="inlineStr">
        <is>
          <t>圆钢</t>
        </is>
      </c>
      <c r="C392" t="inlineStr">
        <is>
          <t>600622000</t>
        </is>
      </c>
      <c r="D392" t="inlineStr">
        <is>
          <t>热轧不锈圆钢|圆钢|14Cr17Ni2|GB/T 1220-2007|热轧|GB/T 702-2008</t>
        </is>
      </c>
      <c r="E392" t="inlineStr">
        <is>
          <t>物资名称 热轧不锈圆钢;物资简称 圆钢;牌号 14Cr17Ni2;直径 Φ;技术标准号 GB/T 1220-2007;加工工艺 热轧;热处理工艺 ;特殊要求 ;规格标准号 GB/T 702-2008</t>
        </is>
      </c>
      <c r="F392" t="inlineStr">
        <is>
          <t>千克</t>
        </is>
      </c>
      <c r="G392">
        <f>LEFT(D392,FIND("|",D392,1)-1)</f>
        <v/>
      </c>
      <c r="H392">
        <f>MID(D392,FIND("|",D392,FIND("|",D392,1))+1,FIND("|",D392,FIND("|",D392,1)+1)-FIND("|",D392,FIND("|",D392,1))-1)</f>
        <v/>
      </c>
      <c r="J392">
        <f>MID(D392,FIND(";",SUBSTITUTE(D392,"|",REPT(";",LEN(D392)),2))+1,FIND(";",SUBSTITUTE(D392,"|",REPT(";",LEN(D392)),3))-FIND(";",SUBSTITUTE(D392,"|",REPT(";",LEN(D392)),2))-1)</f>
        <v/>
      </c>
      <c r="M392">
        <f>MID(D392,FIND(";",SUBSTITUTE(D392,"|",REPT(";",LEN(D392)),3))+1,FIND(";",SUBSTITUTE(D392,"|",REPT(";",LEN(D392)),4))-FIND(";",SUBSTITUTE(D392,"|",REPT(";",LEN(D392)),3))-1)</f>
        <v/>
      </c>
      <c r="N392">
        <f>MID(D392,FIND(";",SUBSTITUTE(D392,"|",REPT(";",LEN(D392)),5))+1,LEN(D392))</f>
        <v/>
      </c>
      <c r="O392">
        <f>MID(D392,FIND(";",SUBSTITUTE(D392,"|",REPT(";",LEN(D392)),4))+1,FIND(";",SUBSTITUTE(D392,"|",REPT(";",LEN(D392)),5))-FIND(";",SUBSTITUTE(D392,"|",REPT(";",LEN(D392)),4))-1)</f>
        <v/>
      </c>
    </row>
    <row r="393">
      <c r="A393" t="inlineStr">
        <is>
          <t>100201</t>
        </is>
      </c>
      <c r="B393" t="inlineStr">
        <is>
          <t>圆钢</t>
        </is>
      </c>
      <c r="C393" t="inlineStr">
        <is>
          <t>600621900</t>
        </is>
      </c>
      <c r="D393" t="inlineStr">
        <is>
          <t>热轧不锈圆钢|圆钢|14Cr17Ni2|Φ8|GB/T 1220-2007|热轧|GB/T 702-2008</t>
        </is>
      </c>
      <c r="E393" t="inlineStr">
        <is>
          <t>物资名称 热轧不锈圆钢;物资简称 圆钢;牌号 14Cr17Ni2;直径 Φ8;技术标准号 GB/T 1220-2007;加工工艺 热轧;热处理工艺 ;特殊要求 ;规格标准号 GB/T 702-2008</t>
        </is>
      </c>
      <c r="F393" t="inlineStr">
        <is>
          <t>千克</t>
        </is>
      </c>
      <c r="G393">
        <f>LEFT(D393,FIND("|",D393,1)-1)</f>
        <v/>
      </c>
      <c r="H393">
        <f>MID(D393,FIND("|",D393,FIND("|",D393,1))+1,FIND("|",D393,FIND("|",D393,1)+1)-FIND("|",D393,FIND("|",D393,1))-1)</f>
        <v/>
      </c>
      <c r="J393">
        <f>MID(D393,FIND(";",SUBSTITUTE(D393,"|",REPT(";",LEN(D393)),2))+1,FIND(";",SUBSTITUTE(D393,"|",REPT(";",LEN(D393)),3))-FIND(";",SUBSTITUTE(D393,"|",REPT(";",LEN(D393)),2))-1)</f>
        <v/>
      </c>
      <c r="K393">
        <f>MID(D393,FIND(";",SUBSTITUTE(D393,"|",REPT(";",LEN(D393)),3))+1,FIND(";",SUBSTITUTE(D393,"|",REPT(";",LEN(D393)),4))-FIND(";",SUBSTITUTE(D393,"|",REPT(";",LEN(D393)),3))-1)</f>
        <v/>
      </c>
      <c r="M393">
        <f>MID(D393,FIND(";",SUBSTITUTE(D393,"|",REPT(";",LEN(D393)),4))+1,FIND(";",SUBSTITUTE(D393,"|",REPT(";",LEN(D393)),5))-FIND(";",SUBSTITUTE(D393,"|",REPT(";",LEN(D393)),4))-1)</f>
        <v/>
      </c>
      <c r="N393">
        <f>MID(D393,FIND(";",SUBSTITUTE(D393,"|",REPT(";",LEN(D393)),6))+1,LEN(D393))</f>
        <v/>
      </c>
      <c r="O393">
        <f>MID(D393,FIND(";",SUBSTITUTE(D393,"|",REPT(";",LEN(D393)),5))+1,FIND(";",SUBSTITUTE(D393,"|",REPT(";",LEN(D393)),6))-FIND(";",SUBSTITUTE(D393,"|",REPT(";",LEN(D393)),5))-1)</f>
        <v/>
      </c>
    </row>
    <row r="394">
      <c r="A394" t="inlineStr">
        <is>
          <t>100201</t>
        </is>
      </c>
      <c r="B394" t="inlineStr">
        <is>
          <t>圆钢</t>
        </is>
      </c>
      <c r="C394" t="inlineStr">
        <is>
          <t>600621800</t>
        </is>
      </c>
      <c r="D394" t="inlineStr">
        <is>
          <t>热轧不锈圆钢|圆钢|14Cr17Ni2|Φ14|GB/T 1220-2007|热轧|GB/T 702-2008</t>
        </is>
      </c>
      <c r="E394" t="inlineStr">
        <is>
          <t>物资名称 热轧不锈圆钢;物资简称 圆钢;牌号 14Cr17Ni2;直径 Φ14;技术标准号 GB/T 1220-2007;加工工艺 热轧;热处理工艺 ;特殊要求 ;规格标准号 GB/T 702-2008</t>
        </is>
      </c>
      <c r="F394" t="inlineStr">
        <is>
          <t>千克</t>
        </is>
      </c>
      <c r="G394">
        <f>LEFT(D394,FIND("|",D394,1)-1)</f>
        <v/>
      </c>
      <c r="H394">
        <f>MID(D394,FIND("|",D394,FIND("|",D394,1))+1,FIND("|",D394,FIND("|",D394,1)+1)-FIND("|",D394,FIND("|",D394,1))-1)</f>
        <v/>
      </c>
      <c r="J394">
        <f>MID(D394,FIND(";",SUBSTITUTE(D394,"|",REPT(";",LEN(D394)),2))+1,FIND(";",SUBSTITUTE(D394,"|",REPT(";",LEN(D394)),3))-FIND(";",SUBSTITUTE(D394,"|",REPT(";",LEN(D394)),2))-1)</f>
        <v/>
      </c>
      <c r="K394">
        <f>MID(D394,FIND(";",SUBSTITUTE(D394,"|",REPT(";",LEN(D394)),3))+1,FIND(";",SUBSTITUTE(D394,"|",REPT(";",LEN(D394)),4))-FIND(";",SUBSTITUTE(D394,"|",REPT(";",LEN(D394)),3))-1)</f>
        <v/>
      </c>
      <c r="M394">
        <f>MID(D394,FIND(";",SUBSTITUTE(D394,"|",REPT(";",LEN(D394)),4))+1,FIND(";",SUBSTITUTE(D394,"|",REPT(";",LEN(D394)),5))-FIND(";",SUBSTITUTE(D394,"|",REPT(";",LEN(D394)),4))-1)</f>
        <v/>
      </c>
      <c r="N394">
        <f>MID(D394,FIND(";",SUBSTITUTE(D394,"|",REPT(";",LEN(D394)),6))+1,LEN(D394))</f>
        <v/>
      </c>
      <c r="O394">
        <f>MID(D394,FIND(";",SUBSTITUTE(D394,"|",REPT(";",LEN(D394)),5))+1,FIND(";",SUBSTITUTE(D394,"|",REPT(";",LEN(D394)),6))-FIND(";",SUBSTITUTE(D394,"|",REPT(";",LEN(D394)),5))-1)</f>
        <v/>
      </c>
    </row>
    <row r="395">
      <c r="A395" t="inlineStr">
        <is>
          <t>100201</t>
        </is>
      </c>
      <c r="B395" t="inlineStr">
        <is>
          <t>圆钢</t>
        </is>
      </c>
      <c r="C395" t="inlineStr">
        <is>
          <t>600621700</t>
        </is>
      </c>
      <c r="D395" t="inlineStr">
        <is>
          <t>热轧不锈圆钢|圆钢|14Cr17Ni2|Φ16|GB/T 1220-2007|热轧|GB/T 702-2008</t>
        </is>
      </c>
      <c r="E395" t="inlineStr">
        <is>
          <t>物资名称 热轧不锈圆钢;物资简称 圆钢;牌号 14Cr17Ni2;直径 Φ16;技术标准号 GB/T 1220-2007;加工工艺 热轧;热处理工艺 ;特殊要求 ;规格标准号 GB/T 702-2008</t>
        </is>
      </c>
      <c r="F395" t="inlineStr">
        <is>
          <t>千克</t>
        </is>
      </c>
      <c r="G395">
        <f>LEFT(D395,FIND("|",D395,1)-1)</f>
        <v/>
      </c>
      <c r="H395">
        <f>MID(D395,FIND("|",D395,FIND("|",D395,1))+1,FIND("|",D395,FIND("|",D395,1)+1)-FIND("|",D395,FIND("|",D395,1))-1)</f>
        <v/>
      </c>
      <c r="J395">
        <f>MID(D395,FIND(";",SUBSTITUTE(D395,"|",REPT(";",LEN(D395)),2))+1,FIND(";",SUBSTITUTE(D395,"|",REPT(";",LEN(D395)),3))-FIND(";",SUBSTITUTE(D395,"|",REPT(";",LEN(D395)),2))-1)</f>
        <v/>
      </c>
      <c r="K395">
        <f>MID(D395,FIND(";",SUBSTITUTE(D395,"|",REPT(";",LEN(D395)),3))+1,FIND(";",SUBSTITUTE(D395,"|",REPT(";",LEN(D395)),4))-FIND(";",SUBSTITUTE(D395,"|",REPT(";",LEN(D395)),3))-1)</f>
        <v/>
      </c>
      <c r="M395">
        <f>MID(D395,FIND(";",SUBSTITUTE(D395,"|",REPT(";",LEN(D395)),4))+1,FIND(";",SUBSTITUTE(D395,"|",REPT(";",LEN(D395)),5))-FIND(";",SUBSTITUTE(D395,"|",REPT(";",LEN(D395)),4))-1)</f>
        <v/>
      </c>
      <c r="N395">
        <f>MID(D395,FIND(";",SUBSTITUTE(D395,"|",REPT(";",LEN(D395)),6))+1,LEN(D395))</f>
        <v/>
      </c>
      <c r="O395">
        <f>MID(D395,FIND(";",SUBSTITUTE(D395,"|",REPT(";",LEN(D395)),5))+1,FIND(";",SUBSTITUTE(D395,"|",REPT(";",LEN(D395)),6))-FIND(";",SUBSTITUTE(D395,"|",REPT(";",LEN(D395)),5))-1)</f>
        <v/>
      </c>
    </row>
    <row r="396">
      <c r="A396" t="inlineStr">
        <is>
          <t>100201</t>
        </is>
      </c>
      <c r="B396" t="inlineStr">
        <is>
          <t>圆钢</t>
        </is>
      </c>
      <c r="C396" t="inlineStr">
        <is>
          <t>600621600</t>
        </is>
      </c>
      <c r="D396" t="inlineStr">
        <is>
          <t>热轧不锈圆钢|圆钢|14Cr17Ni2|Φ18|GB/T 1220-2007|热轧|GB/T 702-2008</t>
        </is>
      </c>
      <c r="E396" t="inlineStr">
        <is>
          <t>物资名称 热轧不锈圆钢;物资简称 圆钢;牌号 14Cr17Ni2;直径 Φ18;技术标准号 GB/T 1220-2007;加工工艺 热轧;热处理工艺 ;特殊要求 ;规格标准号 GB/T 702-2008</t>
        </is>
      </c>
      <c r="F396" t="inlineStr">
        <is>
          <t>千克</t>
        </is>
      </c>
      <c r="G396">
        <f>LEFT(D396,FIND("|",D396,1)-1)</f>
        <v/>
      </c>
      <c r="H396">
        <f>MID(D396,FIND("|",D396,FIND("|",D396,1))+1,FIND("|",D396,FIND("|",D396,1)+1)-FIND("|",D396,FIND("|",D396,1))-1)</f>
        <v/>
      </c>
      <c r="J396">
        <f>MID(D396,FIND(";",SUBSTITUTE(D396,"|",REPT(";",LEN(D396)),2))+1,FIND(";",SUBSTITUTE(D396,"|",REPT(";",LEN(D396)),3))-FIND(";",SUBSTITUTE(D396,"|",REPT(";",LEN(D396)),2))-1)</f>
        <v/>
      </c>
      <c r="K396">
        <f>MID(D396,FIND(";",SUBSTITUTE(D396,"|",REPT(";",LEN(D396)),3))+1,FIND(";",SUBSTITUTE(D396,"|",REPT(";",LEN(D396)),4))-FIND(";",SUBSTITUTE(D396,"|",REPT(";",LEN(D396)),3))-1)</f>
        <v/>
      </c>
      <c r="M396">
        <f>MID(D396,FIND(";",SUBSTITUTE(D396,"|",REPT(";",LEN(D396)),4))+1,FIND(";",SUBSTITUTE(D396,"|",REPT(";",LEN(D396)),5))-FIND(";",SUBSTITUTE(D396,"|",REPT(";",LEN(D396)),4))-1)</f>
        <v/>
      </c>
      <c r="N396">
        <f>MID(D396,FIND(";",SUBSTITUTE(D396,"|",REPT(";",LEN(D396)),6))+1,LEN(D396))</f>
        <v/>
      </c>
      <c r="O396">
        <f>MID(D396,FIND(";",SUBSTITUTE(D396,"|",REPT(";",LEN(D396)),5))+1,FIND(";",SUBSTITUTE(D396,"|",REPT(";",LEN(D396)),6))-FIND(";",SUBSTITUTE(D396,"|",REPT(";",LEN(D396)),5))-1)</f>
        <v/>
      </c>
    </row>
    <row r="397">
      <c r="A397" t="inlineStr">
        <is>
          <t>100201</t>
        </is>
      </c>
      <c r="B397" t="inlineStr">
        <is>
          <t>圆钢</t>
        </is>
      </c>
      <c r="C397" t="inlineStr">
        <is>
          <t>600621500</t>
        </is>
      </c>
      <c r="D397" t="inlineStr">
        <is>
          <t>热轧不锈圆钢|圆钢|14Cr17Ni2|Φ20|GB/T 1220-2007|热轧|GB/T 702-2008</t>
        </is>
      </c>
      <c r="E397" t="inlineStr">
        <is>
          <t>物资名称 热轧不锈圆钢;物资简称 圆钢;牌号 14Cr17Ni2;直径 Φ20;技术标准号 GB/T 1220-2007;加工工艺 热轧;热处理工艺 ;特殊要求 ;规格标准号 GB/T 702-2008</t>
        </is>
      </c>
      <c r="F397" t="inlineStr">
        <is>
          <t>千克</t>
        </is>
      </c>
      <c r="G397">
        <f>LEFT(D397,FIND("|",D397,1)-1)</f>
        <v/>
      </c>
      <c r="H397">
        <f>MID(D397,FIND("|",D397,FIND("|",D397,1))+1,FIND("|",D397,FIND("|",D397,1)+1)-FIND("|",D397,FIND("|",D397,1))-1)</f>
        <v/>
      </c>
      <c r="J397">
        <f>MID(D397,FIND(";",SUBSTITUTE(D397,"|",REPT(";",LEN(D397)),2))+1,FIND(";",SUBSTITUTE(D397,"|",REPT(";",LEN(D397)),3))-FIND(";",SUBSTITUTE(D397,"|",REPT(";",LEN(D397)),2))-1)</f>
        <v/>
      </c>
      <c r="K397">
        <f>MID(D397,FIND(";",SUBSTITUTE(D397,"|",REPT(";",LEN(D397)),3))+1,FIND(";",SUBSTITUTE(D397,"|",REPT(";",LEN(D397)),4))-FIND(";",SUBSTITUTE(D397,"|",REPT(";",LEN(D397)),3))-1)</f>
        <v/>
      </c>
      <c r="M397">
        <f>MID(D397,FIND(";",SUBSTITUTE(D397,"|",REPT(";",LEN(D397)),4))+1,FIND(";",SUBSTITUTE(D397,"|",REPT(";",LEN(D397)),5))-FIND(";",SUBSTITUTE(D397,"|",REPT(";",LEN(D397)),4))-1)</f>
        <v/>
      </c>
      <c r="N397">
        <f>MID(D397,FIND(";",SUBSTITUTE(D397,"|",REPT(";",LEN(D397)),6))+1,LEN(D397))</f>
        <v/>
      </c>
      <c r="O397">
        <f>MID(D397,FIND(";",SUBSTITUTE(D397,"|",REPT(";",LEN(D397)),5))+1,FIND(";",SUBSTITUTE(D397,"|",REPT(";",LEN(D397)),6))-FIND(";",SUBSTITUTE(D397,"|",REPT(";",LEN(D397)),5))-1)</f>
        <v/>
      </c>
    </row>
    <row r="398">
      <c r="A398" t="inlineStr">
        <is>
          <t>100201</t>
        </is>
      </c>
      <c r="B398" t="inlineStr">
        <is>
          <t>圆钢</t>
        </is>
      </c>
      <c r="C398" t="inlineStr">
        <is>
          <t>600621400</t>
        </is>
      </c>
      <c r="D398" t="inlineStr">
        <is>
          <t>热轧不锈圆钢|圆钢|14Cr17Ni2|Φ22|GB/T 1220-2007|热轧|GB/T 702-2008</t>
        </is>
      </c>
      <c r="E398" t="inlineStr">
        <is>
          <t>物资名称 热轧不锈圆钢;物资简称 圆钢;牌号 14Cr17Ni2;直径 Φ22;技术标准号 GB/T 1220-2007;加工工艺 热轧;热处理工艺 ;特殊要求 ;规格标准号 GB/T 702-2008</t>
        </is>
      </c>
      <c r="F398" t="inlineStr">
        <is>
          <t>千克</t>
        </is>
      </c>
      <c r="G398">
        <f>LEFT(D398,FIND("|",D398,1)-1)</f>
        <v/>
      </c>
      <c r="H398">
        <f>MID(D398,FIND("|",D398,FIND("|",D398,1))+1,FIND("|",D398,FIND("|",D398,1)+1)-FIND("|",D398,FIND("|",D398,1))-1)</f>
        <v/>
      </c>
      <c r="J398">
        <f>MID(D398,FIND(";",SUBSTITUTE(D398,"|",REPT(";",LEN(D398)),2))+1,FIND(";",SUBSTITUTE(D398,"|",REPT(";",LEN(D398)),3))-FIND(";",SUBSTITUTE(D398,"|",REPT(";",LEN(D398)),2))-1)</f>
        <v/>
      </c>
      <c r="K398">
        <f>MID(D398,FIND(";",SUBSTITUTE(D398,"|",REPT(";",LEN(D398)),3))+1,FIND(";",SUBSTITUTE(D398,"|",REPT(";",LEN(D398)),4))-FIND(";",SUBSTITUTE(D398,"|",REPT(";",LEN(D398)),3))-1)</f>
        <v/>
      </c>
      <c r="M398">
        <f>MID(D398,FIND(";",SUBSTITUTE(D398,"|",REPT(";",LEN(D398)),4))+1,FIND(";",SUBSTITUTE(D398,"|",REPT(";",LEN(D398)),5))-FIND(";",SUBSTITUTE(D398,"|",REPT(";",LEN(D398)),4))-1)</f>
        <v/>
      </c>
      <c r="N398">
        <f>MID(D398,FIND(";",SUBSTITUTE(D398,"|",REPT(";",LEN(D398)),6))+1,LEN(D398))</f>
        <v/>
      </c>
      <c r="O398">
        <f>MID(D398,FIND(";",SUBSTITUTE(D398,"|",REPT(";",LEN(D398)),5))+1,FIND(";",SUBSTITUTE(D398,"|",REPT(";",LEN(D398)),6))-FIND(";",SUBSTITUTE(D398,"|",REPT(";",LEN(D398)),5))-1)</f>
        <v/>
      </c>
    </row>
    <row r="399">
      <c r="A399" t="inlineStr">
        <is>
          <t>100201</t>
        </is>
      </c>
      <c r="B399" t="inlineStr">
        <is>
          <t>圆钢</t>
        </is>
      </c>
      <c r="C399" t="inlineStr">
        <is>
          <t>600621300</t>
        </is>
      </c>
      <c r="D399" t="inlineStr">
        <is>
          <t>热轧不锈圆钢|圆钢|14Cr17Ni2|Φ30|GB/T 1220-2007|热轧|GB/T 702-2008</t>
        </is>
      </c>
      <c r="E399" t="inlineStr">
        <is>
          <t>物资名称 热轧不锈圆钢;物资简称 圆钢;牌号 14Cr17Ni2;直径 Φ30;技术标准号 GB/T 1220-2007;加工工艺 热轧;热处理工艺 ;特殊要求 ;规格标准号 GB/T 702-2008</t>
        </is>
      </c>
      <c r="F399" t="inlineStr">
        <is>
          <t>千克</t>
        </is>
      </c>
      <c r="G399">
        <f>LEFT(D399,FIND("|",D399,1)-1)</f>
        <v/>
      </c>
      <c r="H399">
        <f>MID(D399,FIND("|",D399,FIND("|",D399,1))+1,FIND("|",D399,FIND("|",D399,1)+1)-FIND("|",D399,FIND("|",D399,1))-1)</f>
        <v/>
      </c>
      <c r="J399">
        <f>MID(D399,FIND(";",SUBSTITUTE(D399,"|",REPT(";",LEN(D399)),2))+1,FIND(";",SUBSTITUTE(D399,"|",REPT(";",LEN(D399)),3))-FIND(";",SUBSTITUTE(D399,"|",REPT(";",LEN(D399)),2))-1)</f>
        <v/>
      </c>
      <c r="K399">
        <f>MID(D399,FIND(";",SUBSTITUTE(D399,"|",REPT(";",LEN(D399)),3))+1,FIND(";",SUBSTITUTE(D399,"|",REPT(";",LEN(D399)),4))-FIND(";",SUBSTITUTE(D399,"|",REPT(";",LEN(D399)),3))-1)</f>
        <v/>
      </c>
      <c r="M399">
        <f>MID(D399,FIND(";",SUBSTITUTE(D399,"|",REPT(";",LEN(D399)),4))+1,FIND(";",SUBSTITUTE(D399,"|",REPT(";",LEN(D399)),5))-FIND(";",SUBSTITUTE(D399,"|",REPT(";",LEN(D399)),4))-1)</f>
        <v/>
      </c>
      <c r="N399">
        <f>MID(D399,FIND(";",SUBSTITUTE(D399,"|",REPT(";",LEN(D399)),6))+1,LEN(D399))</f>
        <v/>
      </c>
      <c r="O399">
        <f>MID(D399,FIND(";",SUBSTITUTE(D399,"|",REPT(";",LEN(D399)),5))+1,FIND(";",SUBSTITUTE(D399,"|",REPT(";",LEN(D399)),6))-FIND(";",SUBSTITUTE(D399,"|",REPT(";",LEN(D399)),5))-1)</f>
        <v/>
      </c>
    </row>
    <row r="400">
      <c r="A400" t="inlineStr">
        <is>
          <t>100201</t>
        </is>
      </c>
      <c r="B400" t="inlineStr">
        <is>
          <t>圆钢</t>
        </is>
      </c>
      <c r="C400" t="inlineStr">
        <is>
          <t>600621200</t>
        </is>
      </c>
      <c r="D400" t="inlineStr">
        <is>
          <t>热轧不锈圆钢|圆钢|14Cr17Ni2|Φ35|GB/T 1220-2007|热轧|GB/T 702-2008</t>
        </is>
      </c>
      <c r="E400" t="inlineStr">
        <is>
          <t>物资名称 热轧不锈圆钢;物资简称 圆钢;牌号 14Cr17Ni2;直径 Φ35;技术标准号 GB/T 1220-2007;加工工艺 热轧;热处理工艺 ;特殊要求 ;规格标准号 GB/T 702-2008</t>
        </is>
      </c>
      <c r="F400" t="inlineStr">
        <is>
          <t>千克</t>
        </is>
      </c>
      <c r="G400">
        <f>LEFT(D400,FIND("|",D400,1)-1)</f>
        <v/>
      </c>
      <c r="H400">
        <f>MID(D400,FIND("|",D400,FIND("|",D400,1))+1,FIND("|",D400,FIND("|",D400,1)+1)-FIND("|",D400,FIND("|",D400,1))-1)</f>
        <v/>
      </c>
      <c r="J400">
        <f>MID(D400,FIND(";",SUBSTITUTE(D400,"|",REPT(";",LEN(D400)),2))+1,FIND(";",SUBSTITUTE(D400,"|",REPT(";",LEN(D400)),3))-FIND(";",SUBSTITUTE(D400,"|",REPT(";",LEN(D400)),2))-1)</f>
        <v/>
      </c>
      <c r="K400">
        <f>MID(D400,FIND(";",SUBSTITUTE(D400,"|",REPT(";",LEN(D400)),3))+1,FIND(";",SUBSTITUTE(D400,"|",REPT(";",LEN(D400)),4))-FIND(";",SUBSTITUTE(D400,"|",REPT(";",LEN(D400)),3))-1)</f>
        <v/>
      </c>
      <c r="M400">
        <f>MID(D400,FIND(";",SUBSTITUTE(D400,"|",REPT(";",LEN(D400)),4))+1,FIND(";",SUBSTITUTE(D400,"|",REPT(";",LEN(D400)),5))-FIND(";",SUBSTITUTE(D400,"|",REPT(";",LEN(D400)),4))-1)</f>
        <v/>
      </c>
      <c r="N400">
        <f>MID(D400,FIND(";",SUBSTITUTE(D400,"|",REPT(";",LEN(D400)),6))+1,LEN(D400))</f>
        <v/>
      </c>
      <c r="O400">
        <f>MID(D400,FIND(";",SUBSTITUTE(D400,"|",REPT(";",LEN(D400)),5))+1,FIND(";",SUBSTITUTE(D400,"|",REPT(";",LEN(D400)),6))-FIND(";",SUBSTITUTE(D400,"|",REPT(";",LEN(D400)),5))-1)</f>
        <v/>
      </c>
    </row>
    <row r="401">
      <c r="A401" t="inlineStr">
        <is>
          <t>100201</t>
        </is>
      </c>
      <c r="B401" t="inlineStr">
        <is>
          <t>圆钢</t>
        </is>
      </c>
      <c r="C401" t="inlineStr">
        <is>
          <t>600621100</t>
        </is>
      </c>
      <c r="D401" t="inlineStr">
        <is>
          <t>热轧不锈圆钢|圆钢|14Cr17Ni2|Φ40|GB/T 1220-2007|热轧|GB/T 702-2008</t>
        </is>
      </c>
      <c r="E401" t="inlineStr">
        <is>
          <t>物资名称 热轧不锈圆钢;物资简称 圆钢;牌号 14Cr17Ni2;直径 Φ40;技术标准号 GB/T 1220-2007;加工工艺 热轧;热处理工艺 ;特殊要求 ;规格标准号 GB/T 702-2008</t>
        </is>
      </c>
      <c r="F401" t="inlineStr">
        <is>
          <t>千克</t>
        </is>
      </c>
      <c r="G401">
        <f>LEFT(D401,FIND("|",D401,1)-1)</f>
        <v/>
      </c>
      <c r="H401">
        <f>MID(D401,FIND("|",D401,FIND("|",D401,1))+1,FIND("|",D401,FIND("|",D401,1)+1)-FIND("|",D401,FIND("|",D401,1))-1)</f>
        <v/>
      </c>
      <c r="J401">
        <f>MID(D401,FIND(";",SUBSTITUTE(D401,"|",REPT(";",LEN(D401)),2))+1,FIND(";",SUBSTITUTE(D401,"|",REPT(";",LEN(D401)),3))-FIND(";",SUBSTITUTE(D401,"|",REPT(";",LEN(D401)),2))-1)</f>
        <v/>
      </c>
      <c r="K401">
        <f>MID(D401,FIND(";",SUBSTITUTE(D401,"|",REPT(";",LEN(D401)),3))+1,FIND(";",SUBSTITUTE(D401,"|",REPT(";",LEN(D401)),4))-FIND(";",SUBSTITUTE(D401,"|",REPT(";",LEN(D401)),3))-1)</f>
        <v/>
      </c>
      <c r="M401">
        <f>MID(D401,FIND(";",SUBSTITUTE(D401,"|",REPT(";",LEN(D401)),4))+1,FIND(";",SUBSTITUTE(D401,"|",REPT(";",LEN(D401)),5))-FIND(";",SUBSTITUTE(D401,"|",REPT(";",LEN(D401)),4))-1)</f>
        <v/>
      </c>
      <c r="N401">
        <f>MID(D401,FIND(";",SUBSTITUTE(D401,"|",REPT(";",LEN(D401)),6))+1,LEN(D401))</f>
        <v/>
      </c>
      <c r="O401">
        <f>MID(D401,FIND(";",SUBSTITUTE(D401,"|",REPT(";",LEN(D401)),5))+1,FIND(";",SUBSTITUTE(D401,"|",REPT(";",LEN(D401)),6))-FIND(";",SUBSTITUTE(D401,"|",REPT(";",LEN(D401)),5))-1)</f>
        <v/>
      </c>
    </row>
    <row r="402">
      <c r="A402" t="inlineStr">
        <is>
          <t>100201</t>
        </is>
      </c>
      <c r="B402" t="inlineStr">
        <is>
          <t>圆钢</t>
        </is>
      </c>
      <c r="C402" t="inlineStr">
        <is>
          <t>600621000</t>
        </is>
      </c>
      <c r="D402" t="inlineStr">
        <is>
          <t>热轧不锈圆钢|圆钢|14Cr17Ni2|Φ45|GB/T 1220-2007|热轧|GB/T 702-2008</t>
        </is>
      </c>
      <c r="E402" t="inlineStr">
        <is>
          <t>物资名称 热轧不锈圆钢;物资简称 圆钢;牌号 14Cr17Ni2;直径 Φ45;技术标准号 GB/T 1220-2007;加工工艺 热轧;热处理工艺 ;特殊要求 ;规格标准号 GB/T 702-2008</t>
        </is>
      </c>
      <c r="F402" t="inlineStr">
        <is>
          <t>千克</t>
        </is>
      </c>
      <c r="G402">
        <f>LEFT(D402,FIND("|",D402,1)-1)</f>
        <v/>
      </c>
      <c r="H402">
        <f>MID(D402,FIND("|",D402,FIND("|",D402,1))+1,FIND("|",D402,FIND("|",D402,1)+1)-FIND("|",D402,FIND("|",D402,1))-1)</f>
        <v/>
      </c>
      <c r="J402">
        <f>MID(D402,FIND(";",SUBSTITUTE(D402,"|",REPT(";",LEN(D402)),2))+1,FIND(";",SUBSTITUTE(D402,"|",REPT(";",LEN(D402)),3))-FIND(";",SUBSTITUTE(D402,"|",REPT(";",LEN(D402)),2))-1)</f>
        <v/>
      </c>
      <c r="K402">
        <f>MID(D402,FIND(";",SUBSTITUTE(D402,"|",REPT(";",LEN(D402)),3))+1,FIND(";",SUBSTITUTE(D402,"|",REPT(";",LEN(D402)),4))-FIND(";",SUBSTITUTE(D402,"|",REPT(";",LEN(D402)),3))-1)</f>
        <v/>
      </c>
      <c r="M402">
        <f>MID(D402,FIND(";",SUBSTITUTE(D402,"|",REPT(";",LEN(D402)),4))+1,FIND(";",SUBSTITUTE(D402,"|",REPT(";",LEN(D402)),5))-FIND(";",SUBSTITUTE(D402,"|",REPT(";",LEN(D402)),4))-1)</f>
        <v/>
      </c>
      <c r="N402">
        <f>MID(D402,FIND(";",SUBSTITUTE(D402,"|",REPT(";",LEN(D402)),6))+1,LEN(D402))</f>
        <v/>
      </c>
      <c r="O402">
        <f>MID(D402,FIND(";",SUBSTITUTE(D402,"|",REPT(";",LEN(D402)),5))+1,FIND(";",SUBSTITUTE(D402,"|",REPT(";",LEN(D402)),6))-FIND(";",SUBSTITUTE(D402,"|",REPT(";",LEN(D402)),5))-1)</f>
        <v/>
      </c>
    </row>
    <row r="403">
      <c r="A403" t="inlineStr">
        <is>
          <t>100201</t>
        </is>
      </c>
      <c r="B403" t="inlineStr">
        <is>
          <t>圆钢</t>
        </is>
      </c>
      <c r="C403" t="inlineStr">
        <is>
          <t>600620900</t>
        </is>
      </c>
      <c r="D403" t="inlineStr">
        <is>
          <t>不锈钢棒|钢棒|20Cr13|GB/T 1220-2007</t>
        </is>
      </c>
      <c r="E403" t="inlineStr">
        <is>
          <t xml:space="preserve">物资名称 不锈钢棒;物资简称 钢棒;牌号 20Cr13;直径 Φ;技术标准号 GB/T 1220-2007;加工工艺 ;热处理工艺 ;特殊要求 ;规格标准号 </t>
        </is>
      </c>
      <c r="F403" t="inlineStr">
        <is>
          <t>千克</t>
        </is>
      </c>
      <c r="G403">
        <f>LEFT(D403,FIND("|",D403,1)-1)</f>
        <v/>
      </c>
      <c r="H403">
        <f>MID(D403,FIND("|",D403,FIND("|",D403,1))+1,FIND("|",D403,FIND("|",D403,1)+1)-FIND("|",D403,FIND("|",D403,1))-1)</f>
        <v/>
      </c>
      <c r="J403">
        <f>MID(D403,FIND(";",SUBSTITUTE(D403,"|",REPT(";",LEN(D403)),2))+1,FIND(";",SUBSTITUTE(D403,"|",REPT(";",LEN(D403)),3))-FIND(";",SUBSTITUTE(D403,"|",REPT(";",LEN(D403)),2))-1)</f>
        <v/>
      </c>
      <c r="M403">
        <f>MID(D403,FIND(";",SUBSTITUTE(D403,"|",REPT(";",LEN(D403)),3))+1,LEN(D403))</f>
        <v/>
      </c>
    </row>
    <row r="404">
      <c r="A404" t="inlineStr">
        <is>
          <t>100201</t>
        </is>
      </c>
      <c r="B404" t="inlineStr">
        <is>
          <t>圆钢</t>
        </is>
      </c>
      <c r="C404" t="inlineStr">
        <is>
          <t>600620800</t>
        </is>
      </c>
      <c r="D404" t="inlineStr">
        <is>
          <t>热轧不锈圆钢|圆钢|20Cr13|GB/T 1220-2007|GB/T 702-2008</t>
        </is>
      </c>
      <c r="E404" t="inlineStr">
        <is>
          <t>物资名称 热轧不锈圆钢;物资简称 圆钢;牌号 20Cr13;直径 Φ;技术标准号 GB/T 1220-2007;加工工艺 ;热处理工艺 ;特殊要求 ;规格标准号 GB/T 702-2008</t>
        </is>
      </c>
      <c r="F404" t="inlineStr">
        <is>
          <t>千克</t>
        </is>
      </c>
      <c r="G404">
        <f>LEFT(D404,FIND("|",D404,1)-1)</f>
        <v/>
      </c>
      <c r="H404">
        <f>MID(D404,FIND("|",D404,FIND("|",D404,1))+1,FIND("|",D404,FIND("|",D404,1)+1)-FIND("|",D404,FIND("|",D404,1))-1)</f>
        <v/>
      </c>
      <c r="J404">
        <f>MID(D404,FIND(";",SUBSTITUTE(D404,"|",REPT(";",LEN(D404)),2))+1,FIND(";",SUBSTITUTE(D404,"|",REPT(";",LEN(D404)),3))-FIND(";",SUBSTITUTE(D404,"|",REPT(";",LEN(D404)),2))-1)</f>
        <v/>
      </c>
      <c r="M404">
        <f>MID(D404,FIND(";",SUBSTITUTE(D404,"|",REPT(";",LEN(D404)),3))+1,FIND(";",SUBSTITUTE(D404,"|",REPT(";",LEN(D404)),4))-FIND(";",SUBSTITUTE(D404,"|",REPT(";",LEN(D404)),3))-1)</f>
        <v/>
      </c>
      <c r="N404">
        <f>MID(D404,FIND(";",SUBSTITUTE(D404,"|",REPT(";",LEN(D404)),4))+1,LEN(D404))</f>
        <v/>
      </c>
    </row>
    <row r="405">
      <c r="A405" t="inlineStr">
        <is>
          <t>100201</t>
        </is>
      </c>
      <c r="B405" t="inlineStr">
        <is>
          <t>圆钢</t>
        </is>
      </c>
      <c r="C405" t="inlineStr">
        <is>
          <t>600620700</t>
        </is>
      </c>
      <c r="D405" t="inlineStr">
        <is>
          <t>热轧不锈圆钢|圆钢|20Cr13|Φ9|GB/T 1220-2007|热轧|GB/T 702-2008</t>
        </is>
      </c>
      <c r="E405" t="inlineStr">
        <is>
          <t>物资名称 热轧不锈圆钢;物资简称 圆钢;牌号 20Cr13;直径 Φ9;技术标准号 GB/T 1220-2007;加工工艺 热轧;热处理工艺 ;特殊要求 ;规格标准号 GB/T 702-2008</t>
        </is>
      </c>
      <c r="F405" t="inlineStr">
        <is>
          <t>千克</t>
        </is>
      </c>
      <c r="G405">
        <f>LEFT(D405,FIND("|",D405,1)-1)</f>
        <v/>
      </c>
      <c r="H405">
        <f>MID(D405,FIND("|",D405,FIND("|",D405,1))+1,FIND("|",D405,FIND("|",D405,1)+1)-FIND("|",D405,FIND("|",D405,1))-1)</f>
        <v/>
      </c>
      <c r="J405">
        <f>MID(D405,FIND(";",SUBSTITUTE(D405,"|",REPT(";",LEN(D405)),2))+1,FIND(";",SUBSTITUTE(D405,"|",REPT(";",LEN(D405)),3))-FIND(";",SUBSTITUTE(D405,"|",REPT(";",LEN(D405)),2))-1)</f>
        <v/>
      </c>
      <c r="K405">
        <f>MID(D405,FIND(";",SUBSTITUTE(D405,"|",REPT(";",LEN(D405)),3))+1,FIND(";",SUBSTITUTE(D405,"|",REPT(";",LEN(D405)),4))-FIND(";",SUBSTITUTE(D405,"|",REPT(";",LEN(D405)),3))-1)</f>
        <v/>
      </c>
      <c r="M405">
        <f>MID(D405,FIND(";",SUBSTITUTE(D405,"|",REPT(";",LEN(D405)),4))+1,FIND(";",SUBSTITUTE(D405,"|",REPT(";",LEN(D405)),5))-FIND(";",SUBSTITUTE(D405,"|",REPT(";",LEN(D405)),4))-1)</f>
        <v/>
      </c>
      <c r="N405">
        <f>MID(D405,FIND(";",SUBSTITUTE(D405,"|",REPT(";",LEN(D405)),6))+1,LEN(D405))</f>
        <v/>
      </c>
      <c r="O405">
        <f>MID(D405,FIND(";",SUBSTITUTE(D405,"|",REPT(";",LEN(D405)),5))+1,FIND(";",SUBSTITUTE(D405,"|",REPT(";",LEN(D405)),6))-FIND(";",SUBSTITUTE(D405,"|",REPT(";",LEN(D405)),5))-1)</f>
        <v/>
      </c>
    </row>
    <row r="406">
      <c r="A406" t="inlineStr">
        <is>
          <t>100201</t>
        </is>
      </c>
      <c r="B406" t="inlineStr">
        <is>
          <t>圆钢</t>
        </is>
      </c>
      <c r="C406" t="inlineStr">
        <is>
          <t>600620600</t>
        </is>
      </c>
      <c r="D406" t="inlineStr">
        <is>
          <t>热轧不锈圆钢|圆钢|20Cr13|Φ10|GB/T 1220-2007|热轧|GB/T 702-2008</t>
        </is>
      </c>
      <c r="E406" t="inlineStr">
        <is>
          <t>物资名称 热轧不锈圆钢;物资简称 圆钢;牌号 20Cr13;直径 Φ10;技术标准号 GB/T 1220-2007;加工工艺 热轧;热处理工艺 ;特殊要求 ;规格标准号 GB/T 702-2008</t>
        </is>
      </c>
      <c r="F406" t="inlineStr">
        <is>
          <t>千克</t>
        </is>
      </c>
      <c r="G406">
        <f>LEFT(D406,FIND("|",D406,1)-1)</f>
        <v/>
      </c>
      <c r="H406">
        <f>MID(D406,FIND("|",D406,FIND("|",D406,1))+1,FIND("|",D406,FIND("|",D406,1)+1)-FIND("|",D406,FIND("|",D406,1))-1)</f>
        <v/>
      </c>
      <c r="J406">
        <f>MID(D406,FIND(";",SUBSTITUTE(D406,"|",REPT(";",LEN(D406)),2))+1,FIND(";",SUBSTITUTE(D406,"|",REPT(";",LEN(D406)),3))-FIND(";",SUBSTITUTE(D406,"|",REPT(";",LEN(D406)),2))-1)</f>
        <v/>
      </c>
      <c r="K406">
        <f>MID(D406,FIND(";",SUBSTITUTE(D406,"|",REPT(";",LEN(D406)),3))+1,FIND(";",SUBSTITUTE(D406,"|",REPT(";",LEN(D406)),4))-FIND(";",SUBSTITUTE(D406,"|",REPT(";",LEN(D406)),3))-1)</f>
        <v/>
      </c>
      <c r="M406">
        <f>MID(D406,FIND(";",SUBSTITUTE(D406,"|",REPT(";",LEN(D406)),4))+1,FIND(";",SUBSTITUTE(D406,"|",REPT(";",LEN(D406)),5))-FIND(";",SUBSTITUTE(D406,"|",REPT(";",LEN(D406)),4))-1)</f>
        <v/>
      </c>
      <c r="N406">
        <f>MID(D406,FIND(";",SUBSTITUTE(D406,"|",REPT(";",LEN(D406)),6))+1,LEN(D406))</f>
        <v/>
      </c>
      <c r="O406">
        <f>MID(D406,FIND(";",SUBSTITUTE(D406,"|",REPT(";",LEN(D406)),5))+1,FIND(";",SUBSTITUTE(D406,"|",REPT(";",LEN(D406)),6))-FIND(";",SUBSTITUTE(D406,"|",REPT(";",LEN(D406)),5))-1)</f>
        <v/>
      </c>
    </row>
    <row r="407">
      <c r="A407" t="inlineStr">
        <is>
          <t>100201</t>
        </is>
      </c>
      <c r="B407" t="inlineStr">
        <is>
          <t>圆钢</t>
        </is>
      </c>
      <c r="C407" t="inlineStr">
        <is>
          <t>600620500</t>
        </is>
      </c>
      <c r="D407" t="inlineStr">
        <is>
          <t>热轧不锈圆钢|圆钢|20Cr13|Φ12|GB/T 1220-2007|热轧|GB/T 702-2008</t>
        </is>
      </c>
      <c r="E407" t="inlineStr">
        <is>
          <t>物资名称 热轧不锈圆钢;物资简称 圆钢;牌号 20Cr13;直径 Φ12;技术标准号 GB/T 1220-2007;加工工艺 热轧;热处理工艺 ;特殊要求 ;规格标准号 GB/T 702-2008</t>
        </is>
      </c>
      <c r="F407" t="inlineStr">
        <is>
          <t>千克</t>
        </is>
      </c>
      <c r="G407">
        <f>LEFT(D407,FIND("|",D407,1)-1)</f>
        <v/>
      </c>
      <c r="H407">
        <f>MID(D407,FIND("|",D407,FIND("|",D407,1))+1,FIND("|",D407,FIND("|",D407,1)+1)-FIND("|",D407,FIND("|",D407,1))-1)</f>
        <v/>
      </c>
      <c r="J407">
        <f>MID(D407,FIND(";",SUBSTITUTE(D407,"|",REPT(";",LEN(D407)),2))+1,FIND(";",SUBSTITUTE(D407,"|",REPT(";",LEN(D407)),3))-FIND(";",SUBSTITUTE(D407,"|",REPT(";",LEN(D407)),2))-1)</f>
        <v/>
      </c>
      <c r="K407">
        <f>MID(D407,FIND(";",SUBSTITUTE(D407,"|",REPT(";",LEN(D407)),3))+1,FIND(";",SUBSTITUTE(D407,"|",REPT(";",LEN(D407)),4))-FIND(";",SUBSTITUTE(D407,"|",REPT(";",LEN(D407)),3))-1)</f>
        <v/>
      </c>
      <c r="M407">
        <f>MID(D407,FIND(";",SUBSTITUTE(D407,"|",REPT(";",LEN(D407)),4))+1,FIND(";",SUBSTITUTE(D407,"|",REPT(";",LEN(D407)),5))-FIND(";",SUBSTITUTE(D407,"|",REPT(";",LEN(D407)),4))-1)</f>
        <v/>
      </c>
      <c r="N407">
        <f>MID(D407,FIND(";",SUBSTITUTE(D407,"|",REPT(";",LEN(D407)),6))+1,LEN(D407))</f>
        <v/>
      </c>
      <c r="O407">
        <f>MID(D407,FIND(";",SUBSTITUTE(D407,"|",REPT(";",LEN(D407)),5))+1,FIND(";",SUBSTITUTE(D407,"|",REPT(";",LEN(D407)),6))-FIND(";",SUBSTITUTE(D407,"|",REPT(";",LEN(D407)),5))-1)</f>
        <v/>
      </c>
    </row>
    <row r="408">
      <c r="A408" t="inlineStr">
        <is>
          <t>100201</t>
        </is>
      </c>
      <c r="B408" t="inlineStr">
        <is>
          <t>圆钢</t>
        </is>
      </c>
      <c r="C408" t="inlineStr">
        <is>
          <t>600620400</t>
        </is>
      </c>
      <c r="D408" t="inlineStr">
        <is>
          <t>热轧不锈圆钢|圆钢|20Cr13|Φ14|GB/T 1220-2007|热轧|GB/T 702-2008</t>
        </is>
      </c>
      <c r="E408" t="inlineStr">
        <is>
          <t>物资名称 热轧不锈圆钢;物资简称 圆钢;牌号 20Cr13;直径 Φ14;技术标准号 GB/T 1220-2007;加工工艺 热轧;热处理工艺 ;特殊要求 ;规格标准号 GB/T 702-2008</t>
        </is>
      </c>
      <c r="F408" t="inlineStr">
        <is>
          <t>千克</t>
        </is>
      </c>
      <c r="G408">
        <f>LEFT(D408,FIND("|",D408,1)-1)</f>
        <v/>
      </c>
      <c r="H408">
        <f>MID(D408,FIND("|",D408,FIND("|",D408,1))+1,FIND("|",D408,FIND("|",D408,1)+1)-FIND("|",D408,FIND("|",D408,1))-1)</f>
        <v/>
      </c>
      <c r="J408">
        <f>MID(D408,FIND(";",SUBSTITUTE(D408,"|",REPT(";",LEN(D408)),2))+1,FIND(";",SUBSTITUTE(D408,"|",REPT(";",LEN(D408)),3))-FIND(";",SUBSTITUTE(D408,"|",REPT(";",LEN(D408)),2))-1)</f>
        <v/>
      </c>
      <c r="K408">
        <f>MID(D408,FIND(";",SUBSTITUTE(D408,"|",REPT(";",LEN(D408)),3))+1,FIND(";",SUBSTITUTE(D408,"|",REPT(";",LEN(D408)),4))-FIND(";",SUBSTITUTE(D408,"|",REPT(";",LEN(D408)),3))-1)</f>
        <v/>
      </c>
      <c r="M408">
        <f>MID(D408,FIND(";",SUBSTITUTE(D408,"|",REPT(";",LEN(D408)),4))+1,FIND(";",SUBSTITUTE(D408,"|",REPT(";",LEN(D408)),5))-FIND(";",SUBSTITUTE(D408,"|",REPT(";",LEN(D408)),4))-1)</f>
        <v/>
      </c>
      <c r="N408">
        <f>MID(D408,FIND(";",SUBSTITUTE(D408,"|",REPT(";",LEN(D408)),6))+1,LEN(D408))</f>
        <v/>
      </c>
      <c r="O408">
        <f>MID(D408,FIND(";",SUBSTITUTE(D408,"|",REPT(";",LEN(D408)),5))+1,FIND(";",SUBSTITUTE(D408,"|",REPT(";",LEN(D408)),6))-FIND(";",SUBSTITUTE(D408,"|",REPT(";",LEN(D408)),5))-1)</f>
        <v/>
      </c>
    </row>
    <row r="409">
      <c r="A409" t="inlineStr">
        <is>
          <t>100201</t>
        </is>
      </c>
      <c r="B409" t="inlineStr">
        <is>
          <t>圆钢</t>
        </is>
      </c>
      <c r="C409" t="inlineStr">
        <is>
          <t>600620300</t>
        </is>
      </c>
      <c r="D409" t="inlineStr">
        <is>
          <t>热轧不锈圆钢|圆钢|20Cr13|Φ16|GB/T 1220-2007|热轧|GB/T 702-2008</t>
        </is>
      </c>
      <c r="E409" t="inlineStr">
        <is>
          <t>物资名称 热轧不锈圆钢;物资简称 圆钢;牌号 20Cr13;直径 Φ16;技术标准号 GB/T 1220-2007;加工工艺 热轧;热处理工艺 ;特殊要求 ;规格标准号 GB/T 702-2008</t>
        </is>
      </c>
      <c r="F409" t="inlineStr">
        <is>
          <t>千克</t>
        </is>
      </c>
      <c r="G409">
        <f>LEFT(D409,FIND("|",D409,1)-1)</f>
        <v/>
      </c>
      <c r="H409">
        <f>MID(D409,FIND("|",D409,FIND("|",D409,1))+1,FIND("|",D409,FIND("|",D409,1)+1)-FIND("|",D409,FIND("|",D409,1))-1)</f>
        <v/>
      </c>
      <c r="J409">
        <f>MID(D409,FIND(";",SUBSTITUTE(D409,"|",REPT(";",LEN(D409)),2))+1,FIND(";",SUBSTITUTE(D409,"|",REPT(";",LEN(D409)),3))-FIND(";",SUBSTITUTE(D409,"|",REPT(";",LEN(D409)),2))-1)</f>
        <v/>
      </c>
      <c r="K409">
        <f>MID(D409,FIND(";",SUBSTITUTE(D409,"|",REPT(";",LEN(D409)),3))+1,FIND(";",SUBSTITUTE(D409,"|",REPT(";",LEN(D409)),4))-FIND(";",SUBSTITUTE(D409,"|",REPT(";",LEN(D409)),3))-1)</f>
        <v/>
      </c>
      <c r="M409">
        <f>MID(D409,FIND(";",SUBSTITUTE(D409,"|",REPT(";",LEN(D409)),4))+1,FIND(";",SUBSTITUTE(D409,"|",REPT(";",LEN(D409)),5))-FIND(";",SUBSTITUTE(D409,"|",REPT(";",LEN(D409)),4))-1)</f>
        <v/>
      </c>
      <c r="N409">
        <f>MID(D409,FIND(";",SUBSTITUTE(D409,"|",REPT(";",LEN(D409)),6))+1,LEN(D409))</f>
        <v/>
      </c>
      <c r="O409">
        <f>MID(D409,FIND(";",SUBSTITUTE(D409,"|",REPT(";",LEN(D409)),5))+1,FIND(";",SUBSTITUTE(D409,"|",REPT(";",LEN(D409)),6))-FIND(";",SUBSTITUTE(D409,"|",REPT(";",LEN(D409)),5))-1)</f>
        <v/>
      </c>
    </row>
    <row r="410">
      <c r="A410" t="inlineStr">
        <is>
          <t>100201</t>
        </is>
      </c>
      <c r="B410" t="inlineStr">
        <is>
          <t>圆钢</t>
        </is>
      </c>
      <c r="C410" t="inlineStr">
        <is>
          <t>600620200</t>
        </is>
      </c>
      <c r="D410" t="inlineStr">
        <is>
          <t>热轧不锈圆钢|圆钢|20Cr13|Φ18|GB/T 1220-2007|热轧|GB/T 702-2008</t>
        </is>
      </c>
      <c r="E410" t="inlineStr">
        <is>
          <t>物资名称 热轧不锈圆钢;物资简称 圆钢;牌号 20Cr13;直径 Φ18;技术标准号 GB/T 1220-2007;加工工艺 热轧;热处理工艺 ;特殊要求 ;规格标准号 GB/T 702-2008</t>
        </is>
      </c>
      <c r="F410" t="inlineStr">
        <is>
          <t>千克</t>
        </is>
      </c>
      <c r="G410">
        <f>LEFT(D410,FIND("|",D410,1)-1)</f>
        <v/>
      </c>
      <c r="H410">
        <f>MID(D410,FIND("|",D410,FIND("|",D410,1))+1,FIND("|",D410,FIND("|",D410,1)+1)-FIND("|",D410,FIND("|",D410,1))-1)</f>
        <v/>
      </c>
      <c r="J410">
        <f>MID(D410,FIND(";",SUBSTITUTE(D410,"|",REPT(";",LEN(D410)),2))+1,FIND(";",SUBSTITUTE(D410,"|",REPT(";",LEN(D410)),3))-FIND(";",SUBSTITUTE(D410,"|",REPT(";",LEN(D410)),2))-1)</f>
        <v/>
      </c>
      <c r="K410">
        <f>MID(D410,FIND(";",SUBSTITUTE(D410,"|",REPT(";",LEN(D410)),3))+1,FIND(";",SUBSTITUTE(D410,"|",REPT(";",LEN(D410)),4))-FIND(";",SUBSTITUTE(D410,"|",REPT(";",LEN(D410)),3))-1)</f>
        <v/>
      </c>
      <c r="M410">
        <f>MID(D410,FIND(";",SUBSTITUTE(D410,"|",REPT(";",LEN(D410)),4))+1,FIND(";",SUBSTITUTE(D410,"|",REPT(";",LEN(D410)),5))-FIND(";",SUBSTITUTE(D410,"|",REPT(";",LEN(D410)),4))-1)</f>
        <v/>
      </c>
      <c r="N410">
        <f>MID(D410,FIND(";",SUBSTITUTE(D410,"|",REPT(";",LEN(D410)),6))+1,LEN(D410))</f>
        <v/>
      </c>
      <c r="O410">
        <f>MID(D410,FIND(";",SUBSTITUTE(D410,"|",REPT(";",LEN(D410)),5))+1,FIND(";",SUBSTITUTE(D410,"|",REPT(";",LEN(D410)),6))-FIND(";",SUBSTITUTE(D410,"|",REPT(";",LEN(D410)),5))-1)</f>
        <v/>
      </c>
    </row>
    <row r="411">
      <c r="A411" t="inlineStr">
        <is>
          <t>100201</t>
        </is>
      </c>
      <c r="B411" t="inlineStr">
        <is>
          <t>圆钢</t>
        </is>
      </c>
      <c r="C411" t="inlineStr">
        <is>
          <t>600620100</t>
        </is>
      </c>
      <c r="D411" t="inlineStr">
        <is>
          <t>热轧不锈圆钢|圆钢|20Cr13|Φ20|GB/T 1220-2007|热轧|GB/T 702-2008</t>
        </is>
      </c>
      <c r="E411" t="inlineStr">
        <is>
          <t>物资名称 热轧不锈圆钢;物资简称 圆钢;牌号 20Cr13;直径 Φ20;技术标准号 GB/T 1220-2007;加工工艺 热轧;热处理工艺 ;特殊要求 ;规格标准号 GB/T 702-2008</t>
        </is>
      </c>
      <c r="F411" t="inlineStr">
        <is>
          <t>千克</t>
        </is>
      </c>
      <c r="G411">
        <f>LEFT(D411,FIND("|",D411,1)-1)</f>
        <v/>
      </c>
      <c r="H411">
        <f>MID(D411,FIND("|",D411,FIND("|",D411,1))+1,FIND("|",D411,FIND("|",D411,1)+1)-FIND("|",D411,FIND("|",D411,1))-1)</f>
        <v/>
      </c>
      <c r="J411">
        <f>MID(D411,FIND(";",SUBSTITUTE(D411,"|",REPT(";",LEN(D411)),2))+1,FIND(";",SUBSTITUTE(D411,"|",REPT(";",LEN(D411)),3))-FIND(";",SUBSTITUTE(D411,"|",REPT(";",LEN(D411)),2))-1)</f>
        <v/>
      </c>
      <c r="K411">
        <f>MID(D411,FIND(";",SUBSTITUTE(D411,"|",REPT(";",LEN(D411)),3))+1,FIND(";",SUBSTITUTE(D411,"|",REPT(";",LEN(D411)),4))-FIND(";",SUBSTITUTE(D411,"|",REPT(";",LEN(D411)),3))-1)</f>
        <v/>
      </c>
      <c r="M411">
        <f>MID(D411,FIND(";",SUBSTITUTE(D411,"|",REPT(";",LEN(D411)),4))+1,FIND(";",SUBSTITUTE(D411,"|",REPT(";",LEN(D411)),5))-FIND(";",SUBSTITUTE(D411,"|",REPT(";",LEN(D411)),4))-1)</f>
        <v/>
      </c>
      <c r="N411">
        <f>MID(D411,FIND(";",SUBSTITUTE(D411,"|",REPT(";",LEN(D411)),6))+1,LEN(D411))</f>
        <v/>
      </c>
      <c r="O411">
        <f>MID(D411,FIND(";",SUBSTITUTE(D411,"|",REPT(";",LEN(D411)),5))+1,FIND(";",SUBSTITUTE(D411,"|",REPT(";",LEN(D411)),6))-FIND(";",SUBSTITUTE(D411,"|",REPT(";",LEN(D411)),5))-1)</f>
        <v/>
      </c>
    </row>
    <row r="412">
      <c r="A412" t="inlineStr">
        <is>
          <t>100201</t>
        </is>
      </c>
      <c r="B412" t="inlineStr">
        <is>
          <t>圆钢</t>
        </is>
      </c>
      <c r="C412" t="inlineStr">
        <is>
          <t>600620000</t>
        </is>
      </c>
      <c r="D412" t="inlineStr">
        <is>
          <t>热轧不锈圆钢|圆钢|20Cr13|Φ22|GB/T 1220-2007|热轧|GB/T 702-2008</t>
        </is>
      </c>
      <c r="E412" t="inlineStr">
        <is>
          <t>物资名称 热轧不锈圆钢;物资简称 圆钢;牌号 20Cr13;直径 Φ22;技术标准号 GB/T 1220-2007;加工工艺 热轧;热处理工艺 ;特殊要求 ;规格标准号 GB/T 702-2008</t>
        </is>
      </c>
      <c r="F412" t="inlineStr">
        <is>
          <t>千克</t>
        </is>
      </c>
      <c r="G412">
        <f>LEFT(D412,FIND("|",D412,1)-1)</f>
        <v/>
      </c>
      <c r="H412">
        <f>MID(D412,FIND("|",D412,FIND("|",D412,1))+1,FIND("|",D412,FIND("|",D412,1)+1)-FIND("|",D412,FIND("|",D412,1))-1)</f>
        <v/>
      </c>
      <c r="J412">
        <f>MID(D412,FIND(";",SUBSTITUTE(D412,"|",REPT(";",LEN(D412)),2))+1,FIND(";",SUBSTITUTE(D412,"|",REPT(";",LEN(D412)),3))-FIND(";",SUBSTITUTE(D412,"|",REPT(";",LEN(D412)),2))-1)</f>
        <v/>
      </c>
      <c r="K412">
        <f>MID(D412,FIND(";",SUBSTITUTE(D412,"|",REPT(";",LEN(D412)),3))+1,FIND(";",SUBSTITUTE(D412,"|",REPT(";",LEN(D412)),4))-FIND(";",SUBSTITUTE(D412,"|",REPT(";",LEN(D412)),3))-1)</f>
        <v/>
      </c>
      <c r="M412">
        <f>MID(D412,FIND(";",SUBSTITUTE(D412,"|",REPT(";",LEN(D412)),4))+1,FIND(";",SUBSTITUTE(D412,"|",REPT(";",LEN(D412)),5))-FIND(";",SUBSTITUTE(D412,"|",REPT(";",LEN(D412)),4))-1)</f>
        <v/>
      </c>
      <c r="N412">
        <f>MID(D412,FIND(";",SUBSTITUTE(D412,"|",REPT(";",LEN(D412)),6))+1,LEN(D412))</f>
        <v/>
      </c>
      <c r="O412">
        <f>MID(D412,FIND(";",SUBSTITUTE(D412,"|",REPT(";",LEN(D412)),5))+1,FIND(";",SUBSTITUTE(D412,"|",REPT(";",LEN(D412)),6))-FIND(";",SUBSTITUTE(D412,"|",REPT(";",LEN(D412)),5))-1)</f>
        <v/>
      </c>
    </row>
    <row r="413">
      <c r="A413" t="inlineStr">
        <is>
          <t>100201</t>
        </is>
      </c>
      <c r="B413" t="inlineStr">
        <is>
          <t>圆钢</t>
        </is>
      </c>
      <c r="C413" t="inlineStr">
        <is>
          <t>600619900</t>
        </is>
      </c>
      <c r="D413" t="inlineStr">
        <is>
          <t>热轧不锈圆钢|圆钢|20Cr13|Φ25|GB/T 1220-2007|热轧|GB/T 702-2008</t>
        </is>
      </c>
      <c r="E413" t="inlineStr">
        <is>
          <t>物资名称 热轧不锈圆钢;物资简称 圆钢;牌号 20Cr13;直径 Φ25;技术标准号 GB/T 1220-2007;加工工艺 热轧;热处理工艺 ;特殊要求 ;规格标准号 GB/T 702-2008</t>
        </is>
      </c>
      <c r="F413" t="inlineStr">
        <is>
          <t>千克</t>
        </is>
      </c>
      <c r="G413">
        <f>LEFT(D413,FIND("|",D413,1)-1)</f>
        <v/>
      </c>
      <c r="H413">
        <f>MID(D413,FIND("|",D413,FIND("|",D413,1))+1,FIND("|",D413,FIND("|",D413,1)+1)-FIND("|",D413,FIND("|",D413,1))-1)</f>
        <v/>
      </c>
      <c r="J413">
        <f>MID(D413,FIND(";",SUBSTITUTE(D413,"|",REPT(";",LEN(D413)),2))+1,FIND(";",SUBSTITUTE(D413,"|",REPT(";",LEN(D413)),3))-FIND(";",SUBSTITUTE(D413,"|",REPT(";",LEN(D413)),2))-1)</f>
        <v/>
      </c>
      <c r="K413">
        <f>MID(D413,FIND(";",SUBSTITUTE(D413,"|",REPT(";",LEN(D413)),3))+1,FIND(";",SUBSTITUTE(D413,"|",REPT(";",LEN(D413)),4))-FIND(";",SUBSTITUTE(D413,"|",REPT(";",LEN(D413)),3))-1)</f>
        <v/>
      </c>
      <c r="M413">
        <f>MID(D413,FIND(";",SUBSTITUTE(D413,"|",REPT(";",LEN(D413)),4))+1,FIND(";",SUBSTITUTE(D413,"|",REPT(";",LEN(D413)),5))-FIND(";",SUBSTITUTE(D413,"|",REPT(";",LEN(D413)),4))-1)</f>
        <v/>
      </c>
      <c r="N413">
        <f>MID(D413,FIND(";",SUBSTITUTE(D413,"|",REPT(";",LEN(D413)),6))+1,LEN(D413))</f>
        <v/>
      </c>
      <c r="O413">
        <f>MID(D413,FIND(";",SUBSTITUTE(D413,"|",REPT(";",LEN(D413)),5))+1,FIND(";",SUBSTITUTE(D413,"|",REPT(";",LEN(D413)),6))-FIND(";",SUBSTITUTE(D413,"|",REPT(";",LEN(D413)),5))-1)</f>
        <v/>
      </c>
    </row>
    <row r="414">
      <c r="A414" t="inlineStr">
        <is>
          <t>100201</t>
        </is>
      </c>
      <c r="B414" t="inlineStr">
        <is>
          <t>圆钢</t>
        </is>
      </c>
      <c r="C414" t="inlineStr">
        <is>
          <t>600619800</t>
        </is>
      </c>
      <c r="D414" t="inlineStr">
        <is>
          <t>热轧不锈圆钢|圆钢|20Cr13|Φ28|GB/T 1220-2007|热轧|GB/T 702-2008</t>
        </is>
      </c>
      <c r="E414" t="inlineStr">
        <is>
          <t>物资名称 热轧不锈圆钢;物资简称 圆钢;牌号 20Cr13;直径 Φ28;技术标准号 GB/T 1220-2007;加工工艺 热轧;热处理工艺 ;特殊要求 ;规格标准号 GB/T 702-2008</t>
        </is>
      </c>
      <c r="F414" t="inlineStr">
        <is>
          <t>千克</t>
        </is>
      </c>
      <c r="G414">
        <f>LEFT(D414,FIND("|",D414,1)-1)</f>
        <v/>
      </c>
      <c r="H414">
        <f>MID(D414,FIND("|",D414,FIND("|",D414,1))+1,FIND("|",D414,FIND("|",D414,1)+1)-FIND("|",D414,FIND("|",D414,1))-1)</f>
        <v/>
      </c>
      <c r="J414">
        <f>MID(D414,FIND(";",SUBSTITUTE(D414,"|",REPT(";",LEN(D414)),2))+1,FIND(";",SUBSTITUTE(D414,"|",REPT(";",LEN(D414)),3))-FIND(";",SUBSTITUTE(D414,"|",REPT(";",LEN(D414)),2))-1)</f>
        <v/>
      </c>
      <c r="K414">
        <f>MID(D414,FIND(";",SUBSTITUTE(D414,"|",REPT(";",LEN(D414)),3))+1,FIND(";",SUBSTITUTE(D414,"|",REPT(";",LEN(D414)),4))-FIND(";",SUBSTITUTE(D414,"|",REPT(";",LEN(D414)),3))-1)</f>
        <v/>
      </c>
      <c r="M414">
        <f>MID(D414,FIND(";",SUBSTITUTE(D414,"|",REPT(";",LEN(D414)),4))+1,FIND(";",SUBSTITUTE(D414,"|",REPT(";",LEN(D414)),5))-FIND(";",SUBSTITUTE(D414,"|",REPT(";",LEN(D414)),4))-1)</f>
        <v/>
      </c>
      <c r="N414">
        <f>MID(D414,FIND(";",SUBSTITUTE(D414,"|",REPT(";",LEN(D414)),6))+1,LEN(D414))</f>
        <v/>
      </c>
      <c r="O414">
        <f>MID(D414,FIND(";",SUBSTITUTE(D414,"|",REPT(";",LEN(D414)),5))+1,FIND(";",SUBSTITUTE(D414,"|",REPT(";",LEN(D414)),6))-FIND(";",SUBSTITUTE(D414,"|",REPT(";",LEN(D414)),5))-1)</f>
        <v/>
      </c>
    </row>
    <row r="415">
      <c r="A415" t="inlineStr">
        <is>
          <t>100201</t>
        </is>
      </c>
      <c r="B415" t="inlineStr">
        <is>
          <t>圆钢</t>
        </is>
      </c>
      <c r="C415" t="inlineStr">
        <is>
          <t>600619700</t>
        </is>
      </c>
      <c r="D415" t="inlineStr">
        <is>
          <t>热轧不锈圆钢|圆钢|20Cr13|Φ32|GB/T 1220-2007|热轧|GB/T 702-2008</t>
        </is>
      </c>
      <c r="E415" t="inlineStr">
        <is>
          <t>物资名称 热轧不锈圆钢;物资简称 圆钢;牌号 20Cr13;直径 Φ32;技术标准号 GB/T 1220-2007;加工工艺 热轧;热处理工艺 ;特殊要求 ;规格标准号 GB/T 702-2008</t>
        </is>
      </c>
      <c r="F415" t="inlineStr">
        <is>
          <t>千克</t>
        </is>
      </c>
      <c r="G415">
        <f>LEFT(D415,FIND("|",D415,1)-1)</f>
        <v/>
      </c>
      <c r="H415">
        <f>MID(D415,FIND("|",D415,FIND("|",D415,1))+1,FIND("|",D415,FIND("|",D415,1)+1)-FIND("|",D415,FIND("|",D415,1))-1)</f>
        <v/>
      </c>
      <c r="J415">
        <f>MID(D415,FIND(";",SUBSTITUTE(D415,"|",REPT(";",LEN(D415)),2))+1,FIND(";",SUBSTITUTE(D415,"|",REPT(";",LEN(D415)),3))-FIND(";",SUBSTITUTE(D415,"|",REPT(";",LEN(D415)),2))-1)</f>
        <v/>
      </c>
      <c r="K415">
        <f>MID(D415,FIND(";",SUBSTITUTE(D415,"|",REPT(";",LEN(D415)),3))+1,FIND(";",SUBSTITUTE(D415,"|",REPT(";",LEN(D415)),4))-FIND(";",SUBSTITUTE(D415,"|",REPT(";",LEN(D415)),3))-1)</f>
        <v/>
      </c>
      <c r="M415">
        <f>MID(D415,FIND(";",SUBSTITUTE(D415,"|",REPT(";",LEN(D415)),4))+1,FIND(";",SUBSTITUTE(D415,"|",REPT(";",LEN(D415)),5))-FIND(";",SUBSTITUTE(D415,"|",REPT(";",LEN(D415)),4))-1)</f>
        <v/>
      </c>
      <c r="N415">
        <f>MID(D415,FIND(";",SUBSTITUTE(D415,"|",REPT(";",LEN(D415)),6))+1,LEN(D415))</f>
        <v/>
      </c>
      <c r="O415">
        <f>MID(D415,FIND(";",SUBSTITUTE(D415,"|",REPT(";",LEN(D415)),5))+1,FIND(";",SUBSTITUTE(D415,"|",REPT(";",LEN(D415)),6))-FIND(";",SUBSTITUTE(D415,"|",REPT(";",LEN(D415)),5))-1)</f>
        <v/>
      </c>
    </row>
    <row r="416">
      <c r="A416" t="inlineStr">
        <is>
          <t>100201</t>
        </is>
      </c>
      <c r="B416" t="inlineStr">
        <is>
          <t>圆钢</t>
        </is>
      </c>
      <c r="C416" t="inlineStr">
        <is>
          <t>600619600</t>
        </is>
      </c>
      <c r="D416" t="inlineStr">
        <is>
          <t>热轧不锈圆钢|圆钢|20Cr13|Φ35|GB/T 1220-2007|热轧|GB/T 702-2008</t>
        </is>
      </c>
      <c r="E416" t="inlineStr">
        <is>
          <t>物资名称 热轧不锈圆钢;物资简称 圆钢;牌号 20Cr13;直径 Φ35;技术标准号 GB/T 1220-2007;加工工艺 热轧;热处理工艺 ;特殊要求 ;规格标准号 GB/T 702-2008</t>
        </is>
      </c>
      <c r="F416" t="inlineStr">
        <is>
          <t>千克</t>
        </is>
      </c>
      <c r="G416">
        <f>LEFT(D416,FIND("|",D416,1)-1)</f>
        <v/>
      </c>
      <c r="H416">
        <f>MID(D416,FIND("|",D416,FIND("|",D416,1))+1,FIND("|",D416,FIND("|",D416,1)+1)-FIND("|",D416,FIND("|",D416,1))-1)</f>
        <v/>
      </c>
      <c r="J416">
        <f>MID(D416,FIND(";",SUBSTITUTE(D416,"|",REPT(";",LEN(D416)),2))+1,FIND(";",SUBSTITUTE(D416,"|",REPT(";",LEN(D416)),3))-FIND(";",SUBSTITUTE(D416,"|",REPT(";",LEN(D416)),2))-1)</f>
        <v/>
      </c>
      <c r="K416">
        <f>MID(D416,FIND(";",SUBSTITUTE(D416,"|",REPT(";",LEN(D416)),3))+1,FIND(";",SUBSTITUTE(D416,"|",REPT(";",LEN(D416)),4))-FIND(";",SUBSTITUTE(D416,"|",REPT(";",LEN(D416)),3))-1)</f>
        <v/>
      </c>
      <c r="M416">
        <f>MID(D416,FIND(";",SUBSTITUTE(D416,"|",REPT(";",LEN(D416)),4))+1,FIND(";",SUBSTITUTE(D416,"|",REPT(";",LEN(D416)),5))-FIND(";",SUBSTITUTE(D416,"|",REPT(";",LEN(D416)),4))-1)</f>
        <v/>
      </c>
      <c r="N416">
        <f>MID(D416,FIND(";",SUBSTITUTE(D416,"|",REPT(";",LEN(D416)),6))+1,LEN(D416))</f>
        <v/>
      </c>
      <c r="O416">
        <f>MID(D416,FIND(";",SUBSTITUTE(D416,"|",REPT(";",LEN(D416)),5))+1,FIND(";",SUBSTITUTE(D416,"|",REPT(";",LEN(D416)),6))-FIND(";",SUBSTITUTE(D416,"|",REPT(";",LEN(D416)),5))-1)</f>
        <v/>
      </c>
    </row>
    <row r="417">
      <c r="A417" t="inlineStr">
        <is>
          <t>100201</t>
        </is>
      </c>
      <c r="B417" t="inlineStr">
        <is>
          <t>圆钢</t>
        </is>
      </c>
      <c r="C417" t="inlineStr">
        <is>
          <t>600619500</t>
        </is>
      </c>
      <c r="D417" t="inlineStr">
        <is>
          <t>热轧不锈圆钢|圆钢|20Cr13|Φ36|GB/T 1220-2007|热轧|GB/T 702-2008</t>
        </is>
      </c>
      <c r="E417" t="inlineStr">
        <is>
          <t>物资名称 热轧不锈圆钢;物资简称 圆钢;牌号 20Cr13;直径 Φ36;技术标准号 GB/T 1220-2007;加工工艺 热轧;热处理工艺 ;特殊要求 ;规格标准号 GB/T 702-2008</t>
        </is>
      </c>
      <c r="F417" t="inlineStr">
        <is>
          <t>千克</t>
        </is>
      </c>
      <c r="G417">
        <f>LEFT(D417,FIND("|",D417,1)-1)</f>
        <v/>
      </c>
      <c r="H417">
        <f>MID(D417,FIND("|",D417,FIND("|",D417,1))+1,FIND("|",D417,FIND("|",D417,1)+1)-FIND("|",D417,FIND("|",D417,1))-1)</f>
        <v/>
      </c>
      <c r="J417">
        <f>MID(D417,FIND(";",SUBSTITUTE(D417,"|",REPT(";",LEN(D417)),2))+1,FIND(";",SUBSTITUTE(D417,"|",REPT(";",LEN(D417)),3))-FIND(";",SUBSTITUTE(D417,"|",REPT(";",LEN(D417)),2))-1)</f>
        <v/>
      </c>
      <c r="K417">
        <f>MID(D417,FIND(";",SUBSTITUTE(D417,"|",REPT(";",LEN(D417)),3))+1,FIND(";",SUBSTITUTE(D417,"|",REPT(";",LEN(D417)),4))-FIND(";",SUBSTITUTE(D417,"|",REPT(";",LEN(D417)),3))-1)</f>
        <v/>
      </c>
      <c r="M417">
        <f>MID(D417,FIND(";",SUBSTITUTE(D417,"|",REPT(";",LEN(D417)),4))+1,FIND(";",SUBSTITUTE(D417,"|",REPT(";",LEN(D417)),5))-FIND(";",SUBSTITUTE(D417,"|",REPT(";",LEN(D417)),4))-1)</f>
        <v/>
      </c>
      <c r="N417">
        <f>MID(D417,FIND(";",SUBSTITUTE(D417,"|",REPT(";",LEN(D417)),6))+1,LEN(D417))</f>
        <v/>
      </c>
      <c r="O417">
        <f>MID(D417,FIND(";",SUBSTITUTE(D417,"|",REPT(";",LEN(D417)),5))+1,FIND(";",SUBSTITUTE(D417,"|",REPT(";",LEN(D417)),6))-FIND(";",SUBSTITUTE(D417,"|",REPT(";",LEN(D417)),5))-1)</f>
        <v/>
      </c>
    </row>
    <row r="418">
      <c r="A418" t="inlineStr">
        <is>
          <t>100201</t>
        </is>
      </c>
      <c r="B418" t="inlineStr">
        <is>
          <t>圆钢</t>
        </is>
      </c>
      <c r="C418" t="inlineStr">
        <is>
          <t>600619400</t>
        </is>
      </c>
      <c r="D418" t="inlineStr">
        <is>
          <t>热轧不锈圆钢|圆钢|20Cr13|Φ42|GB/T 1220-2007|热轧|GB/T 702-2008</t>
        </is>
      </c>
      <c r="E418" t="inlineStr">
        <is>
          <t>物资名称 热轧不锈圆钢;物资简称 圆钢;牌号 20Cr13;直径 Φ42;技术标准号 GB/T 1220-2007;加工工艺 热轧;热处理工艺 ;特殊要求 ;规格标准号 GB/T 702-2008</t>
        </is>
      </c>
      <c r="F418" t="inlineStr">
        <is>
          <t>千克</t>
        </is>
      </c>
      <c r="G418">
        <f>LEFT(D418,FIND("|",D418,1)-1)</f>
        <v/>
      </c>
      <c r="H418">
        <f>MID(D418,FIND("|",D418,FIND("|",D418,1))+1,FIND("|",D418,FIND("|",D418,1)+1)-FIND("|",D418,FIND("|",D418,1))-1)</f>
        <v/>
      </c>
      <c r="J418">
        <f>MID(D418,FIND(";",SUBSTITUTE(D418,"|",REPT(";",LEN(D418)),2))+1,FIND(";",SUBSTITUTE(D418,"|",REPT(";",LEN(D418)),3))-FIND(";",SUBSTITUTE(D418,"|",REPT(";",LEN(D418)),2))-1)</f>
        <v/>
      </c>
      <c r="K418">
        <f>MID(D418,FIND(";",SUBSTITUTE(D418,"|",REPT(";",LEN(D418)),3))+1,FIND(";",SUBSTITUTE(D418,"|",REPT(";",LEN(D418)),4))-FIND(";",SUBSTITUTE(D418,"|",REPT(";",LEN(D418)),3))-1)</f>
        <v/>
      </c>
      <c r="M418">
        <f>MID(D418,FIND(";",SUBSTITUTE(D418,"|",REPT(";",LEN(D418)),4))+1,FIND(";",SUBSTITUTE(D418,"|",REPT(";",LEN(D418)),5))-FIND(";",SUBSTITUTE(D418,"|",REPT(";",LEN(D418)),4))-1)</f>
        <v/>
      </c>
      <c r="N418">
        <f>MID(D418,FIND(";",SUBSTITUTE(D418,"|",REPT(";",LEN(D418)),6))+1,LEN(D418))</f>
        <v/>
      </c>
      <c r="O418">
        <f>MID(D418,FIND(";",SUBSTITUTE(D418,"|",REPT(";",LEN(D418)),5))+1,FIND(";",SUBSTITUTE(D418,"|",REPT(";",LEN(D418)),6))-FIND(";",SUBSTITUTE(D418,"|",REPT(";",LEN(D418)),5))-1)</f>
        <v/>
      </c>
    </row>
    <row r="419">
      <c r="A419" t="inlineStr">
        <is>
          <t>100201</t>
        </is>
      </c>
      <c r="B419" t="inlineStr">
        <is>
          <t>圆钢</t>
        </is>
      </c>
      <c r="C419" t="inlineStr">
        <is>
          <t>600619300</t>
        </is>
      </c>
      <c r="D419" t="inlineStr">
        <is>
          <t>热轧不锈圆钢|圆钢|20Cr13|Φ45|GB/T 1220-2007|热轧|GB/T 702-2008</t>
        </is>
      </c>
      <c r="E419" t="inlineStr">
        <is>
          <t>物资名称 热轧不锈圆钢;物资简称 圆钢;牌号 20Cr13;直径 Φ45;技术标准号 GB/T 1220-2007;加工工艺 热轧;热处理工艺 ;特殊要求 ;规格标准号 GB/T 702-2008</t>
        </is>
      </c>
      <c r="F419" t="inlineStr">
        <is>
          <t>千克</t>
        </is>
      </c>
      <c r="G419">
        <f>LEFT(D419,FIND("|",D419,1)-1)</f>
        <v/>
      </c>
      <c r="H419">
        <f>MID(D419,FIND("|",D419,FIND("|",D419,1))+1,FIND("|",D419,FIND("|",D419,1)+1)-FIND("|",D419,FIND("|",D419,1))-1)</f>
        <v/>
      </c>
      <c r="J419">
        <f>MID(D419,FIND(";",SUBSTITUTE(D419,"|",REPT(";",LEN(D419)),2))+1,FIND(";",SUBSTITUTE(D419,"|",REPT(";",LEN(D419)),3))-FIND(";",SUBSTITUTE(D419,"|",REPT(";",LEN(D419)),2))-1)</f>
        <v/>
      </c>
      <c r="K419">
        <f>MID(D419,FIND(";",SUBSTITUTE(D419,"|",REPT(";",LEN(D419)),3))+1,FIND(";",SUBSTITUTE(D419,"|",REPT(";",LEN(D419)),4))-FIND(";",SUBSTITUTE(D419,"|",REPT(";",LEN(D419)),3))-1)</f>
        <v/>
      </c>
      <c r="M419">
        <f>MID(D419,FIND(";",SUBSTITUTE(D419,"|",REPT(";",LEN(D419)),4))+1,FIND(";",SUBSTITUTE(D419,"|",REPT(";",LEN(D419)),5))-FIND(";",SUBSTITUTE(D419,"|",REPT(";",LEN(D419)),4))-1)</f>
        <v/>
      </c>
      <c r="N419">
        <f>MID(D419,FIND(";",SUBSTITUTE(D419,"|",REPT(";",LEN(D419)),6))+1,LEN(D419))</f>
        <v/>
      </c>
      <c r="O419">
        <f>MID(D419,FIND(";",SUBSTITUTE(D419,"|",REPT(";",LEN(D419)),5))+1,FIND(";",SUBSTITUTE(D419,"|",REPT(";",LEN(D419)),6))-FIND(";",SUBSTITUTE(D419,"|",REPT(";",LEN(D419)),5))-1)</f>
        <v/>
      </c>
    </row>
    <row r="420">
      <c r="A420" t="inlineStr">
        <is>
          <t>100201</t>
        </is>
      </c>
      <c r="B420" t="inlineStr">
        <is>
          <t>圆钢</t>
        </is>
      </c>
      <c r="C420" t="inlineStr">
        <is>
          <t>600619200</t>
        </is>
      </c>
      <c r="D420" t="inlineStr">
        <is>
          <t>热轧不锈圆钢|圆钢|20Cr13|Φ50|GB/T 1220-2007|热轧|GB/T 702-2008</t>
        </is>
      </c>
      <c r="E420" t="inlineStr">
        <is>
          <t>物资名称 热轧不锈圆钢;物资简称 圆钢;牌号 20Cr13;直径 Φ50;技术标准号 GB/T 1220-2007;加工工艺 热轧;热处理工艺 ;特殊要求 ;规格标准号 GB/T 702-2008</t>
        </is>
      </c>
      <c r="F420" t="inlineStr">
        <is>
          <t>千克</t>
        </is>
      </c>
      <c r="G420">
        <f>LEFT(D420,FIND("|",D420,1)-1)</f>
        <v/>
      </c>
      <c r="H420">
        <f>MID(D420,FIND("|",D420,FIND("|",D420,1))+1,FIND("|",D420,FIND("|",D420,1)+1)-FIND("|",D420,FIND("|",D420,1))-1)</f>
        <v/>
      </c>
      <c r="J420">
        <f>MID(D420,FIND(";",SUBSTITUTE(D420,"|",REPT(";",LEN(D420)),2))+1,FIND(";",SUBSTITUTE(D420,"|",REPT(";",LEN(D420)),3))-FIND(";",SUBSTITUTE(D420,"|",REPT(";",LEN(D420)),2))-1)</f>
        <v/>
      </c>
      <c r="K420">
        <f>MID(D420,FIND(";",SUBSTITUTE(D420,"|",REPT(";",LEN(D420)),3))+1,FIND(";",SUBSTITUTE(D420,"|",REPT(";",LEN(D420)),4))-FIND(";",SUBSTITUTE(D420,"|",REPT(";",LEN(D420)),3))-1)</f>
        <v/>
      </c>
      <c r="M420">
        <f>MID(D420,FIND(";",SUBSTITUTE(D420,"|",REPT(";",LEN(D420)),4))+1,FIND(";",SUBSTITUTE(D420,"|",REPT(";",LEN(D420)),5))-FIND(";",SUBSTITUTE(D420,"|",REPT(";",LEN(D420)),4))-1)</f>
        <v/>
      </c>
      <c r="N420">
        <f>MID(D420,FIND(";",SUBSTITUTE(D420,"|",REPT(";",LEN(D420)),6))+1,LEN(D420))</f>
        <v/>
      </c>
      <c r="O420">
        <f>MID(D420,FIND(";",SUBSTITUTE(D420,"|",REPT(";",LEN(D420)),5))+1,FIND(";",SUBSTITUTE(D420,"|",REPT(";",LEN(D420)),6))-FIND(";",SUBSTITUTE(D420,"|",REPT(";",LEN(D420)),5))-1)</f>
        <v/>
      </c>
    </row>
    <row r="421">
      <c r="A421" t="inlineStr">
        <is>
          <t>100201</t>
        </is>
      </c>
      <c r="B421" t="inlineStr">
        <is>
          <t>圆钢</t>
        </is>
      </c>
      <c r="C421" t="inlineStr">
        <is>
          <t>600619100</t>
        </is>
      </c>
      <c r="D421" t="inlineStr">
        <is>
          <t>热轧不锈圆钢|圆钢|20Cr13|Φ55|GB/T 1220-2007|热轧|GB/T 702-2008</t>
        </is>
      </c>
      <c r="E421" t="inlineStr">
        <is>
          <t>物资名称 热轧不锈圆钢;物资简称 圆钢;牌号 20Cr13;直径 Φ55;技术标准号 GB/T 1220-2007;加工工艺 热轧;热处理工艺 ;特殊要求 ;规格标准号 GB/T 702-2008</t>
        </is>
      </c>
      <c r="F421" t="inlineStr">
        <is>
          <t>千克</t>
        </is>
      </c>
      <c r="G421">
        <f>LEFT(D421,FIND("|",D421,1)-1)</f>
        <v/>
      </c>
      <c r="H421">
        <f>MID(D421,FIND("|",D421,FIND("|",D421,1))+1,FIND("|",D421,FIND("|",D421,1)+1)-FIND("|",D421,FIND("|",D421,1))-1)</f>
        <v/>
      </c>
      <c r="J421">
        <f>MID(D421,FIND(";",SUBSTITUTE(D421,"|",REPT(";",LEN(D421)),2))+1,FIND(";",SUBSTITUTE(D421,"|",REPT(";",LEN(D421)),3))-FIND(";",SUBSTITUTE(D421,"|",REPT(";",LEN(D421)),2))-1)</f>
        <v/>
      </c>
      <c r="K421">
        <f>MID(D421,FIND(";",SUBSTITUTE(D421,"|",REPT(";",LEN(D421)),3))+1,FIND(";",SUBSTITUTE(D421,"|",REPT(";",LEN(D421)),4))-FIND(";",SUBSTITUTE(D421,"|",REPT(";",LEN(D421)),3))-1)</f>
        <v/>
      </c>
      <c r="M421">
        <f>MID(D421,FIND(";",SUBSTITUTE(D421,"|",REPT(";",LEN(D421)),4))+1,FIND(";",SUBSTITUTE(D421,"|",REPT(";",LEN(D421)),5))-FIND(";",SUBSTITUTE(D421,"|",REPT(";",LEN(D421)),4))-1)</f>
        <v/>
      </c>
      <c r="N421">
        <f>MID(D421,FIND(";",SUBSTITUTE(D421,"|",REPT(";",LEN(D421)),6))+1,LEN(D421))</f>
        <v/>
      </c>
      <c r="O421">
        <f>MID(D421,FIND(";",SUBSTITUTE(D421,"|",REPT(";",LEN(D421)),5))+1,FIND(";",SUBSTITUTE(D421,"|",REPT(";",LEN(D421)),6))-FIND(";",SUBSTITUTE(D421,"|",REPT(";",LEN(D421)),5))-1)</f>
        <v/>
      </c>
    </row>
    <row r="422">
      <c r="A422" t="inlineStr">
        <is>
          <t>100201</t>
        </is>
      </c>
      <c r="B422" t="inlineStr">
        <is>
          <t>圆钢</t>
        </is>
      </c>
      <c r="C422" t="inlineStr">
        <is>
          <t>600619000</t>
        </is>
      </c>
      <c r="D422" t="inlineStr">
        <is>
          <t>热轧不锈圆钢|圆钢|20Cr13|Φ60|GB/T 1220-2007|热轧|GB/T 702-2008</t>
        </is>
      </c>
      <c r="E422" t="inlineStr">
        <is>
          <t>物资名称 热轧不锈圆钢;物资简称 圆钢;牌号 20Cr13;直径 Φ60;技术标准号 GB/T 1220-2007;加工工艺 热轧;热处理工艺 ;特殊要求 ;规格标准号 GB/T 702-2008</t>
        </is>
      </c>
      <c r="F422" t="inlineStr">
        <is>
          <t>千克</t>
        </is>
      </c>
      <c r="G422">
        <f>LEFT(D422,FIND("|",D422,1)-1)</f>
        <v/>
      </c>
      <c r="H422">
        <f>MID(D422,FIND("|",D422,FIND("|",D422,1))+1,FIND("|",D422,FIND("|",D422,1)+1)-FIND("|",D422,FIND("|",D422,1))-1)</f>
        <v/>
      </c>
      <c r="J422">
        <f>MID(D422,FIND(";",SUBSTITUTE(D422,"|",REPT(";",LEN(D422)),2))+1,FIND(";",SUBSTITUTE(D422,"|",REPT(";",LEN(D422)),3))-FIND(";",SUBSTITUTE(D422,"|",REPT(";",LEN(D422)),2))-1)</f>
        <v/>
      </c>
      <c r="K422">
        <f>MID(D422,FIND(";",SUBSTITUTE(D422,"|",REPT(";",LEN(D422)),3))+1,FIND(";",SUBSTITUTE(D422,"|",REPT(";",LEN(D422)),4))-FIND(";",SUBSTITUTE(D422,"|",REPT(";",LEN(D422)),3))-1)</f>
        <v/>
      </c>
      <c r="M422">
        <f>MID(D422,FIND(";",SUBSTITUTE(D422,"|",REPT(";",LEN(D422)),4))+1,FIND(";",SUBSTITUTE(D422,"|",REPT(";",LEN(D422)),5))-FIND(";",SUBSTITUTE(D422,"|",REPT(";",LEN(D422)),4))-1)</f>
        <v/>
      </c>
      <c r="N422">
        <f>MID(D422,FIND(";",SUBSTITUTE(D422,"|",REPT(";",LEN(D422)),6))+1,LEN(D422))</f>
        <v/>
      </c>
      <c r="O422">
        <f>MID(D422,FIND(";",SUBSTITUTE(D422,"|",REPT(";",LEN(D422)),5))+1,FIND(";",SUBSTITUTE(D422,"|",REPT(";",LEN(D422)),6))-FIND(";",SUBSTITUTE(D422,"|",REPT(";",LEN(D422)),5))-1)</f>
        <v/>
      </c>
    </row>
    <row r="423">
      <c r="A423" t="inlineStr">
        <is>
          <t>100201</t>
        </is>
      </c>
      <c r="B423" t="inlineStr">
        <is>
          <t>圆钢</t>
        </is>
      </c>
      <c r="C423" t="inlineStr">
        <is>
          <t>600618900</t>
        </is>
      </c>
      <c r="D423" t="inlineStr">
        <is>
          <t>热轧不锈圆钢|圆钢|20Cr13|Φ65|GB/T 1220-2007|热轧|GB/T 702-2008</t>
        </is>
      </c>
      <c r="E423" t="inlineStr">
        <is>
          <t>物资名称 热轧不锈圆钢;物资简称 圆钢;牌号 20Cr13;直径 Φ65;技术标准号 GB/T 1220-2007;加工工艺 热轧;热处理工艺 ;特殊要求 ;规格标准号 GB/T 702-2008</t>
        </is>
      </c>
      <c r="F423" t="inlineStr">
        <is>
          <t>千克</t>
        </is>
      </c>
      <c r="G423">
        <f>LEFT(D423,FIND("|",D423,1)-1)</f>
        <v/>
      </c>
      <c r="H423">
        <f>MID(D423,FIND("|",D423,FIND("|",D423,1))+1,FIND("|",D423,FIND("|",D423,1)+1)-FIND("|",D423,FIND("|",D423,1))-1)</f>
        <v/>
      </c>
      <c r="J423">
        <f>MID(D423,FIND(";",SUBSTITUTE(D423,"|",REPT(";",LEN(D423)),2))+1,FIND(";",SUBSTITUTE(D423,"|",REPT(";",LEN(D423)),3))-FIND(";",SUBSTITUTE(D423,"|",REPT(";",LEN(D423)),2))-1)</f>
        <v/>
      </c>
      <c r="K423">
        <f>MID(D423,FIND(";",SUBSTITUTE(D423,"|",REPT(";",LEN(D423)),3))+1,FIND(";",SUBSTITUTE(D423,"|",REPT(";",LEN(D423)),4))-FIND(";",SUBSTITUTE(D423,"|",REPT(";",LEN(D423)),3))-1)</f>
        <v/>
      </c>
      <c r="M423">
        <f>MID(D423,FIND(";",SUBSTITUTE(D423,"|",REPT(";",LEN(D423)),4))+1,FIND(";",SUBSTITUTE(D423,"|",REPT(";",LEN(D423)),5))-FIND(";",SUBSTITUTE(D423,"|",REPT(";",LEN(D423)),4))-1)</f>
        <v/>
      </c>
      <c r="N423">
        <f>MID(D423,FIND(";",SUBSTITUTE(D423,"|",REPT(";",LEN(D423)),6))+1,LEN(D423))</f>
        <v/>
      </c>
      <c r="O423">
        <f>MID(D423,FIND(";",SUBSTITUTE(D423,"|",REPT(";",LEN(D423)),5))+1,FIND(";",SUBSTITUTE(D423,"|",REPT(";",LEN(D423)),6))-FIND(";",SUBSTITUTE(D423,"|",REPT(";",LEN(D423)),5))-1)</f>
        <v/>
      </c>
    </row>
    <row r="424">
      <c r="A424" t="inlineStr">
        <is>
          <t>100201</t>
        </is>
      </c>
      <c r="B424" t="inlineStr">
        <is>
          <t>圆钢</t>
        </is>
      </c>
      <c r="C424" t="inlineStr">
        <is>
          <t>600618800</t>
        </is>
      </c>
      <c r="D424" t="inlineStr">
        <is>
          <t>热轧不锈圆钢|圆钢|20Cr13|Φ70|GB/T 1220-2007|热轧|GB/T 702-2008</t>
        </is>
      </c>
      <c r="E424" t="inlineStr">
        <is>
          <t>物资名称 热轧不锈圆钢;物资简称 圆钢;牌号 20Cr13;直径 Φ70;技术标准号 GB/T 1220-2007;加工工艺 热轧;热处理工艺 ;特殊要求 ;规格标准号 GB/T 702-2008</t>
        </is>
      </c>
      <c r="F424" t="inlineStr">
        <is>
          <t>千克</t>
        </is>
      </c>
      <c r="G424">
        <f>LEFT(D424,FIND("|",D424,1)-1)</f>
        <v/>
      </c>
      <c r="H424">
        <f>MID(D424,FIND("|",D424,FIND("|",D424,1))+1,FIND("|",D424,FIND("|",D424,1)+1)-FIND("|",D424,FIND("|",D424,1))-1)</f>
        <v/>
      </c>
      <c r="J424">
        <f>MID(D424,FIND(";",SUBSTITUTE(D424,"|",REPT(";",LEN(D424)),2))+1,FIND(";",SUBSTITUTE(D424,"|",REPT(";",LEN(D424)),3))-FIND(";",SUBSTITUTE(D424,"|",REPT(";",LEN(D424)),2))-1)</f>
        <v/>
      </c>
      <c r="K424">
        <f>MID(D424,FIND(";",SUBSTITUTE(D424,"|",REPT(";",LEN(D424)),3))+1,FIND(";",SUBSTITUTE(D424,"|",REPT(";",LEN(D424)),4))-FIND(";",SUBSTITUTE(D424,"|",REPT(";",LEN(D424)),3))-1)</f>
        <v/>
      </c>
      <c r="M424">
        <f>MID(D424,FIND(";",SUBSTITUTE(D424,"|",REPT(";",LEN(D424)),4))+1,FIND(";",SUBSTITUTE(D424,"|",REPT(";",LEN(D424)),5))-FIND(";",SUBSTITUTE(D424,"|",REPT(";",LEN(D424)),4))-1)</f>
        <v/>
      </c>
      <c r="N424">
        <f>MID(D424,FIND(";",SUBSTITUTE(D424,"|",REPT(";",LEN(D424)),6))+1,LEN(D424))</f>
        <v/>
      </c>
      <c r="O424">
        <f>MID(D424,FIND(";",SUBSTITUTE(D424,"|",REPT(";",LEN(D424)),5))+1,FIND(";",SUBSTITUTE(D424,"|",REPT(";",LEN(D424)),6))-FIND(";",SUBSTITUTE(D424,"|",REPT(";",LEN(D424)),5))-1)</f>
        <v/>
      </c>
    </row>
    <row r="425">
      <c r="A425" t="inlineStr">
        <is>
          <t>100201</t>
        </is>
      </c>
      <c r="B425" t="inlineStr">
        <is>
          <t>圆钢</t>
        </is>
      </c>
      <c r="C425" t="inlineStr">
        <is>
          <t>600618700</t>
        </is>
      </c>
      <c r="D425" t="inlineStr">
        <is>
          <t>热轧不锈圆钢|圆钢|20Cr13|Φ75|GB/T 1220-2007|热轧|GB/T 702-2008</t>
        </is>
      </c>
      <c r="E425" t="inlineStr">
        <is>
          <t>物资名称 热轧不锈圆钢;物资简称 圆钢;牌号 20Cr13;直径 Φ75;技术标准号 GB/T 1220-2007;加工工艺 热轧;热处理工艺 ;特殊要求 ;规格标准号 GB/T 702-2008</t>
        </is>
      </c>
      <c r="F425" t="inlineStr">
        <is>
          <t>千克</t>
        </is>
      </c>
      <c r="G425">
        <f>LEFT(D425,FIND("|",D425,1)-1)</f>
        <v/>
      </c>
      <c r="H425">
        <f>MID(D425,FIND("|",D425,FIND("|",D425,1))+1,FIND("|",D425,FIND("|",D425,1)+1)-FIND("|",D425,FIND("|",D425,1))-1)</f>
        <v/>
      </c>
      <c r="J425">
        <f>MID(D425,FIND(";",SUBSTITUTE(D425,"|",REPT(";",LEN(D425)),2))+1,FIND(";",SUBSTITUTE(D425,"|",REPT(";",LEN(D425)),3))-FIND(";",SUBSTITUTE(D425,"|",REPT(";",LEN(D425)),2))-1)</f>
        <v/>
      </c>
      <c r="K425">
        <f>MID(D425,FIND(";",SUBSTITUTE(D425,"|",REPT(";",LEN(D425)),3))+1,FIND(";",SUBSTITUTE(D425,"|",REPT(";",LEN(D425)),4))-FIND(";",SUBSTITUTE(D425,"|",REPT(";",LEN(D425)),3))-1)</f>
        <v/>
      </c>
      <c r="M425">
        <f>MID(D425,FIND(";",SUBSTITUTE(D425,"|",REPT(";",LEN(D425)),4))+1,FIND(";",SUBSTITUTE(D425,"|",REPT(";",LEN(D425)),5))-FIND(";",SUBSTITUTE(D425,"|",REPT(";",LEN(D425)),4))-1)</f>
        <v/>
      </c>
      <c r="N425">
        <f>MID(D425,FIND(";",SUBSTITUTE(D425,"|",REPT(";",LEN(D425)),6))+1,LEN(D425))</f>
        <v/>
      </c>
      <c r="O425">
        <f>MID(D425,FIND(";",SUBSTITUTE(D425,"|",REPT(";",LEN(D425)),5))+1,FIND(";",SUBSTITUTE(D425,"|",REPT(";",LEN(D425)),6))-FIND(";",SUBSTITUTE(D425,"|",REPT(";",LEN(D425)),5))-1)</f>
        <v/>
      </c>
    </row>
    <row r="426">
      <c r="A426" t="inlineStr">
        <is>
          <t>100201</t>
        </is>
      </c>
      <c r="B426" t="inlineStr">
        <is>
          <t>圆钢</t>
        </is>
      </c>
      <c r="C426" t="inlineStr">
        <is>
          <t>600618600</t>
        </is>
      </c>
      <c r="D426" t="inlineStr">
        <is>
          <t>热轧不锈圆钢|圆钢|20Cr13|Φ110|GB/T 1220-2007|热轧|GB/T 702-2008</t>
        </is>
      </c>
      <c r="E426" t="inlineStr">
        <is>
          <t>物资名称 热轧不锈圆钢;物资简称 圆钢;牌号 20Cr13;直径 Φ110;技术标准号 GB/T 1220-2007;加工工艺 热轧;热处理工艺 ;特殊要求 ;规格标准号 GB/T 702-2008</t>
        </is>
      </c>
      <c r="F426" t="inlineStr">
        <is>
          <t>千克</t>
        </is>
      </c>
      <c r="G426">
        <f>LEFT(D426,FIND("|",D426,1)-1)</f>
        <v/>
      </c>
      <c r="H426">
        <f>MID(D426,FIND("|",D426,FIND("|",D426,1))+1,FIND("|",D426,FIND("|",D426,1)+1)-FIND("|",D426,FIND("|",D426,1))-1)</f>
        <v/>
      </c>
      <c r="J426">
        <f>MID(D426,FIND(";",SUBSTITUTE(D426,"|",REPT(";",LEN(D426)),2))+1,FIND(";",SUBSTITUTE(D426,"|",REPT(";",LEN(D426)),3))-FIND(";",SUBSTITUTE(D426,"|",REPT(";",LEN(D426)),2))-1)</f>
        <v/>
      </c>
      <c r="K426">
        <f>MID(D426,FIND(";",SUBSTITUTE(D426,"|",REPT(";",LEN(D426)),3))+1,FIND(";",SUBSTITUTE(D426,"|",REPT(";",LEN(D426)),4))-FIND(";",SUBSTITUTE(D426,"|",REPT(";",LEN(D426)),3))-1)</f>
        <v/>
      </c>
      <c r="M426">
        <f>MID(D426,FIND(";",SUBSTITUTE(D426,"|",REPT(";",LEN(D426)),4))+1,FIND(";",SUBSTITUTE(D426,"|",REPT(";",LEN(D426)),5))-FIND(";",SUBSTITUTE(D426,"|",REPT(";",LEN(D426)),4))-1)</f>
        <v/>
      </c>
      <c r="N426">
        <f>MID(D426,FIND(";",SUBSTITUTE(D426,"|",REPT(";",LEN(D426)),6))+1,LEN(D426))</f>
        <v/>
      </c>
      <c r="O426">
        <f>MID(D426,FIND(";",SUBSTITUTE(D426,"|",REPT(";",LEN(D426)),5))+1,FIND(";",SUBSTITUTE(D426,"|",REPT(";",LEN(D426)),6))-FIND(";",SUBSTITUTE(D426,"|",REPT(";",LEN(D426)),5))-1)</f>
        <v/>
      </c>
    </row>
    <row r="427">
      <c r="A427" t="inlineStr">
        <is>
          <t>100201</t>
        </is>
      </c>
      <c r="B427" t="inlineStr">
        <is>
          <t>圆钢</t>
        </is>
      </c>
      <c r="C427" t="inlineStr">
        <is>
          <t>600618500</t>
        </is>
      </c>
      <c r="D427" t="inlineStr">
        <is>
          <t>热轧不锈圆钢|圆钢|20Cr13|Φ150|GB/T 1220-2007|热轧|GB/T 702-2008</t>
        </is>
      </c>
      <c r="E427" t="inlineStr">
        <is>
          <t>物资名称 热轧不锈圆钢;物资简称 圆钢;牌号 20Cr13;直径 Φ150;技术标准号 GB/T 1220-2007;加工工艺 热轧;热处理工艺 ;特殊要求 ;规格标准号 GB/T 702-2008</t>
        </is>
      </c>
      <c r="F427" t="inlineStr">
        <is>
          <t>千克</t>
        </is>
      </c>
      <c r="G427">
        <f>LEFT(D427,FIND("|",D427,1)-1)</f>
        <v/>
      </c>
      <c r="H427">
        <f>MID(D427,FIND("|",D427,FIND("|",D427,1))+1,FIND("|",D427,FIND("|",D427,1)+1)-FIND("|",D427,FIND("|",D427,1))-1)</f>
        <v/>
      </c>
      <c r="J427">
        <f>MID(D427,FIND(";",SUBSTITUTE(D427,"|",REPT(";",LEN(D427)),2))+1,FIND(";",SUBSTITUTE(D427,"|",REPT(";",LEN(D427)),3))-FIND(";",SUBSTITUTE(D427,"|",REPT(";",LEN(D427)),2))-1)</f>
        <v/>
      </c>
      <c r="K427">
        <f>MID(D427,FIND(";",SUBSTITUTE(D427,"|",REPT(";",LEN(D427)),3))+1,FIND(";",SUBSTITUTE(D427,"|",REPT(";",LEN(D427)),4))-FIND(";",SUBSTITUTE(D427,"|",REPT(";",LEN(D427)),3))-1)</f>
        <v/>
      </c>
    </row>
    <row r="428">
      <c r="A428" t="inlineStr">
        <is>
          <t>100201</t>
        </is>
      </c>
      <c r="B428" t="inlineStr">
        <is>
          <t>圆钢</t>
        </is>
      </c>
      <c r="C428" t="inlineStr">
        <is>
          <t>600618400</t>
        </is>
      </c>
      <c r="D428" t="inlineStr">
        <is>
          <t>热轧不锈圆钢|圆钢|20Cr13|Φ180|GB/T 1220-2007|热轧|GB/T 702-2008</t>
        </is>
      </c>
      <c r="E428" t="inlineStr">
        <is>
          <t>物资名称 热轧不锈圆钢;物资简称 圆钢;牌号 20Cr13;直径 Φ180;技术标准号 GB/T 1220-2007;加工工艺 热轧;热处理工艺 ;特殊要求 ;规格标准号 GB/T 702-2008</t>
        </is>
      </c>
      <c r="F428" t="inlineStr">
        <is>
          <t>千克</t>
        </is>
      </c>
      <c r="G428">
        <f>LEFT(D428,FIND("|",D428,1)-1)</f>
        <v/>
      </c>
      <c r="H428">
        <f>MID(D428,FIND("|",D428,FIND("|",D428,1))+1,FIND("|",D428,FIND("|",D428,1)+1)-FIND("|",D428,FIND("|",D428,1))-1)</f>
        <v/>
      </c>
      <c r="J428">
        <f>MID(D428,FIND(";",SUBSTITUTE(D428,"|",REPT(";",LEN(D428)),2))+1,FIND(";",SUBSTITUTE(D428,"|",REPT(";",LEN(D428)),3))-FIND(";",SUBSTITUTE(D428,"|",REPT(";",LEN(D428)),2))-1)</f>
        <v/>
      </c>
      <c r="K428">
        <f>MID(D428,FIND(";",SUBSTITUTE(D428,"|",REPT(";",LEN(D428)),3))+1,FIND(";",SUBSTITUTE(D428,"|",REPT(";",LEN(D428)),4))-FIND(";",SUBSTITUTE(D428,"|",REPT(";",LEN(D428)),3))-1)</f>
        <v/>
      </c>
    </row>
    <row r="429">
      <c r="A429" t="inlineStr">
        <is>
          <t>100201</t>
        </is>
      </c>
      <c r="B429" t="inlineStr">
        <is>
          <t>圆钢</t>
        </is>
      </c>
      <c r="C429" t="inlineStr">
        <is>
          <t>600618300</t>
        </is>
      </c>
      <c r="D429" t="inlineStr">
        <is>
          <t>不锈钢棒|钢棒|40Cr13|GB/T 1220-2007</t>
        </is>
      </c>
      <c r="E429" t="inlineStr">
        <is>
          <t xml:space="preserve">物资名称 不锈钢棒;物资简称 钢棒;牌号 40Cr13;直径 Φ;技术标准号 GB/T 1220-2007;加工工艺 ;热处理工艺 ;特殊要求 ;规格标准号 </t>
        </is>
      </c>
      <c r="F429" t="inlineStr">
        <is>
          <t>千克</t>
        </is>
      </c>
      <c r="G429">
        <f>LEFT(D429,FIND("|",D429,1)-1)</f>
        <v/>
      </c>
      <c r="H429">
        <f>MID(D429,FIND("|",D429,FIND("|",D429,1))+1,FIND("|",D429,FIND("|",D429,1)+1)-FIND("|",D429,FIND("|",D429,1))-1)</f>
        <v/>
      </c>
      <c r="J429">
        <f>MID(D429,FIND(";",SUBSTITUTE(D429,"|",REPT(";",LEN(D429)),2))+1,FIND(";",SUBSTITUTE(D429,"|",REPT(";",LEN(D429)),3))-FIND(";",SUBSTITUTE(D429,"|",REPT(";",LEN(D429)),2))-1)</f>
        <v/>
      </c>
      <c r="M429">
        <f>MID(D429,FIND(";",SUBSTITUTE(D429,"|",REPT(";",LEN(D429)),3))+1,LEN(D429))</f>
        <v/>
      </c>
    </row>
    <row r="430">
      <c r="A430" t="inlineStr">
        <is>
          <t>100201</t>
        </is>
      </c>
      <c r="B430" t="inlineStr">
        <is>
          <t>圆钢</t>
        </is>
      </c>
      <c r="C430" t="inlineStr">
        <is>
          <t>600618200</t>
        </is>
      </c>
      <c r="D430" t="inlineStr">
        <is>
          <t>热轧不锈圆钢|圆钢|40Cr13|GB/T 1220-2007|GB/T 702-2008</t>
        </is>
      </c>
      <c r="E430" t="inlineStr">
        <is>
          <t>物资名称 热轧不锈圆钢;物资简称 圆钢;牌号 40Cr13;直径 Φ;技术标准号 GB/T 1220-2007;加工工艺 ;热处理工艺 ;特殊要求 ;规格标准号 GB/T 702-2008</t>
        </is>
      </c>
      <c r="F430" t="inlineStr">
        <is>
          <t>千克</t>
        </is>
      </c>
      <c r="G430">
        <f>LEFT(D430,FIND("|",D430,1)-1)</f>
        <v/>
      </c>
      <c r="H430">
        <f>MID(D430,FIND("|",D430,FIND("|",D430,1))+1,FIND("|",D430,FIND("|",D430,1)+1)-FIND("|",D430,FIND("|",D430,1))-1)</f>
        <v/>
      </c>
      <c r="J430">
        <f>MID(D430,FIND(";",SUBSTITUTE(D430,"|",REPT(";",LEN(D430)),2))+1,FIND(";",SUBSTITUTE(D430,"|",REPT(";",LEN(D430)),3))-FIND(";",SUBSTITUTE(D430,"|",REPT(";",LEN(D430)),2))-1)</f>
        <v/>
      </c>
      <c r="M430">
        <f>MID(D430,FIND(";",SUBSTITUTE(D430,"|",REPT(";",LEN(D430)),3))+1,FIND(";",SUBSTITUTE(D430,"|",REPT(";",LEN(D430)),4))-FIND(";",SUBSTITUTE(D430,"|",REPT(";",LEN(D430)),3))-1)</f>
        <v/>
      </c>
      <c r="N430">
        <f>MID(D430,FIND(";",SUBSTITUTE(D430,"|",REPT(";",LEN(D430)),4))+1,LEN(D430))</f>
        <v/>
      </c>
    </row>
    <row r="431">
      <c r="A431" t="inlineStr">
        <is>
          <t>100201</t>
        </is>
      </c>
      <c r="B431" t="inlineStr">
        <is>
          <t>圆钢</t>
        </is>
      </c>
      <c r="C431" t="inlineStr">
        <is>
          <t>600618100</t>
        </is>
      </c>
      <c r="D431" t="inlineStr">
        <is>
          <t>热轧不锈圆钢|圆钢|40Cr13|Φ35|GB/T 1220-2007|热轧|GB/T 702-2008</t>
        </is>
      </c>
      <c r="E431" t="inlineStr">
        <is>
          <t>物资名称 热轧不锈圆钢;物资简称 圆钢;牌号 40Cr13;直径 Φ35;技术标准号 GB/T 1220-2007;加工工艺 热轧;热处理工艺 ;特殊要求 ;规格标准号 GB/T 702-2008</t>
        </is>
      </c>
      <c r="F431" t="inlineStr">
        <is>
          <t>千克</t>
        </is>
      </c>
      <c r="G431">
        <f>LEFT(D431,FIND("|",D431,1)-1)</f>
        <v/>
      </c>
      <c r="H431">
        <f>MID(D431,FIND("|",D431,FIND("|",D431,1))+1,FIND("|",D431,FIND("|",D431,1)+1)-FIND("|",D431,FIND("|",D431,1))-1)</f>
        <v/>
      </c>
      <c r="J431">
        <f>MID(D431,FIND(";",SUBSTITUTE(D431,"|",REPT(";",LEN(D431)),2))+1,FIND(";",SUBSTITUTE(D431,"|",REPT(";",LEN(D431)),3))-FIND(";",SUBSTITUTE(D431,"|",REPT(";",LEN(D431)),2))-1)</f>
        <v/>
      </c>
      <c r="K431">
        <f>MID(D431,FIND(";",SUBSTITUTE(D431,"|",REPT(";",LEN(D431)),3))+1,FIND(";",SUBSTITUTE(D431,"|",REPT(";",LEN(D431)),4))-FIND(";",SUBSTITUTE(D431,"|",REPT(";",LEN(D431)),3))-1)</f>
        <v/>
      </c>
      <c r="M431">
        <f>MID(D431,FIND(";",SUBSTITUTE(D431,"|",REPT(";",LEN(D431)),4))+1,FIND(";",SUBSTITUTE(D431,"|",REPT(";",LEN(D431)),5))-FIND(";",SUBSTITUTE(D431,"|",REPT(";",LEN(D431)),4))-1)</f>
        <v/>
      </c>
      <c r="N431">
        <f>MID(D431,FIND(";",SUBSTITUTE(D431,"|",REPT(";",LEN(D431)),6))+1,LEN(D431))</f>
        <v/>
      </c>
      <c r="O431">
        <f>MID(D431,FIND(";",SUBSTITUTE(D431,"|",REPT(";",LEN(D431)),5))+1,FIND(";",SUBSTITUTE(D431,"|",REPT(";",LEN(D431)),6))-FIND(";",SUBSTITUTE(D431,"|",REPT(";",LEN(D431)),5))-1)</f>
        <v/>
      </c>
    </row>
    <row r="432">
      <c r="A432" t="inlineStr">
        <is>
          <t>100201</t>
        </is>
      </c>
      <c r="B432" t="inlineStr">
        <is>
          <t>圆钢</t>
        </is>
      </c>
      <c r="C432" t="inlineStr">
        <is>
          <t>600618000</t>
        </is>
      </c>
      <c r="D432" t="inlineStr">
        <is>
          <t>热轧不锈圆钢|圆钢|40Cr13|Φ100|GB/T 1220-2007|热轧|GB/T 702-2008</t>
        </is>
      </c>
      <c r="E432" t="inlineStr">
        <is>
          <t>物资名称 热轧不锈圆钢;物资简称 圆钢;牌号 40Cr13;直径 Φ100;技术标准号 GB/T 1220-2007;加工工艺 热轧;热处理工艺 ;特殊要求 ;规格标准号 GB/T 702-2008</t>
        </is>
      </c>
      <c r="F432" t="inlineStr">
        <is>
          <t>千克</t>
        </is>
      </c>
      <c r="G432">
        <f>LEFT(D432,FIND("|",D432,1)-1)</f>
        <v/>
      </c>
      <c r="H432">
        <f>MID(D432,FIND("|",D432,FIND("|",D432,1))+1,FIND("|",D432,FIND("|",D432,1)+1)-FIND("|",D432,FIND("|",D432,1))-1)</f>
        <v/>
      </c>
      <c r="J432">
        <f>MID(D432,FIND(";",SUBSTITUTE(D432,"|",REPT(";",LEN(D432)),2))+1,FIND(";",SUBSTITUTE(D432,"|",REPT(";",LEN(D432)),3))-FIND(";",SUBSTITUTE(D432,"|",REPT(";",LEN(D432)),2))-1)</f>
        <v/>
      </c>
      <c r="K432">
        <f>MID(D432,FIND(";",SUBSTITUTE(D432,"|",REPT(";",LEN(D432)),3))+1,FIND(";",SUBSTITUTE(D432,"|",REPT(";",LEN(D432)),4))-FIND(";",SUBSTITUTE(D432,"|",REPT(";",LEN(D432)),3))-1)</f>
        <v/>
      </c>
      <c r="M432">
        <f>MID(D432,FIND(";",SUBSTITUTE(D432,"|",REPT(";",LEN(D432)),4))+1,FIND(";",SUBSTITUTE(D432,"|",REPT(";",LEN(D432)),5))-FIND(";",SUBSTITUTE(D432,"|",REPT(";",LEN(D432)),4))-1)</f>
        <v/>
      </c>
      <c r="N432">
        <f>MID(D432,FIND(";",SUBSTITUTE(D432,"|",REPT(";",LEN(D432)),6))+1,LEN(D432))</f>
        <v/>
      </c>
      <c r="O432">
        <f>MID(D432,FIND(";",SUBSTITUTE(D432,"|",REPT(";",LEN(D432)),5))+1,FIND(";",SUBSTITUTE(D432,"|",REPT(";",LEN(D432)),6))-FIND(";",SUBSTITUTE(D432,"|",REPT(";",LEN(D432)),5))-1)</f>
        <v/>
      </c>
    </row>
    <row r="433">
      <c r="A433" t="inlineStr">
        <is>
          <t>100201</t>
        </is>
      </c>
      <c r="B433" t="inlineStr">
        <is>
          <t>圆钢</t>
        </is>
      </c>
      <c r="C433" t="inlineStr">
        <is>
          <t>600617900</t>
        </is>
      </c>
      <c r="D433" t="inlineStr">
        <is>
          <t>热轧弹簧圆钢|圆钢|65Mn|GB/T 1222-2007|GB/T 702-2008</t>
        </is>
      </c>
      <c r="E433" t="inlineStr">
        <is>
          <t>物资名称 热轧弹簧圆钢;物资简称 圆钢;牌号 65Mn;直径 Φ;技术标准号 GB/T 1222-2007;加工工艺 ;热处理工艺 ;特殊要求 ;规格标准号 GB/T 702-2008</t>
        </is>
      </c>
      <c r="F433" t="inlineStr">
        <is>
          <t>千克</t>
        </is>
      </c>
      <c r="G433">
        <f>LEFT(D433,FIND("|",D433,1)-1)</f>
        <v/>
      </c>
      <c r="H433">
        <f>MID(D433,FIND("|",D433,FIND("|",D433,1))+1,FIND("|",D433,FIND("|",D433,1)+1)-FIND("|",D433,FIND("|",D433,1))-1)</f>
        <v/>
      </c>
      <c r="J433">
        <f>MID(D433,FIND(";",SUBSTITUTE(D433,"|",REPT(";",LEN(D433)),2))+1,FIND(";",SUBSTITUTE(D433,"|",REPT(";",LEN(D433)),3))-FIND(";",SUBSTITUTE(D433,"|",REPT(";",LEN(D433)),2))-1)</f>
        <v/>
      </c>
      <c r="M433">
        <f>MID(D433,FIND(";",SUBSTITUTE(D433,"|",REPT(";",LEN(D433)),3))+1,FIND(";",SUBSTITUTE(D433,"|",REPT(";",LEN(D433)),4))-FIND(";",SUBSTITUTE(D433,"|",REPT(";",LEN(D433)),3))-1)</f>
        <v/>
      </c>
      <c r="N433">
        <f>MID(D433,FIND(";",SUBSTITUTE(D433,"|",REPT(";",LEN(D433)),4))+1,LEN(D433))</f>
        <v/>
      </c>
    </row>
    <row r="434">
      <c r="A434" t="inlineStr">
        <is>
          <t>100201</t>
        </is>
      </c>
      <c r="B434" t="inlineStr">
        <is>
          <t>圆钢</t>
        </is>
      </c>
      <c r="C434" t="inlineStr">
        <is>
          <t>600617800</t>
        </is>
      </c>
      <c r="D434" t="inlineStr">
        <is>
          <t>热轧弹簧圆钢|圆钢|65Mn|Φ25|GB/T 1222-2007|热轧|GB/T 702-2008</t>
        </is>
      </c>
      <c r="E434" t="inlineStr">
        <is>
          <t>物资名称 热轧弹簧圆钢;物资简称 圆钢;牌号 65Mn;直径 Φ25;技术标准号 GB/T 1222-2007;加工工艺 热轧;热处理工艺 ;特殊要求 ;规格标准号 GB/T 702-2008</t>
        </is>
      </c>
      <c r="F434" t="inlineStr">
        <is>
          <t>千克</t>
        </is>
      </c>
      <c r="G434">
        <f>LEFT(D434,FIND("|",D434,1)-1)</f>
        <v/>
      </c>
      <c r="H434">
        <f>MID(D434,FIND("|",D434,FIND("|",D434,1))+1,FIND("|",D434,FIND("|",D434,1)+1)-FIND("|",D434,FIND("|",D434,1))-1)</f>
        <v/>
      </c>
      <c r="J434">
        <f>MID(D434,FIND(";",SUBSTITUTE(D434,"|",REPT(";",LEN(D434)),2))+1,FIND(";",SUBSTITUTE(D434,"|",REPT(";",LEN(D434)),3))-FIND(";",SUBSTITUTE(D434,"|",REPT(";",LEN(D434)),2))-1)</f>
        <v/>
      </c>
      <c r="K434">
        <f>MID(D434,FIND(";",SUBSTITUTE(D434,"|",REPT(";",LEN(D434)),3))+1,FIND(";",SUBSTITUTE(D434,"|",REPT(";",LEN(D434)),4))-FIND(";",SUBSTITUTE(D434,"|",REPT(";",LEN(D434)),3))-1)</f>
        <v/>
      </c>
      <c r="M434">
        <f>MID(D434,FIND(";",SUBSTITUTE(D434,"|",REPT(";",LEN(D434)),4))+1,FIND(";",SUBSTITUTE(D434,"|",REPT(";",LEN(D434)),5))-FIND(";",SUBSTITUTE(D434,"|",REPT(";",LEN(D434)),4))-1)</f>
        <v/>
      </c>
      <c r="N434">
        <f>MID(D434,FIND(";",SUBSTITUTE(D434,"|",REPT(";",LEN(D434)),6))+1,LEN(D434))</f>
        <v/>
      </c>
      <c r="O434">
        <f>MID(D434,FIND(";",SUBSTITUTE(D434,"|",REPT(";",LEN(D434)),5))+1,FIND(";",SUBSTITUTE(D434,"|",REPT(";",LEN(D434)),6))-FIND(";",SUBSTITUTE(D434,"|",REPT(";",LEN(D434)),5))-1)</f>
        <v/>
      </c>
    </row>
    <row r="435">
      <c r="A435" t="inlineStr">
        <is>
          <t>100201</t>
        </is>
      </c>
      <c r="B435" t="inlineStr">
        <is>
          <t>圆钢</t>
        </is>
      </c>
      <c r="C435" t="inlineStr">
        <is>
          <t>600617700</t>
        </is>
      </c>
      <c r="D435" t="inlineStr">
        <is>
          <t>热轧弹簧圆钢|圆钢|65Mn|Φ60|GB/T 1222-2007|热轧|GB/T 702-2008</t>
        </is>
      </c>
      <c r="E435" t="inlineStr">
        <is>
          <t>物资名称 热轧弹簧圆钢;物资简称 圆钢;牌号 65Mn;直径 Φ60;技术标准号 GB/T 1222-2007;加工工艺 热轧;热处理工艺 ;特殊要求 ;规格标准号 GB/T 702-2008</t>
        </is>
      </c>
      <c r="F435" t="inlineStr">
        <is>
          <t>千克</t>
        </is>
      </c>
      <c r="G435">
        <f>LEFT(D435,FIND("|",D435,1)-1)</f>
        <v/>
      </c>
      <c r="H435">
        <f>MID(D435,FIND("|",D435,FIND("|",D435,1))+1,FIND("|",D435,FIND("|",D435,1)+1)-FIND("|",D435,FIND("|",D435,1))-1)</f>
        <v/>
      </c>
      <c r="J435">
        <f>MID(D435,FIND(";",SUBSTITUTE(D435,"|",REPT(";",LEN(D435)),2))+1,FIND(";",SUBSTITUTE(D435,"|",REPT(";",LEN(D435)),3))-FIND(";",SUBSTITUTE(D435,"|",REPT(";",LEN(D435)),2))-1)</f>
        <v/>
      </c>
      <c r="K435">
        <f>MID(D435,FIND(";",SUBSTITUTE(D435,"|",REPT(";",LEN(D435)),3))+1,FIND(";",SUBSTITUTE(D435,"|",REPT(";",LEN(D435)),4))-FIND(";",SUBSTITUTE(D435,"|",REPT(";",LEN(D435)),3))-1)</f>
        <v/>
      </c>
      <c r="M435">
        <f>MID(D435,FIND(";",SUBSTITUTE(D435,"|",REPT(";",LEN(D435)),4))+1,FIND(";",SUBSTITUTE(D435,"|",REPT(";",LEN(D435)),5))-FIND(";",SUBSTITUTE(D435,"|",REPT(";",LEN(D435)),4))-1)</f>
        <v/>
      </c>
      <c r="N435">
        <f>MID(D435,FIND(";",SUBSTITUTE(D435,"|",REPT(";",LEN(D435)),6))+1,LEN(D435))</f>
        <v/>
      </c>
      <c r="O435">
        <f>MID(D435,FIND(";",SUBSTITUTE(D435,"|",REPT(";",LEN(D435)),5))+1,FIND(";",SUBSTITUTE(D435,"|",REPT(";",LEN(D435)),6))-FIND(";",SUBSTITUTE(D435,"|",REPT(";",LEN(D435)),5))-1)</f>
        <v/>
      </c>
    </row>
    <row r="436">
      <c r="A436" t="inlineStr">
        <is>
          <t>100201</t>
        </is>
      </c>
      <c r="B436" t="inlineStr">
        <is>
          <t>圆钢</t>
        </is>
      </c>
      <c r="C436" t="inlineStr">
        <is>
          <t>600617600</t>
        </is>
      </c>
      <c r="D436" t="inlineStr">
        <is>
          <t>热轧弹簧圆钢|圆钢|65Mn|Φ80|GB/T 1222-2007|热轧|GB/T 702-2008</t>
        </is>
      </c>
      <c r="E436" t="inlineStr">
        <is>
          <t>物资名称 热轧弹簧圆钢;物资简称 圆钢;牌号 65Mn;直径 Φ80;技术标准号 GB/T 1222-2007;加工工艺 热轧;热处理工艺 ;特殊要求 ;规格标准号 GB/T 702-2008</t>
        </is>
      </c>
      <c r="F436" t="inlineStr">
        <is>
          <t>千克</t>
        </is>
      </c>
      <c r="G436">
        <f>LEFT(D436,FIND("|",D436,1)-1)</f>
        <v/>
      </c>
      <c r="H436">
        <f>MID(D436,FIND("|",D436,FIND("|",D436,1))+1,FIND("|",D436,FIND("|",D436,1)+1)-FIND("|",D436,FIND("|",D436,1))-1)</f>
        <v/>
      </c>
      <c r="J436">
        <f>MID(D436,FIND(";",SUBSTITUTE(D436,"|",REPT(";",LEN(D436)),2))+1,FIND(";",SUBSTITUTE(D436,"|",REPT(";",LEN(D436)),3))-FIND(";",SUBSTITUTE(D436,"|",REPT(";",LEN(D436)),2))-1)</f>
        <v/>
      </c>
      <c r="K436">
        <f>MID(D436,FIND(";",SUBSTITUTE(D436,"|",REPT(";",LEN(D436)),3))+1,FIND(";",SUBSTITUTE(D436,"|",REPT(";",LEN(D436)),4))-FIND(";",SUBSTITUTE(D436,"|",REPT(";",LEN(D436)),3))-1)</f>
        <v/>
      </c>
      <c r="M436">
        <f>MID(D436,FIND(";",SUBSTITUTE(D436,"|",REPT(";",LEN(D436)),4))+1,FIND(";",SUBSTITUTE(D436,"|",REPT(";",LEN(D436)),5))-FIND(";",SUBSTITUTE(D436,"|",REPT(";",LEN(D436)),4))-1)</f>
        <v/>
      </c>
      <c r="N436">
        <f>MID(D436,FIND(";",SUBSTITUTE(D436,"|",REPT(";",LEN(D436)),6))+1,LEN(D436))</f>
        <v/>
      </c>
      <c r="O436">
        <f>MID(D436,FIND(";",SUBSTITUTE(D436,"|",REPT(";",LEN(D436)),5))+1,FIND(";",SUBSTITUTE(D436,"|",REPT(";",LEN(D436)),6))-FIND(";",SUBSTITUTE(D436,"|",REPT(";",LEN(D436)),5))-1)</f>
        <v/>
      </c>
    </row>
    <row r="437">
      <c r="A437" t="inlineStr">
        <is>
          <t>100201</t>
        </is>
      </c>
      <c r="B437" t="inlineStr">
        <is>
          <t>圆钢</t>
        </is>
      </c>
      <c r="C437" t="inlineStr">
        <is>
          <t>600617500</t>
        </is>
      </c>
      <c r="D437" t="inlineStr">
        <is>
          <t>高碳铬轴承钢棒|钢棒|GCr15|GB/T 18254-2002</t>
        </is>
      </c>
      <c r="E437" t="inlineStr">
        <is>
          <t xml:space="preserve">物资名称 高碳铬轴承钢棒;物资简称 钢棒;牌号 GCr15;直径 Φ;技术标准号 GB/T 18254-2002;加工工艺 ;热处理工艺 ;特殊要求 ;规格标准号 </t>
        </is>
      </c>
      <c r="F437" t="inlineStr">
        <is>
          <t>千克</t>
        </is>
      </c>
      <c r="G437">
        <f>LEFT(D437,FIND("|",D437,1)-1)</f>
        <v/>
      </c>
      <c r="H437">
        <f>MID(D437,FIND("|",D437,FIND("|",D437,1))+1,FIND("|",D437,FIND("|",D437,1)+1)-FIND("|",D437,FIND("|",D437,1))-1)</f>
        <v/>
      </c>
      <c r="J437">
        <f>MID(D437,FIND(";",SUBSTITUTE(D437,"|",REPT(";",LEN(D437)),2))+1,FIND(";",SUBSTITUTE(D437,"|",REPT(";",LEN(D437)),3))-FIND(";",SUBSTITUTE(D437,"|",REPT(";",LEN(D437)),2))-1)</f>
        <v/>
      </c>
      <c r="M437">
        <f>MID(D437,FIND(";",SUBSTITUTE(D437,"|",REPT(";",LEN(D437)),3))+1,LEN(D437))</f>
        <v/>
      </c>
    </row>
    <row r="438">
      <c r="A438" t="inlineStr">
        <is>
          <t>100201</t>
        </is>
      </c>
      <c r="B438" t="inlineStr">
        <is>
          <t>圆钢</t>
        </is>
      </c>
      <c r="C438" t="inlineStr">
        <is>
          <t>600617400</t>
        </is>
      </c>
      <c r="D438" t="inlineStr">
        <is>
          <t>热轧高碳铬轴承圆钢|圆钢|GCr15|GB/T 18254-2002|热轧|GB/T 702-2008</t>
        </is>
      </c>
      <c r="E438" t="inlineStr">
        <is>
          <t>物资名称 热轧高碳铬轴承圆钢;物资简称 圆钢;牌号 GCr15;直径 Φ;技术标准号 GB/T 18254-2002;加工工艺 热轧;热处理工艺 ;特殊要求 ;规格标准号 GB/T 702-2008</t>
        </is>
      </c>
      <c r="F438" t="inlineStr">
        <is>
          <t>千克</t>
        </is>
      </c>
      <c r="G438">
        <f>LEFT(D438,FIND("|",D438,1)-1)</f>
        <v/>
      </c>
      <c r="H438">
        <f>MID(D438,FIND("|",D438,FIND("|",D438,1))+1,FIND("|",D438,FIND("|",D438,1)+1)-FIND("|",D438,FIND("|",D438,1))-1)</f>
        <v/>
      </c>
      <c r="J438">
        <f>MID(D438,FIND(";",SUBSTITUTE(D438,"|",REPT(";",LEN(D438)),2))+1,FIND(";",SUBSTITUTE(D438,"|",REPT(";",LEN(D438)),3))-FIND(";",SUBSTITUTE(D438,"|",REPT(";",LEN(D438)),2))-1)</f>
        <v/>
      </c>
      <c r="M438">
        <f>MID(D438,FIND(";",SUBSTITUTE(D438,"|",REPT(";",LEN(D438)),3))+1,FIND(";",SUBSTITUTE(D438,"|",REPT(";",LEN(D438)),4))-FIND(";",SUBSTITUTE(D438,"|",REPT(";",LEN(D438)),3))-1)</f>
        <v/>
      </c>
      <c r="N438">
        <f>MID(D438,FIND(";",SUBSTITUTE(D438,"|",REPT(";",LEN(D438)),5))+1,LEN(D438))</f>
        <v/>
      </c>
      <c r="O438">
        <f>MID(D438,FIND(";",SUBSTITUTE(D438,"|",REPT(";",LEN(D438)),4))+1,FIND(";",SUBSTITUTE(D438,"|",REPT(";",LEN(D438)),5))-FIND(";",SUBSTITUTE(D438,"|",REPT(";",LEN(D438)),4))-1)</f>
        <v/>
      </c>
    </row>
    <row r="439">
      <c r="A439" t="inlineStr">
        <is>
          <t>100201</t>
        </is>
      </c>
      <c r="B439" t="inlineStr">
        <is>
          <t>圆钢</t>
        </is>
      </c>
      <c r="C439" t="inlineStr">
        <is>
          <t>600617300</t>
        </is>
      </c>
      <c r="D439" t="inlineStr">
        <is>
          <t>热轧高碳铬轴承圆钢|圆钢|GCr15|Φ14|GB/T 18254-2002|热轧|GB/T 702-2008</t>
        </is>
      </c>
      <c r="E439" t="inlineStr">
        <is>
          <t>物资名称 热轧高碳铬轴承圆钢;物资简称 圆钢;牌号 GCr15;直径 Φ14;技术标准号 GB/T 18254-2002;加工工艺 热轧;热处理工艺 ;特殊要求 ;规格标准号 GB/T 702-2008</t>
        </is>
      </c>
      <c r="F439" t="inlineStr">
        <is>
          <t>千克</t>
        </is>
      </c>
      <c r="G439">
        <f>LEFT(D439,FIND("|",D439,1)-1)</f>
        <v/>
      </c>
      <c r="H439">
        <f>MID(D439,FIND("|",D439,FIND("|",D439,1))+1,FIND("|",D439,FIND("|",D439,1)+1)-FIND("|",D439,FIND("|",D439,1))-1)</f>
        <v/>
      </c>
      <c r="J439">
        <f>MID(D439,FIND(";",SUBSTITUTE(D439,"|",REPT(";",LEN(D439)),2))+1,FIND(";",SUBSTITUTE(D439,"|",REPT(";",LEN(D439)),3))-FIND(";",SUBSTITUTE(D439,"|",REPT(";",LEN(D439)),2))-1)</f>
        <v/>
      </c>
      <c r="K439">
        <f>MID(D439,FIND(";",SUBSTITUTE(D439,"|",REPT(";",LEN(D439)),3))+1,FIND(";",SUBSTITUTE(D439,"|",REPT(";",LEN(D439)),4))-FIND(";",SUBSTITUTE(D439,"|",REPT(";",LEN(D439)),3))-1)</f>
        <v/>
      </c>
      <c r="M439">
        <f>MID(D439,FIND(";",SUBSTITUTE(D439,"|",REPT(";",LEN(D439)),4))+1,FIND(";",SUBSTITUTE(D439,"|",REPT(";",LEN(D439)),5))-FIND(";",SUBSTITUTE(D439,"|",REPT(";",LEN(D439)),4))-1)</f>
        <v/>
      </c>
      <c r="N439">
        <f>MID(D439,FIND(";",SUBSTITUTE(D439,"|",REPT(";",LEN(D439)),6))+1,LEN(D439))</f>
        <v/>
      </c>
      <c r="O439">
        <f>MID(D439,FIND(";",SUBSTITUTE(D439,"|",REPT(";",LEN(D439)),5))+1,FIND(";",SUBSTITUTE(D439,"|",REPT(";",LEN(D439)),6))-FIND(";",SUBSTITUTE(D439,"|",REPT(";",LEN(D439)),5))-1)</f>
        <v/>
      </c>
    </row>
    <row r="440">
      <c r="A440" t="inlineStr">
        <is>
          <t>100201</t>
        </is>
      </c>
      <c r="B440" t="inlineStr">
        <is>
          <t>圆钢</t>
        </is>
      </c>
      <c r="C440" t="inlineStr">
        <is>
          <t>600617200</t>
        </is>
      </c>
      <c r="D440" t="inlineStr">
        <is>
          <t>热轧高碳铬轴承圆钢|圆钢|GCr15|Φ15|GB/T 18254-2002|热轧|GB/T 702-2008</t>
        </is>
      </c>
      <c r="E440" t="inlineStr">
        <is>
          <t>物资名称 热轧高碳铬轴承圆钢;物资简称 圆钢;牌号 GCr15;直径 Φ15;技术标准号 GB/T 18254-2002;加工工艺 热轧;热处理工艺 ;特殊要求 ;规格标准号 GB/T 702-2008</t>
        </is>
      </c>
      <c r="F440" t="inlineStr">
        <is>
          <t>千克</t>
        </is>
      </c>
      <c r="G440">
        <f>LEFT(D440,FIND("|",D440,1)-1)</f>
        <v/>
      </c>
      <c r="H440">
        <f>MID(D440,FIND("|",D440,FIND("|",D440,1))+1,FIND("|",D440,FIND("|",D440,1)+1)-FIND("|",D440,FIND("|",D440,1))-1)</f>
        <v/>
      </c>
      <c r="J440">
        <f>MID(D440,FIND(";",SUBSTITUTE(D440,"|",REPT(";",LEN(D440)),2))+1,FIND(";",SUBSTITUTE(D440,"|",REPT(";",LEN(D440)),3))-FIND(";",SUBSTITUTE(D440,"|",REPT(";",LEN(D440)),2))-1)</f>
        <v/>
      </c>
      <c r="K440">
        <f>MID(D440,FIND(";",SUBSTITUTE(D440,"|",REPT(";",LEN(D440)),3))+1,FIND(";",SUBSTITUTE(D440,"|",REPT(";",LEN(D440)),4))-FIND(";",SUBSTITUTE(D440,"|",REPT(";",LEN(D440)),3))-1)</f>
        <v/>
      </c>
      <c r="M440">
        <f>MID(D440,FIND(";",SUBSTITUTE(D440,"|",REPT(";",LEN(D440)),4))+1,FIND(";",SUBSTITUTE(D440,"|",REPT(";",LEN(D440)),5))-FIND(";",SUBSTITUTE(D440,"|",REPT(";",LEN(D440)),4))-1)</f>
        <v/>
      </c>
      <c r="N440">
        <f>MID(D440,FIND(";",SUBSTITUTE(D440,"|",REPT(";",LEN(D440)),6))+1,LEN(D440))</f>
        <v/>
      </c>
      <c r="O440">
        <f>MID(D440,FIND(";",SUBSTITUTE(D440,"|",REPT(";",LEN(D440)),5))+1,FIND(";",SUBSTITUTE(D440,"|",REPT(";",LEN(D440)),6))-FIND(";",SUBSTITUTE(D440,"|",REPT(";",LEN(D440)),5))-1)</f>
        <v/>
      </c>
    </row>
    <row r="441">
      <c r="A441" t="inlineStr">
        <is>
          <t>100201</t>
        </is>
      </c>
      <c r="B441" t="inlineStr">
        <is>
          <t>圆钢</t>
        </is>
      </c>
      <c r="C441" t="inlineStr">
        <is>
          <t>600617100</t>
        </is>
      </c>
      <c r="D441" t="inlineStr">
        <is>
          <t>热轧高碳铬轴承圆钢|圆钢|GCr15|Φ25|GB/T 18254-2002|热轧|GB/T 702-2008</t>
        </is>
      </c>
      <c r="E441" t="inlineStr">
        <is>
          <t>物资名称 热轧高碳铬轴承圆钢;物资简称 圆钢;牌号 GCr15;直径 Φ25;技术标准号 GB/T 18254-2002;加工工艺 热轧;热处理工艺 ;特殊要求 ;规格标准号 GB/T 702-2008</t>
        </is>
      </c>
      <c r="F441" t="inlineStr">
        <is>
          <t>千克</t>
        </is>
      </c>
      <c r="G441">
        <f>LEFT(D441,FIND("|",D441,1)-1)</f>
        <v/>
      </c>
      <c r="H441">
        <f>MID(D441,FIND("|",D441,FIND("|",D441,1))+1,FIND("|",D441,FIND("|",D441,1)+1)-FIND("|",D441,FIND("|",D441,1))-1)</f>
        <v/>
      </c>
      <c r="J441">
        <f>MID(D441,FIND(";",SUBSTITUTE(D441,"|",REPT(";",LEN(D441)),2))+1,FIND(";",SUBSTITUTE(D441,"|",REPT(";",LEN(D441)),3))-FIND(";",SUBSTITUTE(D441,"|",REPT(";",LEN(D441)),2))-1)</f>
        <v/>
      </c>
      <c r="K441">
        <f>MID(D441,FIND(";",SUBSTITUTE(D441,"|",REPT(";",LEN(D441)),3))+1,FIND(";",SUBSTITUTE(D441,"|",REPT(";",LEN(D441)),4))-FIND(";",SUBSTITUTE(D441,"|",REPT(";",LEN(D441)),3))-1)</f>
        <v/>
      </c>
      <c r="M441">
        <f>MID(D441,FIND(";",SUBSTITUTE(D441,"|",REPT(";",LEN(D441)),4))+1,FIND(";",SUBSTITUTE(D441,"|",REPT(";",LEN(D441)),5))-FIND(";",SUBSTITUTE(D441,"|",REPT(";",LEN(D441)),4))-1)</f>
        <v/>
      </c>
      <c r="N441">
        <f>MID(D441,FIND(";",SUBSTITUTE(D441,"|",REPT(";",LEN(D441)),6))+1,LEN(D441))</f>
        <v/>
      </c>
      <c r="O441">
        <f>MID(D441,FIND(";",SUBSTITUTE(D441,"|",REPT(";",LEN(D441)),5))+1,FIND(";",SUBSTITUTE(D441,"|",REPT(";",LEN(D441)),6))-FIND(";",SUBSTITUTE(D441,"|",REPT(";",LEN(D441)),5))-1)</f>
        <v/>
      </c>
    </row>
    <row r="442">
      <c r="A442" t="inlineStr">
        <is>
          <t>100201</t>
        </is>
      </c>
      <c r="B442" t="inlineStr">
        <is>
          <t>圆钢</t>
        </is>
      </c>
      <c r="C442" t="inlineStr">
        <is>
          <t>600617000</t>
        </is>
      </c>
      <c r="D442" t="inlineStr">
        <is>
          <t>热轧高碳铬轴承圆钢|圆钢|GCr15|Φ30|GB/T 18254-2002|热轧|GB/T 702-2008</t>
        </is>
      </c>
      <c r="E442" t="inlineStr">
        <is>
          <t>物资名称 热轧高碳铬轴承圆钢;物资简称 圆钢;牌号 GCr15;直径 Φ30;技术标准号 GB/T 18254-2002;加工工艺 热轧;热处理工艺 ;特殊要求 ;规格标准号 GB/T 702-2008</t>
        </is>
      </c>
      <c r="F442" t="inlineStr">
        <is>
          <t>千克</t>
        </is>
      </c>
      <c r="G442">
        <f>LEFT(D442,FIND("|",D442,1)-1)</f>
        <v/>
      </c>
      <c r="H442">
        <f>MID(D442,FIND("|",D442,FIND("|",D442,1))+1,FIND("|",D442,FIND("|",D442,1)+1)-FIND("|",D442,FIND("|",D442,1))-1)</f>
        <v/>
      </c>
      <c r="J442">
        <f>MID(D442,FIND(";",SUBSTITUTE(D442,"|",REPT(";",LEN(D442)),2))+1,FIND(";",SUBSTITUTE(D442,"|",REPT(";",LEN(D442)),3))-FIND(";",SUBSTITUTE(D442,"|",REPT(";",LEN(D442)),2))-1)</f>
        <v/>
      </c>
      <c r="K442">
        <f>MID(D442,FIND(";",SUBSTITUTE(D442,"|",REPT(";",LEN(D442)),3))+1,FIND(";",SUBSTITUTE(D442,"|",REPT(";",LEN(D442)),4))-FIND(";",SUBSTITUTE(D442,"|",REPT(";",LEN(D442)),3))-1)</f>
        <v/>
      </c>
      <c r="M442">
        <f>MID(D442,FIND(";",SUBSTITUTE(D442,"|",REPT(";",LEN(D442)),4))+1,FIND(";",SUBSTITUTE(D442,"|",REPT(";",LEN(D442)),5))-FIND(";",SUBSTITUTE(D442,"|",REPT(";",LEN(D442)),4))-1)</f>
        <v/>
      </c>
      <c r="N442">
        <f>MID(D442,FIND(";",SUBSTITUTE(D442,"|",REPT(";",LEN(D442)),6))+1,LEN(D442))</f>
        <v/>
      </c>
      <c r="O442">
        <f>MID(D442,FIND(";",SUBSTITUTE(D442,"|",REPT(";",LEN(D442)),5))+1,FIND(";",SUBSTITUTE(D442,"|",REPT(";",LEN(D442)),6))-FIND(";",SUBSTITUTE(D442,"|",REPT(";",LEN(D442)),5))-1)</f>
        <v/>
      </c>
    </row>
    <row r="443">
      <c r="A443" t="inlineStr">
        <is>
          <t>100201</t>
        </is>
      </c>
      <c r="B443" t="inlineStr">
        <is>
          <t>圆钢</t>
        </is>
      </c>
      <c r="C443" t="inlineStr">
        <is>
          <t>600616900</t>
        </is>
      </c>
      <c r="D443" t="inlineStr">
        <is>
          <t>热轧高碳铬轴承圆钢|圆钢|GCr15|Φ35|GB/T 18254-2002|热轧|GB/T 702-2008</t>
        </is>
      </c>
      <c r="E443" t="inlineStr">
        <is>
          <t>物资名称 热轧高碳铬轴承圆钢;物资简称 圆钢;牌号 GCr15;直径 Φ35;技术标准号 GB/T 18254-2002;加工工艺 热轧;热处理工艺 ;特殊要求 ;规格标准号 GB/T 702-2008</t>
        </is>
      </c>
      <c r="F443" t="inlineStr">
        <is>
          <t>千克</t>
        </is>
      </c>
      <c r="G443">
        <f>LEFT(D443,FIND("|",D443,1)-1)</f>
        <v/>
      </c>
      <c r="H443">
        <f>MID(D443,FIND("|",D443,FIND("|",D443,1))+1,FIND("|",D443,FIND("|",D443,1)+1)-FIND("|",D443,FIND("|",D443,1))-1)</f>
        <v/>
      </c>
      <c r="J443">
        <f>MID(D443,FIND(";",SUBSTITUTE(D443,"|",REPT(";",LEN(D443)),2))+1,FIND(";",SUBSTITUTE(D443,"|",REPT(";",LEN(D443)),3))-FIND(";",SUBSTITUTE(D443,"|",REPT(";",LEN(D443)),2))-1)</f>
        <v/>
      </c>
      <c r="K443">
        <f>MID(D443,FIND(";",SUBSTITUTE(D443,"|",REPT(";",LEN(D443)),3))+1,FIND(";",SUBSTITUTE(D443,"|",REPT(";",LEN(D443)),4))-FIND(";",SUBSTITUTE(D443,"|",REPT(";",LEN(D443)),3))-1)</f>
        <v/>
      </c>
      <c r="M443">
        <f>MID(D443,FIND(";",SUBSTITUTE(D443,"|",REPT(";",LEN(D443)),4))+1,FIND(";",SUBSTITUTE(D443,"|",REPT(";",LEN(D443)),5))-FIND(";",SUBSTITUTE(D443,"|",REPT(";",LEN(D443)),4))-1)</f>
        <v/>
      </c>
      <c r="N443">
        <f>MID(D443,FIND(";",SUBSTITUTE(D443,"|",REPT(";",LEN(D443)),6))+1,LEN(D443))</f>
        <v/>
      </c>
      <c r="O443">
        <f>MID(D443,FIND(";",SUBSTITUTE(D443,"|",REPT(";",LEN(D443)),5))+1,FIND(";",SUBSTITUTE(D443,"|",REPT(";",LEN(D443)),6))-FIND(";",SUBSTITUTE(D443,"|",REPT(";",LEN(D443)),5))-1)</f>
        <v/>
      </c>
    </row>
    <row r="444">
      <c r="A444" t="inlineStr">
        <is>
          <t>100201</t>
        </is>
      </c>
      <c r="B444" t="inlineStr">
        <is>
          <t>圆钢</t>
        </is>
      </c>
      <c r="C444" t="inlineStr">
        <is>
          <t>600616800</t>
        </is>
      </c>
      <c r="D444" t="inlineStr">
        <is>
          <t>热轧高碳铬轴承圆钢|圆钢|GCr15|Φ40|GB/T 18254-2002|热轧|GB/T 702-2008</t>
        </is>
      </c>
      <c r="E444" t="inlineStr">
        <is>
          <t>物资名称 热轧高碳铬轴承圆钢;物资简称 圆钢;牌号 GCr15;直径 Φ40;技术标准号 GB/T 18254-2002;加工工艺 热轧;热处理工艺 ;特殊要求 ;规格标准号 GB/T 702-2008</t>
        </is>
      </c>
      <c r="F444" t="inlineStr">
        <is>
          <t>千克</t>
        </is>
      </c>
      <c r="G444">
        <f>LEFT(D444,FIND("|",D444,1)-1)</f>
        <v/>
      </c>
      <c r="H444">
        <f>MID(D444,FIND("|",D444,FIND("|",D444,1))+1,FIND("|",D444,FIND("|",D444,1)+1)-FIND("|",D444,FIND("|",D444,1))-1)</f>
        <v/>
      </c>
      <c r="J444">
        <f>MID(D444,FIND(";",SUBSTITUTE(D444,"|",REPT(";",LEN(D444)),2))+1,FIND(";",SUBSTITUTE(D444,"|",REPT(";",LEN(D444)),3))-FIND(";",SUBSTITUTE(D444,"|",REPT(";",LEN(D444)),2))-1)</f>
        <v/>
      </c>
      <c r="K444">
        <f>MID(D444,FIND(";",SUBSTITUTE(D444,"|",REPT(";",LEN(D444)),3))+1,FIND(";",SUBSTITUTE(D444,"|",REPT(";",LEN(D444)),4))-FIND(";",SUBSTITUTE(D444,"|",REPT(";",LEN(D444)),3))-1)</f>
        <v/>
      </c>
      <c r="M444">
        <f>MID(D444,FIND(";",SUBSTITUTE(D444,"|",REPT(";",LEN(D444)),4))+1,FIND(";",SUBSTITUTE(D444,"|",REPT(";",LEN(D444)),5))-FIND(";",SUBSTITUTE(D444,"|",REPT(";",LEN(D444)),4))-1)</f>
        <v/>
      </c>
      <c r="N444">
        <f>MID(D444,FIND(";",SUBSTITUTE(D444,"|",REPT(";",LEN(D444)),6))+1,LEN(D444))</f>
        <v/>
      </c>
      <c r="O444">
        <f>MID(D444,FIND(";",SUBSTITUTE(D444,"|",REPT(";",LEN(D444)),5))+1,FIND(";",SUBSTITUTE(D444,"|",REPT(";",LEN(D444)),6))-FIND(";",SUBSTITUTE(D444,"|",REPT(";",LEN(D444)),5))-1)</f>
        <v/>
      </c>
    </row>
    <row r="445">
      <c r="A445" t="inlineStr">
        <is>
          <t>100201</t>
        </is>
      </c>
      <c r="B445" t="inlineStr">
        <is>
          <t>圆钢</t>
        </is>
      </c>
      <c r="C445" t="inlineStr">
        <is>
          <t>600616700</t>
        </is>
      </c>
      <c r="D445" t="inlineStr">
        <is>
          <t>热轧高碳铬轴承圆钢|圆钢|GCr15|Φ50|GB/T 18254-2002|热轧|GB/T 702-2008</t>
        </is>
      </c>
      <c r="E445" t="inlineStr">
        <is>
          <t>物资名称 热轧高碳铬轴承圆钢;物资简称 圆钢;牌号 GCr15;直径 Φ50;技术标准号 GB/T 18254-2002;加工工艺 热轧;热处理工艺 ;特殊要求 ;规格标准号 GB/T 702-2008</t>
        </is>
      </c>
      <c r="F445" t="inlineStr">
        <is>
          <t>千克</t>
        </is>
      </c>
      <c r="G445">
        <f>LEFT(D445,FIND("|",D445,1)-1)</f>
        <v/>
      </c>
      <c r="H445">
        <f>MID(D445,FIND("|",D445,FIND("|",D445,1))+1,FIND("|",D445,FIND("|",D445,1)+1)-FIND("|",D445,FIND("|",D445,1))-1)</f>
        <v/>
      </c>
      <c r="J445">
        <f>MID(D445,FIND(";",SUBSTITUTE(D445,"|",REPT(";",LEN(D445)),2))+1,FIND(";",SUBSTITUTE(D445,"|",REPT(";",LEN(D445)),3))-FIND(";",SUBSTITUTE(D445,"|",REPT(";",LEN(D445)),2))-1)</f>
        <v/>
      </c>
      <c r="K445">
        <f>MID(D445,FIND(";",SUBSTITUTE(D445,"|",REPT(";",LEN(D445)),3))+1,FIND(";",SUBSTITUTE(D445,"|",REPT(";",LEN(D445)),4))-FIND(";",SUBSTITUTE(D445,"|",REPT(";",LEN(D445)),3))-1)</f>
        <v/>
      </c>
      <c r="M445">
        <f>MID(D445,FIND(";",SUBSTITUTE(D445,"|",REPT(";",LEN(D445)),4))+1,FIND(";",SUBSTITUTE(D445,"|",REPT(";",LEN(D445)),5))-FIND(";",SUBSTITUTE(D445,"|",REPT(";",LEN(D445)),4))-1)</f>
        <v/>
      </c>
      <c r="N445">
        <f>MID(D445,FIND(";",SUBSTITUTE(D445,"|",REPT(";",LEN(D445)),6))+1,LEN(D445))</f>
        <v/>
      </c>
      <c r="O445">
        <f>MID(D445,FIND(";",SUBSTITUTE(D445,"|",REPT(";",LEN(D445)),5))+1,FIND(";",SUBSTITUTE(D445,"|",REPT(";",LEN(D445)),6))-FIND(";",SUBSTITUTE(D445,"|",REPT(";",LEN(D445)),5))-1)</f>
        <v/>
      </c>
    </row>
    <row r="446">
      <c r="A446" t="inlineStr">
        <is>
          <t>100201</t>
        </is>
      </c>
      <c r="B446" t="inlineStr">
        <is>
          <t>圆钢</t>
        </is>
      </c>
      <c r="C446" t="inlineStr">
        <is>
          <t>600616600</t>
        </is>
      </c>
      <c r="D446" t="inlineStr">
        <is>
          <t>热轧高碳铬轴承圆钢|圆钢|GCr15|Φ70|GB/T 18254-2002|热轧|GB/T 702-2008</t>
        </is>
      </c>
      <c r="E446" t="inlineStr">
        <is>
          <t>物资名称 热轧高碳铬轴承圆钢;物资简称 圆钢;牌号 GCr15;直径 Φ70;技术标准号 GB/T 18254-2002;加工工艺 热轧;热处理工艺 ;特殊要求 ;规格标准号 GB/T 702-2008</t>
        </is>
      </c>
      <c r="F446" t="inlineStr">
        <is>
          <t>千克</t>
        </is>
      </c>
      <c r="G446">
        <f>LEFT(D446,FIND("|",D446,1)-1)</f>
        <v/>
      </c>
      <c r="H446">
        <f>MID(D446,FIND("|",D446,FIND("|",D446,1))+1,FIND("|",D446,FIND("|",D446,1)+1)-FIND("|",D446,FIND("|",D446,1))-1)</f>
        <v/>
      </c>
      <c r="J446">
        <f>MID(D446,FIND(";",SUBSTITUTE(D446,"|",REPT(";",LEN(D446)),2))+1,FIND(";",SUBSTITUTE(D446,"|",REPT(";",LEN(D446)),3))-FIND(";",SUBSTITUTE(D446,"|",REPT(";",LEN(D446)),2))-1)</f>
        <v/>
      </c>
      <c r="K446">
        <f>MID(D446,FIND(";",SUBSTITUTE(D446,"|",REPT(";",LEN(D446)),3))+1,FIND(";",SUBSTITUTE(D446,"|",REPT(";",LEN(D446)),4))-FIND(";",SUBSTITUTE(D446,"|",REPT(";",LEN(D446)),3))-1)</f>
        <v/>
      </c>
      <c r="M446">
        <f>MID(D446,FIND(";",SUBSTITUTE(D446,"|",REPT(";",LEN(D446)),4))+1,FIND(";",SUBSTITUTE(D446,"|",REPT(";",LEN(D446)),5))-FIND(";",SUBSTITUTE(D446,"|",REPT(";",LEN(D446)),4))-1)</f>
        <v/>
      </c>
      <c r="N446">
        <f>MID(D446,FIND(";",SUBSTITUTE(D446,"|",REPT(";",LEN(D446)),6))+1,LEN(D446))</f>
        <v/>
      </c>
      <c r="O446">
        <f>MID(D446,FIND(";",SUBSTITUTE(D446,"|",REPT(";",LEN(D446)),5))+1,FIND(";",SUBSTITUTE(D446,"|",REPT(";",LEN(D446)),6))-FIND(";",SUBSTITUTE(D446,"|",REPT(";",LEN(D446)),5))-1)</f>
        <v/>
      </c>
    </row>
    <row r="447">
      <c r="A447" t="inlineStr">
        <is>
          <t>100201</t>
        </is>
      </c>
      <c r="B447" t="inlineStr">
        <is>
          <t>圆钢</t>
        </is>
      </c>
      <c r="C447" t="inlineStr">
        <is>
          <t>600616500</t>
        </is>
      </c>
      <c r="D447" t="inlineStr">
        <is>
          <t>热轧高碳铬轴承圆钢|圆钢|GCr15|Φ80|GB/T 18254-2002|热轧|GB/T 702-2008</t>
        </is>
      </c>
      <c r="E447" t="inlineStr">
        <is>
          <t>物资名称 热轧高碳铬轴承圆钢;物资简称 圆钢;牌号 GCr15;直径 Φ80;技术标准号 GB/T 18254-2002;加工工艺 热轧;热处理工艺 ;特殊要求 ;规格标准号 GB/T 702-2008</t>
        </is>
      </c>
      <c r="F447" t="inlineStr">
        <is>
          <t>千克</t>
        </is>
      </c>
      <c r="G447">
        <f>LEFT(D447,FIND("|",D447,1)-1)</f>
        <v/>
      </c>
      <c r="H447">
        <f>MID(D447,FIND("|",D447,FIND("|",D447,1))+1,FIND("|",D447,FIND("|",D447,1)+1)-FIND("|",D447,FIND("|",D447,1))-1)</f>
        <v/>
      </c>
      <c r="J447">
        <f>MID(D447,FIND(";",SUBSTITUTE(D447,"|",REPT(";",LEN(D447)),2))+1,FIND(";",SUBSTITUTE(D447,"|",REPT(";",LEN(D447)),3))-FIND(";",SUBSTITUTE(D447,"|",REPT(";",LEN(D447)),2))-1)</f>
        <v/>
      </c>
      <c r="K447">
        <f>MID(D447,FIND(";",SUBSTITUTE(D447,"|",REPT(";",LEN(D447)),3))+1,FIND(";",SUBSTITUTE(D447,"|",REPT(";",LEN(D447)),4))-FIND(";",SUBSTITUTE(D447,"|",REPT(";",LEN(D447)),3))-1)</f>
        <v/>
      </c>
      <c r="M447">
        <f>MID(D447,FIND(";",SUBSTITUTE(D447,"|",REPT(";",LEN(D447)),4))+1,FIND(";",SUBSTITUTE(D447,"|",REPT(";",LEN(D447)),5))-FIND(";",SUBSTITUTE(D447,"|",REPT(";",LEN(D447)),4))-1)</f>
        <v/>
      </c>
      <c r="N447">
        <f>MID(D447,FIND(";",SUBSTITUTE(D447,"|",REPT(";",LEN(D447)),6))+1,LEN(D447))</f>
        <v/>
      </c>
      <c r="O447">
        <f>MID(D447,FIND(";",SUBSTITUTE(D447,"|",REPT(";",LEN(D447)),5))+1,FIND(";",SUBSTITUTE(D447,"|",REPT(";",LEN(D447)),6))-FIND(";",SUBSTITUTE(D447,"|",REPT(";",LEN(D447)),5))-1)</f>
        <v/>
      </c>
    </row>
    <row r="448">
      <c r="A448" t="inlineStr">
        <is>
          <t>100201</t>
        </is>
      </c>
      <c r="B448" t="inlineStr">
        <is>
          <t>圆钢</t>
        </is>
      </c>
      <c r="C448" t="inlineStr">
        <is>
          <t>600616400</t>
        </is>
      </c>
      <c r="D448" t="inlineStr">
        <is>
          <t>热轧高碳铬轴承圆钢|圆钢|GCr15|Φ90|GB/T 18254-2002|热轧|GB/T 702-2008</t>
        </is>
      </c>
      <c r="E448" t="inlineStr">
        <is>
          <t>物资名称 热轧高碳铬轴承圆钢;物资简称 圆钢;牌号 GCr15;直径 Φ90;技术标准号 GB/T 18254-2002;加工工艺 热轧;热处理工艺 ;特殊要求 ;规格标准号 GB/T 702-2008</t>
        </is>
      </c>
      <c r="F448" t="inlineStr">
        <is>
          <t>千克</t>
        </is>
      </c>
      <c r="G448">
        <f>LEFT(D448,FIND("|",D448,1)-1)</f>
        <v/>
      </c>
      <c r="H448">
        <f>MID(D448,FIND("|",D448,FIND("|",D448,1))+1,FIND("|",D448,FIND("|",D448,1)+1)-FIND("|",D448,FIND("|",D448,1))-1)</f>
        <v/>
      </c>
      <c r="J448">
        <f>MID(D448,FIND(";",SUBSTITUTE(D448,"|",REPT(";",LEN(D448)),2))+1,FIND(";",SUBSTITUTE(D448,"|",REPT(";",LEN(D448)),3))-FIND(";",SUBSTITUTE(D448,"|",REPT(";",LEN(D448)),2))-1)</f>
        <v/>
      </c>
      <c r="K448">
        <f>MID(D448,FIND(";",SUBSTITUTE(D448,"|",REPT(";",LEN(D448)),3))+1,FIND(";",SUBSTITUTE(D448,"|",REPT(";",LEN(D448)),4))-FIND(";",SUBSTITUTE(D448,"|",REPT(";",LEN(D448)),3))-1)</f>
        <v/>
      </c>
      <c r="M448">
        <f>MID(D448,FIND(";",SUBSTITUTE(D448,"|",REPT(";",LEN(D448)),4))+1,FIND(";",SUBSTITUTE(D448,"|",REPT(";",LEN(D448)),5))-FIND(";",SUBSTITUTE(D448,"|",REPT(";",LEN(D448)),4))-1)</f>
        <v/>
      </c>
      <c r="N448">
        <f>MID(D448,FIND(";",SUBSTITUTE(D448,"|",REPT(";",LEN(D448)),6))+1,LEN(D448))</f>
        <v/>
      </c>
      <c r="O448">
        <f>MID(D448,FIND(";",SUBSTITUTE(D448,"|",REPT(";",LEN(D448)),5))+1,FIND(";",SUBSTITUTE(D448,"|",REPT(";",LEN(D448)),6))-FIND(";",SUBSTITUTE(D448,"|",REPT(";",LEN(D448)),5))-1)</f>
        <v/>
      </c>
    </row>
    <row r="449">
      <c r="A449" t="inlineStr">
        <is>
          <t>100201</t>
        </is>
      </c>
      <c r="B449" t="inlineStr">
        <is>
          <t>圆钢</t>
        </is>
      </c>
      <c r="C449" t="inlineStr">
        <is>
          <t>600616300</t>
        </is>
      </c>
      <c r="D449" t="inlineStr">
        <is>
          <t>热轧高碳铬轴承圆钢|圆钢|GCr15|Φ120|GB/T 18254-2002|热轧|GB/T 702-2008</t>
        </is>
      </c>
      <c r="E449" t="inlineStr">
        <is>
          <t>物资名称 热轧高碳铬轴承圆钢;物资简称 圆钢;牌号 GCr15;直径 Φ120;技术标准号 GB/T 18254-2002;加工工艺 热轧;热处理工艺 ;特殊要求 ;规格标准号 GB/T 702-2008</t>
        </is>
      </c>
      <c r="F449" t="inlineStr">
        <is>
          <t>千克</t>
        </is>
      </c>
      <c r="G449">
        <f>LEFT(D449,FIND("|",D449,1)-1)</f>
        <v/>
      </c>
      <c r="H449">
        <f>MID(D449,FIND("|",D449,FIND("|",D449,1))+1,FIND("|",D449,FIND("|",D449,1)+1)-FIND("|",D449,FIND("|",D449,1))-1)</f>
        <v/>
      </c>
      <c r="J449">
        <f>MID(D449,FIND(";",SUBSTITUTE(D449,"|",REPT(";",LEN(D449)),2))+1,FIND(";",SUBSTITUTE(D449,"|",REPT(";",LEN(D449)),3))-FIND(";",SUBSTITUTE(D449,"|",REPT(";",LEN(D449)),2))-1)</f>
        <v/>
      </c>
      <c r="K449">
        <f>MID(D449,FIND(";",SUBSTITUTE(D449,"|",REPT(";",LEN(D449)),3))+1,FIND(";",SUBSTITUTE(D449,"|",REPT(";",LEN(D449)),4))-FIND(";",SUBSTITUTE(D449,"|",REPT(";",LEN(D449)),3))-1)</f>
        <v/>
      </c>
      <c r="M449">
        <f>MID(D449,FIND(";",SUBSTITUTE(D449,"|",REPT(";",LEN(D449)),4))+1,FIND(";",SUBSTITUTE(D449,"|",REPT(";",LEN(D449)),5))-FIND(";",SUBSTITUTE(D449,"|",REPT(";",LEN(D449)),4))-1)</f>
        <v/>
      </c>
      <c r="N449">
        <f>MID(D449,FIND(";",SUBSTITUTE(D449,"|",REPT(";",LEN(D449)),6))+1,LEN(D449))</f>
        <v/>
      </c>
      <c r="O449">
        <f>MID(D449,FIND(";",SUBSTITUTE(D449,"|",REPT(";",LEN(D449)),5))+1,FIND(";",SUBSTITUTE(D449,"|",REPT(";",LEN(D449)),6))-FIND(";",SUBSTITUTE(D449,"|",REPT(";",LEN(D449)),5))-1)</f>
        <v/>
      </c>
    </row>
    <row r="450">
      <c r="A450" t="inlineStr">
        <is>
          <t>100201</t>
        </is>
      </c>
      <c r="B450" t="inlineStr">
        <is>
          <t>圆钢</t>
        </is>
      </c>
      <c r="C450" t="inlineStr">
        <is>
          <t>600616200</t>
        </is>
      </c>
      <c r="D450" t="inlineStr">
        <is>
          <t>热轧合金结构圆钢|圆钢|30CrMnSiA|GB/T 3077-1999|GB/T 702-2008</t>
        </is>
      </c>
      <c r="E450" t="inlineStr">
        <is>
          <t>物资名称 热轧合金结构圆钢;物资简称 圆钢;牌号 30CrMnSiA;直径 Φ;技术标准号 GB/T 3077-1999;加工工艺 ;热处理工艺 ;特殊要求 ;规格标准号 GB/T 702-2008</t>
        </is>
      </c>
      <c r="F450" t="inlineStr">
        <is>
          <t>千克</t>
        </is>
      </c>
      <c r="G450">
        <f>LEFT(D450,FIND("|",D450,1)-1)</f>
        <v/>
      </c>
      <c r="H450">
        <f>MID(D450,FIND("|",D450,FIND("|",D450,1))+1,FIND("|",D450,FIND("|",D450,1)+1)-FIND("|",D450,FIND("|",D450,1))-1)</f>
        <v/>
      </c>
      <c r="J450">
        <f>MID(D450,FIND(";",SUBSTITUTE(D450,"|",REPT(";",LEN(D450)),2))+1,FIND(";",SUBSTITUTE(D450,"|",REPT(";",LEN(D450)),3))-FIND(";",SUBSTITUTE(D450,"|",REPT(";",LEN(D450)),2))-1)</f>
        <v/>
      </c>
      <c r="M450">
        <f>MID(D450,FIND(";",SUBSTITUTE(D450,"|",REPT(";",LEN(D450)),3))+1,FIND(";",SUBSTITUTE(D450,"|",REPT(";",LEN(D450)),4))-FIND(";",SUBSTITUTE(D450,"|",REPT(";",LEN(D450)),3))-1)</f>
        <v/>
      </c>
      <c r="N450">
        <f>MID(D450,FIND(";",SUBSTITUTE(D450,"|",REPT(";",LEN(D450)),4))+1,LEN(D450))</f>
        <v/>
      </c>
    </row>
    <row r="451">
      <c r="A451" t="inlineStr">
        <is>
          <t>100201</t>
        </is>
      </c>
      <c r="B451" t="inlineStr">
        <is>
          <t>圆钢</t>
        </is>
      </c>
      <c r="C451" t="inlineStr">
        <is>
          <t>600616100</t>
        </is>
      </c>
      <c r="D451" t="inlineStr">
        <is>
          <t>锻造合金结构圆钢|圆钢|30CrMnSiA|Φ190|GB/T 3077-1999|锻造|退火|GB/T 908-2008</t>
        </is>
      </c>
      <c r="E451" t="inlineStr">
        <is>
          <t>物资名称 锻造合金结构圆钢;物资简称 圆钢;牌号 30CrMnSiA;直径 Φ190;技术标准号 GB/T 3077-1999;加工工艺 锻造;热处理工艺 退火;特殊要求 ;规格标准号 GB/T 908-2008</t>
        </is>
      </c>
      <c r="F451" t="inlineStr">
        <is>
          <t>千克</t>
        </is>
      </c>
      <c r="G451">
        <f>LEFT(D451,FIND("|",D451,1)-1)</f>
        <v/>
      </c>
      <c r="H451">
        <f>MID(D451,FIND("|",D451,FIND("|",D451,1))+1,FIND("|",D451,FIND("|",D451,1)+1)-FIND("|",D451,FIND("|",D451,1))-1)</f>
        <v/>
      </c>
      <c r="J451">
        <f>MID(D451,FIND(";",SUBSTITUTE(D451,"|",REPT(";",LEN(D451)),2))+1,FIND(";",SUBSTITUTE(D451,"|",REPT(";",LEN(D451)),3))-FIND(";",SUBSTITUTE(D451,"|",REPT(";",LEN(D451)),2))-1)</f>
        <v/>
      </c>
      <c r="K451">
        <f>MID(D451,FIND(";",SUBSTITUTE(D451,"|",REPT(";",LEN(D451)),3))+1,FIND(";",SUBSTITUTE(D451,"|",REPT(";",LEN(D451)),4))-FIND(";",SUBSTITUTE(D451,"|",REPT(";",LEN(D451)),3))-1)</f>
        <v/>
      </c>
      <c r="M451">
        <f>MID(D451,FIND(";",SUBSTITUTE(D451,"|",REPT(";",LEN(D451)),4))+1,FIND(";",SUBSTITUTE(D451,"|",REPT(";",LEN(D451)),5))-FIND(";",SUBSTITUTE(D451,"|",REPT(";",LEN(D451)),4))-1)</f>
        <v/>
      </c>
      <c r="N451">
        <f>MID(D451,FIND(";",SUBSTITUTE(D451,"|",REPT(";",LEN(D451)),7))+1,LEN(D451))</f>
        <v/>
      </c>
      <c r="O451">
        <f>MID(D451,FIND(";",SUBSTITUTE(D451,"|",REPT(";",LEN(D451)),5))+1,FIND(";",SUBSTITUTE(D451,"|",REPT(";",LEN(D451)),6))-FIND(";",SUBSTITUTE(D451,"|",REPT(";",LEN(D451)),5))-1)</f>
        <v/>
      </c>
      <c r="P451">
        <f>MID(D451,FIND(";",SUBSTITUTE(D451,"|",REPT(";",LEN(D451)),6))+1,FIND(";",SUBSTITUTE(D451,"|",REPT(";",LEN(D451)),7))-FIND(";",SUBSTITUTE(D451,"|",REPT(";",LEN(D451)),6))-1)</f>
        <v/>
      </c>
    </row>
    <row r="452">
      <c r="A452" t="inlineStr">
        <is>
          <t>100201</t>
        </is>
      </c>
      <c r="B452" t="inlineStr">
        <is>
          <t>圆钢</t>
        </is>
      </c>
      <c r="C452" t="inlineStr">
        <is>
          <t>600616000</t>
        </is>
      </c>
      <c r="D452" t="inlineStr">
        <is>
          <t>热轧合金结构圆钢|圆钢|30CrMnSiA|Φ12|GB/T 3077-1999|热轧|GB/T 702-2008</t>
        </is>
      </c>
      <c r="E452" t="inlineStr">
        <is>
          <t>物资名称 热轧合金结构圆钢;物资简称 圆钢;牌号 30CrMnSiA;直径 Φ12;技术标准号 GB/T 3077-1999;加工工艺 热轧;热处理工艺 ;特殊要求 ;规格标准号 GB/T 702-2008</t>
        </is>
      </c>
      <c r="F452" t="inlineStr">
        <is>
          <t>千克</t>
        </is>
      </c>
      <c r="G452">
        <f>LEFT(D452,FIND("|",D452,1)-1)</f>
        <v/>
      </c>
      <c r="H452">
        <f>MID(D452,FIND("|",D452,FIND("|",D452,1))+1,FIND("|",D452,FIND("|",D452,1)+1)-FIND("|",D452,FIND("|",D452,1))-1)</f>
        <v/>
      </c>
      <c r="J452">
        <f>MID(D452,FIND(";",SUBSTITUTE(D452,"|",REPT(";",LEN(D452)),2))+1,FIND(";",SUBSTITUTE(D452,"|",REPT(";",LEN(D452)),3))-FIND(";",SUBSTITUTE(D452,"|",REPT(";",LEN(D452)),2))-1)</f>
        <v/>
      </c>
      <c r="K452">
        <f>MID(D452,FIND(";",SUBSTITUTE(D452,"|",REPT(";",LEN(D452)),3))+1,FIND(";",SUBSTITUTE(D452,"|",REPT(";",LEN(D452)),4))-FIND(";",SUBSTITUTE(D452,"|",REPT(";",LEN(D452)),3))-1)</f>
        <v/>
      </c>
      <c r="M452">
        <f>MID(D452,FIND(";",SUBSTITUTE(D452,"|",REPT(";",LEN(D452)),4))+1,FIND(";",SUBSTITUTE(D452,"|",REPT(";",LEN(D452)),5))-FIND(";",SUBSTITUTE(D452,"|",REPT(";",LEN(D452)),4))-1)</f>
        <v/>
      </c>
      <c r="N452">
        <f>MID(D452,FIND(";",SUBSTITUTE(D452,"|",REPT(";",LEN(D452)),6))+1,LEN(D452))</f>
        <v/>
      </c>
      <c r="O452">
        <f>MID(D452,FIND(";",SUBSTITUTE(D452,"|",REPT(";",LEN(D452)),5))+1,FIND(";",SUBSTITUTE(D452,"|",REPT(";",LEN(D452)),6))-FIND(";",SUBSTITUTE(D452,"|",REPT(";",LEN(D452)),5))-1)</f>
        <v/>
      </c>
    </row>
    <row r="453">
      <c r="A453" t="inlineStr">
        <is>
          <t>100201</t>
        </is>
      </c>
      <c r="B453" t="inlineStr">
        <is>
          <t>圆钢</t>
        </is>
      </c>
      <c r="C453" t="inlineStr">
        <is>
          <t>600615900</t>
        </is>
      </c>
      <c r="D453" t="inlineStr">
        <is>
          <t>热轧合金结构圆钢|圆钢|30CrMnSiA|Φ14|GB/T 3077-1999|热轧|GB/T 702-2008</t>
        </is>
      </c>
      <c r="E453" t="inlineStr">
        <is>
          <t>物资名称 热轧合金结构圆钢;物资简称 圆钢;牌号 30CrMnSiA;直径 Φ14;技术标准号 GB/T 3077-1999;加工工艺 热轧;热处理工艺 ;特殊要求 ;规格标准号 GB/T 702-2008</t>
        </is>
      </c>
      <c r="F453" t="inlineStr">
        <is>
          <t>千克</t>
        </is>
      </c>
      <c r="G453">
        <f>LEFT(D453,FIND("|",D453,1)-1)</f>
        <v/>
      </c>
      <c r="H453">
        <f>MID(D453,FIND("|",D453,FIND("|",D453,1))+1,FIND("|",D453,FIND("|",D453,1)+1)-FIND("|",D453,FIND("|",D453,1))-1)</f>
        <v/>
      </c>
      <c r="J453">
        <f>MID(D453,FIND(";",SUBSTITUTE(D453,"|",REPT(";",LEN(D453)),2))+1,FIND(";",SUBSTITUTE(D453,"|",REPT(";",LEN(D453)),3))-FIND(";",SUBSTITUTE(D453,"|",REPT(";",LEN(D453)),2))-1)</f>
        <v/>
      </c>
      <c r="K453">
        <f>MID(D453,FIND(";",SUBSTITUTE(D453,"|",REPT(";",LEN(D453)),3))+1,FIND(";",SUBSTITUTE(D453,"|",REPT(";",LEN(D453)),4))-FIND(";",SUBSTITUTE(D453,"|",REPT(";",LEN(D453)),3))-1)</f>
        <v/>
      </c>
      <c r="M453">
        <f>MID(D453,FIND(";",SUBSTITUTE(D453,"|",REPT(";",LEN(D453)),4))+1,FIND(";",SUBSTITUTE(D453,"|",REPT(";",LEN(D453)),5))-FIND(";",SUBSTITUTE(D453,"|",REPT(";",LEN(D453)),4))-1)</f>
        <v/>
      </c>
      <c r="N453">
        <f>MID(D453,FIND(";",SUBSTITUTE(D453,"|",REPT(";",LEN(D453)),6))+1,LEN(D453))</f>
        <v/>
      </c>
      <c r="O453">
        <f>MID(D453,FIND(";",SUBSTITUTE(D453,"|",REPT(";",LEN(D453)),5))+1,FIND(";",SUBSTITUTE(D453,"|",REPT(";",LEN(D453)),6))-FIND(";",SUBSTITUTE(D453,"|",REPT(";",LEN(D453)),5))-1)</f>
        <v/>
      </c>
    </row>
    <row r="454">
      <c r="A454" t="inlineStr">
        <is>
          <t>100201</t>
        </is>
      </c>
      <c r="B454" t="inlineStr">
        <is>
          <t>圆钢</t>
        </is>
      </c>
      <c r="C454" t="inlineStr">
        <is>
          <t>600615800</t>
        </is>
      </c>
      <c r="D454" t="inlineStr">
        <is>
          <t>热轧合金结构圆钢|圆钢|30CrMnSiA|Φ18|GB/T 3077-1999|热轧|GB/T 702-2008</t>
        </is>
      </c>
      <c r="E454" t="inlineStr">
        <is>
          <t>物资名称 热轧合金结构圆钢;物资简称 圆钢;牌号 30CrMnSiA;直径 Φ18;技术标准号 GB/T 3077-1999;加工工艺 热轧;热处理工艺 ;特殊要求 ;规格标准号 GB/T 702-2008</t>
        </is>
      </c>
      <c r="F454" t="inlineStr">
        <is>
          <t>千克</t>
        </is>
      </c>
      <c r="G454">
        <f>LEFT(D454,FIND("|",D454,1)-1)</f>
        <v/>
      </c>
      <c r="H454">
        <f>MID(D454,FIND("|",D454,FIND("|",D454,1))+1,FIND("|",D454,FIND("|",D454,1)+1)-FIND("|",D454,FIND("|",D454,1))-1)</f>
        <v/>
      </c>
      <c r="J454">
        <f>MID(D454,FIND(";",SUBSTITUTE(D454,"|",REPT(";",LEN(D454)),2))+1,FIND(";",SUBSTITUTE(D454,"|",REPT(";",LEN(D454)),3))-FIND(";",SUBSTITUTE(D454,"|",REPT(";",LEN(D454)),2))-1)</f>
        <v/>
      </c>
      <c r="K454">
        <f>MID(D454,FIND(";",SUBSTITUTE(D454,"|",REPT(";",LEN(D454)),3))+1,FIND(";",SUBSTITUTE(D454,"|",REPT(";",LEN(D454)),4))-FIND(";",SUBSTITUTE(D454,"|",REPT(";",LEN(D454)),3))-1)</f>
        <v/>
      </c>
      <c r="M454">
        <f>MID(D454,FIND(";",SUBSTITUTE(D454,"|",REPT(";",LEN(D454)),4))+1,FIND(";",SUBSTITUTE(D454,"|",REPT(";",LEN(D454)),5))-FIND(";",SUBSTITUTE(D454,"|",REPT(";",LEN(D454)),4))-1)</f>
        <v/>
      </c>
      <c r="N454">
        <f>MID(D454,FIND(";",SUBSTITUTE(D454,"|",REPT(";",LEN(D454)),6))+1,LEN(D454))</f>
        <v/>
      </c>
      <c r="O454">
        <f>MID(D454,FIND(";",SUBSTITUTE(D454,"|",REPT(";",LEN(D454)),5))+1,FIND(";",SUBSTITUTE(D454,"|",REPT(";",LEN(D454)),6))-FIND(";",SUBSTITUTE(D454,"|",REPT(";",LEN(D454)),5))-1)</f>
        <v/>
      </c>
    </row>
    <row r="455">
      <c r="A455" t="inlineStr">
        <is>
          <t>100201</t>
        </is>
      </c>
      <c r="B455" t="inlineStr">
        <is>
          <t>圆钢</t>
        </is>
      </c>
      <c r="C455" t="inlineStr">
        <is>
          <t>600615700</t>
        </is>
      </c>
      <c r="D455" t="inlineStr">
        <is>
          <t>热轧合金结构圆钢|圆钢|30CrMnSiA|Φ20|GB/T 3077-1999|热轧|GB/T 702-2008</t>
        </is>
      </c>
      <c r="E455" t="inlineStr">
        <is>
          <t>物资名称 热轧合金结构圆钢;物资简称 圆钢;牌号 30CrMnSiA;直径 Φ20;技术标准号 GB/T 3077-1999;加工工艺 热轧;热处理工艺 ;特殊要求 ;规格标准号 GB/T 702-2008</t>
        </is>
      </c>
      <c r="F455" t="inlineStr">
        <is>
          <t>千克</t>
        </is>
      </c>
      <c r="G455">
        <f>LEFT(D455,FIND("|",D455,1)-1)</f>
        <v/>
      </c>
      <c r="H455">
        <f>MID(D455,FIND("|",D455,FIND("|",D455,1))+1,FIND("|",D455,FIND("|",D455,1)+1)-FIND("|",D455,FIND("|",D455,1))-1)</f>
        <v/>
      </c>
      <c r="J455">
        <f>MID(D455,FIND(";",SUBSTITUTE(D455,"|",REPT(";",LEN(D455)),2))+1,FIND(";",SUBSTITUTE(D455,"|",REPT(";",LEN(D455)),3))-FIND(";",SUBSTITUTE(D455,"|",REPT(";",LEN(D455)),2))-1)</f>
        <v/>
      </c>
      <c r="K455">
        <f>MID(D455,FIND(";",SUBSTITUTE(D455,"|",REPT(";",LEN(D455)),3))+1,FIND(";",SUBSTITUTE(D455,"|",REPT(";",LEN(D455)),4))-FIND(";",SUBSTITUTE(D455,"|",REPT(";",LEN(D455)),3))-1)</f>
        <v/>
      </c>
      <c r="M455">
        <f>MID(D455,FIND(";",SUBSTITUTE(D455,"|",REPT(";",LEN(D455)),4))+1,FIND(";",SUBSTITUTE(D455,"|",REPT(";",LEN(D455)),5))-FIND(";",SUBSTITUTE(D455,"|",REPT(";",LEN(D455)),4))-1)</f>
        <v/>
      </c>
      <c r="N455">
        <f>MID(D455,FIND(";",SUBSTITUTE(D455,"|",REPT(";",LEN(D455)),6))+1,LEN(D455))</f>
        <v/>
      </c>
      <c r="O455">
        <f>MID(D455,FIND(";",SUBSTITUTE(D455,"|",REPT(";",LEN(D455)),5))+1,FIND(";",SUBSTITUTE(D455,"|",REPT(";",LEN(D455)),6))-FIND(";",SUBSTITUTE(D455,"|",REPT(";",LEN(D455)),5))-1)</f>
        <v/>
      </c>
    </row>
    <row r="456">
      <c r="A456" t="inlineStr">
        <is>
          <t>100201</t>
        </is>
      </c>
      <c r="B456" t="inlineStr">
        <is>
          <t>圆钢</t>
        </is>
      </c>
      <c r="C456" t="inlineStr">
        <is>
          <t>600615600</t>
        </is>
      </c>
      <c r="D456" t="inlineStr">
        <is>
          <t>热轧合金结构圆钢|圆钢|30CrMnSiA|Φ22|GB/T 3077-1999|热轧|GB/T 702-2008</t>
        </is>
      </c>
      <c r="E456" t="inlineStr">
        <is>
          <t>物资名称 热轧合金结构圆钢;物资简称 圆钢;牌号 30CrMnSiA;直径 Φ22;技术标准号 GB/T 3077-1999;加工工艺 热轧;热处理工艺 ;特殊要求 ;规格标准号 GB/T 702-2008</t>
        </is>
      </c>
      <c r="F456" t="inlineStr">
        <is>
          <t>千克</t>
        </is>
      </c>
      <c r="G456">
        <f>LEFT(D456,FIND("|",D456,1)-1)</f>
        <v/>
      </c>
      <c r="H456">
        <f>MID(D456,FIND("|",D456,FIND("|",D456,1))+1,FIND("|",D456,FIND("|",D456,1)+1)-FIND("|",D456,FIND("|",D456,1))-1)</f>
        <v/>
      </c>
      <c r="J456">
        <f>MID(D456,FIND(";",SUBSTITUTE(D456,"|",REPT(";",LEN(D456)),2))+1,FIND(";",SUBSTITUTE(D456,"|",REPT(";",LEN(D456)),3))-FIND(";",SUBSTITUTE(D456,"|",REPT(";",LEN(D456)),2))-1)</f>
        <v/>
      </c>
      <c r="K456">
        <f>MID(D456,FIND(";",SUBSTITUTE(D456,"|",REPT(";",LEN(D456)),3))+1,FIND(";",SUBSTITUTE(D456,"|",REPT(";",LEN(D456)),4))-FIND(";",SUBSTITUTE(D456,"|",REPT(";",LEN(D456)),3))-1)</f>
        <v/>
      </c>
      <c r="M456">
        <f>MID(D456,FIND(";",SUBSTITUTE(D456,"|",REPT(";",LEN(D456)),4))+1,FIND(";",SUBSTITUTE(D456,"|",REPT(";",LEN(D456)),5))-FIND(";",SUBSTITUTE(D456,"|",REPT(";",LEN(D456)),4))-1)</f>
        <v/>
      </c>
      <c r="N456">
        <f>MID(D456,FIND(";",SUBSTITUTE(D456,"|",REPT(";",LEN(D456)),6))+1,LEN(D456))</f>
        <v/>
      </c>
      <c r="O456">
        <f>MID(D456,FIND(";",SUBSTITUTE(D456,"|",REPT(";",LEN(D456)),5))+1,FIND(";",SUBSTITUTE(D456,"|",REPT(";",LEN(D456)),6))-FIND(";",SUBSTITUTE(D456,"|",REPT(";",LEN(D456)),5))-1)</f>
        <v/>
      </c>
    </row>
    <row r="457">
      <c r="A457" t="inlineStr">
        <is>
          <t>100201</t>
        </is>
      </c>
      <c r="B457" t="inlineStr">
        <is>
          <t>圆钢</t>
        </is>
      </c>
      <c r="C457" t="inlineStr">
        <is>
          <t>600615500</t>
        </is>
      </c>
      <c r="D457" t="inlineStr">
        <is>
          <t>热轧合金结构圆钢|圆钢|30CrMnSiA|Φ32|GB/T 3077-1999|热轧|GB/T 702-2008</t>
        </is>
      </c>
      <c r="E457" t="inlineStr">
        <is>
          <t>物资名称 热轧合金结构圆钢;物资简称 圆钢;牌号 30CrMnSiA;直径 Φ32;技术标准号 GB/T 3077-1999;加工工艺 热轧;热处理工艺 ;特殊要求 ;规格标准号 GB/T 702-2008</t>
        </is>
      </c>
      <c r="F457" t="inlineStr">
        <is>
          <t>千克</t>
        </is>
      </c>
      <c r="G457">
        <f>LEFT(D457,FIND("|",D457,1)-1)</f>
        <v/>
      </c>
      <c r="H457">
        <f>MID(D457,FIND("|",D457,FIND("|",D457,1))+1,FIND("|",D457,FIND("|",D457,1)+1)-FIND("|",D457,FIND("|",D457,1))-1)</f>
        <v/>
      </c>
      <c r="J457">
        <f>MID(D457,FIND(";",SUBSTITUTE(D457,"|",REPT(";",LEN(D457)),2))+1,FIND(";",SUBSTITUTE(D457,"|",REPT(";",LEN(D457)),3))-FIND(";",SUBSTITUTE(D457,"|",REPT(";",LEN(D457)),2))-1)</f>
        <v/>
      </c>
      <c r="K457">
        <f>MID(D457,FIND(";",SUBSTITUTE(D457,"|",REPT(";",LEN(D457)),3))+1,FIND(";",SUBSTITUTE(D457,"|",REPT(";",LEN(D457)),4))-FIND(";",SUBSTITUTE(D457,"|",REPT(";",LEN(D457)),3))-1)</f>
        <v/>
      </c>
      <c r="M457">
        <f>MID(D457,FIND(";",SUBSTITUTE(D457,"|",REPT(";",LEN(D457)),4))+1,FIND(";",SUBSTITUTE(D457,"|",REPT(";",LEN(D457)),5))-FIND(";",SUBSTITUTE(D457,"|",REPT(";",LEN(D457)),4))-1)</f>
        <v/>
      </c>
      <c r="N457">
        <f>MID(D457,FIND(";",SUBSTITUTE(D457,"|",REPT(";",LEN(D457)),6))+1,LEN(D457))</f>
        <v/>
      </c>
      <c r="O457">
        <f>MID(D457,FIND(";",SUBSTITUTE(D457,"|",REPT(";",LEN(D457)),5))+1,FIND(";",SUBSTITUTE(D457,"|",REPT(";",LEN(D457)),6))-FIND(";",SUBSTITUTE(D457,"|",REPT(";",LEN(D457)),5))-1)</f>
        <v/>
      </c>
    </row>
    <row r="458">
      <c r="A458" t="inlineStr">
        <is>
          <t>100201</t>
        </is>
      </c>
      <c r="B458" t="inlineStr">
        <is>
          <t>圆钢</t>
        </is>
      </c>
      <c r="C458" t="inlineStr">
        <is>
          <t>600615400</t>
        </is>
      </c>
      <c r="D458" t="inlineStr">
        <is>
          <t>热轧合金结构圆钢|圆钢|30CrMnSiA|Φ34|GB/T 3077-1999|热轧|GB/T 702-2008</t>
        </is>
      </c>
      <c r="E458" t="inlineStr">
        <is>
          <t>物资名称 热轧合金结构圆钢;物资简称 圆钢;牌号 30CrMnSiA;直径 Φ34;技术标准号 GB/T 3077-1999;加工工艺 热轧;热处理工艺 ;特殊要求 ;规格标准号 GB/T 702-2008</t>
        </is>
      </c>
      <c r="F458" t="inlineStr">
        <is>
          <t>千克</t>
        </is>
      </c>
      <c r="G458">
        <f>LEFT(D458,FIND("|",D458,1)-1)</f>
        <v/>
      </c>
      <c r="H458">
        <f>MID(D458,FIND("|",D458,FIND("|",D458,1))+1,FIND("|",D458,FIND("|",D458,1)+1)-FIND("|",D458,FIND("|",D458,1))-1)</f>
        <v/>
      </c>
      <c r="J458">
        <f>MID(D458,FIND(";",SUBSTITUTE(D458,"|",REPT(";",LEN(D458)),2))+1,FIND(";",SUBSTITUTE(D458,"|",REPT(";",LEN(D458)),3))-FIND(";",SUBSTITUTE(D458,"|",REPT(";",LEN(D458)),2))-1)</f>
        <v/>
      </c>
      <c r="K458">
        <f>MID(D458,FIND(";",SUBSTITUTE(D458,"|",REPT(";",LEN(D458)),3))+1,FIND(";",SUBSTITUTE(D458,"|",REPT(";",LEN(D458)),4))-FIND(";",SUBSTITUTE(D458,"|",REPT(";",LEN(D458)),3))-1)</f>
        <v/>
      </c>
      <c r="M458">
        <f>MID(D458,FIND(";",SUBSTITUTE(D458,"|",REPT(";",LEN(D458)),4))+1,FIND(";",SUBSTITUTE(D458,"|",REPT(";",LEN(D458)),5))-FIND(";",SUBSTITUTE(D458,"|",REPT(";",LEN(D458)),4))-1)</f>
        <v/>
      </c>
      <c r="N458">
        <f>MID(D458,FIND(";",SUBSTITUTE(D458,"|",REPT(";",LEN(D458)),6))+1,LEN(D458))</f>
        <v/>
      </c>
      <c r="O458">
        <f>MID(D458,FIND(";",SUBSTITUTE(D458,"|",REPT(";",LEN(D458)),5))+1,FIND(";",SUBSTITUTE(D458,"|",REPT(";",LEN(D458)),6))-FIND(";",SUBSTITUTE(D458,"|",REPT(";",LEN(D458)),5))-1)</f>
        <v/>
      </c>
    </row>
    <row r="459">
      <c r="A459" t="inlineStr">
        <is>
          <t>100201</t>
        </is>
      </c>
      <c r="B459" t="inlineStr">
        <is>
          <t>圆钢</t>
        </is>
      </c>
      <c r="C459" t="inlineStr">
        <is>
          <t>600615300</t>
        </is>
      </c>
      <c r="D459" t="inlineStr">
        <is>
          <t>热轧合金结构圆钢|圆钢|30CrMnSiA|Φ40|GB/T 3077-1999|热轧|GB/T 702-2008</t>
        </is>
      </c>
      <c r="E459" t="inlineStr">
        <is>
          <t>物资名称 热轧合金结构圆钢;物资简称 圆钢;牌号 30CrMnSiA;直径 Φ40;技术标准号 GB/T 3077-1999;加工工艺 热轧;热处理工艺 ;特殊要求 ;规格标准号 GB/T 702-2008</t>
        </is>
      </c>
      <c r="F459" t="inlineStr">
        <is>
          <t>千克</t>
        </is>
      </c>
      <c r="G459">
        <f>LEFT(D459,FIND("|",D459,1)-1)</f>
        <v/>
      </c>
      <c r="H459">
        <f>MID(D459,FIND("|",D459,FIND("|",D459,1))+1,FIND("|",D459,FIND("|",D459,1)+1)-FIND("|",D459,FIND("|",D459,1))-1)</f>
        <v/>
      </c>
      <c r="J459">
        <f>MID(D459,FIND(";",SUBSTITUTE(D459,"|",REPT(";",LEN(D459)),2))+1,FIND(";",SUBSTITUTE(D459,"|",REPT(";",LEN(D459)),3))-FIND(";",SUBSTITUTE(D459,"|",REPT(";",LEN(D459)),2))-1)</f>
        <v/>
      </c>
      <c r="K459">
        <f>MID(D459,FIND(";",SUBSTITUTE(D459,"|",REPT(";",LEN(D459)),3))+1,FIND(";",SUBSTITUTE(D459,"|",REPT(";",LEN(D459)),4))-FIND(";",SUBSTITUTE(D459,"|",REPT(";",LEN(D459)),3))-1)</f>
        <v/>
      </c>
      <c r="M459">
        <f>MID(D459,FIND(";",SUBSTITUTE(D459,"|",REPT(";",LEN(D459)),4))+1,FIND(";",SUBSTITUTE(D459,"|",REPT(";",LEN(D459)),5))-FIND(";",SUBSTITUTE(D459,"|",REPT(";",LEN(D459)),4))-1)</f>
        <v/>
      </c>
      <c r="N459">
        <f>MID(D459,FIND(";",SUBSTITUTE(D459,"|",REPT(";",LEN(D459)),6))+1,LEN(D459))</f>
        <v/>
      </c>
      <c r="O459">
        <f>MID(D459,FIND(";",SUBSTITUTE(D459,"|",REPT(";",LEN(D459)),5))+1,FIND(";",SUBSTITUTE(D459,"|",REPT(";",LEN(D459)),6))-FIND(";",SUBSTITUTE(D459,"|",REPT(";",LEN(D459)),5))-1)</f>
        <v/>
      </c>
    </row>
    <row r="460">
      <c r="A460" t="inlineStr">
        <is>
          <t>100201</t>
        </is>
      </c>
      <c r="B460" t="inlineStr">
        <is>
          <t>圆钢</t>
        </is>
      </c>
      <c r="C460" t="inlineStr">
        <is>
          <t>600615200</t>
        </is>
      </c>
      <c r="D460" t="inlineStr">
        <is>
          <t>热轧合金结构圆钢|圆钢|30CrMnSiA|Φ45|GB/T 3077-1999|热轧|GB/T 702-2008</t>
        </is>
      </c>
      <c r="E460" t="inlineStr">
        <is>
          <t>物资名称 热轧合金结构圆钢;物资简称 圆钢;牌号 30CrMnSiA;直径 Φ45;技术标准号 GB/T 3077-1999;加工工艺 热轧;热处理工艺 ;特殊要求 ;规格标准号 GB/T 702-2008</t>
        </is>
      </c>
      <c r="F460" t="inlineStr">
        <is>
          <t>千克</t>
        </is>
      </c>
      <c r="G460">
        <f>LEFT(D460,FIND("|",D460,1)-1)</f>
        <v/>
      </c>
      <c r="H460">
        <f>MID(D460,FIND("|",D460,FIND("|",D460,1))+1,FIND("|",D460,FIND("|",D460,1)+1)-FIND("|",D460,FIND("|",D460,1))-1)</f>
        <v/>
      </c>
      <c r="J460">
        <f>MID(D460,FIND(";",SUBSTITUTE(D460,"|",REPT(";",LEN(D460)),2))+1,FIND(";",SUBSTITUTE(D460,"|",REPT(";",LEN(D460)),3))-FIND(";",SUBSTITUTE(D460,"|",REPT(";",LEN(D460)),2))-1)</f>
        <v/>
      </c>
      <c r="K460">
        <f>MID(D460,FIND(";",SUBSTITUTE(D460,"|",REPT(";",LEN(D460)),3))+1,FIND(";",SUBSTITUTE(D460,"|",REPT(";",LEN(D460)),4))-FIND(";",SUBSTITUTE(D460,"|",REPT(";",LEN(D460)),3))-1)</f>
        <v/>
      </c>
      <c r="M460">
        <f>MID(D460,FIND(";",SUBSTITUTE(D460,"|",REPT(";",LEN(D460)),4))+1,FIND(";",SUBSTITUTE(D460,"|",REPT(";",LEN(D460)),5))-FIND(";",SUBSTITUTE(D460,"|",REPT(";",LEN(D460)),4))-1)</f>
        <v/>
      </c>
      <c r="N460">
        <f>MID(D460,FIND(";",SUBSTITUTE(D460,"|",REPT(";",LEN(D460)),6))+1,LEN(D460))</f>
        <v/>
      </c>
      <c r="O460">
        <f>MID(D460,FIND(";",SUBSTITUTE(D460,"|",REPT(";",LEN(D460)),5))+1,FIND(";",SUBSTITUTE(D460,"|",REPT(";",LEN(D460)),6))-FIND(";",SUBSTITUTE(D460,"|",REPT(";",LEN(D460)),5))-1)</f>
        <v/>
      </c>
    </row>
    <row r="461">
      <c r="A461" t="inlineStr">
        <is>
          <t>100201</t>
        </is>
      </c>
      <c r="B461" t="inlineStr">
        <is>
          <t>圆钢</t>
        </is>
      </c>
      <c r="C461" t="inlineStr">
        <is>
          <t>600615100</t>
        </is>
      </c>
      <c r="D461" t="inlineStr">
        <is>
          <t>热轧合金结构圆钢|圆钢|30CrMnSiA|Φ50|GB/T 3077-1999|热轧|GB/T 702-2008</t>
        </is>
      </c>
      <c r="E461" t="inlineStr">
        <is>
          <t>物资名称 热轧合金结构圆钢;物资简称 圆钢;牌号 30CrMnSiA;直径 Φ50;技术标准号 GB/T 3077-1999;加工工艺 热轧;热处理工艺 ;特殊要求 ;规格标准号 GB/T 702-2008</t>
        </is>
      </c>
      <c r="F461" t="inlineStr">
        <is>
          <t>千克</t>
        </is>
      </c>
      <c r="G461">
        <f>LEFT(D461,FIND("|",D461,1)-1)</f>
        <v/>
      </c>
      <c r="H461">
        <f>MID(D461,FIND("|",D461,FIND("|",D461,1))+1,FIND("|",D461,FIND("|",D461,1)+1)-FIND("|",D461,FIND("|",D461,1))-1)</f>
        <v/>
      </c>
      <c r="J461">
        <f>MID(D461,FIND(";",SUBSTITUTE(D461,"|",REPT(";",LEN(D461)),2))+1,FIND(";",SUBSTITUTE(D461,"|",REPT(";",LEN(D461)),3))-FIND(";",SUBSTITUTE(D461,"|",REPT(";",LEN(D461)),2))-1)</f>
        <v/>
      </c>
      <c r="K461">
        <f>MID(D461,FIND(";",SUBSTITUTE(D461,"|",REPT(";",LEN(D461)),3))+1,FIND(";",SUBSTITUTE(D461,"|",REPT(";",LEN(D461)),4))-FIND(";",SUBSTITUTE(D461,"|",REPT(";",LEN(D461)),3))-1)</f>
        <v/>
      </c>
      <c r="M461">
        <f>MID(D461,FIND(";",SUBSTITUTE(D461,"|",REPT(";",LEN(D461)),4))+1,FIND(";",SUBSTITUTE(D461,"|",REPT(";",LEN(D461)),5))-FIND(";",SUBSTITUTE(D461,"|",REPT(";",LEN(D461)),4))-1)</f>
        <v/>
      </c>
      <c r="N461">
        <f>MID(D461,FIND(";",SUBSTITUTE(D461,"|",REPT(";",LEN(D461)),6))+1,LEN(D461))</f>
        <v/>
      </c>
      <c r="O461">
        <f>MID(D461,FIND(";",SUBSTITUTE(D461,"|",REPT(";",LEN(D461)),5))+1,FIND(";",SUBSTITUTE(D461,"|",REPT(";",LEN(D461)),6))-FIND(";",SUBSTITUTE(D461,"|",REPT(";",LEN(D461)),5))-1)</f>
        <v/>
      </c>
    </row>
    <row r="462">
      <c r="A462" t="inlineStr">
        <is>
          <t>100201</t>
        </is>
      </c>
      <c r="B462" t="inlineStr">
        <is>
          <t>圆钢</t>
        </is>
      </c>
      <c r="C462" t="inlineStr">
        <is>
          <t>600615000</t>
        </is>
      </c>
      <c r="D462" t="inlineStr">
        <is>
          <t>热轧合金结构圆钢|圆钢|30CrMnSiA|Φ60|GB/T 3077-1999|热轧|GB/T 702-2008</t>
        </is>
      </c>
      <c r="E462" t="inlineStr">
        <is>
          <t>物资名称 热轧合金结构圆钢;物资简称 圆钢;牌号 30CrMnSiA;直径 Φ60;技术标准号 GB/T 3077-1999;加工工艺 热轧;热处理工艺 ;特殊要求 ;规格标准号 GB/T 702-2008</t>
        </is>
      </c>
      <c r="F462" t="inlineStr">
        <is>
          <t>千克</t>
        </is>
      </c>
      <c r="G462">
        <f>LEFT(D462,FIND("|",D462,1)-1)</f>
        <v/>
      </c>
      <c r="H462">
        <f>MID(D462,FIND("|",D462,FIND("|",D462,1))+1,FIND("|",D462,FIND("|",D462,1)+1)-FIND("|",D462,FIND("|",D462,1))-1)</f>
        <v/>
      </c>
      <c r="J462">
        <f>MID(D462,FIND(";",SUBSTITUTE(D462,"|",REPT(";",LEN(D462)),2))+1,FIND(";",SUBSTITUTE(D462,"|",REPT(";",LEN(D462)),3))-FIND(";",SUBSTITUTE(D462,"|",REPT(";",LEN(D462)),2))-1)</f>
        <v/>
      </c>
      <c r="K462">
        <f>MID(D462,FIND(";",SUBSTITUTE(D462,"|",REPT(";",LEN(D462)),3))+1,FIND(";",SUBSTITUTE(D462,"|",REPT(";",LEN(D462)),4))-FIND(";",SUBSTITUTE(D462,"|",REPT(";",LEN(D462)),3))-1)</f>
        <v/>
      </c>
      <c r="M462">
        <f>MID(D462,FIND(";",SUBSTITUTE(D462,"|",REPT(";",LEN(D462)),4))+1,FIND(";",SUBSTITUTE(D462,"|",REPT(";",LEN(D462)),5))-FIND(";",SUBSTITUTE(D462,"|",REPT(";",LEN(D462)),4))-1)</f>
        <v/>
      </c>
      <c r="N462">
        <f>MID(D462,FIND(";",SUBSTITUTE(D462,"|",REPT(";",LEN(D462)),6))+1,LEN(D462))</f>
        <v/>
      </c>
      <c r="O462">
        <f>MID(D462,FIND(";",SUBSTITUTE(D462,"|",REPT(";",LEN(D462)),5))+1,FIND(";",SUBSTITUTE(D462,"|",REPT(";",LEN(D462)),6))-FIND(";",SUBSTITUTE(D462,"|",REPT(";",LEN(D462)),5))-1)</f>
        <v/>
      </c>
    </row>
    <row r="463">
      <c r="A463" t="inlineStr">
        <is>
          <t>100201</t>
        </is>
      </c>
      <c r="B463" t="inlineStr">
        <is>
          <t>圆钢</t>
        </is>
      </c>
      <c r="C463" t="inlineStr">
        <is>
          <t>600614900</t>
        </is>
      </c>
      <c r="D463" t="inlineStr">
        <is>
          <t>热轧合金结构圆钢|圆钢|30CrMnSiA|Φ80|GB/T 3077-1999|热轧|GB/T 702-2008</t>
        </is>
      </c>
      <c r="E463" t="inlineStr">
        <is>
          <t>物资名称 热轧合金结构圆钢;物资简称 圆钢;牌号 30CrMnSiA;直径 Φ80;技术标准号 GB/T 3077-1999;加工工艺 热轧;热处理工艺 ;特殊要求 ;规格标准号 GB/T 702-2008</t>
        </is>
      </c>
      <c r="F463" t="inlineStr">
        <is>
          <t>千克</t>
        </is>
      </c>
      <c r="G463">
        <f>LEFT(D463,FIND("|",D463,1)-1)</f>
        <v/>
      </c>
      <c r="H463">
        <f>MID(D463,FIND("|",D463,FIND("|",D463,1))+1,FIND("|",D463,FIND("|",D463,1)+1)-FIND("|",D463,FIND("|",D463,1))-1)</f>
        <v/>
      </c>
      <c r="J463">
        <f>MID(D463,FIND(";",SUBSTITUTE(D463,"|",REPT(";",LEN(D463)),2))+1,FIND(";",SUBSTITUTE(D463,"|",REPT(";",LEN(D463)),3))-FIND(";",SUBSTITUTE(D463,"|",REPT(";",LEN(D463)),2))-1)</f>
        <v/>
      </c>
      <c r="K463">
        <f>MID(D463,FIND(";",SUBSTITUTE(D463,"|",REPT(";",LEN(D463)),3))+1,FIND(";",SUBSTITUTE(D463,"|",REPT(";",LEN(D463)),4))-FIND(";",SUBSTITUTE(D463,"|",REPT(";",LEN(D463)),3))-1)</f>
        <v/>
      </c>
      <c r="M463">
        <f>MID(D463,FIND(";",SUBSTITUTE(D463,"|",REPT(";",LEN(D463)),4))+1,FIND(";",SUBSTITUTE(D463,"|",REPT(";",LEN(D463)),5))-FIND(";",SUBSTITUTE(D463,"|",REPT(";",LEN(D463)),4))-1)</f>
        <v/>
      </c>
      <c r="N463">
        <f>MID(D463,FIND(";",SUBSTITUTE(D463,"|",REPT(";",LEN(D463)),6))+1,LEN(D463))</f>
        <v/>
      </c>
      <c r="O463">
        <f>MID(D463,FIND(";",SUBSTITUTE(D463,"|",REPT(";",LEN(D463)),5))+1,FIND(";",SUBSTITUTE(D463,"|",REPT(";",LEN(D463)),6))-FIND(";",SUBSTITUTE(D463,"|",REPT(";",LEN(D463)),5))-1)</f>
        <v/>
      </c>
    </row>
    <row r="464">
      <c r="A464" t="inlineStr">
        <is>
          <t>100201</t>
        </is>
      </c>
      <c r="B464" t="inlineStr">
        <is>
          <t>圆钢</t>
        </is>
      </c>
      <c r="C464" t="inlineStr">
        <is>
          <t>600614800</t>
        </is>
      </c>
      <c r="D464" t="inlineStr">
        <is>
          <t>热轧合金结构圆钢|圆钢|30CrMnSiA|Φ95|GB/T 3077-1999|热轧|GB/T 702-2008</t>
        </is>
      </c>
      <c r="E464" t="inlineStr">
        <is>
          <t>物资名称 热轧合金结构圆钢;物资简称 圆钢;牌号 30CrMnSiA;直径 Φ95;技术标准号 GB/T 3077-1999;加工工艺 热轧;热处理工艺 ;特殊要求 ;规格标准号 GB/T 702-2008</t>
        </is>
      </c>
      <c r="F464" t="inlineStr">
        <is>
          <t>千克</t>
        </is>
      </c>
      <c r="G464">
        <f>LEFT(D464,FIND("|",D464,1)-1)</f>
        <v/>
      </c>
      <c r="H464">
        <f>MID(D464,FIND("|",D464,FIND("|",D464,1))+1,FIND("|",D464,FIND("|",D464,1)+1)-FIND("|",D464,FIND("|",D464,1))-1)</f>
        <v/>
      </c>
      <c r="J464">
        <f>MID(D464,FIND(";",SUBSTITUTE(D464,"|",REPT(";",LEN(D464)),2))+1,FIND(";",SUBSTITUTE(D464,"|",REPT(";",LEN(D464)),3))-FIND(";",SUBSTITUTE(D464,"|",REPT(";",LEN(D464)),2))-1)</f>
        <v/>
      </c>
      <c r="K464">
        <f>MID(D464,FIND(";",SUBSTITUTE(D464,"|",REPT(";",LEN(D464)),3))+1,FIND(";",SUBSTITUTE(D464,"|",REPT(";",LEN(D464)),4))-FIND(";",SUBSTITUTE(D464,"|",REPT(";",LEN(D464)),3))-1)</f>
        <v/>
      </c>
      <c r="M464">
        <f>MID(D464,FIND(";",SUBSTITUTE(D464,"|",REPT(";",LEN(D464)),4))+1,FIND(";",SUBSTITUTE(D464,"|",REPT(";",LEN(D464)),5))-FIND(";",SUBSTITUTE(D464,"|",REPT(";",LEN(D464)),4))-1)</f>
        <v/>
      </c>
      <c r="N464">
        <f>MID(D464,FIND(";",SUBSTITUTE(D464,"|",REPT(";",LEN(D464)),6))+1,LEN(D464))</f>
        <v/>
      </c>
      <c r="O464">
        <f>MID(D464,FIND(";",SUBSTITUTE(D464,"|",REPT(";",LEN(D464)),5))+1,FIND(";",SUBSTITUTE(D464,"|",REPT(";",LEN(D464)),6))-FIND(";",SUBSTITUTE(D464,"|",REPT(";",LEN(D464)),5))-1)</f>
        <v/>
      </c>
    </row>
    <row r="465">
      <c r="A465" t="inlineStr">
        <is>
          <t>100201</t>
        </is>
      </c>
      <c r="B465" t="inlineStr">
        <is>
          <t>圆钢</t>
        </is>
      </c>
      <c r="C465" t="inlineStr">
        <is>
          <t>600614700</t>
        </is>
      </c>
      <c r="D465" t="inlineStr">
        <is>
          <t>热轧合金结构圆钢|圆钢|30CrMnSiA|Φ130|GB/T 3077-1999|热轧|GB/T 702-2008</t>
        </is>
      </c>
      <c r="E465" t="inlineStr">
        <is>
          <t>物资名称 热轧合金结构圆钢;物资简称 圆钢;牌号 30CrMnSiA;直径 Φ130;技术标准号 GB/T 3077-1999;加工工艺 热轧;热处理工艺 ;特殊要求 ;规格标准号 GB/T 702-2008</t>
        </is>
      </c>
      <c r="F465" t="inlineStr">
        <is>
          <t>千克</t>
        </is>
      </c>
      <c r="G465">
        <f>LEFT(D465,FIND("|",D465,1)-1)</f>
        <v/>
      </c>
      <c r="H465">
        <f>MID(D465,FIND("|",D465,FIND("|",D465,1))+1,FIND("|",D465,FIND("|",D465,1)+1)-FIND("|",D465,FIND("|",D465,1))-1)</f>
        <v/>
      </c>
      <c r="J465">
        <f>MID(D465,FIND(";",SUBSTITUTE(D465,"|",REPT(";",LEN(D465)),2))+1,FIND(";",SUBSTITUTE(D465,"|",REPT(";",LEN(D465)),3))-FIND(";",SUBSTITUTE(D465,"|",REPT(";",LEN(D465)),2))-1)</f>
        <v/>
      </c>
      <c r="K465">
        <f>MID(D465,FIND(";",SUBSTITUTE(D465,"|",REPT(";",LEN(D465)),3))+1,FIND(";",SUBSTITUTE(D465,"|",REPT(";",LEN(D465)),4))-FIND(";",SUBSTITUTE(D465,"|",REPT(";",LEN(D465)),3))-1)</f>
        <v/>
      </c>
      <c r="M465">
        <f>MID(D465,FIND(";",SUBSTITUTE(D465,"|",REPT(";",LEN(D465)),4))+1,FIND(";",SUBSTITUTE(D465,"|",REPT(";",LEN(D465)),5))-FIND(";",SUBSTITUTE(D465,"|",REPT(";",LEN(D465)),4))-1)</f>
        <v/>
      </c>
      <c r="N465">
        <f>MID(D465,FIND(";",SUBSTITUTE(D465,"|",REPT(";",LEN(D465)),6))+1,LEN(D465))</f>
        <v/>
      </c>
      <c r="O465">
        <f>MID(D465,FIND(";",SUBSTITUTE(D465,"|",REPT(";",LEN(D465)),5))+1,FIND(";",SUBSTITUTE(D465,"|",REPT(";",LEN(D465)),6))-FIND(";",SUBSTITUTE(D465,"|",REPT(";",LEN(D465)),5))-1)</f>
        <v/>
      </c>
    </row>
    <row r="466">
      <c r="A466" t="inlineStr">
        <is>
          <t>100201</t>
        </is>
      </c>
      <c r="B466" t="inlineStr">
        <is>
          <t>圆钢</t>
        </is>
      </c>
      <c r="C466" t="inlineStr">
        <is>
          <t>600614600</t>
        </is>
      </c>
      <c r="D466" t="inlineStr">
        <is>
          <t>热轧合金结构圆钢|圆钢|30CrMnSiA|Φ190|GB/T 3077-1999|热轧|GB/T 702-2008</t>
        </is>
      </c>
      <c r="E466" t="inlineStr">
        <is>
          <t>物资名称 热轧合金结构圆钢;物资简称 圆钢;牌号 30CrMnSiA;直径 Φ190;技术标准号 GB/T 3077-1999;加工工艺 热轧;热处理工艺 ;特殊要求 ;规格标准号 GB/T 702-2008</t>
        </is>
      </c>
      <c r="F466" t="inlineStr">
        <is>
          <t>千克</t>
        </is>
      </c>
      <c r="G466">
        <f>LEFT(D466,FIND("|",D466,1)-1)</f>
        <v/>
      </c>
      <c r="H466">
        <f>MID(D466,FIND("|",D466,FIND("|",D466,1))+1,FIND("|",D466,FIND("|",D466,1)+1)-FIND("|",D466,FIND("|",D466,1))-1)</f>
        <v/>
      </c>
      <c r="J466">
        <f>MID(D466,FIND(";",SUBSTITUTE(D466,"|",REPT(";",LEN(D466)),2))+1,FIND(";",SUBSTITUTE(D466,"|",REPT(";",LEN(D466)),3))-FIND(";",SUBSTITUTE(D466,"|",REPT(";",LEN(D466)),2))-1)</f>
        <v/>
      </c>
      <c r="K466">
        <f>MID(D466,FIND(";",SUBSTITUTE(D466,"|",REPT(";",LEN(D466)),3))+1,FIND(";",SUBSTITUTE(D466,"|",REPT(";",LEN(D466)),4))-FIND(";",SUBSTITUTE(D466,"|",REPT(";",LEN(D466)),3))-1)</f>
        <v/>
      </c>
      <c r="M466">
        <f>MID(D466,FIND(";",SUBSTITUTE(D466,"|",REPT(";",LEN(D466)),4))+1,FIND(";",SUBSTITUTE(D466,"|",REPT(";",LEN(D466)),5))-FIND(";",SUBSTITUTE(D466,"|",REPT(";",LEN(D466)),4))-1)</f>
        <v/>
      </c>
      <c r="N466">
        <f>MID(D466,FIND(";",SUBSTITUTE(D466,"|",REPT(";",LEN(D466)),6))+1,LEN(D466))</f>
        <v/>
      </c>
      <c r="O466">
        <f>MID(D466,FIND(";",SUBSTITUTE(D466,"|",REPT(";",LEN(D466)),5))+1,FIND(";",SUBSTITUTE(D466,"|",REPT(";",LEN(D466)),6))-FIND(";",SUBSTITUTE(D466,"|",REPT(";",LEN(D466)),5))-1)</f>
        <v/>
      </c>
    </row>
    <row r="467">
      <c r="A467" t="inlineStr">
        <is>
          <t>100201</t>
        </is>
      </c>
      <c r="B467" t="inlineStr">
        <is>
          <t>圆钢</t>
        </is>
      </c>
      <c r="C467" t="inlineStr">
        <is>
          <t>600614500</t>
        </is>
      </c>
      <c r="D467" t="inlineStr">
        <is>
          <t>热轧合金结构圆钢|圆钢|38CrMoAl|GB/T 3077-1999|GB/T 702-2008</t>
        </is>
      </c>
      <c r="E467" t="inlineStr">
        <is>
          <t>物资名称 热轧合金结构圆钢;物资简称 圆钢;牌号 38CrMoAl;直径 Φ;技术标准号 GB/T 3077-1999;加工工艺 ;热处理工艺 ;特殊要求 ;规格标准号 GB/T 702-2008</t>
        </is>
      </c>
      <c r="F467" t="inlineStr">
        <is>
          <t>千克</t>
        </is>
      </c>
      <c r="G467">
        <f>LEFT(D467,FIND("|",D467,1)-1)</f>
        <v/>
      </c>
      <c r="H467">
        <f>MID(D467,FIND("|",D467,FIND("|",D467,1))+1,FIND("|",D467,FIND("|",D467,1)+1)-FIND("|",D467,FIND("|",D467,1))-1)</f>
        <v/>
      </c>
      <c r="J467">
        <f>MID(D467,FIND(";",SUBSTITUTE(D467,"|",REPT(";",LEN(D467)),2))+1,FIND(";",SUBSTITUTE(D467,"|",REPT(";",LEN(D467)),3))-FIND(";",SUBSTITUTE(D467,"|",REPT(";",LEN(D467)),2))-1)</f>
        <v/>
      </c>
      <c r="M467">
        <f>MID(D467,FIND(";",SUBSTITUTE(D467,"|",REPT(";",LEN(D467)),3))+1,FIND(";",SUBSTITUTE(D467,"|",REPT(";",LEN(D467)),4))-FIND(";",SUBSTITUTE(D467,"|",REPT(";",LEN(D467)),3))-1)</f>
        <v/>
      </c>
      <c r="N467">
        <f>MID(D467,FIND(";",SUBSTITUTE(D467,"|",REPT(";",LEN(D467)),4))+1,LEN(D467))</f>
        <v/>
      </c>
    </row>
    <row r="468">
      <c r="A468" t="inlineStr">
        <is>
          <t>100201</t>
        </is>
      </c>
      <c r="B468" t="inlineStr">
        <is>
          <t>圆钢</t>
        </is>
      </c>
      <c r="C468" t="inlineStr">
        <is>
          <t>600614400</t>
        </is>
      </c>
      <c r="D468" t="inlineStr">
        <is>
          <t>热轧合金结构圆钢|圆钢|38CrMoAl|Φ40|GB/T 3077-1999|热轧|GB/T 702-2008</t>
        </is>
      </c>
      <c r="E468" t="inlineStr">
        <is>
          <t>物资名称 热轧合金结构圆钢;物资简称 圆钢;牌号 38CrMoAl;直径 Φ40;技术标准号 GB/T 3077-1999;加工工艺 热轧;热处理工艺 ;特殊要求 ;规格标准号 GB/T 702-2008</t>
        </is>
      </c>
      <c r="F468" t="inlineStr">
        <is>
          <t>千克</t>
        </is>
      </c>
      <c r="G468">
        <f>LEFT(D468,FIND("|",D468,1)-1)</f>
        <v/>
      </c>
      <c r="H468">
        <f>MID(D468,FIND("|",D468,FIND("|",D468,1))+1,FIND("|",D468,FIND("|",D468,1)+1)-FIND("|",D468,FIND("|",D468,1))-1)</f>
        <v/>
      </c>
      <c r="J468">
        <f>MID(D468,FIND(";",SUBSTITUTE(D468,"|",REPT(";",LEN(D468)),2))+1,FIND(";",SUBSTITUTE(D468,"|",REPT(";",LEN(D468)),3))-FIND(";",SUBSTITUTE(D468,"|",REPT(";",LEN(D468)),2))-1)</f>
        <v/>
      </c>
      <c r="K468">
        <f>MID(D468,FIND(";",SUBSTITUTE(D468,"|",REPT(";",LEN(D468)),3))+1,FIND(";",SUBSTITUTE(D468,"|",REPT(";",LEN(D468)),4))-FIND(";",SUBSTITUTE(D468,"|",REPT(";",LEN(D468)),3))-1)</f>
        <v/>
      </c>
      <c r="M468">
        <f>MID(D468,FIND(";",SUBSTITUTE(D468,"|",REPT(";",LEN(D468)),4))+1,FIND(";",SUBSTITUTE(D468,"|",REPT(";",LEN(D468)),5))-FIND(";",SUBSTITUTE(D468,"|",REPT(";",LEN(D468)),4))-1)</f>
        <v/>
      </c>
      <c r="N468">
        <f>MID(D468,FIND(";",SUBSTITUTE(D468,"|",REPT(";",LEN(D468)),6))+1,LEN(D468))</f>
        <v/>
      </c>
      <c r="O468">
        <f>MID(D468,FIND(";",SUBSTITUTE(D468,"|",REPT(";",LEN(D468)),5))+1,FIND(";",SUBSTITUTE(D468,"|",REPT(";",LEN(D468)),6))-FIND(";",SUBSTITUTE(D468,"|",REPT(";",LEN(D468)),5))-1)</f>
        <v/>
      </c>
    </row>
    <row r="469">
      <c r="A469" t="inlineStr">
        <is>
          <t>100201</t>
        </is>
      </c>
      <c r="B469" t="inlineStr">
        <is>
          <t>圆钢</t>
        </is>
      </c>
      <c r="C469" t="inlineStr">
        <is>
          <t>600614300</t>
        </is>
      </c>
      <c r="D469" t="inlineStr">
        <is>
          <t>热轧合金结构圆钢|圆钢|38CrMoAl|Φ50|GB/T 3077-1999|热轧|退火|GB/T 702-2008</t>
        </is>
      </c>
      <c r="E469" t="inlineStr">
        <is>
          <t>物资名称 热轧合金结构圆钢;物资简称 圆钢;牌号 38CrMoAl;直径 Φ50;技术标准号 GB/T 3077-1999;加工工艺 热轧;热处理工艺 退火;特殊要求 ;规格标准号 GB/T 702-2008</t>
        </is>
      </c>
      <c r="F469" t="inlineStr">
        <is>
          <t>千克</t>
        </is>
      </c>
      <c r="G469">
        <f>LEFT(D469,FIND("|",D469,1)-1)</f>
        <v/>
      </c>
      <c r="H469">
        <f>MID(D469,FIND("|",D469,FIND("|",D469,1))+1,FIND("|",D469,FIND("|",D469,1)+1)-FIND("|",D469,FIND("|",D469,1))-1)</f>
        <v/>
      </c>
      <c r="J469">
        <f>MID(D469,FIND(";",SUBSTITUTE(D469,"|",REPT(";",LEN(D469)),2))+1,FIND(";",SUBSTITUTE(D469,"|",REPT(";",LEN(D469)),3))-FIND(";",SUBSTITUTE(D469,"|",REPT(";",LEN(D469)),2))-1)</f>
        <v/>
      </c>
      <c r="K469">
        <f>MID(D469,FIND(";",SUBSTITUTE(D469,"|",REPT(";",LEN(D469)),3))+1,FIND(";",SUBSTITUTE(D469,"|",REPT(";",LEN(D469)),4))-FIND(";",SUBSTITUTE(D469,"|",REPT(";",LEN(D469)),3))-1)</f>
        <v/>
      </c>
      <c r="M469">
        <f>MID(D469,FIND(";",SUBSTITUTE(D469,"|",REPT(";",LEN(D469)),4))+1,FIND(";",SUBSTITUTE(D469,"|",REPT(";",LEN(D469)),5))-FIND(";",SUBSTITUTE(D469,"|",REPT(";",LEN(D469)),4))-1)</f>
        <v/>
      </c>
      <c r="N469">
        <f>MID(D469,FIND(";",SUBSTITUTE(D469,"|",REPT(";",LEN(D469)),7))+1,LEN(D469))</f>
        <v/>
      </c>
      <c r="O469">
        <f>MID(D469,FIND(";",SUBSTITUTE(D469,"|",REPT(";",LEN(D469)),5))+1,FIND(";",SUBSTITUTE(D469,"|",REPT(";",LEN(D469)),6))-FIND(";",SUBSTITUTE(D469,"|",REPT(";",LEN(D469)),5))-1)</f>
        <v/>
      </c>
      <c r="P469">
        <f>MID(D469,FIND(";",SUBSTITUTE(D469,"|",REPT(";",LEN(D469)),6))+1,FIND(";",SUBSTITUTE(D469,"|",REPT(";",LEN(D469)),7))-FIND(";",SUBSTITUTE(D469,"|",REPT(";",LEN(D469)),6))-1)</f>
        <v/>
      </c>
    </row>
    <row r="470">
      <c r="A470" t="inlineStr">
        <is>
          <t>100201</t>
        </is>
      </c>
      <c r="B470" t="inlineStr">
        <is>
          <t>圆钢</t>
        </is>
      </c>
      <c r="C470" t="inlineStr">
        <is>
          <t>600614200</t>
        </is>
      </c>
      <c r="D470" t="inlineStr">
        <is>
          <t>热轧合金结构圆钢|圆钢|38CrMoAl|Φ75|GB/T 3077-1999|热轧|GB/T 702-2008</t>
        </is>
      </c>
      <c r="E470" t="inlineStr">
        <is>
          <t>物资名称 热轧合金结构圆钢;物资简称 圆钢;牌号 38CrMoAl;直径 Φ75;技术标准号 GB/T 3077-1999;加工工艺 热轧;热处理工艺 ;特殊要求 ;规格标准号 GB/T 702-2008</t>
        </is>
      </c>
      <c r="F470" t="inlineStr">
        <is>
          <t>千克</t>
        </is>
      </c>
      <c r="G470">
        <f>LEFT(D470,FIND("|",D470,1)-1)</f>
        <v/>
      </c>
      <c r="H470">
        <f>MID(D470,FIND("|",D470,FIND("|",D470,1))+1,FIND("|",D470,FIND("|",D470,1)+1)-FIND("|",D470,FIND("|",D470,1))-1)</f>
        <v/>
      </c>
      <c r="J470">
        <f>MID(D470,FIND(";",SUBSTITUTE(D470,"|",REPT(";",LEN(D470)),2))+1,FIND(";",SUBSTITUTE(D470,"|",REPT(";",LEN(D470)),3))-FIND(";",SUBSTITUTE(D470,"|",REPT(";",LEN(D470)),2))-1)</f>
        <v/>
      </c>
      <c r="K470">
        <f>MID(D470,FIND(";",SUBSTITUTE(D470,"|",REPT(";",LEN(D470)),3))+1,FIND(";",SUBSTITUTE(D470,"|",REPT(";",LEN(D470)),4))-FIND(";",SUBSTITUTE(D470,"|",REPT(";",LEN(D470)),3))-1)</f>
        <v/>
      </c>
      <c r="M470">
        <f>MID(D470,FIND(";",SUBSTITUTE(D470,"|",REPT(";",LEN(D470)),4))+1,FIND(";",SUBSTITUTE(D470,"|",REPT(";",LEN(D470)),5))-FIND(";",SUBSTITUTE(D470,"|",REPT(";",LEN(D470)),4))-1)</f>
        <v/>
      </c>
      <c r="N470">
        <f>MID(D470,FIND(";",SUBSTITUTE(D470,"|",REPT(";",LEN(D470)),6))+1,LEN(D470))</f>
        <v/>
      </c>
      <c r="O470">
        <f>MID(D470,FIND(";",SUBSTITUTE(D470,"|",REPT(";",LEN(D470)),5))+1,FIND(";",SUBSTITUTE(D470,"|",REPT(";",LEN(D470)),6))-FIND(";",SUBSTITUTE(D470,"|",REPT(";",LEN(D470)),5))-1)</f>
        <v/>
      </c>
    </row>
    <row r="471">
      <c r="A471" t="inlineStr">
        <is>
          <t>100201</t>
        </is>
      </c>
      <c r="B471" t="inlineStr">
        <is>
          <t>圆钢</t>
        </is>
      </c>
      <c r="C471" t="inlineStr">
        <is>
          <t>600614100</t>
        </is>
      </c>
      <c r="D471" t="inlineStr">
        <is>
          <t>合金结构圆钢|圆钢|40Cr|GB/T 3077-1999</t>
        </is>
      </c>
      <c r="E471" t="inlineStr">
        <is>
          <t xml:space="preserve">物资名称 合金结构圆钢;物资简称 圆钢;牌号 40Cr;直径 Φ;技术标准号 GB/T 3077-1999;加工工艺 ;热处理工艺 ;特殊要求 ;规格标准号 </t>
        </is>
      </c>
      <c r="F471" t="inlineStr">
        <is>
          <t>千克</t>
        </is>
      </c>
      <c r="G471">
        <f>LEFT(D471,FIND("|",D471,1)-1)</f>
        <v/>
      </c>
      <c r="H471">
        <f>MID(D471,FIND("|",D471,FIND("|",D471,1))+1,FIND("|",D471,FIND("|",D471,1)+1)-FIND("|",D471,FIND("|",D471,1))-1)</f>
        <v/>
      </c>
      <c r="J471">
        <f>MID(D471,FIND(";",SUBSTITUTE(D471,"|",REPT(";",LEN(D471)),2))+1,FIND(";",SUBSTITUTE(D471,"|",REPT(";",LEN(D471)),3))-FIND(";",SUBSTITUTE(D471,"|",REPT(";",LEN(D471)),2))-1)</f>
        <v/>
      </c>
      <c r="M471">
        <f>MID(D471,FIND(";",SUBSTITUTE(D471,"|",REPT(";",LEN(D471)),3))+1,LEN(D471))</f>
        <v/>
      </c>
    </row>
    <row r="472">
      <c r="A472" t="inlineStr">
        <is>
          <t>100201</t>
        </is>
      </c>
      <c r="B472" t="inlineStr">
        <is>
          <t>圆钢</t>
        </is>
      </c>
      <c r="C472" t="inlineStr">
        <is>
          <t>600614000</t>
        </is>
      </c>
      <c r="D472" t="inlineStr">
        <is>
          <t>锻造合金结构圆钢|圆钢|40Cr|Φ260|GB/T 3077-1999|锻造|GB/T 908-2008</t>
        </is>
      </c>
      <c r="E472" t="inlineStr">
        <is>
          <t>物资名称 锻造合金结构圆钢;物资简称 圆钢;牌号 40Cr;直径 Φ260;技术标准号 GB/T 3077-1999;加工工艺 锻造;热处理工艺 ;特殊要求 ;规格标准号 GB/T 908-2008</t>
        </is>
      </c>
      <c r="F472" t="inlineStr">
        <is>
          <t>千克</t>
        </is>
      </c>
      <c r="G472">
        <f>LEFT(D472,FIND("|",D472,1)-1)</f>
        <v/>
      </c>
      <c r="H472">
        <f>MID(D472,FIND("|",D472,FIND("|",D472,1))+1,FIND("|",D472,FIND("|",D472,1)+1)-FIND("|",D472,FIND("|",D472,1))-1)</f>
        <v/>
      </c>
      <c r="J472">
        <f>MID(D472,FIND(";",SUBSTITUTE(D472,"|",REPT(";",LEN(D472)),2))+1,FIND(";",SUBSTITUTE(D472,"|",REPT(";",LEN(D472)),3))-FIND(";",SUBSTITUTE(D472,"|",REPT(";",LEN(D472)),2))-1)</f>
        <v/>
      </c>
      <c r="K472">
        <f>MID(D472,FIND(";",SUBSTITUTE(D472,"|",REPT(";",LEN(D472)),3))+1,FIND(";",SUBSTITUTE(D472,"|",REPT(";",LEN(D472)),4))-FIND(";",SUBSTITUTE(D472,"|",REPT(";",LEN(D472)),3))-1)</f>
        <v/>
      </c>
      <c r="M472">
        <f>MID(D472,FIND(";",SUBSTITUTE(D472,"|",REPT(";",LEN(D472)),4))+1,FIND(";",SUBSTITUTE(D472,"|",REPT(";",LEN(D472)),5))-FIND(";",SUBSTITUTE(D472,"|",REPT(";",LEN(D472)),4))-1)</f>
        <v/>
      </c>
      <c r="N472">
        <f>MID(D472,FIND(";",SUBSTITUTE(D472,"|",REPT(";",LEN(D472)),6))+1,LEN(D472))</f>
        <v/>
      </c>
      <c r="O472">
        <f>MID(D472,FIND(";",SUBSTITUTE(D472,"|",REPT(";",LEN(D472)),5))+1,FIND(";",SUBSTITUTE(D472,"|",REPT(";",LEN(D472)),6))-FIND(";",SUBSTITUTE(D472,"|",REPT(";",LEN(D472)),5))-1)</f>
        <v/>
      </c>
    </row>
    <row r="473">
      <c r="A473" t="inlineStr">
        <is>
          <t>100201</t>
        </is>
      </c>
      <c r="B473" t="inlineStr">
        <is>
          <t>圆钢</t>
        </is>
      </c>
      <c r="C473" t="inlineStr">
        <is>
          <t>600613900</t>
        </is>
      </c>
      <c r="D473" t="inlineStr">
        <is>
          <t>热轧合金结构圆钢|圆钢|40Cr|Φ6|GB/T 3077-1999|热轧|GB/T 702-2008</t>
        </is>
      </c>
      <c r="E473" t="inlineStr">
        <is>
          <t>物资名称 热轧合金结构圆钢;物资简称 圆钢;牌号 40Cr;直径 Φ6;技术标准号 GB/T 3077-1999;加工工艺 热轧;热处理工艺 ;特殊要求 ;规格标准号 GB/T 702-2008</t>
        </is>
      </c>
      <c r="F473" t="inlineStr">
        <is>
          <t>千克</t>
        </is>
      </c>
      <c r="G473">
        <f>LEFT(D473,FIND("|",D473,1)-1)</f>
        <v/>
      </c>
      <c r="H473">
        <f>MID(D473,FIND("|",D473,FIND("|",D473,1))+1,FIND("|",D473,FIND("|",D473,1)+1)-FIND("|",D473,FIND("|",D473,1))-1)</f>
        <v/>
      </c>
      <c r="J473">
        <f>MID(D473,FIND(";",SUBSTITUTE(D473,"|",REPT(";",LEN(D473)),2))+1,FIND(";",SUBSTITUTE(D473,"|",REPT(";",LEN(D473)),3))-FIND(";",SUBSTITUTE(D473,"|",REPT(";",LEN(D473)),2))-1)</f>
        <v/>
      </c>
      <c r="K473">
        <f>MID(D473,FIND(";",SUBSTITUTE(D473,"|",REPT(";",LEN(D473)),3))+1,FIND(";",SUBSTITUTE(D473,"|",REPT(";",LEN(D473)),4))-FIND(";",SUBSTITUTE(D473,"|",REPT(";",LEN(D473)),3))-1)</f>
        <v/>
      </c>
      <c r="M473">
        <f>MID(D473,FIND(";",SUBSTITUTE(D473,"|",REPT(";",LEN(D473)),4))+1,FIND(";",SUBSTITUTE(D473,"|",REPT(";",LEN(D473)),5))-FIND(";",SUBSTITUTE(D473,"|",REPT(";",LEN(D473)),4))-1)</f>
        <v/>
      </c>
      <c r="N473">
        <f>MID(D473,FIND(";",SUBSTITUTE(D473,"|",REPT(";",LEN(D473)),6))+1,LEN(D473))</f>
        <v/>
      </c>
      <c r="O473">
        <f>MID(D473,FIND(";",SUBSTITUTE(D473,"|",REPT(";",LEN(D473)),5))+1,FIND(";",SUBSTITUTE(D473,"|",REPT(";",LEN(D473)),6))-FIND(";",SUBSTITUTE(D473,"|",REPT(";",LEN(D473)),5))-1)</f>
        <v/>
      </c>
    </row>
    <row r="474">
      <c r="A474" t="inlineStr">
        <is>
          <t>100201</t>
        </is>
      </c>
      <c r="B474" t="inlineStr">
        <is>
          <t>圆钢</t>
        </is>
      </c>
      <c r="C474" t="inlineStr">
        <is>
          <t>600613800</t>
        </is>
      </c>
      <c r="D474" t="inlineStr">
        <is>
          <t>热轧合金结构圆钢|圆钢|40Cr|Φ8|GB/T 3077-1999|热轧|GB/T 702-2008</t>
        </is>
      </c>
      <c r="E474" t="inlineStr">
        <is>
          <t>物资名称 热轧合金结构圆钢;物资简称 圆钢;牌号 40Cr;直径 Φ8;技术标准号 GB/T 3077-1999;加工工艺 热轧;热处理工艺 ;特殊要求 ;规格标准号 GB/T 702-2008</t>
        </is>
      </c>
      <c r="F474" t="inlineStr">
        <is>
          <t>千克</t>
        </is>
      </c>
      <c r="G474">
        <f>LEFT(D474,FIND("|",D474,1)-1)</f>
        <v/>
      </c>
      <c r="H474">
        <f>MID(D474,FIND("|",D474,FIND("|",D474,1))+1,FIND("|",D474,FIND("|",D474,1)+1)-FIND("|",D474,FIND("|",D474,1))-1)</f>
        <v/>
      </c>
      <c r="J474">
        <f>MID(D474,FIND(";",SUBSTITUTE(D474,"|",REPT(";",LEN(D474)),2))+1,FIND(";",SUBSTITUTE(D474,"|",REPT(";",LEN(D474)),3))-FIND(";",SUBSTITUTE(D474,"|",REPT(";",LEN(D474)),2))-1)</f>
        <v/>
      </c>
      <c r="K474">
        <f>MID(D474,FIND(";",SUBSTITUTE(D474,"|",REPT(";",LEN(D474)),3))+1,FIND(";",SUBSTITUTE(D474,"|",REPT(";",LEN(D474)),4))-FIND(";",SUBSTITUTE(D474,"|",REPT(";",LEN(D474)),3))-1)</f>
        <v/>
      </c>
      <c r="M474">
        <f>MID(D474,FIND(";",SUBSTITUTE(D474,"|",REPT(";",LEN(D474)),4))+1,FIND(";",SUBSTITUTE(D474,"|",REPT(";",LEN(D474)),5))-FIND(";",SUBSTITUTE(D474,"|",REPT(";",LEN(D474)),4))-1)</f>
        <v/>
      </c>
      <c r="N474">
        <f>MID(D474,FIND(";",SUBSTITUTE(D474,"|",REPT(";",LEN(D474)),6))+1,LEN(D474))</f>
        <v/>
      </c>
      <c r="O474">
        <f>MID(D474,FIND(";",SUBSTITUTE(D474,"|",REPT(";",LEN(D474)),5))+1,FIND(";",SUBSTITUTE(D474,"|",REPT(";",LEN(D474)),6))-FIND(";",SUBSTITUTE(D474,"|",REPT(";",LEN(D474)),5))-1)</f>
        <v/>
      </c>
    </row>
    <row r="475">
      <c r="A475" t="inlineStr">
        <is>
          <t>100201</t>
        </is>
      </c>
      <c r="B475" t="inlineStr">
        <is>
          <t>圆钢</t>
        </is>
      </c>
      <c r="C475" t="inlineStr">
        <is>
          <t>600613700</t>
        </is>
      </c>
      <c r="D475" t="inlineStr">
        <is>
          <t>热轧合金结构圆钢|圆钢|40Cr|Φ10|GB/T 3077-1999|热轧|GB/T 702-2008</t>
        </is>
      </c>
      <c r="E475" t="inlineStr">
        <is>
          <t>物资名称 热轧合金结构圆钢;物资简称 圆钢;牌号 40Cr;直径 Φ10;技术标准号 GB/T 3077-1999;加工工艺 热轧;热处理工艺 ;特殊要求 ;规格标准号 GB/T 702-2008</t>
        </is>
      </c>
      <c r="F475" t="inlineStr">
        <is>
          <t>千克</t>
        </is>
      </c>
      <c r="G475">
        <f>LEFT(D475,FIND("|",D475,1)-1)</f>
        <v/>
      </c>
      <c r="H475">
        <f>MID(D475,FIND("|",D475,FIND("|",D475,1))+1,FIND("|",D475,FIND("|",D475,1)+1)-FIND("|",D475,FIND("|",D475,1))-1)</f>
        <v/>
      </c>
      <c r="J475">
        <f>MID(D475,FIND(";",SUBSTITUTE(D475,"|",REPT(";",LEN(D475)),2))+1,FIND(";",SUBSTITUTE(D475,"|",REPT(";",LEN(D475)),3))-FIND(";",SUBSTITUTE(D475,"|",REPT(";",LEN(D475)),2))-1)</f>
        <v/>
      </c>
      <c r="K475">
        <f>MID(D475,FIND(";",SUBSTITUTE(D475,"|",REPT(";",LEN(D475)),3))+1,FIND(";",SUBSTITUTE(D475,"|",REPT(";",LEN(D475)),4))-FIND(";",SUBSTITUTE(D475,"|",REPT(";",LEN(D475)),3))-1)</f>
        <v/>
      </c>
      <c r="M475">
        <f>MID(D475,FIND(";",SUBSTITUTE(D475,"|",REPT(";",LEN(D475)),4))+1,FIND(";",SUBSTITUTE(D475,"|",REPT(";",LEN(D475)),5))-FIND(";",SUBSTITUTE(D475,"|",REPT(";",LEN(D475)),4))-1)</f>
        <v/>
      </c>
      <c r="N475">
        <f>MID(D475,FIND(";",SUBSTITUTE(D475,"|",REPT(";",LEN(D475)),6))+1,LEN(D475))</f>
        <v/>
      </c>
      <c r="O475">
        <f>MID(D475,FIND(";",SUBSTITUTE(D475,"|",REPT(";",LEN(D475)),5))+1,FIND(";",SUBSTITUTE(D475,"|",REPT(";",LEN(D475)),6))-FIND(";",SUBSTITUTE(D475,"|",REPT(";",LEN(D475)),5))-1)</f>
        <v/>
      </c>
    </row>
    <row r="476">
      <c r="A476" t="inlineStr">
        <is>
          <t>100201</t>
        </is>
      </c>
      <c r="B476" t="inlineStr">
        <is>
          <t>圆钢</t>
        </is>
      </c>
      <c r="C476" t="inlineStr">
        <is>
          <t>600613600</t>
        </is>
      </c>
      <c r="D476" t="inlineStr">
        <is>
          <t>热轧合金结构圆钢|圆钢|40Cr|Φ14|GB/T 3077-1999|热轧|GB/T 702-2008</t>
        </is>
      </c>
      <c r="E476" t="inlineStr">
        <is>
          <t>物资名称 热轧合金结构圆钢;物资简称 圆钢;牌号 40Cr;直径 Φ14;技术标准号 GB/T 3077-1999;加工工艺 热轧;热处理工艺 ;特殊要求 ;规格标准号 GB/T 702-2008</t>
        </is>
      </c>
      <c r="F476" t="inlineStr">
        <is>
          <t>千克</t>
        </is>
      </c>
      <c r="G476">
        <f>LEFT(D476,FIND("|",D476,1)-1)</f>
        <v/>
      </c>
      <c r="H476">
        <f>MID(D476,FIND("|",D476,FIND("|",D476,1))+1,FIND("|",D476,FIND("|",D476,1)+1)-FIND("|",D476,FIND("|",D476,1))-1)</f>
        <v/>
      </c>
      <c r="J476">
        <f>MID(D476,FIND(";",SUBSTITUTE(D476,"|",REPT(";",LEN(D476)),2))+1,FIND(";",SUBSTITUTE(D476,"|",REPT(";",LEN(D476)),3))-FIND(";",SUBSTITUTE(D476,"|",REPT(";",LEN(D476)),2))-1)</f>
        <v/>
      </c>
      <c r="K476">
        <f>MID(D476,FIND(";",SUBSTITUTE(D476,"|",REPT(";",LEN(D476)),3))+1,FIND(";",SUBSTITUTE(D476,"|",REPT(";",LEN(D476)),4))-FIND(";",SUBSTITUTE(D476,"|",REPT(";",LEN(D476)),3))-1)</f>
        <v/>
      </c>
      <c r="M476">
        <f>MID(D476,FIND(";",SUBSTITUTE(D476,"|",REPT(";",LEN(D476)),4))+1,FIND(";",SUBSTITUTE(D476,"|",REPT(";",LEN(D476)),5))-FIND(";",SUBSTITUTE(D476,"|",REPT(";",LEN(D476)),4))-1)</f>
        <v/>
      </c>
      <c r="N476">
        <f>MID(D476,FIND(";",SUBSTITUTE(D476,"|",REPT(";",LEN(D476)),6))+1,LEN(D476))</f>
        <v/>
      </c>
      <c r="O476">
        <f>MID(D476,FIND(";",SUBSTITUTE(D476,"|",REPT(";",LEN(D476)),5))+1,FIND(";",SUBSTITUTE(D476,"|",REPT(";",LEN(D476)),6))-FIND(";",SUBSTITUTE(D476,"|",REPT(";",LEN(D476)),5))-1)</f>
        <v/>
      </c>
    </row>
    <row r="477">
      <c r="A477" t="inlineStr">
        <is>
          <t>100201</t>
        </is>
      </c>
      <c r="B477" t="inlineStr">
        <is>
          <t>圆钢</t>
        </is>
      </c>
      <c r="C477" t="inlineStr">
        <is>
          <t>600613500</t>
        </is>
      </c>
      <c r="D477" t="inlineStr">
        <is>
          <t>热轧合金结构圆钢|圆钢|40Cr|Φ20|GB/T 3077-1999|热轧|GB/T 702-2008</t>
        </is>
      </c>
      <c r="E477" t="inlineStr">
        <is>
          <t>物资名称 热轧合金结构圆钢;物资简称 圆钢;牌号 40Cr;直径 Φ20;技术标准号 GB/T 3077-1999;加工工艺 热轧;热处理工艺 ;特殊要求 ;规格标准号 GB/T 702-2008</t>
        </is>
      </c>
      <c r="F477" t="inlineStr">
        <is>
          <t>千克</t>
        </is>
      </c>
      <c r="G477">
        <f>LEFT(D477,FIND("|",D477,1)-1)</f>
        <v/>
      </c>
      <c r="H477">
        <f>MID(D477,FIND("|",D477,FIND("|",D477,1))+1,FIND("|",D477,FIND("|",D477,1)+1)-FIND("|",D477,FIND("|",D477,1))-1)</f>
        <v/>
      </c>
      <c r="J477">
        <f>MID(D477,FIND(";",SUBSTITUTE(D477,"|",REPT(";",LEN(D477)),2))+1,FIND(";",SUBSTITUTE(D477,"|",REPT(";",LEN(D477)),3))-FIND(";",SUBSTITUTE(D477,"|",REPT(";",LEN(D477)),2))-1)</f>
        <v/>
      </c>
      <c r="K477">
        <f>MID(D477,FIND(";",SUBSTITUTE(D477,"|",REPT(";",LEN(D477)),3))+1,FIND(";",SUBSTITUTE(D477,"|",REPT(";",LEN(D477)),4))-FIND(";",SUBSTITUTE(D477,"|",REPT(";",LEN(D477)),3))-1)</f>
        <v/>
      </c>
      <c r="M477">
        <f>MID(D477,FIND(";",SUBSTITUTE(D477,"|",REPT(";",LEN(D477)),4))+1,FIND(";",SUBSTITUTE(D477,"|",REPT(";",LEN(D477)),5))-FIND(";",SUBSTITUTE(D477,"|",REPT(";",LEN(D477)),4))-1)</f>
        <v/>
      </c>
      <c r="N477">
        <f>MID(D477,FIND(";",SUBSTITUTE(D477,"|",REPT(";",LEN(D477)),6))+1,LEN(D477))</f>
        <v/>
      </c>
      <c r="O477">
        <f>MID(D477,FIND(";",SUBSTITUTE(D477,"|",REPT(";",LEN(D477)),5))+1,FIND(";",SUBSTITUTE(D477,"|",REPT(";",LEN(D477)),6))-FIND(";",SUBSTITUTE(D477,"|",REPT(";",LEN(D477)),5))-1)</f>
        <v/>
      </c>
    </row>
    <row r="478">
      <c r="A478" t="inlineStr">
        <is>
          <t>100201</t>
        </is>
      </c>
      <c r="B478" t="inlineStr">
        <is>
          <t>圆钢</t>
        </is>
      </c>
      <c r="C478" t="inlineStr">
        <is>
          <t>600613400</t>
        </is>
      </c>
      <c r="D478" t="inlineStr">
        <is>
          <t>热轧合金结构圆钢|圆钢|40Cr|Φ25|GB/T 3077-1999|热轧|GB/T 702-2008</t>
        </is>
      </c>
      <c r="E478" t="inlineStr">
        <is>
          <t>物资名称 热轧合金结构圆钢;物资简称 圆钢;牌号 40Cr;直径 Φ25;技术标准号 GB/T 3077-1999;加工工艺 热轧;热处理工艺 ;特殊要求 ;规格标准号 GB/T 702-2008</t>
        </is>
      </c>
      <c r="F478" t="inlineStr">
        <is>
          <t>千克</t>
        </is>
      </c>
      <c r="G478">
        <f>LEFT(D478,FIND("|",D478,1)-1)</f>
        <v/>
      </c>
      <c r="H478">
        <f>MID(D478,FIND("|",D478,FIND("|",D478,1))+1,FIND("|",D478,FIND("|",D478,1)+1)-FIND("|",D478,FIND("|",D478,1))-1)</f>
        <v/>
      </c>
      <c r="J478">
        <f>MID(D478,FIND(";",SUBSTITUTE(D478,"|",REPT(";",LEN(D478)),2))+1,FIND(";",SUBSTITUTE(D478,"|",REPT(";",LEN(D478)),3))-FIND(";",SUBSTITUTE(D478,"|",REPT(";",LEN(D478)),2))-1)</f>
        <v/>
      </c>
      <c r="K478">
        <f>MID(D478,FIND(";",SUBSTITUTE(D478,"|",REPT(";",LEN(D478)),3))+1,FIND(";",SUBSTITUTE(D478,"|",REPT(";",LEN(D478)),4))-FIND(";",SUBSTITUTE(D478,"|",REPT(";",LEN(D478)),3))-1)</f>
        <v/>
      </c>
      <c r="M478">
        <f>MID(D478,FIND(";",SUBSTITUTE(D478,"|",REPT(";",LEN(D478)),4))+1,FIND(";",SUBSTITUTE(D478,"|",REPT(";",LEN(D478)),5))-FIND(";",SUBSTITUTE(D478,"|",REPT(";",LEN(D478)),4))-1)</f>
        <v/>
      </c>
      <c r="N478">
        <f>MID(D478,FIND(";",SUBSTITUTE(D478,"|",REPT(";",LEN(D478)),6))+1,LEN(D478))</f>
        <v/>
      </c>
      <c r="O478">
        <f>MID(D478,FIND(";",SUBSTITUTE(D478,"|",REPT(";",LEN(D478)),5))+1,FIND(";",SUBSTITUTE(D478,"|",REPT(";",LEN(D478)),6))-FIND(";",SUBSTITUTE(D478,"|",REPT(";",LEN(D478)),5))-1)</f>
        <v/>
      </c>
    </row>
    <row r="479">
      <c r="A479" t="inlineStr">
        <is>
          <t>100201</t>
        </is>
      </c>
      <c r="B479" t="inlineStr">
        <is>
          <t>圆钢</t>
        </is>
      </c>
      <c r="C479" t="inlineStr">
        <is>
          <t>600613300</t>
        </is>
      </c>
      <c r="D479" t="inlineStr">
        <is>
          <t>热轧合金结构圆钢|圆钢|40Cr|Φ30|GB/T 3077-1999|热轧|GB/T 702-2008</t>
        </is>
      </c>
      <c r="E479" t="inlineStr">
        <is>
          <t>物资名称 热轧合金结构圆钢;物资简称 圆钢;牌号 40Cr;直径 Φ30;技术标准号 GB/T 3077-1999;加工工艺 热轧;热处理工艺 ;特殊要求 ;规格标准号 GB/T 702-2008</t>
        </is>
      </c>
      <c r="F479" t="inlineStr">
        <is>
          <t>千克</t>
        </is>
      </c>
      <c r="G479">
        <f>LEFT(D479,FIND("|",D479,1)-1)</f>
        <v/>
      </c>
      <c r="H479">
        <f>MID(D479,FIND("|",D479,FIND("|",D479,1))+1,FIND("|",D479,FIND("|",D479,1)+1)-FIND("|",D479,FIND("|",D479,1))-1)</f>
        <v/>
      </c>
      <c r="J479">
        <f>MID(D479,FIND(";",SUBSTITUTE(D479,"|",REPT(";",LEN(D479)),2))+1,FIND(";",SUBSTITUTE(D479,"|",REPT(";",LEN(D479)),3))-FIND(";",SUBSTITUTE(D479,"|",REPT(";",LEN(D479)),2))-1)</f>
        <v/>
      </c>
      <c r="K479">
        <f>MID(D479,FIND(";",SUBSTITUTE(D479,"|",REPT(";",LEN(D479)),3))+1,FIND(";",SUBSTITUTE(D479,"|",REPT(";",LEN(D479)),4))-FIND(";",SUBSTITUTE(D479,"|",REPT(";",LEN(D479)),3))-1)</f>
        <v/>
      </c>
      <c r="M479">
        <f>MID(D479,FIND(";",SUBSTITUTE(D479,"|",REPT(";",LEN(D479)),4))+1,FIND(";",SUBSTITUTE(D479,"|",REPT(";",LEN(D479)),5))-FIND(";",SUBSTITUTE(D479,"|",REPT(";",LEN(D479)),4))-1)</f>
        <v/>
      </c>
      <c r="N479">
        <f>MID(D479,FIND(";",SUBSTITUTE(D479,"|",REPT(";",LEN(D479)),6))+1,LEN(D479))</f>
        <v/>
      </c>
      <c r="O479">
        <f>MID(D479,FIND(";",SUBSTITUTE(D479,"|",REPT(";",LEN(D479)),5))+1,FIND(";",SUBSTITUTE(D479,"|",REPT(";",LEN(D479)),6))-FIND(";",SUBSTITUTE(D479,"|",REPT(";",LEN(D479)),5))-1)</f>
        <v/>
      </c>
    </row>
    <row r="480">
      <c r="A480" t="inlineStr">
        <is>
          <t>100201</t>
        </is>
      </c>
      <c r="B480" t="inlineStr">
        <is>
          <t>圆钢</t>
        </is>
      </c>
      <c r="C480" t="inlineStr">
        <is>
          <t>600613200</t>
        </is>
      </c>
      <c r="D480" t="inlineStr">
        <is>
          <t>热轧合金结构圆钢|圆钢|40Cr|Φ32|GB/T 3077-1999|热轧|GB/T 702-2008</t>
        </is>
      </c>
      <c r="E480" t="inlineStr">
        <is>
          <t>物资名称 热轧合金结构圆钢;物资简称 圆钢;牌号 40Cr;直径 Φ32;技术标准号 GB/T 3077-1999;加工工艺 热轧;热处理工艺 ;特殊要求 ;规格标准号 GB/T 702-2008</t>
        </is>
      </c>
      <c r="F480" t="inlineStr">
        <is>
          <t>千克</t>
        </is>
      </c>
      <c r="G480">
        <f>LEFT(D480,FIND("|",D480,1)-1)</f>
        <v/>
      </c>
      <c r="H480">
        <f>MID(D480,FIND("|",D480,FIND("|",D480,1))+1,FIND("|",D480,FIND("|",D480,1)+1)-FIND("|",D480,FIND("|",D480,1))-1)</f>
        <v/>
      </c>
      <c r="J480">
        <f>MID(D480,FIND(";",SUBSTITUTE(D480,"|",REPT(";",LEN(D480)),2))+1,FIND(";",SUBSTITUTE(D480,"|",REPT(";",LEN(D480)),3))-FIND(";",SUBSTITUTE(D480,"|",REPT(";",LEN(D480)),2))-1)</f>
        <v/>
      </c>
      <c r="K480">
        <f>MID(D480,FIND(";",SUBSTITUTE(D480,"|",REPT(";",LEN(D480)),3))+1,FIND(";",SUBSTITUTE(D480,"|",REPT(";",LEN(D480)),4))-FIND(";",SUBSTITUTE(D480,"|",REPT(";",LEN(D480)),3))-1)</f>
        <v/>
      </c>
      <c r="M480">
        <f>MID(D480,FIND(";",SUBSTITUTE(D480,"|",REPT(";",LEN(D480)),4))+1,FIND(";",SUBSTITUTE(D480,"|",REPT(";",LEN(D480)),5))-FIND(";",SUBSTITUTE(D480,"|",REPT(";",LEN(D480)),4))-1)</f>
        <v/>
      </c>
      <c r="N480">
        <f>MID(D480,FIND(";",SUBSTITUTE(D480,"|",REPT(";",LEN(D480)),6))+1,LEN(D480))</f>
        <v/>
      </c>
      <c r="O480">
        <f>MID(D480,FIND(";",SUBSTITUTE(D480,"|",REPT(";",LEN(D480)),5))+1,FIND(";",SUBSTITUTE(D480,"|",REPT(";",LEN(D480)),6))-FIND(";",SUBSTITUTE(D480,"|",REPT(";",LEN(D480)),5))-1)</f>
        <v/>
      </c>
    </row>
    <row r="481">
      <c r="A481" t="inlineStr">
        <is>
          <t>100201</t>
        </is>
      </c>
      <c r="B481" t="inlineStr">
        <is>
          <t>圆钢</t>
        </is>
      </c>
      <c r="C481" t="inlineStr">
        <is>
          <t>600613100</t>
        </is>
      </c>
      <c r="D481" t="inlineStr">
        <is>
          <t>热轧合金结构圆钢|圆钢|40Cr|Φ35|GB/T 3077-1999|热轧|GB/T 702-2008</t>
        </is>
      </c>
      <c r="E481" t="inlineStr">
        <is>
          <t>物资名称 热轧合金结构圆钢;物资简称 圆钢;牌号 40Cr;直径 Φ35;技术标准号 GB/T 3077-1999;加工工艺 热轧;热处理工艺 ;特殊要求 ;规格标准号 GB/T 702-2008</t>
        </is>
      </c>
      <c r="F481" t="inlineStr">
        <is>
          <t>千克</t>
        </is>
      </c>
      <c r="G481">
        <f>LEFT(D481,FIND("|",D481,1)-1)</f>
        <v/>
      </c>
      <c r="H481">
        <f>MID(D481,FIND("|",D481,FIND("|",D481,1))+1,FIND("|",D481,FIND("|",D481,1)+1)-FIND("|",D481,FIND("|",D481,1))-1)</f>
        <v/>
      </c>
      <c r="J481">
        <f>MID(D481,FIND(";",SUBSTITUTE(D481,"|",REPT(";",LEN(D481)),2))+1,FIND(";",SUBSTITUTE(D481,"|",REPT(";",LEN(D481)),3))-FIND(";",SUBSTITUTE(D481,"|",REPT(";",LEN(D481)),2))-1)</f>
        <v/>
      </c>
      <c r="K481">
        <f>MID(D481,FIND(";",SUBSTITUTE(D481,"|",REPT(";",LEN(D481)),3))+1,FIND(";",SUBSTITUTE(D481,"|",REPT(";",LEN(D481)),4))-FIND(";",SUBSTITUTE(D481,"|",REPT(";",LEN(D481)),3))-1)</f>
        <v/>
      </c>
      <c r="M481">
        <f>MID(D481,FIND(";",SUBSTITUTE(D481,"|",REPT(";",LEN(D481)),4))+1,FIND(";",SUBSTITUTE(D481,"|",REPT(";",LEN(D481)),5))-FIND(";",SUBSTITUTE(D481,"|",REPT(";",LEN(D481)),4))-1)</f>
        <v/>
      </c>
      <c r="N481">
        <f>MID(D481,FIND(";",SUBSTITUTE(D481,"|",REPT(";",LEN(D481)),6))+1,LEN(D481))</f>
        <v/>
      </c>
      <c r="O481">
        <f>MID(D481,FIND(";",SUBSTITUTE(D481,"|",REPT(";",LEN(D481)),5))+1,FIND(";",SUBSTITUTE(D481,"|",REPT(";",LEN(D481)),6))-FIND(";",SUBSTITUTE(D481,"|",REPT(";",LEN(D481)),5))-1)</f>
        <v/>
      </c>
    </row>
    <row r="482">
      <c r="A482" t="inlineStr">
        <is>
          <t>100201</t>
        </is>
      </c>
      <c r="B482" t="inlineStr">
        <is>
          <t>圆钢</t>
        </is>
      </c>
      <c r="C482" t="inlineStr">
        <is>
          <t>600613000</t>
        </is>
      </c>
      <c r="D482" t="inlineStr">
        <is>
          <t>热轧合金结构圆钢|圆钢|40Cr|Φ60|GB/T 3077-1999|热轧|GB/T 702-2008</t>
        </is>
      </c>
      <c r="E482" t="inlineStr">
        <is>
          <t>物资名称 热轧合金结构圆钢;物资简称 圆钢;牌号 40Cr;直径 Φ60;技术标准号 GB/T 3077-1999;加工工艺 热轧;热处理工艺 ;特殊要求 ;规格标准号 GB/T 702-2008</t>
        </is>
      </c>
      <c r="F482" t="inlineStr">
        <is>
          <t>千克</t>
        </is>
      </c>
      <c r="G482">
        <f>LEFT(D482,FIND("|",D482,1)-1)</f>
        <v/>
      </c>
      <c r="H482">
        <f>MID(D482,FIND("|",D482,FIND("|",D482,1))+1,FIND("|",D482,FIND("|",D482,1)+1)-FIND("|",D482,FIND("|",D482,1))-1)</f>
        <v/>
      </c>
      <c r="J482">
        <f>MID(D482,FIND(";",SUBSTITUTE(D482,"|",REPT(";",LEN(D482)),2))+1,FIND(";",SUBSTITUTE(D482,"|",REPT(";",LEN(D482)),3))-FIND(";",SUBSTITUTE(D482,"|",REPT(";",LEN(D482)),2))-1)</f>
        <v/>
      </c>
      <c r="K482">
        <f>MID(D482,FIND(";",SUBSTITUTE(D482,"|",REPT(";",LEN(D482)),3))+1,FIND(";",SUBSTITUTE(D482,"|",REPT(";",LEN(D482)),4))-FIND(";",SUBSTITUTE(D482,"|",REPT(";",LEN(D482)),3))-1)</f>
        <v/>
      </c>
      <c r="M482">
        <f>MID(D482,FIND(";",SUBSTITUTE(D482,"|",REPT(";",LEN(D482)),4))+1,FIND(";",SUBSTITUTE(D482,"|",REPT(";",LEN(D482)),5))-FIND(";",SUBSTITUTE(D482,"|",REPT(";",LEN(D482)),4))-1)</f>
        <v/>
      </c>
      <c r="N482">
        <f>MID(D482,FIND(";",SUBSTITUTE(D482,"|",REPT(";",LEN(D482)),6))+1,LEN(D482))</f>
        <v/>
      </c>
      <c r="O482">
        <f>MID(D482,FIND(";",SUBSTITUTE(D482,"|",REPT(";",LEN(D482)),5))+1,FIND(";",SUBSTITUTE(D482,"|",REPT(";",LEN(D482)),6))-FIND(";",SUBSTITUTE(D482,"|",REPT(";",LEN(D482)),5))-1)</f>
        <v/>
      </c>
    </row>
    <row r="483">
      <c r="A483" t="inlineStr">
        <is>
          <t>100201</t>
        </is>
      </c>
      <c r="B483" t="inlineStr">
        <is>
          <t>圆钢</t>
        </is>
      </c>
      <c r="C483" t="inlineStr">
        <is>
          <t>600612900</t>
        </is>
      </c>
      <c r="D483" t="inlineStr">
        <is>
          <t>热轧合金结构圆钢|圆钢|40Cr|Φ70|GB/T 3077-1999|热轧|GB/T 702-2008</t>
        </is>
      </c>
      <c r="E483" t="inlineStr">
        <is>
          <t>物资名称 热轧合金结构圆钢;物资简称 圆钢;牌号 40Cr;直径 Φ70;技术标准号 GB/T 3077-1999;加工工艺 热轧;热处理工艺 ;特殊要求 ;规格标准号 GB/T 702-2008</t>
        </is>
      </c>
      <c r="F483" t="inlineStr">
        <is>
          <t>千克</t>
        </is>
      </c>
      <c r="G483">
        <f>LEFT(D483,FIND("|",D483,1)-1)</f>
        <v/>
      </c>
      <c r="H483">
        <f>MID(D483,FIND("|",D483,FIND("|",D483,1))+1,FIND("|",D483,FIND("|",D483,1)+1)-FIND("|",D483,FIND("|",D483,1))-1)</f>
        <v/>
      </c>
      <c r="J483">
        <f>MID(D483,FIND(";",SUBSTITUTE(D483,"|",REPT(";",LEN(D483)),2))+1,FIND(";",SUBSTITUTE(D483,"|",REPT(";",LEN(D483)),3))-FIND(";",SUBSTITUTE(D483,"|",REPT(";",LEN(D483)),2))-1)</f>
        <v/>
      </c>
      <c r="K483">
        <f>MID(D483,FIND(";",SUBSTITUTE(D483,"|",REPT(";",LEN(D483)),3))+1,FIND(";",SUBSTITUTE(D483,"|",REPT(";",LEN(D483)),4))-FIND(";",SUBSTITUTE(D483,"|",REPT(";",LEN(D483)),3))-1)</f>
        <v/>
      </c>
      <c r="M483">
        <f>MID(D483,FIND(";",SUBSTITUTE(D483,"|",REPT(";",LEN(D483)),4))+1,FIND(";",SUBSTITUTE(D483,"|",REPT(";",LEN(D483)),5))-FIND(";",SUBSTITUTE(D483,"|",REPT(";",LEN(D483)),4))-1)</f>
        <v/>
      </c>
      <c r="N483">
        <f>MID(D483,FIND(";",SUBSTITUTE(D483,"|",REPT(";",LEN(D483)),6))+1,LEN(D483))</f>
        <v/>
      </c>
      <c r="O483">
        <f>MID(D483,FIND(";",SUBSTITUTE(D483,"|",REPT(";",LEN(D483)),5))+1,FIND(";",SUBSTITUTE(D483,"|",REPT(";",LEN(D483)),6))-FIND(";",SUBSTITUTE(D483,"|",REPT(";",LEN(D483)),5))-1)</f>
        <v/>
      </c>
    </row>
    <row r="484">
      <c r="A484" t="inlineStr">
        <is>
          <t>100201</t>
        </is>
      </c>
      <c r="B484" t="inlineStr">
        <is>
          <t>圆钢</t>
        </is>
      </c>
      <c r="C484" t="inlineStr">
        <is>
          <t>600612800</t>
        </is>
      </c>
      <c r="D484" t="inlineStr">
        <is>
          <t>热轧合金结构圆钢|圆钢|40Cr|Φ75|GB/T 3077-1999|热轧|GB/T 702-2008</t>
        </is>
      </c>
      <c r="E484" t="inlineStr">
        <is>
          <t>物资名称 热轧合金结构圆钢;物资简称 圆钢;牌号 40Cr;直径 Φ75;技术标准号 GB/T 3077-1999;加工工艺 热轧;热处理工艺 ;特殊要求 ;规格标准号 GB/T 702-2008</t>
        </is>
      </c>
      <c r="F484" t="inlineStr">
        <is>
          <t>千克</t>
        </is>
      </c>
      <c r="G484">
        <f>LEFT(D484,FIND("|",D484,1)-1)</f>
        <v/>
      </c>
      <c r="H484">
        <f>MID(D484,FIND("|",D484,FIND("|",D484,1))+1,FIND("|",D484,FIND("|",D484,1)+1)-FIND("|",D484,FIND("|",D484,1))-1)</f>
        <v/>
      </c>
      <c r="J484">
        <f>MID(D484,FIND(";",SUBSTITUTE(D484,"|",REPT(";",LEN(D484)),2))+1,FIND(";",SUBSTITUTE(D484,"|",REPT(";",LEN(D484)),3))-FIND(";",SUBSTITUTE(D484,"|",REPT(";",LEN(D484)),2))-1)</f>
        <v/>
      </c>
      <c r="K484">
        <f>MID(D484,FIND(";",SUBSTITUTE(D484,"|",REPT(";",LEN(D484)),3))+1,FIND(";",SUBSTITUTE(D484,"|",REPT(";",LEN(D484)),4))-FIND(";",SUBSTITUTE(D484,"|",REPT(";",LEN(D484)),3))-1)</f>
        <v/>
      </c>
      <c r="M484">
        <f>MID(D484,FIND(";",SUBSTITUTE(D484,"|",REPT(";",LEN(D484)),4))+1,FIND(";",SUBSTITUTE(D484,"|",REPT(";",LEN(D484)),5))-FIND(";",SUBSTITUTE(D484,"|",REPT(";",LEN(D484)),4))-1)</f>
        <v/>
      </c>
      <c r="N484">
        <f>MID(D484,FIND(";",SUBSTITUTE(D484,"|",REPT(";",LEN(D484)),6))+1,LEN(D484))</f>
        <v/>
      </c>
      <c r="O484">
        <f>MID(D484,FIND(";",SUBSTITUTE(D484,"|",REPT(";",LEN(D484)),5))+1,FIND(";",SUBSTITUTE(D484,"|",REPT(";",LEN(D484)),6))-FIND(";",SUBSTITUTE(D484,"|",REPT(";",LEN(D484)),5))-1)</f>
        <v/>
      </c>
    </row>
    <row r="485">
      <c r="A485" t="inlineStr">
        <is>
          <t>100201</t>
        </is>
      </c>
      <c r="B485" t="inlineStr">
        <is>
          <t>圆钢</t>
        </is>
      </c>
      <c r="C485" t="inlineStr">
        <is>
          <t>600612700</t>
        </is>
      </c>
      <c r="D485" t="inlineStr">
        <is>
          <t>热轧合金结构圆钢|圆钢|40Cr|Φ90|GB/T 3077-1999|热轧|GB/T 702-2008</t>
        </is>
      </c>
      <c r="E485" t="inlineStr">
        <is>
          <t>物资名称 热轧合金结构圆钢;物资简称 圆钢;牌号 40Cr;直径 Φ90;技术标准号 GB/T 3077-1999;加工工艺 热轧;热处理工艺 ;特殊要求 ;规格标准号 GB/T 702-2008</t>
        </is>
      </c>
      <c r="F485" t="inlineStr">
        <is>
          <t>千克</t>
        </is>
      </c>
      <c r="G485">
        <f>LEFT(D485,FIND("|",D485,1)-1)</f>
        <v/>
      </c>
      <c r="H485">
        <f>MID(D485,FIND("|",D485,FIND("|",D485,1))+1,FIND("|",D485,FIND("|",D485,1)+1)-FIND("|",D485,FIND("|",D485,1))-1)</f>
        <v/>
      </c>
      <c r="J485">
        <f>MID(D485,FIND(";",SUBSTITUTE(D485,"|",REPT(";",LEN(D485)),2))+1,FIND(";",SUBSTITUTE(D485,"|",REPT(";",LEN(D485)),3))-FIND(";",SUBSTITUTE(D485,"|",REPT(";",LEN(D485)),2))-1)</f>
        <v/>
      </c>
      <c r="K485">
        <f>MID(D485,FIND(";",SUBSTITUTE(D485,"|",REPT(";",LEN(D485)),3))+1,FIND(";",SUBSTITUTE(D485,"|",REPT(";",LEN(D485)),4))-FIND(";",SUBSTITUTE(D485,"|",REPT(";",LEN(D485)),3))-1)</f>
        <v/>
      </c>
      <c r="M485">
        <f>MID(D485,FIND(";",SUBSTITUTE(D485,"|",REPT(";",LEN(D485)),4))+1,FIND(";",SUBSTITUTE(D485,"|",REPT(";",LEN(D485)),5))-FIND(";",SUBSTITUTE(D485,"|",REPT(";",LEN(D485)),4))-1)</f>
        <v/>
      </c>
      <c r="N485">
        <f>MID(D485,FIND(";",SUBSTITUTE(D485,"|",REPT(";",LEN(D485)),6))+1,LEN(D485))</f>
        <v/>
      </c>
      <c r="O485">
        <f>MID(D485,FIND(";",SUBSTITUTE(D485,"|",REPT(";",LEN(D485)),5))+1,FIND(";",SUBSTITUTE(D485,"|",REPT(";",LEN(D485)),6))-FIND(";",SUBSTITUTE(D485,"|",REPT(";",LEN(D485)),5))-1)</f>
        <v/>
      </c>
    </row>
    <row r="486">
      <c r="A486" t="inlineStr">
        <is>
          <t>100201</t>
        </is>
      </c>
      <c r="B486" t="inlineStr">
        <is>
          <t>圆钢</t>
        </is>
      </c>
      <c r="C486" t="inlineStr">
        <is>
          <t>600612600</t>
        </is>
      </c>
      <c r="D486" t="inlineStr">
        <is>
          <t>热轧合金结构圆钢|圆钢|40Cr|Φ90|GB/T 3077-1999|热轧|退火|GB/T 702-2008</t>
        </is>
      </c>
      <c r="E486" t="inlineStr">
        <is>
          <t>物资名称 热轧合金结构圆钢;物资简称 圆钢;牌号 40Cr;直径 Φ90;技术标准号 GB/T 3077-1999;加工工艺 热轧;热处理工艺 退火;特殊要求 ;规格标准号 GB/T 702-2008</t>
        </is>
      </c>
      <c r="F486" t="inlineStr">
        <is>
          <t>千克</t>
        </is>
      </c>
      <c r="G486">
        <f>LEFT(D486,FIND("|",D486,1)-1)</f>
        <v/>
      </c>
      <c r="H486">
        <f>MID(D486,FIND("|",D486,FIND("|",D486,1))+1,FIND("|",D486,FIND("|",D486,1)+1)-FIND("|",D486,FIND("|",D486,1))-1)</f>
        <v/>
      </c>
      <c r="J486">
        <f>MID(D486,FIND(";",SUBSTITUTE(D486,"|",REPT(";",LEN(D486)),2))+1,FIND(";",SUBSTITUTE(D486,"|",REPT(";",LEN(D486)),3))-FIND(";",SUBSTITUTE(D486,"|",REPT(";",LEN(D486)),2))-1)</f>
        <v/>
      </c>
      <c r="K486">
        <f>MID(D486,FIND(";",SUBSTITUTE(D486,"|",REPT(";",LEN(D486)),3))+1,FIND(";",SUBSTITUTE(D486,"|",REPT(";",LEN(D486)),4))-FIND(";",SUBSTITUTE(D486,"|",REPT(";",LEN(D486)),3))-1)</f>
        <v/>
      </c>
      <c r="M486">
        <f>MID(D486,FIND(";",SUBSTITUTE(D486,"|",REPT(";",LEN(D486)),4))+1,FIND(";",SUBSTITUTE(D486,"|",REPT(";",LEN(D486)),5))-FIND(";",SUBSTITUTE(D486,"|",REPT(";",LEN(D486)),4))-1)</f>
        <v/>
      </c>
      <c r="N486">
        <f>MID(D486,FIND(";",SUBSTITUTE(D486,"|",REPT(";",LEN(D486)),7))+1,LEN(D486))</f>
        <v/>
      </c>
      <c r="O486">
        <f>MID(D486,FIND(";",SUBSTITUTE(D486,"|",REPT(";",LEN(D486)),5))+1,FIND(";",SUBSTITUTE(D486,"|",REPT(";",LEN(D486)),6))-FIND(";",SUBSTITUTE(D486,"|",REPT(";",LEN(D486)),5))-1)</f>
        <v/>
      </c>
      <c r="P486">
        <f>MID(D486,FIND(";",SUBSTITUTE(D486,"|",REPT(";",LEN(D486)),6))+1,FIND(";",SUBSTITUTE(D486,"|",REPT(";",LEN(D486)),7))-FIND(";",SUBSTITUTE(D486,"|",REPT(";",LEN(D486)),6))-1)</f>
        <v/>
      </c>
    </row>
    <row r="487">
      <c r="A487" t="inlineStr">
        <is>
          <t>100201</t>
        </is>
      </c>
      <c r="B487" t="inlineStr">
        <is>
          <t>圆钢</t>
        </is>
      </c>
      <c r="C487" t="inlineStr">
        <is>
          <t>600612500</t>
        </is>
      </c>
      <c r="D487" t="inlineStr">
        <is>
          <t>热轧合金结构圆钢|圆钢|40Cr|Φ100|GB/T 3077-1999|热轧|GB/T 702-2008</t>
        </is>
      </c>
      <c r="E487" t="inlineStr">
        <is>
          <t>物资名称 热轧合金结构圆钢;物资简称 圆钢;牌号 40Cr;直径 Φ100;技术标准号 GB/T 3077-1999;加工工艺 热轧;热处理工艺 ;特殊要求 ;规格标准号 GB/T 702-2008</t>
        </is>
      </c>
      <c r="F487" t="inlineStr">
        <is>
          <t>千克</t>
        </is>
      </c>
      <c r="G487">
        <f>LEFT(D487,FIND("|",D487,1)-1)</f>
        <v/>
      </c>
      <c r="H487">
        <f>MID(D487,FIND("|",D487,FIND("|",D487,1))+1,FIND("|",D487,FIND("|",D487,1)+1)-FIND("|",D487,FIND("|",D487,1))-1)</f>
        <v/>
      </c>
      <c r="J487">
        <f>MID(D487,FIND(";",SUBSTITUTE(D487,"|",REPT(";",LEN(D487)),2))+1,FIND(";",SUBSTITUTE(D487,"|",REPT(";",LEN(D487)),3))-FIND(";",SUBSTITUTE(D487,"|",REPT(";",LEN(D487)),2))-1)</f>
        <v/>
      </c>
      <c r="K487">
        <f>MID(D487,FIND(";",SUBSTITUTE(D487,"|",REPT(";",LEN(D487)),3))+1,FIND(";",SUBSTITUTE(D487,"|",REPT(";",LEN(D487)),4))-FIND(";",SUBSTITUTE(D487,"|",REPT(";",LEN(D487)),3))-1)</f>
        <v/>
      </c>
      <c r="M487">
        <f>MID(D487,FIND(";",SUBSTITUTE(D487,"|",REPT(";",LEN(D487)),4))+1,FIND(";",SUBSTITUTE(D487,"|",REPT(";",LEN(D487)),5))-FIND(";",SUBSTITUTE(D487,"|",REPT(";",LEN(D487)),4))-1)</f>
        <v/>
      </c>
      <c r="N487">
        <f>MID(D487,FIND(";",SUBSTITUTE(D487,"|",REPT(";",LEN(D487)),6))+1,LEN(D487))</f>
        <v/>
      </c>
      <c r="O487">
        <f>MID(D487,FIND(";",SUBSTITUTE(D487,"|",REPT(";",LEN(D487)),5))+1,FIND(";",SUBSTITUTE(D487,"|",REPT(";",LEN(D487)),6))-FIND(";",SUBSTITUTE(D487,"|",REPT(";",LEN(D487)),5))-1)</f>
        <v/>
      </c>
    </row>
    <row r="488">
      <c r="A488" t="inlineStr">
        <is>
          <t>100201</t>
        </is>
      </c>
      <c r="B488" t="inlineStr">
        <is>
          <t>圆钢</t>
        </is>
      </c>
      <c r="C488" t="inlineStr">
        <is>
          <t>600612400</t>
        </is>
      </c>
      <c r="D488" t="inlineStr">
        <is>
          <t>热轧合金结构圆钢|圆钢|40Cr|Φ100|GB/T 3077-1999|热轧|退火|GB/T 702-2008</t>
        </is>
      </c>
      <c r="E488" t="inlineStr">
        <is>
          <t>物资名称 热轧合金结构圆钢;物资简称 圆钢;牌号 40Cr;直径 Φ100;技术标准号 GB/T 3077-1999;加工工艺 热轧;热处理工艺 退火;特殊要求 ;规格标准号 GB/T 702-2008</t>
        </is>
      </c>
      <c r="F488" t="inlineStr">
        <is>
          <t>千克</t>
        </is>
      </c>
      <c r="G488">
        <f>LEFT(D488,FIND("|",D488,1)-1)</f>
        <v/>
      </c>
      <c r="H488">
        <f>MID(D488,FIND("|",D488,FIND("|",D488,1))+1,FIND("|",D488,FIND("|",D488,1)+1)-FIND("|",D488,FIND("|",D488,1))-1)</f>
        <v/>
      </c>
      <c r="J488">
        <f>MID(D488,FIND(";",SUBSTITUTE(D488,"|",REPT(";",LEN(D488)),2))+1,FIND(";",SUBSTITUTE(D488,"|",REPT(";",LEN(D488)),3))-FIND(";",SUBSTITUTE(D488,"|",REPT(";",LEN(D488)),2))-1)</f>
        <v/>
      </c>
      <c r="K488">
        <f>MID(D488,FIND(";",SUBSTITUTE(D488,"|",REPT(";",LEN(D488)),3))+1,FIND(";",SUBSTITUTE(D488,"|",REPT(";",LEN(D488)),4))-FIND(";",SUBSTITUTE(D488,"|",REPT(";",LEN(D488)),3))-1)</f>
        <v/>
      </c>
      <c r="M488">
        <f>MID(D488,FIND(";",SUBSTITUTE(D488,"|",REPT(";",LEN(D488)),4))+1,FIND(";",SUBSTITUTE(D488,"|",REPT(";",LEN(D488)),5))-FIND(";",SUBSTITUTE(D488,"|",REPT(";",LEN(D488)),4))-1)</f>
        <v/>
      </c>
      <c r="N488">
        <f>MID(D488,FIND(";",SUBSTITUTE(D488,"|",REPT(";",LEN(D488)),7))+1,LEN(D488))</f>
        <v/>
      </c>
      <c r="O488">
        <f>MID(D488,FIND(";",SUBSTITUTE(D488,"|",REPT(";",LEN(D488)),5))+1,FIND(";",SUBSTITUTE(D488,"|",REPT(";",LEN(D488)),6))-FIND(";",SUBSTITUTE(D488,"|",REPT(";",LEN(D488)),5))-1)</f>
        <v/>
      </c>
      <c r="P488">
        <f>MID(D488,FIND(";",SUBSTITUTE(D488,"|",REPT(";",LEN(D488)),6))+1,FIND(";",SUBSTITUTE(D488,"|",REPT(";",LEN(D488)),7))-FIND(";",SUBSTITUTE(D488,"|",REPT(";",LEN(D488)),6))-1)</f>
        <v/>
      </c>
    </row>
    <row r="489">
      <c r="A489" t="inlineStr">
        <is>
          <t>100201</t>
        </is>
      </c>
      <c r="B489" t="inlineStr">
        <is>
          <t>圆钢</t>
        </is>
      </c>
      <c r="C489" t="inlineStr">
        <is>
          <t>600612300</t>
        </is>
      </c>
      <c r="D489" t="inlineStr">
        <is>
          <t>热轧合金结构圆钢|圆钢|40Cr|Φ120|GB/T 3077-1999|热轧|GB/T 702-2008</t>
        </is>
      </c>
      <c r="E489" t="inlineStr">
        <is>
          <t>物资名称 热轧合金结构圆钢;物资简称 圆钢;牌号 40Cr;直径 Φ120;技术标准号 GB/T 3077-1999;加工工艺 热轧;热处理工艺 ;特殊要求 ;规格标准号 GB/T 702-2008</t>
        </is>
      </c>
      <c r="F489" t="inlineStr">
        <is>
          <t>千克</t>
        </is>
      </c>
      <c r="G489">
        <f>LEFT(D489,FIND("|",D489,1)-1)</f>
        <v/>
      </c>
      <c r="H489">
        <f>MID(D489,FIND("|",D489,FIND("|",D489,1))+1,FIND("|",D489,FIND("|",D489,1)+1)-FIND("|",D489,FIND("|",D489,1))-1)</f>
        <v/>
      </c>
      <c r="J489">
        <f>MID(D489,FIND(";",SUBSTITUTE(D489,"|",REPT(";",LEN(D489)),2))+1,FIND(";",SUBSTITUTE(D489,"|",REPT(";",LEN(D489)),3))-FIND(";",SUBSTITUTE(D489,"|",REPT(";",LEN(D489)),2))-1)</f>
        <v/>
      </c>
      <c r="K489">
        <f>MID(D489,FIND(";",SUBSTITUTE(D489,"|",REPT(";",LEN(D489)),3))+1,FIND(";",SUBSTITUTE(D489,"|",REPT(";",LEN(D489)),4))-FIND(";",SUBSTITUTE(D489,"|",REPT(";",LEN(D489)),3))-1)</f>
        <v/>
      </c>
      <c r="M489">
        <f>MID(D489,FIND(";",SUBSTITUTE(D489,"|",REPT(";",LEN(D489)),4))+1,FIND(";",SUBSTITUTE(D489,"|",REPT(";",LEN(D489)),5))-FIND(";",SUBSTITUTE(D489,"|",REPT(";",LEN(D489)),4))-1)</f>
        <v/>
      </c>
      <c r="N489">
        <f>MID(D489,FIND(";",SUBSTITUTE(D489,"|",REPT(";",LEN(D489)),6))+1,LEN(D489))</f>
        <v/>
      </c>
      <c r="O489">
        <f>MID(D489,FIND(";",SUBSTITUTE(D489,"|",REPT(";",LEN(D489)),5))+1,FIND(";",SUBSTITUTE(D489,"|",REPT(";",LEN(D489)),6))-FIND(";",SUBSTITUTE(D489,"|",REPT(";",LEN(D489)),5))-1)</f>
        <v/>
      </c>
    </row>
    <row r="490">
      <c r="A490" t="inlineStr">
        <is>
          <t>100201</t>
        </is>
      </c>
      <c r="B490" t="inlineStr">
        <is>
          <t>圆钢</t>
        </is>
      </c>
      <c r="C490" t="inlineStr">
        <is>
          <t>600612200</t>
        </is>
      </c>
      <c r="D490" t="inlineStr">
        <is>
          <t>热轧合金结构圆钢|圆钢|40Cr|Φ130|GB/T 3077-1999|热轧|GB/T 702-2008</t>
        </is>
      </c>
      <c r="E490" t="inlineStr">
        <is>
          <t>物资名称 热轧合金结构圆钢;物资简称 圆钢;牌号 40Cr;直径 Φ130;技术标准号 GB/T 3077-1999;加工工艺 热轧;热处理工艺 ;特殊要求 ;规格标准号 GB/T 702-2008</t>
        </is>
      </c>
      <c r="F490" t="inlineStr">
        <is>
          <t>千克</t>
        </is>
      </c>
      <c r="G490">
        <f>LEFT(D490,FIND("|",D490,1)-1)</f>
        <v/>
      </c>
      <c r="H490">
        <f>MID(D490,FIND("|",D490,FIND("|",D490,1))+1,FIND("|",D490,FIND("|",D490,1)+1)-FIND("|",D490,FIND("|",D490,1))-1)</f>
        <v/>
      </c>
      <c r="J490">
        <f>MID(D490,FIND(";",SUBSTITUTE(D490,"|",REPT(";",LEN(D490)),2))+1,FIND(";",SUBSTITUTE(D490,"|",REPT(";",LEN(D490)),3))-FIND(";",SUBSTITUTE(D490,"|",REPT(";",LEN(D490)),2))-1)</f>
        <v/>
      </c>
      <c r="K490">
        <f>MID(D490,FIND(";",SUBSTITUTE(D490,"|",REPT(";",LEN(D490)),3))+1,FIND(";",SUBSTITUTE(D490,"|",REPT(";",LEN(D490)),4))-FIND(";",SUBSTITUTE(D490,"|",REPT(";",LEN(D490)),3))-1)</f>
        <v/>
      </c>
      <c r="M490">
        <f>MID(D490,FIND(";",SUBSTITUTE(D490,"|",REPT(";",LEN(D490)),4))+1,FIND(";",SUBSTITUTE(D490,"|",REPT(";",LEN(D490)),5))-FIND(";",SUBSTITUTE(D490,"|",REPT(";",LEN(D490)),4))-1)</f>
        <v/>
      </c>
      <c r="N490">
        <f>MID(D490,FIND(";",SUBSTITUTE(D490,"|",REPT(";",LEN(D490)),6))+1,LEN(D490))</f>
        <v/>
      </c>
      <c r="O490">
        <f>MID(D490,FIND(";",SUBSTITUTE(D490,"|",REPT(";",LEN(D490)),5))+1,FIND(";",SUBSTITUTE(D490,"|",REPT(";",LEN(D490)),6))-FIND(";",SUBSTITUTE(D490,"|",REPT(";",LEN(D490)),5))-1)</f>
        <v/>
      </c>
    </row>
    <row r="491">
      <c r="A491" t="inlineStr">
        <is>
          <t>100201</t>
        </is>
      </c>
      <c r="B491" t="inlineStr">
        <is>
          <t>圆钢</t>
        </is>
      </c>
      <c r="C491" t="inlineStr">
        <is>
          <t>600612100</t>
        </is>
      </c>
      <c r="D491" t="inlineStr">
        <is>
          <t>热轧合金结构圆钢|圆钢|40Cr|Φ140|GB/T 3077-1999|热轧|GB/T 702-2008</t>
        </is>
      </c>
      <c r="E491" t="inlineStr">
        <is>
          <t>物资名称 热轧合金结构圆钢;物资简称 圆钢;牌号 40Cr;直径 Φ140;技术标准号 GB/T 3077-1999;加工工艺 热轧;热处理工艺 ;特殊要求 ;规格标准号 GB/T 702-2008</t>
        </is>
      </c>
      <c r="F491" t="inlineStr">
        <is>
          <t>千克</t>
        </is>
      </c>
      <c r="G491">
        <f>LEFT(D491,FIND("|",D491,1)-1)</f>
        <v/>
      </c>
      <c r="H491">
        <f>MID(D491,FIND("|",D491,FIND("|",D491,1))+1,FIND("|",D491,FIND("|",D491,1)+1)-FIND("|",D491,FIND("|",D491,1))-1)</f>
        <v/>
      </c>
      <c r="J491">
        <f>MID(D491,FIND(";",SUBSTITUTE(D491,"|",REPT(";",LEN(D491)),2))+1,FIND(";",SUBSTITUTE(D491,"|",REPT(";",LEN(D491)),3))-FIND(";",SUBSTITUTE(D491,"|",REPT(";",LEN(D491)),2))-1)</f>
        <v/>
      </c>
      <c r="K491">
        <f>MID(D491,FIND(";",SUBSTITUTE(D491,"|",REPT(";",LEN(D491)),3))+1,FIND(";",SUBSTITUTE(D491,"|",REPT(";",LEN(D491)),4))-FIND(";",SUBSTITUTE(D491,"|",REPT(";",LEN(D491)),3))-1)</f>
        <v/>
      </c>
      <c r="M491">
        <f>MID(D491,FIND(";",SUBSTITUTE(D491,"|",REPT(";",LEN(D491)),4))+1,FIND(";",SUBSTITUTE(D491,"|",REPT(";",LEN(D491)),5))-FIND(";",SUBSTITUTE(D491,"|",REPT(";",LEN(D491)),4))-1)</f>
        <v/>
      </c>
      <c r="N491">
        <f>MID(D491,FIND(";",SUBSTITUTE(D491,"|",REPT(";",LEN(D491)),6))+1,LEN(D491))</f>
        <v/>
      </c>
      <c r="O491">
        <f>MID(D491,FIND(";",SUBSTITUTE(D491,"|",REPT(";",LEN(D491)),5))+1,FIND(";",SUBSTITUTE(D491,"|",REPT(";",LEN(D491)),6))-FIND(";",SUBSTITUTE(D491,"|",REPT(";",LEN(D491)),5))-1)</f>
        <v/>
      </c>
    </row>
    <row r="492">
      <c r="A492" t="inlineStr">
        <is>
          <t>100201</t>
        </is>
      </c>
      <c r="B492" t="inlineStr">
        <is>
          <t>圆钢</t>
        </is>
      </c>
      <c r="C492" t="inlineStr">
        <is>
          <t>600612000</t>
        </is>
      </c>
      <c r="D492" t="inlineStr">
        <is>
          <t>热轧合金结构圆钢|圆钢|40Cr|Φ150|GB/T 3077-1999|热轧|GB/T 702-2008</t>
        </is>
      </c>
      <c r="E492" t="inlineStr">
        <is>
          <t>物资名称 热轧合金结构圆钢;物资简称 圆钢;牌号 40Cr;直径 Φ150;技术标准号 GB/T 3077-1999;加工工艺 热轧;热处理工艺 ;特殊要求 ;规格标准号 GB/T 702-2008</t>
        </is>
      </c>
      <c r="F492" t="inlineStr">
        <is>
          <t>千克</t>
        </is>
      </c>
      <c r="G492">
        <f>LEFT(D492,FIND("|",D492,1)-1)</f>
        <v/>
      </c>
      <c r="H492">
        <f>MID(D492,FIND("|",D492,FIND("|",D492,1))+1,FIND("|",D492,FIND("|",D492,1)+1)-FIND("|",D492,FIND("|",D492,1))-1)</f>
        <v/>
      </c>
      <c r="J492">
        <f>MID(D492,FIND(";",SUBSTITUTE(D492,"|",REPT(";",LEN(D492)),2))+1,FIND(";",SUBSTITUTE(D492,"|",REPT(";",LEN(D492)),3))-FIND(";",SUBSTITUTE(D492,"|",REPT(";",LEN(D492)),2))-1)</f>
        <v/>
      </c>
      <c r="K492">
        <f>MID(D492,FIND(";",SUBSTITUTE(D492,"|",REPT(";",LEN(D492)),3))+1,FIND(";",SUBSTITUTE(D492,"|",REPT(";",LEN(D492)),4))-FIND(";",SUBSTITUTE(D492,"|",REPT(";",LEN(D492)),3))-1)</f>
        <v/>
      </c>
      <c r="M492">
        <f>MID(D492,FIND(";",SUBSTITUTE(D492,"|",REPT(";",LEN(D492)),4))+1,FIND(";",SUBSTITUTE(D492,"|",REPT(";",LEN(D492)),5))-FIND(";",SUBSTITUTE(D492,"|",REPT(";",LEN(D492)),4))-1)</f>
        <v/>
      </c>
      <c r="N492">
        <f>MID(D492,FIND(";",SUBSTITUTE(D492,"|",REPT(";",LEN(D492)),6))+1,LEN(D492))</f>
        <v/>
      </c>
      <c r="O492">
        <f>MID(D492,FIND(";",SUBSTITUTE(D492,"|",REPT(";",LEN(D492)),5))+1,FIND(";",SUBSTITUTE(D492,"|",REPT(";",LEN(D492)),6))-FIND(";",SUBSTITUTE(D492,"|",REPT(";",LEN(D492)),5))-1)</f>
        <v/>
      </c>
    </row>
    <row r="493">
      <c r="A493" t="inlineStr">
        <is>
          <t>100201</t>
        </is>
      </c>
      <c r="B493" t="inlineStr">
        <is>
          <t>圆钢</t>
        </is>
      </c>
      <c r="C493" t="inlineStr">
        <is>
          <t>600611900</t>
        </is>
      </c>
      <c r="D493" t="inlineStr">
        <is>
          <t>热轧合金结构圆钢|圆钢|40Cr|Φ150|GB/T 3077-1999|热轧|退火|GB/T 702-2008</t>
        </is>
      </c>
      <c r="E493" t="inlineStr">
        <is>
          <t>物资名称 热轧合金结构圆钢;物资简称 圆钢;牌号 40Cr;直径 Φ150;技术标准号 GB/T 3077-1999;加工工艺 热轧;热处理工艺 退火;特殊要求 ;规格标准号 GB/T 702-2008</t>
        </is>
      </c>
      <c r="F493" t="inlineStr">
        <is>
          <t>千克</t>
        </is>
      </c>
      <c r="G493">
        <f>LEFT(D493,FIND("|",D493,1)-1)</f>
        <v/>
      </c>
      <c r="H493">
        <f>MID(D493,FIND("|",D493,FIND("|",D493,1))+1,FIND("|",D493,FIND("|",D493,1)+1)-FIND("|",D493,FIND("|",D493,1))-1)</f>
        <v/>
      </c>
      <c r="J493">
        <f>MID(D493,FIND(";",SUBSTITUTE(D493,"|",REPT(";",LEN(D493)),2))+1,FIND(";",SUBSTITUTE(D493,"|",REPT(";",LEN(D493)),3))-FIND(";",SUBSTITUTE(D493,"|",REPT(";",LEN(D493)),2))-1)</f>
        <v/>
      </c>
      <c r="K493">
        <f>MID(D493,FIND(";",SUBSTITUTE(D493,"|",REPT(";",LEN(D493)),3))+1,FIND(";",SUBSTITUTE(D493,"|",REPT(";",LEN(D493)),4))-FIND(";",SUBSTITUTE(D493,"|",REPT(";",LEN(D493)),3))-1)</f>
        <v/>
      </c>
      <c r="M493">
        <f>MID(D493,FIND(";",SUBSTITUTE(D493,"|",REPT(";",LEN(D493)),4))+1,FIND(";",SUBSTITUTE(D493,"|",REPT(";",LEN(D493)),5))-FIND(";",SUBSTITUTE(D493,"|",REPT(";",LEN(D493)),4))-1)</f>
        <v/>
      </c>
      <c r="N493">
        <f>MID(D493,FIND(";",SUBSTITUTE(D493,"|",REPT(";",LEN(D493)),7))+1,LEN(D493))</f>
        <v/>
      </c>
      <c r="O493">
        <f>MID(D493,FIND(";",SUBSTITUTE(D493,"|",REPT(";",LEN(D493)),5))+1,FIND(";",SUBSTITUTE(D493,"|",REPT(";",LEN(D493)),6))-FIND(";",SUBSTITUTE(D493,"|",REPT(";",LEN(D493)),5))-1)</f>
        <v/>
      </c>
      <c r="P493">
        <f>MID(D493,FIND(";",SUBSTITUTE(D493,"|",REPT(";",LEN(D493)),6))+1,FIND(";",SUBSTITUTE(D493,"|",REPT(";",LEN(D493)),7))-FIND(";",SUBSTITUTE(D493,"|",REPT(";",LEN(D493)),6))-1)</f>
        <v/>
      </c>
    </row>
    <row r="494">
      <c r="A494" t="inlineStr">
        <is>
          <t>100201</t>
        </is>
      </c>
      <c r="B494" t="inlineStr">
        <is>
          <t>圆钢</t>
        </is>
      </c>
      <c r="C494" t="inlineStr">
        <is>
          <t>600611800</t>
        </is>
      </c>
      <c r="D494" t="inlineStr">
        <is>
          <t>热轧合金结构圆钢|圆钢|40Cr|Φ160|GB/T 3077-1999|热轧|GB/T 702-2008</t>
        </is>
      </c>
      <c r="E494" t="inlineStr">
        <is>
          <t>物资名称 热轧合金结构圆钢;物资简称 圆钢;牌号 40Cr;直径 Φ160;技术标准号 GB/T 3077-1999;加工工艺 热轧;热处理工艺 ;特殊要求 ;规格标准号 GB/T 702-2008</t>
        </is>
      </c>
      <c r="F494" t="inlineStr">
        <is>
          <t>千克</t>
        </is>
      </c>
      <c r="G494">
        <f>LEFT(D494,FIND("|",D494,1)-1)</f>
        <v/>
      </c>
      <c r="H494">
        <f>MID(D494,FIND("|",D494,FIND("|",D494,1))+1,FIND("|",D494,FIND("|",D494,1)+1)-FIND("|",D494,FIND("|",D494,1))-1)</f>
        <v/>
      </c>
      <c r="J494">
        <f>MID(D494,FIND(";",SUBSTITUTE(D494,"|",REPT(";",LEN(D494)),2))+1,FIND(";",SUBSTITUTE(D494,"|",REPT(";",LEN(D494)),3))-FIND(";",SUBSTITUTE(D494,"|",REPT(";",LEN(D494)),2))-1)</f>
        <v/>
      </c>
      <c r="K494">
        <f>MID(D494,FIND(";",SUBSTITUTE(D494,"|",REPT(";",LEN(D494)),3))+1,FIND(";",SUBSTITUTE(D494,"|",REPT(";",LEN(D494)),4))-FIND(";",SUBSTITUTE(D494,"|",REPT(";",LEN(D494)),3))-1)</f>
        <v/>
      </c>
      <c r="M494">
        <f>MID(D494,FIND(";",SUBSTITUTE(D494,"|",REPT(";",LEN(D494)),4))+1,FIND(";",SUBSTITUTE(D494,"|",REPT(";",LEN(D494)),5))-FIND(";",SUBSTITUTE(D494,"|",REPT(";",LEN(D494)),4))-1)</f>
        <v/>
      </c>
      <c r="N494">
        <f>MID(D494,FIND(";",SUBSTITUTE(D494,"|",REPT(";",LEN(D494)),6))+1,LEN(D494))</f>
        <v/>
      </c>
      <c r="O494">
        <f>MID(D494,FIND(";",SUBSTITUTE(D494,"|",REPT(";",LEN(D494)),5))+1,FIND(";",SUBSTITUTE(D494,"|",REPT(";",LEN(D494)),6))-FIND(";",SUBSTITUTE(D494,"|",REPT(";",LEN(D494)),5))-1)</f>
        <v/>
      </c>
    </row>
    <row r="495">
      <c r="A495" t="inlineStr">
        <is>
          <t>100201</t>
        </is>
      </c>
      <c r="B495" t="inlineStr">
        <is>
          <t>圆钢</t>
        </is>
      </c>
      <c r="C495" t="inlineStr">
        <is>
          <t>600611700</t>
        </is>
      </c>
      <c r="D495" t="inlineStr">
        <is>
          <t>热轧合金结构圆钢|圆钢|40Cr|Φ170|GB/T 3077-1999|热轧|GB/T 702-2008</t>
        </is>
      </c>
      <c r="E495" t="inlineStr">
        <is>
          <t>物资名称 热轧合金结构圆钢;物资简称 圆钢;牌号 40Cr;直径 Φ170;技术标准号 GB/T 3077-1999;加工工艺 热轧;热处理工艺 ;特殊要求 ;规格标准号 GB/T 702-2008</t>
        </is>
      </c>
      <c r="F495" t="inlineStr">
        <is>
          <t>千克</t>
        </is>
      </c>
      <c r="G495">
        <f>LEFT(D495,FIND("|",D495,1)-1)</f>
        <v/>
      </c>
      <c r="H495">
        <f>MID(D495,FIND("|",D495,FIND("|",D495,1))+1,FIND("|",D495,FIND("|",D495,1)+1)-FIND("|",D495,FIND("|",D495,1))-1)</f>
        <v/>
      </c>
      <c r="J495">
        <f>MID(D495,FIND(";",SUBSTITUTE(D495,"|",REPT(";",LEN(D495)),2))+1,FIND(";",SUBSTITUTE(D495,"|",REPT(";",LEN(D495)),3))-FIND(";",SUBSTITUTE(D495,"|",REPT(";",LEN(D495)),2))-1)</f>
        <v/>
      </c>
      <c r="K495">
        <f>MID(D495,FIND(";",SUBSTITUTE(D495,"|",REPT(";",LEN(D495)),3))+1,FIND(";",SUBSTITUTE(D495,"|",REPT(";",LEN(D495)),4))-FIND(";",SUBSTITUTE(D495,"|",REPT(";",LEN(D495)),3))-1)</f>
        <v/>
      </c>
      <c r="M495">
        <f>MID(D495,FIND(";",SUBSTITUTE(D495,"|",REPT(";",LEN(D495)),4))+1,FIND(";",SUBSTITUTE(D495,"|",REPT(";",LEN(D495)),5))-FIND(";",SUBSTITUTE(D495,"|",REPT(";",LEN(D495)),4))-1)</f>
        <v/>
      </c>
      <c r="N495">
        <f>MID(D495,FIND(";",SUBSTITUTE(D495,"|",REPT(";",LEN(D495)),6))+1,LEN(D495))</f>
        <v/>
      </c>
      <c r="O495">
        <f>MID(D495,FIND(";",SUBSTITUTE(D495,"|",REPT(";",LEN(D495)),5))+1,FIND(";",SUBSTITUTE(D495,"|",REPT(";",LEN(D495)),6))-FIND(";",SUBSTITUTE(D495,"|",REPT(";",LEN(D495)),5))-1)</f>
        <v/>
      </c>
    </row>
    <row r="496">
      <c r="A496" t="inlineStr">
        <is>
          <t>100201</t>
        </is>
      </c>
      <c r="B496" t="inlineStr">
        <is>
          <t>圆钢</t>
        </is>
      </c>
      <c r="C496" t="inlineStr">
        <is>
          <t>600611600</t>
        </is>
      </c>
      <c r="D496" t="inlineStr">
        <is>
          <t>热轧合金结构圆钢|圆钢|40Cr|Φ180|GB/T 3077-1999|热轧|GB/T 702-2008</t>
        </is>
      </c>
      <c r="E496" t="inlineStr">
        <is>
          <t>物资名称 热轧合金结构圆钢;物资简称 圆钢;牌号 40Cr;直径 Φ180;技术标准号 GB/T 3077-1999;加工工艺 热轧;热处理工艺 ;特殊要求 ;规格标准号 GB/T 702-2008</t>
        </is>
      </c>
      <c r="F496" t="inlineStr">
        <is>
          <t>千克</t>
        </is>
      </c>
      <c r="G496">
        <f>LEFT(D496,FIND("|",D496,1)-1)</f>
        <v/>
      </c>
      <c r="H496">
        <f>MID(D496,FIND("|",D496,FIND("|",D496,1))+1,FIND("|",D496,FIND("|",D496,1)+1)-FIND("|",D496,FIND("|",D496,1))-1)</f>
        <v/>
      </c>
      <c r="J496">
        <f>MID(D496,FIND(";",SUBSTITUTE(D496,"|",REPT(";",LEN(D496)),2))+1,FIND(";",SUBSTITUTE(D496,"|",REPT(";",LEN(D496)),3))-FIND(";",SUBSTITUTE(D496,"|",REPT(";",LEN(D496)),2))-1)</f>
        <v/>
      </c>
      <c r="K496">
        <f>MID(D496,FIND(";",SUBSTITUTE(D496,"|",REPT(";",LEN(D496)),3))+1,FIND(";",SUBSTITUTE(D496,"|",REPT(";",LEN(D496)),4))-FIND(";",SUBSTITUTE(D496,"|",REPT(";",LEN(D496)),3))-1)</f>
        <v/>
      </c>
      <c r="M496">
        <f>MID(D496,FIND(";",SUBSTITUTE(D496,"|",REPT(";",LEN(D496)),4))+1,FIND(";",SUBSTITUTE(D496,"|",REPT(";",LEN(D496)),5))-FIND(";",SUBSTITUTE(D496,"|",REPT(";",LEN(D496)),4))-1)</f>
        <v/>
      </c>
      <c r="N496">
        <f>MID(D496,FIND(";",SUBSTITUTE(D496,"|",REPT(";",LEN(D496)),6))+1,LEN(D496))</f>
        <v/>
      </c>
      <c r="O496">
        <f>MID(D496,FIND(";",SUBSTITUTE(D496,"|",REPT(";",LEN(D496)),5))+1,FIND(";",SUBSTITUTE(D496,"|",REPT(";",LEN(D496)),6))-FIND(";",SUBSTITUTE(D496,"|",REPT(";",LEN(D496)),5))-1)</f>
        <v/>
      </c>
    </row>
    <row r="497">
      <c r="A497" t="inlineStr">
        <is>
          <t>100201</t>
        </is>
      </c>
      <c r="B497" t="inlineStr">
        <is>
          <t>圆钢</t>
        </is>
      </c>
      <c r="C497" t="inlineStr">
        <is>
          <t>600611500</t>
        </is>
      </c>
      <c r="D497" t="inlineStr">
        <is>
          <t>热轧合金结构圆钢|圆钢|40Cr|Φ270|GB/T 3077-1999|热轧|GB/T 702-2008</t>
        </is>
      </c>
      <c r="E497" t="inlineStr">
        <is>
          <t>物资名称 热轧合金结构圆钢;物资简称 圆钢;牌号 40Cr;直径 Φ270;技术标准号 GB/T 3077-1999;加工工艺 热轧;热处理工艺 ;特殊要求 ;规格标准号 GB/T 702-2008</t>
        </is>
      </c>
      <c r="F497" t="inlineStr">
        <is>
          <t>千克</t>
        </is>
      </c>
      <c r="G497">
        <f>LEFT(D497,FIND("|",D497,1)-1)</f>
        <v/>
      </c>
      <c r="H497">
        <f>MID(D497,FIND("|",D497,FIND("|",D497,1))+1,FIND("|",D497,FIND("|",D497,1)+1)-FIND("|",D497,FIND("|",D497,1))-1)</f>
        <v/>
      </c>
      <c r="J497">
        <f>MID(D497,FIND(";",SUBSTITUTE(D497,"|",REPT(";",LEN(D497)),2))+1,FIND(";",SUBSTITUTE(D497,"|",REPT(";",LEN(D497)),3))-FIND(";",SUBSTITUTE(D497,"|",REPT(";",LEN(D497)),2))-1)</f>
        <v/>
      </c>
      <c r="K497">
        <f>MID(D497,FIND(";",SUBSTITUTE(D497,"|",REPT(";",LEN(D497)),3))+1,FIND(";",SUBSTITUTE(D497,"|",REPT(";",LEN(D497)),4))-FIND(";",SUBSTITUTE(D497,"|",REPT(";",LEN(D497)),3))-1)</f>
        <v/>
      </c>
      <c r="M497">
        <f>MID(D497,FIND(";",SUBSTITUTE(D497,"|",REPT(";",LEN(D497)),4))+1,FIND(";",SUBSTITUTE(D497,"|",REPT(";",LEN(D497)),5))-FIND(";",SUBSTITUTE(D497,"|",REPT(";",LEN(D497)),4))-1)</f>
        <v/>
      </c>
      <c r="N497">
        <f>MID(D497,FIND(";",SUBSTITUTE(D497,"|",REPT(";",LEN(D497)),6))+1,LEN(D497))</f>
        <v/>
      </c>
      <c r="O497">
        <f>MID(D497,FIND(";",SUBSTITUTE(D497,"|",REPT(";",LEN(D497)),5))+1,FIND(";",SUBSTITUTE(D497,"|",REPT(";",LEN(D497)),6))-FIND(";",SUBSTITUTE(D497,"|",REPT(";",LEN(D497)),5))-1)</f>
        <v/>
      </c>
    </row>
    <row r="498">
      <c r="A498" t="inlineStr">
        <is>
          <t>100201</t>
        </is>
      </c>
      <c r="B498" t="inlineStr">
        <is>
          <t>圆钢</t>
        </is>
      </c>
      <c r="C498" t="inlineStr">
        <is>
          <t>600611400</t>
        </is>
      </c>
      <c r="D498" t="inlineStr">
        <is>
          <t>冷拉合金结构圆钢|圆钢|40Cr|GB/T 3078-2008|GB/T 905-1994</t>
        </is>
      </c>
      <c r="E498" t="inlineStr">
        <is>
          <t>物资名称 冷拉合金结构圆钢;物资简称 圆钢;牌号 40Cr;直径 Φ;技术标准号 GB/T 3078-2008;加工工艺 ;热处理工艺 ;特殊要求 ;规格标准号 GB/T 905-1994</t>
        </is>
      </c>
      <c r="F498" t="inlineStr">
        <is>
          <t>千克</t>
        </is>
      </c>
      <c r="G498">
        <f>LEFT(D498,FIND("|",D498,1)-1)</f>
        <v/>
      </c>
      <c r="H498">
        <f>MID(D498,FIND("|",D498,FIND("|",D498,1))+1,FIND("|",D498,FIND("|",D498,1)+1)-FIND("|",D498,FIND("|",D498,1))-1)</f>
        <v/>
      </c>
      <c r="J498">
        <f>MID(D498,FIND(";",SUBSTITUTE(D498,"|",REPT(";",LEN(D498)),2))+1,FIND(";",SUBSTITUTE(D498,"|",REPT(";",LEN(D498)),3))-FIND(";",SUBSTITUTE(D498,"|",REPT(";",LEN(D498)),2))-1)</f>
        <v/>
      </c>
      <c r="M498">
        <f>MID(D498,FIND(";",SUBSTITUTE(D498,"|",REPT(";",LEN(D498)),3))+1,FIND(";",SUBSTITUTE(D498,"|",REPT(";",LEN(D498)),4))-FIND(";",SUBSTITUTE(D498,"|",REPT(";",LEN(D498)),3))-1)</f>
        <v/>
      </c>
      <c r="N498">
        <f>MID(D498,FIND(";",SUBSTITUTE(D498,"|",REPT(";",LEN(D498)),4))+1,LEN(D498))</f>
        <v/>
      </c>
    </row>
    <row r="499">
      <c r="A499" t="inlineStr">
        <is>
          <t>100201</t>
        </is>
      </c>
      <c r="B499" t="inlineStr">
        <is>
          <t>圆钢</t>
        </is>
      </c>
      <c r="C499" t="inlineStr">
        <is>
          <t>600611300</t>
        </is>
      </c>
      <c r="D499" t="inlineStr">
        <is>
          <t>冷拉合金结构圆钢|圆钢|40Cr|Φ14|GB/T 3078-2008|冷拉|GB/T 905-1994</t>
        </is>
      </c>
      <c r="E499" t="inlineStr">
        <is>
          <t>物资名称 冷拉合金结构圆钢;物资简称 圆钢;牌号 40Cr;直径 Φ14;技术标准号 GB/T 3078-2008;加工工艺 冷拉;热处理工艺 ;特殊要求 ;规格标准号 GB/T 905-1994</t>
        </is>
      </c>
      <c r="F499" t="inlineStr">
        <is>
          <t>千克</t>
        </is>
      </c>
      <c r="G499">
        <f>LEFT(D499,FIND("|",D499,1)-1)</f>
        <v/>
      </c>
      <c r="H499">
        <f>MID(D499,FIND("|",D499,FIND("|",D499,1))+1,FIND("|",D499,FIND("|",D499,1)+1)-FIND("|",D499,FIND("|",D499,1))-1)</f>
        <v/>
      </c>
      <c r="J499">
        <f>MID(D499,FIND(";",SUBSTITUTE(D499,"|",REPT(";",LEN(D499)),2))+1,FIND(";",SUBSTITUTE(D499,"|",REPT(";",LEN(D499)),3))-FIND(";",SUBSTITUTE(D499,"|",REPT(";",LEN(D499)),2))-1)</f>
        <v/>
      </c>
      <c r="K499">
        <f>MID(D499,FIND(";",SUBSTITUTE(D499,"|",REPT(";",LEN(D499)),3))+1,FIND(";",SUBSTITUTE(D499,"|",REPT(";",LEN(D499)),4))-FIND(";",SUBSTITUTE(D499,"|",REPT(";",LEN(D499)),3))-1)</f>
        <v/>
      </c>
      <c r="M499">
        <f>MID(D499,FIND(";",SUBSTITUTE(D499,"|",REPT(";",LEN(D499)),4))+1,FIND(";",SUBSTITUTE(D499,"|",REPT(";",LEN(D499)),5))-FIND(";",SUBSTITUTE(D499,"|",REPT(";",LEN(D499)),4))-1)</f>
        <v/>
      </c>
      <c r="N499">
        <f>MID(D499,FIND(";",SUBSTITUTE(D499,"|",REPT(";",LEN(D499)),6))+1,LEN(D499))</f>
        <v/>
      </c>
      <c r="O499">
        <f>MID(D499,FIND(";",SUBSTITUTE(D499,"|",REPT(";",LEN(D499)),5))+1,FIND(";",SUBSTITUTE(D499,"|",REPT(";",LEN(D499)),6))-FIND(";",SUBSTITUTE(D499,"|",REPT(";",LEN(D499)),5))-1)</f>
        <v/>
      </c>
    </row>
    <row r="500">
      <c r="A500" t="inlineStr">
        <is>
          <t>100201</t>
        </is>
      </c>
      <c r="B500" t="inlineStr">
        <is>
          <t>圆钢</t>
        </is>
      </c>
      <c r="C500" t="inlineStr">
        <is>
          <t>600611200</t>
        </is>
      </c>
      <c r="D500" t="inlineStr">
        <is>
          <t>优质碳素结构钢棒|钢棒|10|GB/T 699-1999</t>
        </is>
      </c>
      <c r="E500" t="inlineStr">
        <is>
          <t xml:space="preserve">物资名称 优质碳素结构钢棒;物资简称 钢棒;牌号 10;直径 Φ;技术标准号 GB/T 699-1999;加工工艺 ;热处理工艺 ;特殊要求 ;规格标准号 </t>
        </is>
      </c>
      <c r="F500" t="inlineStr">
        <is>
          <t>千克</t>
        </is>
      </c>
      <c r="G500">
        <f>LEFT(D500,FIND("|",D500,1)-1)</f>
        <v/>
      </c>
      <c r="H500">
        <f>MID(D500,FIND("|",D500,FIND("|",D500,1))+1,FIND("|",D500,FIND("|",D500,1)+1)-FIND("|",D500,FIND("|",D500,1))-1)</f>
        <v/>
      </c>
      <c r="J500">
        <f>MID(D500,FIND(";",SUBSTITUTE(D500,"|",REPT(";",LEN(D500)),2))+1,FIND(";",SUBSTITUTE(D500,"|",REPT(";",LEN(D500)),3))-FIND(";",SUBSTITUTE(D500,"|",REPT(";",LEN(D500)),2))-1)</f>
        <v/>
      </c>
      <c r="M500">
        <f>MID(D500,FIND(";",SUBSTITUTE(D500,"|",REPT(";",LEN(D500)),3))+1,LEN(D500))</f>
        <v/>
      </c>
    </row>
    <row r="501">
      <c r="A501" t="inlineStr">
        <is>
          <t>100201</t>
        </is>
      </c>
      <c r="B501" t="inlineStr">
        <is>
          <t>圆钢</t>
        </is>
      </c>
      <c r="C501" t="inlineStr">
        <is>
          <t>600611100</t>
        </is>
      </c>
      <c r="D501" t="inlineStr">
        <is>
          <t>热轧优质碳素结构圆钢|圆钢|10|GB/T 699-1999|GB/T 702-2008</t>
        </is>
      </c>
      <c r="E501" t="inlineStr">
        <is>
          <t>物资名称 热轧优质碳素结构圆钢;物资简称 圆钢;牌号 10;直径 Φ;技术标准号 GB/T 699-1999;加工工艺 ;热处理工艺 ;特殊要求 ;规格标准号 GB/T 702-2008</t>
        </is>
      </c>
      <c r="F501" t="inlineStr">
        <is>
          <t>千克</t>
        </is>
      </c>
      <c r="G501">
        <f>LEFT(D501,FIND("|",D501,1)-1)</f>
        <v/>
      </c>
      <c r="H501">
        <f>MID(D501,FIND("|",D501,FIND("|",D501,1))+1,FIND("|",D501,FIND("|",D501,1)+1)-FIND("|",D501,FIND("|",D501,1))-1)</f>
        <v/>
      </c>
      <c r="J501">
        <f>MID(D501,FIND(";",SUBSTITUTE(D501,"|",REPT(";",LEN(D501)),2))+1,FIND(";",SUBSTITUTE(D501,"|",REPT(";",LEN(D501)),3))-FIND(";",SUBSTITUTE(D501,"|",REPT(";",LEN(D501)),2))-1)</f>
        <v/>
      </c>
      <c r="M501">
        <f>MID(D501,FIND(";",SUBSTITUTE(D501,"|",REPT(";",LEN(D501)),3))+1,FIND(";",SUBSTITUTE(D501,"|",REPT(";",LEN(D501)),4))-FIND(";",SUBSTITUTE(D501,"|",REPT(";",LEN(D501)),3))-1)</f>
        <v/>
      </c>
      <c r="N501">
        <f>MID(D501,FIND(";",SUBSTITUTE(D501,"|",REPT(";",LEN(D501)),4))+1,LEN(D501))</f>
        <v/>
      </c>
    </row>
    <row r="502">
      <c r="A502" t="inlineStr">
        <is>
          <t>100201</t>
        </is>
      </c>
      <c r="B502" t="inlineStr">
        <is>
          <t>圆钢</t>
        </is>
      </c>
      <c r="C502" t="inlineStr">
        <is>
          <t>600611000</t>
        </is>
      </c>
      <c r="D502" t="inlineStr">
        <is>
          <t>热轧优质碳素结构圆钢|圆钢|10|Φ20|GB/T 699-1999|热轧|GB/T 702-2008</t>
        </is>
      </c>
      <c r="E502" t="inlineStr">
        <is>
          <t>物资名称 热轧优质碳素结构圆钢;物资简称 圆钢;牌号 10;直径 Φ20;技术标准号 GB/T 699-1999;加工工艺 热轧;热处理工艺 ;特殊要求 ;规格标准号 GB/T 702-2008</t>
        </is>
      </c>
      <c r="F502" t="inlineStr">
        <is>
          <t>千克</t>
        </is>
      </c>
      <c r="G502">
        <f>LEFT(D502,FIND("|",D502,1)-1)</f>
        <v/>
      </c>
      <c r="H502">
        <f>MID(D502,FIND("|",D502,FIND("|",D502,1))+1,FIND("|",D502,FIND("|",D502,1)+1)-FIND("|",D502,FIND("|",D502,1))-1)</f>
        <v/>
      </c>
      <c r="J502">
        <f>MID(D502,FIND(";",SUBSTITUTE(D502,"|",REPT(";",LEN(D502)),2))+1,FIND(";",SUBSTITUTE(D502,"|",REPT(";",LEN(D502)),3))-FIND(";",SUBSTITUTE(D502,"|",REPT(";",LEN(D502)),2))-1)</f>
        <v/>
      </c>
      <c r="K502">
        <f>MID(D502,FIND(";",SUBSTITUTE(D502,"|",REPT(";",LEN(D502)),3))+1,FIND(";",SUBSTITUTE(D502,"|",REPT(";",LEN(D502)),4))-FIND(";",SUBSTITUTE(D502,"|",REPT(";",LEN(D502)),3))-1)</f>
        <v/>
      </c>
      <c r="M502">
        <f>MID(D502,FIND(";",SUBSTITUTE(D502,"|",REPT(";",LEN(D502)),4))+1,FIND(";",SUBSTITUTE(D502,"|",REPT(";",LEN(D502)),5))-FIND(";",SUBSTITUTE(D502,"|",REPT(";",LEN(D502)),4))-1)</f>
        <v/>
      </c>
      <c r="N502">
        <f>MID(D502,FIND(";",SUBSTITUTE(D502,"|",REPT(";",LEN(D502)),6))+1,LEN(D502))</f>
        <v/>
      </c>
      <c r="O502">
        <f>MID(D502,FIND(";",SUBSTITUTE(D502,"|",REPT(";",LEN(D502)),5))+1,FIND(";",SUBSTITUTE(D502,"|",REPT(";",LEN(D502)),6))-FIND(";",SUBSTITUTE(D502,"|",REPT(";",LEN(D502)),5))-1)</f>
        <v/>
      </c>
    </row>
    <row r="503">
      <c r="A503" t="inlineStr">
        <is>
          <t>100201</t>
        </is>
      </c>
      <c r="B503" t="inlineStr">
        <is>
          <t>圆钢</t>
        </is>
      </c>
      <c r="C503" t="inlineStr">
        <is>
          <t>600610900</t>
        </is>
      </c>
      <c r="D503" t="inlineStr">
        <is>
          <t>优质碳素结构钢棒|钢棒|20|GB/T 699-1999</t>
        </is>
      </c>
      <c r="E503" t="inlineStr">
        <is>
          <t xml:space="preserve">物资名称 优质碳素结构钢棒;物资简称 钢棒;牌号 20;直径 Φ;技术标准号 GB/T 699-1999;加工工艺 ;热处理工艺 ;特殊要求 ;规格标准号 </t>
        </is>
      </c>
      <c r="F503" t="inlineStr">
        <is>
          <t>千克</t>
        </is>
      </c>
      <c r="G503">
        <f>LEFT(D503,FIND("|",D503,1)-1)</f>
        <v/>
      </c>
      <c r="H503">
        <f>MID(D503,FIND("|",D503,FIND("|",D503,1))+1,FIND("|",D503,FIND("|",D503,1)+1)-FIND("|",D503,FIND("|",D503,1))-1)</f>
        <v/>
      </c>
      <c r="J503">
        <f>MID(D503,FIND(";",SUBSTITUTE(D503,"|",REPT(";",LEN(D503)),2))+1,FIND(";",SUBSTITUTE(D503,"|",REPT(";",LEN(D503)),3))-FIND(";",SUBSTITUTE(D503,"|",REPT(";",LEN(D503)),2))-1)</f>
        <v/>
      </c>
      <c r="M503">
        <f>MID(D503,FIND(";",SUBSTITUTE(D503,"|",REPT(";",LEN(D503)),3))+1,LEN(D503))</f>
        <v/>
      </c>
    </row>
    <row r="504">
      <c r="A504" t="inlineStr">
        <is>
          <t>100201</t>
        </is>
      </c>
      <c r="B504" t="inlineStr">
        <is>
          <t>圆钢</t>
        </is>
      </c>
      <c r="C504" t="inlineStr">
        <is>
          <t>600610800</t>
        </is>
      </c>
      <c r="D504" t="inlineStr">
        <is>
          <t>热轧优质碳素结构圆钢|圆钢|20|GB/T 699-1999|GB/T 702-2008</t>
        </is>
      </c>
      <c r="E504" t="inlineStr">
        <is>
          <t>物资名称 热轧优质碳素结构圆钢;物资简称 圆钢;牌号 20;直径 Φ;技术标准号 GB/T 699-1999;加工工艺 ;热处理工艺 ;特殊要求 ;规格标准号 GB/T 702-2008</t>
        </is>
      </c>
      <c r="F504" t="inlineStr">
        <is>
          <t>千克</t>
        </is>
      </c>
      <c r="G504">
        <f>LEFT(D504,FIND("|",D504,1)-1)</f>
        <v/>
      </c>
      <c r="H504">
        <f>MID(D504,FIND("|",D504,FIND("|",D504,1))+1,FIND("|",D504,FIND("|",D504,1)+1)-FIND("|",D504,FIND("|",D504,1))-1)</f>
        <v/>
      </c>
      <c r="J504">
        <f>MID(D504,FIND(";",SUBSTITUTE(D504,"|",REPT(";",LEN(D504)),2))+1,FIND(";",SUBSTITUTE(D504,"|",REPT(";",LEN(D504)),3))-FIND(";",SUBSTITUTE(D504,"|",REPT(";",LEN(D504)),2))-1)</f>
        <v/>
      </c>
      <c r="M504">
        <f>MID(D504,FIND(";",SUBSTITUTE(D504,"|",REPT(";",LEN(D504)),3))+1,FIND(";",SUBSTITUTE(D504,"|",REPT(";",LEN(D504)),4))-FIND(";",SUBSTITUTE(D504,"|",REPT(";",LEN(D504)),3))-1)</f>
        <v/>
      </c>
      <c r="N504">
        <f>MID(D504,FIND(";",SUBSTITUTE(D504,"|",REPT(";",LEN(D504)),4))+1,LEN(D504))</f>
        <v/>
      </c>
    </row>
    <row r="505">
      <c r="A505" t="inlineStr">
        <is>
          <t>100201</t>
        </is>
      </c>
      <c r="B505" t="inlineStr">
        <is>
          <t>圆钢</t>
        </is>
      </c>
      <c r="C505" t="inlineStr">
        <is>
          <t>600610700</t>
        </is>
      </c>
      <c r="D505" t="inlineStr">
        <is>
          <t>热轧优质碳素结构圆钢|圆钢|20|Φ6|GB/T 699-1999|热轧|GB/T 702-2008</t>
        </is>
      </c>
      <c r="E505" t="inlineStr">
        <is>
          <t>物资名称 热轧优质碳素结构圆钢;物资简称 圆钢;牌号 20;直径 Φ6;技术标准号 GB/T 699-1999;加工工艺 热轧;热处理工艺 ;特殊要求 ;规格标准号 GB/T 702-2008</t>
        </is>
      </c>
      <c r="F505" t="inlineStr">
        <is>
          <t>千克</t>
        </is>
      </c>
      <c r="G505">
        <f>LEFT(D505,FIND("|",D505,1)-1)</f>
        <v/>
      </c>
      <c r="H505">
        <f>MID(D505,FIND("|",D505,FIND("|",D505,1))+1,FIND("|",D505,FIND("|",D505,1)+1)-FIND("|",D505,FIND("|",D505,1))-1)</f>
        <v/>
      </c>
      <c r="J505">
        <f>MID(D505,FIND(";",SUBSTITUTE(D505,"|",REPT(";",LEN(D505)),2))+1,FIND(";",SUBSTITUTE(D505,"|",REPT(";",LEN(D505)),3))-FIND(";",SUBSTITUTE(D505,"|",REPT(";",LEN(D505)),2))-1)</f>
        <v/>
      </c>
      <c r="K505">
        <f>MID(D505,FIND(";",SUBSTITUTE(D505,"|",REPT(";",LEN(D505)),3))+1,FIND(";",SUBSTITUTE(D505,"|",REPT(";",LEN(D505)),4))-FIND(";",SUBSTITUTE(D505,"|",REPT(";",LEN(D505)),3))-1)</f>
        <v/>
      </c>
      <c r="M505">
        <f>MID(D505,FIND(";",SUBSTITUTE(D505,"|",REPT(";",LEN(D505)),4))+1,FIND(";",SUBSTITUTE(D505,"|",REPT(";",LEN(D505)),5))-FIND(";",SUBSTITUTE(D505,"|",REPT(";",LEN(D505)),4))-1)</f>
        <v/>
      </c>
      <c r="N505">
        <f>MID(D505,FIND(";",SUBSTITUTE(D505,"|",REPT(";",LEN(D505)),6))+1,LEN(D505))</f>
        <v/>
      </c>
      <c r="O505">
        <f>MID(D505,FIND(";",SUBSTITUTE(D505,"|",REPT(";",LEN(D505)),5))+1,FIND(";",SUBSTITUTE(D505,"|",REPT(";",LEN(D505)),6))-FIND(";",SUBSTITUTE(D505,"|",REPT(";",LEN(D505)),5))-1)</f>
        <v/>
      </c>
    </row>
    <row r="506">
      <c r="A506" t="inlineStr">
        <is>
          <t>100201</t>
        </is>
      </c>
      <c r="B506" t="inlineStr">
        <is>
          <t>圆钢</t>
        </is>
      </c>
      <c r="C506" t="inlineStr">
        <is>
          <t>600610600</t>
        </is>
      </c>
      <c r="D506" t="inlineStr">
        <is>
          <t>热轧优质碳素结构圆钢|圆钢|20|Φ18|GB/T 699-1999|热轧|GB/T 702-2008</t>
        </is>
      </c>
      <c r="E506" t="inlineStr">
        <is>
          <t>物资名称 热轧优质碳素结构圆钢;物资简称 圆钢;牌号 20;直径 Φ18;技术标准号 GB/T 699-1999;加工工艺 热轧;热处理工艺 ;特殊要求 ;规格标准号 GB/T 702-2008</t>
        </is>
      </c>
      <c r="F506" t="inlineStr">
        <is>
          <t>千克</t>
        </is>
      </c>
      <c r="G506">
        <f>LEFT(D506,FIND("|",D506,1)-1)</f>
        <v/>
      </c>
      <c r="H506">
        <f>MID(D506,FIND("|",D506,FIND("|",D506,1))+1,FIND("|",D506,FIND("|",D506,1)+1)-FIND("|",D506,FIND("|",D506,1))-1)</f>
        <v/>
      </c>
      <c r="J506">
        <f>MID(D506,FIND(";",SUBSTITUTE(D506,"|",REPT(";",LEN(D506)),2))+1,FIND(";",SUBSTITUTE(D506,"|",REPT(";",LEN(D506)),3))-FIND(";",SUBSTITUTE(D506,"|",REPT(";",LEN(D506)),2))-1)</f>
        <v/>
      </c>
      <c r="K506">
        <f>MID(D506,FIND(";",SUBSTITUTE(D506,"|",REPT(";",LEN(D506)),3))+1,FIND(";",SUBSTITUTE(D506,"|",REPT(";",LEN(D506)),4))-FIND(";",SUBSTITUTE(D506,"|",REPT(";",LEN(D506)),3))-1)</f>
        <v/>
      </c>
      <c r="M506">
        <f>MID(D506,FIND(";",SUBSTITUTE(D506,"|",REPT(";",LEN(D506)),4))+1,FIND(";",SUBSTITUTE(D506,"|",REPT(";",LEN(D506)),5))-FIND(";",SUBSTITUTE(D506,"|",REPT(";",LEN(D506)),4))-1)</f>
        <v/>
      </c>
      <c r="N506">
        <f>MID(D506,FIND(";",SUBSTITUTE(D506,"|",REPT(";",LEN(D506)),6))+1,LEN(D506))</f>
        <v/>
      </c>
      <c r="O506">
        <f>MID(D506,FIND(";",SUBSTITUTE(D506,"|",REPT(";",LEN(D506)),5))+1,FIND(";",SUBSTITUTE(D506,"|",REPT(";",LEN(D506)),6))-FIND(";",SUBSTITUTE(D506,"|",REPT(";",LEN(D506)),5))-1)</f>
        <v/>
      </c>
    </row>
    <row r="507">
      <c r="A507" t="inlineStr">
        <is>
          <t>100201</t>
        </is>
      </c>
      <c r="B507" t="inlineStr">
        <is>
          <t>圆钢</t>
        </is>
      </c>
      <c r="C507" t="inlineStr">
        <is>
          <t>600610500</t>
        </is>
      </c>
      <c r="D507" t="inlineStr">
        <is>
          <t>热轧优质碳素结构圆钢|圆钢|20|Φ20|GB/T 699-1999|热轧|GB/T 702-2008</t>
        </is>
      </c>
      <c r="E507" t="inlineStr">
        <is>
          <t>物资名称 热轧优质碳素结构圆钢;物资简称 圆钢;牌号 20;直径 Φ20;技术标准号 GB/T 699-1999;加工工艺 热轧;热处理工艺 ;特殊要求 ;规格标准号 GB/T 702-2008</t>
        </is>
      </c>
      <c r="F507" t="inlineStr">
        <is>
          <t>千克</t>
        </is>
      </c>
      <c r="G507">
        <f>LEFT(D507,FIND("|",D507,1)-1)</f>
        <v/>
      </c>
      <c r="H507">
        <f>MID(D507,FIND("|",D507,FIND("|",D507,1))+1,FIND("|",D507,FIND("|",D507,1)+1)-FIND("|",D507,FIND("|",D507,1))-1)</f>
        <v/>
      </c>
      <c r="J507">
        <f>MID(D507,FIND(";",SUBSTITUTE(D507,"|",REPT(";",LEN(D507)),2))+1,FIND(";",SUBSTITUTE(D507,"|",REPT(";",LEN(D507)),3))-FIND(";",SUBSTITUTE(D507,"|",REPT(";",LEN(D507)),2))-1)</f>
        <v/>
      </c>
      <c r="K507">
        <f>MID(D507,FIND(";",SUBSTITUTE(D507,"|",REPT(";",LEN(D507)),3))+1,FIND(";",SUBSTITUTE(D507,"|",REPT(";",LEN(D507)),4))-FIND(";",SUBSTITUTE(D507,"|",REPT(";",LEN(D507)),3))-1)</f>
        <v/>
      </c>
      <c r="M507">
        <f>MID(D507,FIND(";",SUBSTITUTE(D507,"|",REPT(";",LEN(D507)),4))+1,FIND(";",SUBSTITUTE(D507,"|",REPT(";",LEN(D507)),5))-FIND(";",SUBSTITUTE(D507,"|",REPT(";",LEN(D507)),4))-1)</f>
        <v/>
      </c>
      <c r="N507">
        <f>MID(D507,FIND(";",SUBSTITUTE(D507,"|",REPT(";",LEN(D507)),6))+1,LEN(D507))</f>
        <v/>
      </c>
      <c r="O507">
        <f>MID(D507,FIND(";",SUBSTITUTE(D507,"|",REPT(";",LEN(D507)),5))+1,FIND(";",SUBSTITUTE(D507,"|",REPT(";",LEN(D507)),6))-FIND(";",SUBSTITUTE(D507,"|",REPT(";",LEN(D507)),5))-1)</f>
        <v/>
      </c>
    </row>
    <row r="508">
      <c r="A508" t="inlineStr">
        <is>
          <t>100201</t>
        </is>
      </c>
      <c r="B508" t="inlineStr">
        <is>
          <t>圆钢</t>
        </is>
      </c>
      <c r="C508" t="inlineStr">
        <is>
          <t>600610400</t>
        </is>
      </c>
      <c r="D508" t="inlineStr">
        <is>
          <t>热轧优质碳素结构圆钢|圆钢|20|Φ26|GB/T 699-1999|热轧|GB/T 702-2008</t>
        </is>
      </c>
      <c r="E508" t="inlineStr">
        <is>
          <t>物资名称 热轧优质碳素结构圆钢;物资简称 圆钢;牌号 20;直径 Φ26;技术标准号 GB/T 699-1999;加工工艺 热轧;热处理工艺 ;特殊要求 ;规格标准号 GB/T 702-2008</t>
        </is>
      </c>
      <c r="F508" t="inlineStr">
        <is>
          <t>千克</t>
        </is>
      </c>
      <c r="G508">
        <f>LEFT(D508,FIND("|",D508,1)-1)</f>
        <v/>
      </c>
      <c r="H508">
        <f>MID(D508,FIND("|",D508,FIND("|",D508,1))+1,FIND("|",D508,FIND("|",D508,1)+1)-FIND("|",D508,FIND("|",D508,1))-1)</f>
        <v/>
      </c>
      <c r="J508">
        <f>MID(D508,FIND(";",SUBSTITUTE(D508,"|",REPT(";",LEN(D508)),2))+1,FIND(";",SUBSTITUTE(D508,"|",REPT(";",LEN(D508)),3))-FIND(";",SUBSTITUTE(D508,"|",REPT(";",LEN(D508)),2))-1)</f>
        <v/>
      </c>
      <c r="K508">
        <f>MID(D508,FIND(";",SUBSTITUTE(D508,"|",REPT(";",LEN(D508)),3))+1,FIND(";",SUBSTITUTE(D508,"|",REPT(";",LEN(D508)),4))-FIND(";",SUBSTITUTE(D508,"|",REPT(";",LEN(D508)),3))-1)</f>
        <v/>
      </c>
      <c r="M508">
        <f>MID(D508,FIND(";",SUBSTITUTE(D508,"|",REPT(";",LEN(D508)),4))+1,FIND(";",SUBSTITUTE(D508,"|",REPT(";",LEN(D508)),5))-FIND(";",SUBSTITUTE(D508,"|",REPT(";",LEN(D508)),4))-1)</f>
        <v/>
      </c>
      <c r="N508">
        <f>MID(D508,FIND(";",SUBSTITUTE(D508,"|",REPT(";",LEN(D508)),6))+1,LEN(D508))</f>
        <v/>
      </c>
      <c r="O508">
        <f>MID(D508,FIND(";",SUBSTITUTE(D508,"|",REPT(";",LEN(D508)),5))+1,FIND(";",SUBSTITUTE(D508,"|",REPT(";",LEN(D508)),6))-FIND(";",SUBSTITUTE(D508,"|",REPT(";",LEN(D508)),5))-1)</f>
        <v/>
      </c>
    </row>
    <row r="509">
      <c r="A509" t="inlineStr">
        <is>
          <t>100201</t>
        </is>
      </c>
      <c r="B509" t="inlineStr">
        <is>
          <t>圆钢</t>
        </is>
      </c>
      <c r="C509" t="inlineStr">
        <is>
          <t>600610300</t>
        </is>
      </c>
      <c r="D509" t="inlineStr">
        <is>
          <t>热轧优质碳素结构圆钢|圆钢|20|Φ35|GB/T 699-1999|热轧|GB/T 702-2008</t>
        </is>
      </c>
      <c r="E509" t="inlineStr">
        <is>
          <t>物资名称 热轧优质碳素结构圆钢;物资简称 圆钢;牌号 20;直径 Φ35;技术标准号 GB/T 699-1999;加工工艺 热轧;热处理工艺 ;特殊要求 ;规格标准号 GB/T 702-2008</t>
        </is>
      </c>
      <c r="F509" t="inlineStr">
        <is>
          <t>千克</t>
        </is>
      </c>
      <c r="G509">
        <f>LEFT(D509,FIND("|",D509,1)-1)</f>
        <v/>
      </c>
      <c r="H509">
        <f>MID(D509,FIND("|",D509,FIND("|",D509,1))+1,FIND("|",D509,FIND("|",D509,1)+1)-FIND("|",D509,FIND("|",D509,1))-1)</f>
        <v/>
      </c>
      <c r="J509">
        <f>MID(D509,FIND(";",SUBSTITUTE(D509,"|",REPT(";",LEN(D509)),2))+1,FIND(";",SUBSTITUTE(D509,"|",REPT(";",LEN(D509)),3))-FIND(";",SUBSTITUTE(D509,"|",REPT(";",LEN(D509)),2))-1)</f>
        <v/>
      </c>
      <c r="K509">
        <f>MID(D509,FIND(";",SUBSTITUTE(D509,"|",REPT(";",LEN(D509)),3))+1,FIND(";",SUBSTITUTE(D509,"|",REPT(";",LEN(D509)),4))-FIND(";",SUBSTITUTE(D509,"|",REPT(";",LEN(D509)),3))-1)</f>
        <v/>
      </c>
      <c r="M509">
        <f>MID(D509,FIND(";",SUBSTITUTE(D509,"|",REPT(";",LEN(D509)),4))+1,FIND(";",SUBSTITUTE(D509,"|",REPT(";",LEN(D509)),5))-FIND(";",SUBSTITUTE(D509,"|",REPT(";",LEN(D509)),4))-1)</f>
        <v/>
      </c>
      <c r="N509">
        <f>MID(D509,FIND(";",SUBSTITUTE(D509,"|",REPT(";",LEN(D509)),6))+1,LEN(D509))</f>
        <v/>
      </c>
      <c r="O509">
        <f>MID(D509,FIND(";",SUBSTITUTE(D509,"|",REPT(";",LEN(D509)),5))+1,FIND(";",SUBSTITUTE(D509,"|",REPT(";",LEN(D509)),6))-FIND(";",SUBSTITUTE(D509,"|",REPT(";",LEN(D509)),5))-1)</f>
        <v/>
      </c>
    </row>
    <row r="510">
      <c r="A510" t="inlineStr">
        <is>
          <t>100201</t>
        </is>
      </c>
      <c r="B510" t="inlineStr">
        <is>
          <t>圆钢</t>
        </is>
      </c>
      <c r="C510" t="inlineStr">
        <is>
          <t>600610200</t>
        </is>
      </c>
      <c r="D510" t="inlineStr">
        <is>
          <t>热轧优质碳素结构圆钢|圆钢|20|Φ65|GB/T 699-1999|热轧|GB/T 702-2008</t>
        </is>
      </c>
      <c r="E510" t="inlineStr">
        <is>
          <t>物资名称 热轧优质碳素结构圆钢;物资简称 圆钢;牌号 20;直径 Φ65;技术标准号 GB/T 699-1999;加工工艺 热轧;热处理工艺 ;特殊要求 ;规格标准号 GB/T 702-2008</t>
        </is>
      </c>
      <c r="F510" t="inlineStr">
        <is>
          <t>千克</t>
        </is>
      </c>
      <c r="G510">
        <f>LEFT(D510,FIND("|",D510,1)-1)</f>
        <v/>
      </c>
      <c r="H510">
        <f>MID(D510,FIND("|",D510,FIND("|",D510,1))+1,FIND("|",D510,FIND("|",D510,1)+1)-FIND("|",D510,FIND("|",D510,1))-1)</f>
        <v/>
      </c>
      <c r="J510">
        <f>MID(D510,FIND(";",SUBSTITUTE(D510,"|",REPT(";",LEN(D510)),2))+1,FIND(";",SUBSTITUTE(D510,"|",REPT(";",LEN(D510)),3))-FIND(";",SUBSTITUTE(D510,"|",REPT(";",LEN(D510)),2))-1)</f>
        <v/>
      </c>
      <c r="K510">
        <f>MID(D510,FIND(";",SUBSTITUTE(D510,"|",REPT(";",LEN(D510)),3))+1,FIND(";",SUBSTITUTE(D510,"|",REPT(";",LEN(D510)),4))-FIND(";",SUBSTITUTE(D510,"|",REPT(";",LEN(D510)),3))-1)</f>
        <v/>
      </c>
      <c r="M510">
        <f>MID(D510,FIND(";",SUBSTITUTE(D510,"|",REPT(";",LEN(D510)),4))+1,FIND(";",SUBSTITUTE(D510,"|",REPT(";",LEN(D510)),5))-FIND(";",SUBSTITUTE(D510,"|",REPT(";",LEN(D510)),4))-1)</f>
        <v/>
      </c>
      <c r="N510">
        <f>MID(D510,FIND(";",SUBSTITUTE(D510,"|",REPT(";",LEN(D510)),6))+1,LEN(D510))</f>
        <v/>
      </c>
      <c r="O510">
        <f>MID(D510,FIND(";",SUBSTITUTE(D510,"|",REPT(";",LEN(D510)),5))+1,FIND(";",SUBSTITUTE(D510,"|",REPT(";",LEN(D510)),6))-FIND(";",SUBSTITUTE(D510,"|",REPT(";",LEN(D510)),5))-1)</f>
        <v/>
      </c>
    </row>
    <row r="511">
      <c r="A511" t="inlineStr">
        <is>
          <t>100201</t>
        </is>
      </c>
      <c r="B511" t="inlineStr">
        <is>
          <t>圆钢</t>
        </is>
      </c>
      <c r="C511" t="inlineStr">
        <is>
          <t>600610100</t>
        </is>
      </c>
      <c r="D511" t="inlineStr">
        <is>
          <t>热轧优质碳素结构圆钢|圆钢|20|Φ80|GB/T 699-1999|热轧|GB/T 702-2008</t>
        </is>
      </c>
      <c r="E511" t="inlineStr">
        <is>
          <t>物资名称 热轧优质碳素结构圆钢;物资简称 圆钢;牌号 20;直径 Φ80;技术标准号 GB/T 699-1999;加工工艺 热轧;热处理工艺 ;特殊要求 ;规格标准号 GB/T 702-2008</t>
        </is>
      </c>
      <c r="F511" t="inlineStr">
        <is>
          <t>千克</t>
        </is>
      </c>
      <c r="G511">
        <f>LEFT(D511,FIND("|",D511,1)-1)</f>
        <v/>
      </c>
      <c r="H511">
        <f>MID(D511,FIND("|",D511,FIND("|",D511,1))+1,FIND("|",D511,FIND("|",D511,1)+1)-FIND("|",D511,FIND("|",D511,1))-1)</f>
        <v/>
      </c>
      <c r="J511">
        <f>MID(D511,FIND(";",SUBSTITUTE(D511,"|",REPT(";",LEN(D511)),2))+1,FIND(";",SUBSTITUTE(D511,"|",REPT(";",LEN(D511)),3))-FIND(";",SUBSTITUTE(D511,"|",REPT(";",LEN(D511)),2))-1)</f>
        <v/>
      </c>
      <c r="K511">
        <f>MID(D511,FIND(";",SUBSTITUTE(D511,"|",REPT(";",LEN(D511)),3))+1,FIND(";",SUBSTITUTE(D511,"|",REPT(";",LEN(D511)),4))-FIND(";",SUBSTITUTE(D511,"|",REPT(";",LEN(D511)),3))-1)</f>
        <v/>
      </c>
      <c r="M511">
        <f>MID(D511,FIND(";",SUBSTITUTE(D511,"|",REPT(";",LEN(D511)),4))+1,FIND(";",SUBSTITUTE(D511,"|",REPT(";",LEN(D511)),5))-FIND(";",SUBSTITUTE(D511,"|",REPT(";",LEN(D511)),4))-1)</f>
        <v/>
      </c>
      <c r="N511">
        <f>MID(D511,FIND(";",SUBSTITUTE(D511,"|",REPT(";",LEN(D511)),6))+1,LEN(D511))</f>
        <v/>
      </c>
      <c r="O511">
        <f>MID(D511,FIND(";",SUBSTITUTE(D511,"|",REPT(";",LEN(D511)),5))+1,FIND(";",SUBSTITUTE(D511,"|",REPT(";",LEN(D511)),6))-FIND(";",SUBSTITUTE(D511,"|",REPT(";",LEN(D511)),5))-1)</f>
        <v/>
      </c>
    </row>
    <row r="512">
      <c r="A512" t="inlineStr">
        <is>
          <t>100201</t>
        </is>
      </c>
      <c r="B512" t="inlineStr">
        <is>
          <t>圆钢</t>
        </is>
      </c>
      <c r="C512" t="inlineStr">
        <is>
          <t>600610000</t>
        </is>
      </c>
      <c r="D512" t="inlineStr">
        <is>
          <t>热轧优质碳素结构圆钢|圆钢|20|Φ85|GB/T 699-1999|热轧|GB/T 702-2008</t>
        </is>
      </c>
      <c r="E512" t="inlineStr">
        <is>
          <t>物资名称 热轧优质碳素结构圆钢;物资简称 圆钢;牌号 20;直径 Φ85;技术标准号 GB/T 699-1999;加工工艺 热轧;热处理工艺 ;特殊要求 ;规格标准号 GB/T 702-2008</t>
        </is>
      </c>
      <c r="F512" t="inlineStr">
        <is>
          <t>千克</t>
        </is>
      </c>
      <c r="G512">
        <f>LEFT(D512,FIND("|",D512,1)-1)</f>
        <v/>
      </c>
      <c r="H512">
        <f>MID(D512,FIND("|",D512,FIND("|",D512,1))+1,FIND("|",D512,FIND("|",D512,1)+1)-FIND("|",D512,FIND("|",D512,1))-1)</f>
        <v/>
      </c>
      <c r="J512">
        <f>MID(D512,FIND(";",SUBSTITUTE(D512,"|",REPT(";",LEN(D512)),2))+1,FIND(";",SUBSTITUTE(D512,"|",REPT(";",LEN(D512)),3))-FIND(";",SUBSTITUTE(D512,"|",REPT(";",LEN(D512)),2))-1)</f>
        <v/>
      </c>
      <c r="K512">
        <f>MID(D512,FIND(";",SUBSTITUTE(D512,"|",REPT(";",LEN(D512)),3))+1,FIND(";",SUBSTITUTE(D512,"|",REPT(";",LEN(D512)),4))-FIND(";",SUBSTITUTE(D512,"|",REPT(";",LEN(D512)),3))-1)</f>
        <v/>
      </c>
      <c r="M512">
        <f>MID(D512,FIND(";",SUBSTITUTE(D512,"|",REPT(";",LEN(D512)),4))+1,FIND(";",SUBSTITUTE(D512,"|",REPT(";",LEN(D512)),5))-FIND(";",SUBSTITUTE(D512,"|",REPT(";",LEN(D512)),4))-1)</f>
        <v/>
      </c>
      <c r="N512">
        <f>MID(D512,FIND(";",SUBSTITUTE(D512,"|",REPT(";",LEN(D512)),6))+1,LEN(D512))</f>
        <v/>
      </c>
      <c r="O512">
        <f>MID(D512,FIND(";",SUBSTITUTE(D512,"|",REPT(";",LEN(D512)),5))+1,FIND(";",SUBSTITUTE(D512,"|",REPT(";",LEN(D512)),6))-FIND(";",SUBSTITUTE(D512,"|",REPT(";",LEN(D512)),5))-1)</f>
        <v/>
      </c>
    </row>
    <row r="513">
      <c r="A513" t="inlineStr">
        <is>
          <t>100201</t>
        </is>
      </c>
      <c r="B513" t="inlineStr">
        <is>
          <t>圆钢</t>
        </is>
      </c>
      <c r="C513" t="inlineStr">
        <is>
          <t>600609900</t>
        </is>
      </c>
      <c r="D513" t="inlineStr">
        <is>
          <t>冷拉优质碳素结构圆钢|圆钢|45|GB/T 3078-2008|GB/T 905-1994</t>
        </is>
      </c>
      <c r="E513" t="inlineStr">
        <is>
          <t>物资名称 冷拉优质碳素结构圆钢;物资简称 圆钢;牌号 45;直径 Φ;技术标准号 GB/T 3078-2008;加工工艺 ;热处理工艺 ;特殊要求 ;规格标准号 GB/T 905-1994</t>
        </is>
      </c>
      <c r="F513" t="inlineStr">
        <is>
          <t>千克</t>
        </is>
      </c>
      <c r="G513">
        <f>LEFT(D513,FIND("|",D513,1)-1)</f>
        <v/>
      </c>
      <c r="H513">
        <f>MID(D513,FIND("|",D513,FIND("|",D513,1))+1,FIND("|",D513,FIND("|",D513,1)+1)-FIND("|",D513,FIND("|",D513,1))-1)</f>
        <v/>
      </c>
      <c r="J513">
        <f>MID(D513,FIND(";",SUBSTITUTE(D513,"|",REPT(";",LEN(D513)),2))+1,FIND(";",SUBSTITUTE(D513,"|",REPT(";",LEN(D513)),3))-FIND(";",SUBSTITUTE(D513,"|",REPT(";",LEN(D513)),2))-1)</f>
        <v/>
      </c>
      <c r="M513">
        <f>MID(D513,FIND(";",SUBSTITUTE(D513,"|",REPT(";",LEN(D513)),3))+1,FIND(";",SUBSTITUTE(D513,"|",REPT(";",LEN(D513)),4))-FIND(";",SUBSTITUTE(D513,"|",REPT(";",LEN(D513)),3))-1)</f>
        <v/>
      </c>
      <c r="N513">
        <f>MID(D513,FIND(";",SUBSTITUTE(D513,"|",REPT(";",LEN(D513)),4))+1,LEN(D513))</f>
        <v/>
      </c>
    </row>
    <row r="514">
      <c r="A514" t="inlineStr">
        <is>
          <t>100201</t>
        </is>
      </c>
      <c r="B514" t="inlineStr">
        <is>
          <t>圆钢</t>
        </is>
      </c>
      <c r="C514" t="inlineStr">
        <is>
          <t>600609800</t>
        </is>
      </c>
      <c r="D514" t="inlineStr">
        <is>
          <t>冷拉优质碳素结构圆钢|圆钢|45|Φ12|GB/T 3078-2008|冷拉|GB/T 905-1994</t>
        </is>
      </c>
      <c r="E514" t="inlineStr">
        <is>
          <t>物资名称 冷拉优质碳素结构圆钢;物资简称 圆钢;牌号 45;直径 Φ12;技术标准号 GB/T 3078-2008;加工工艺 冷拉;热处理工艺 ;特殊要求 ;规格标准号 GB/T 905-1994</t>
        </is>
      </c>
      <c r="F514" t="inlineStr">
        <is>
          <t>千克</t>
        </is>
      </c>
      <c r="G514">
        <f>LEFT(D514,FIND("|",D514,1)-1)</f>
        <v/>
      </c>
      <c r="H514">
        <f>MID(D514,FIND("|",D514,FIND("|",D514,1))+1,FIND("|",D514,FIND("|",D514,1)+1)-FIND("|",D514,FIND("|",D514,1))-1)</f>
        <v/>
      </c>
      <c r="J514">
        <f>MID(D514,FIND(";",SUBSTITUTE(D514,"|",REPT(";",LEN(D514)),2))+1,FIND(";",SUBSTITUTE(D514,"|",REPT(";",LEN(D514)),3))-FIND(";",SUBSTITUTE(D514,"|",REPT(";",LEN(D514)),2))-1)</f>
        <v/>
      </c>
      <c r="K514">
        <f>MID(D514,FIND(";",SUBSTITUTE(D514,"|",REPT(";",LEN(D514)),3))+1,FIND(";",SUBSTITUTE(D514,"|",REPT(";",LEN(D514)),4))-FIND(";",SUBSTITUTE(D514,"|",REPT(";",LEN(D514)),3))-1)</f>
        <v/>
      </c>
      <c r="M514">
        <f>MID(D514,FIND(";",SUBSTITUTE(D514,"|",REPT(";",LEN(D514)),4))+1,FIND(";",SUBSTITUTE(D514,"|",REPT(";",LEN(D514)),5))-FIND(";",SUBSTITUTE(D514,"|",REPT(";",LEN(D514)),4))-1)</f>
        <v/>
      </c>
      <c r="N514">
        <f>MID(D514,FIND(";",SUBSTITUTE(D514,"|",REPT(";",LEN(D514)),6))+1,LEN(D514))</f>
        <v/>
      </c>
      <c r="O514">
        <f>MID(D514,FIND(";",SUBSTITUTE(D514,"|",REPT(";",LEN(D514)),5))+1,FIND(";",SUBSTITUTE(D514,"|",REPT(";",LEN(D514)),6))-FIND(";",SUBSTITUTE(D514,"|",REPT(";",LEN(D514)),5))-1)</f>
        <v/>
      </c>
    </row>
    <row r="515">
      <c r="A515" t="inlineStr">
        <is>
          <t>100201</t>
        </is>
      </c>
      <c r="B515" t="inlineStr">
        <is>
          <t>圆钢</t>
        </is>
      </c>
      <c r="C515" t="inlineStr">
        <is>
          <t>600609700</t>
        </is>
      </c>
      <c r="D515" t="inlineStr">
        <is>
          <t>冷拉优质碳素结构圆钢|圆钢|45|Φ13|GB/T 3078-2008|冷拉|GB/T 905-1994</t>
        </is>
      </c>
      <c r="E515" t="inlineStr">
        <is>
          <t>物资名称 冷拉优质碳素结构圆钢;物资简称 圆钢;牌号 45;直径 Φ13;技术标准号 GB/T 3078-2008;加工工艺 冷拉;热处理工艺 ;特殊要求 ;规格标准号 GB/T 905-1994</t>
        </is>
      </c>
      <c r="F515" t="inlineStr">
        <is>
          <t>千克</t>
        </is>
      </c>
      <c r="G515">
        <f>LEFT(D515,FIND("|",D515,1)-1)</f>
        <v/>
      </c>
      <c r="H515">
        <f>MID(D515,FIND("|",D515,FIND("|",D515,1))+1,FIND("|",D515,FIND("|",D515,1)+1)-FIND("|",D515,FIND("|",D515,1))-1)</f>
        <v/>
      </c>
      <c r="J515">
        <f>MID(D515,FIND(";",SUBSTITUTE(D515,"|",REPT(";",LEN(D515)),2))+1,FIND(";",SUBSTITUTE(D515,"|",REPT(";",LEN(D515)),3))-FIND(";",SUBSTITUTE(D515,"|",REPT(";",LEN(D515)),2))-1)</f>
        <v/>
      </c>
      <c r="K515">
        <f>MID(D515,FIND(";",SUBSTITUTE(D515,"|",REPT(";",LEN(D515)),3))+1,FIND(";",SUBSTITUTE(D515,"|",REPT(";",LEN(D515)),4))-FIND(";",SUBSTITUTE(D515,"|",REPT(";",LEN(D515)),3))-1)</f>
        <v/>
      </c>
      <c r="M515">
        <f>MID(D515,FIND(";",SUBSTITUTE(D515,"|",REPT(";",LEN(D515)),4))+1,FIND(";",SUBSTITUTE(D515,"|",REPT(";",LEN(D515)),5))-FIND(";",SUBSTITUTE(D515,"|",REPT(";",LEN(D515)),4))-1)</f>
        <v/>
      </c>
      <c r="N515">
        <f>MID(D515,FIND(";",SUBSTITUTE(D515,"|",REPT(";",LEN(D515)),6))+1,LEN(D515))</f>
        <v/>
      </c>
      <c r="O515">
        <f>MID(D515,FIND(";",SUBSTITUTE(D515,"|",REPT(";",LEN(D515)),5))+1,FIND(";",SUBSTITUTE(D515,"|",REPT(";",LEN(D515)),6))-FIND(";",SUBSTITUTE(D515,"|",REPT(";",LEN(D515)),5))-1)</f>
        <v/>
      </c>
    </row>
    <row r="516">
      <c r="A516" t="inlineStr">
        <is>
          <t>100201</t>
        </is>
      </c>
      <c r="B516" t="inlineStr">
        <is>
          <t>圆钢</t>
        </is>
      </c>
      <c r="C516" t="inlineStr">
        <is>
          <t>600609600</t>
        </is>
      </c>
      <c r="D516" t="inlineStr">
        <is>
          <t>冷拉优质碳素结构圆钢|圆钢|45|Φ16|GB/T 3078-2008|冷拉|GB/T 905-1994</t>
        </is>
      </c>
      <c r="E516" t="inlineStr">
        <is>
          <t>物资名称 冷拉优质碳素结构圆钢;物资简称 圆钢;牌号 45;直径 Φ16;技术标准号 GB/T 3078-2008;加工工艺 冷拉;热处理工艺 ;特殊要求 ;规格标准号 GB/T 905-1994</t>
        </is>
      </c>
      <c r="F516" t="inlineStr">
        <is>
          <t>千克</t>
        </is>
      </c>
      <c r="G516">
        <f>LEFT(D516,FIND("|",D516,1)-1)</f>
        <v/>
      </c>
      <c r="H516">
        <f>MID(D516,FIND("|",D516,FIND("|",D516,1))+1,FIND("|",D516,FIND("|",D516,1)+1)-FIND("|",D516,FIND("|",D516,1))-1)</f>
        <v/>
      </c>
      <c r="J516">
        <f>MID(D516,FIND(";",SUBSTITUTE(D516,"|",REPT(";",LEN(D516)),2))+1,FIND(";",SUBSTITUTE(D516,"|",REPT(";",LEN(D516)),3))-FIND(";",SUBSTITUTE(D516,"|",REPT(";",LEN(D516)),2))-1)</f>
        <v/>
      </c>
      <c r="K516">
        <f>MID(D516,FIND(";",SUBSTITUTE(D516,"|",REPT(";",LEN(D516)),3))+1,FIND(";",SUBSTITUTE(D516,"|",REPT(";",LEN(D516)),4))-FIND(";",SUBSTITUTE(D516,"|",REPT(";",LEN(D516)),3))-1)</f>
        <v/>
      </c>
      <c r="M516">
        <f>MID(D516,FIND(";",SUBSTITUTE(D516,"|",REPT(";",LEN(D516)),4))+1,FIND(";",SUBSTITUTE(D516,"|",REPT(";",LEN(D516)),5))-FIND(";",SUBSTITUTE(D516,"|",REPT(";",LEN(D516)),4))-1)</f>
        <v/>
      </c>
      <c r="N516">
        <f>MID(D516,FIND(";",SUBSTITUTE(D516,"|",REPT(";",LEN(D516)),6))+1,LEN(D516))</f>
        <v/>
      </c>
      <c r="O516">
        <f>MID(D516,FIND(";",SUBSTITUTE(D516,"|",REPT(";",LEN(D516)),5))+1,FIND(";",SUBSTITUTE(D516,"|",REPT(";",LEN(D516)),6))-FIND(";",SUBSTITUTE(D516,"|",REPT(";",LEN(D516)),5))-1)</f>
        <v/>
      </c>
    </row>
    <row r="517">
      <c r="A517" t="inlineStr">
        <is>
          <t>100201</t>
        </is>
      </c>
      <c r="B517" t="inlineStr">
        <is>
          <t>圆钢</t>
        </is>
      </c>
      <c r="C517" t="inlineStr">
        <is>
          <t>600609500</t>
        </is>
      </c>
      <c r="D517" t="inlineStr">
        <is>
          <t>冷拉优质碳素结构圆钢|圆钢|45|Φ20|GB/T 3078-2008|冷拉|GB/T 905-1994</t>
        </is>
      </c>
      <c r="E517" t="inlineStr">
        <is>
          <t>物资名称 冷拉优质碳素结构圆钢;物资简称 圆钢;牌号 45;直径 Φ20;技术标准号 GB/T 3078-2008;加工工艺 冷拉;热处理工艺 ;特殊要求 ;规格标准号 GB/T 905-1994</t>
        </is>
      </c>
      <c r="F517" t="inlineStr">
        <is>
          <t>千克</t>
        </is>
      </c>
      <c r="G517">
        <f>LEFT(D517,FIND("|",D517,1)-1)</f>
        <v/>
      </c>
      <c r="H517">
        <f>MID(D517,FIND("|",D517,FIND("|",D517,1))+1,FIND("|",D517,FIND("|",D517,1)+1)-FIND("|",D517,FIND("|",D517,1))-1)</f>
        <v/>
      </c>
      <c r="J517">
        <f>MID(D517,FIND(";",SUBSTITUTE(D517,"|",REPT(";",LEN(D517)),2))+1,FIND(";",SUBSTITUTE(D517,"|",REPT(";",LEN(D517)),3))-FIND(";",SUBSTITUTE(D517,"|",REPT(";",LEN(D517)),2))-1)</f>
        <v/>
      </c>
      <c r="K517">
        <f>MID(D517,FIND(";",SUBSTITUTE(D517,"|",REPT(";",LEN(D517)),3))+1,FIND(";",SUBSTITUTE(D517,"|",REPT(";",LEN(D517)),4))-FIND(";",SUBSTITUTE(D517,"|",REPT(";",LEN(D517)),3))-1)</f>
        <v/>
      </c>
      <c r="M517">
        <f>MID(D517,FIND(";",SUBSTITUTE(D517,"|",REPT(";",LEN(D517)),4))+1,FIND(";",SUBSTITUTE(D517,"|",REPT(";",LEN(D517)),5))-FIND(";",SUBSTITUTE(D517,"|",REPT(";",LEN(D517)),4))-1)</f>
        <v/>
      </c>
      <c r="N517">
        <f>MID(D517,FIND(";",SUBSTITUTE(D517,"|",REPT(";",LEN(D517)),6))+1,LEN(D517))</f>
        <v/>
      </c>
      <c r="O517">
        <f>MID(D517,FIND(";",SUBSTITUTE(D517,"|",REPT(";",LEN(D517)),5))+1,FIND(";",SUBSTITUTE(D517,"|",REPT(";",LEN(D517)),6))-FIND(";",SUBSTITUTE(D517,"|",REPT(";",LEN(D517)),5))-1)</f>
        <v/>
      </c>
    </row>
    <row r="518">
      <c r="A518" t="inlineStr">
        <is>
          <t>100201</t>
        </is>
      </c>
      <c r="B518" t="inlineStr">
        <is>
          <t>圆钢</t>
        </is>
      </c>
      <c r="C518" t="inlineStr">
        <is>
          <t>600609400</t>
        </is>
      </c>
      <c r="D518" t="inlineStr">
        <is>
          <t>冷拉优质碳素结构圆钢|圆钢|45|Φ26|GB/T 3078-2008|冷拉|GB/T 905-1994</t>
        </is>
      </c>
      <c r="E518" t="inlineStr">
        <is>
          <t>物资名称 冷拉优质碳素结构圆钢;物资简称 圆钢;牌号 45;直径 Φ26;技术标准号 GB/T 3078-2008;加工工艺 冷拉;热处理工艺 ;特殊要求 ;规格标准号 GB/T 905-1994</t>
        </is>
      </c>
      <c r="F518" t="inlineStr">
        <is>
          <t>千克</t>
        </is>
      </c>
      <c r="G518">
        <f>LEFT(D518,FIND("|",D518,1)-1)</f>
        <v/>
      </c>
      <c r="H518">
        <f>MID(D518,FIND("|",D518,FIND("|",D518,1))+1,FIND("|",D518,FIND("|",D518,1)+1)-FIND("|",D518,FIND("|",D518,1))-1)</f>
        <v/>
      </c>
      <c r="J518">
        <f>MID(D518,FIND(";",SUBSTITUTE(D518,"|",REPT(";",LEN(D518)),2))+1,FIND(";",SUBSTITUTE(D518,"|",REPT(";",LEN(D518)),3))-FIND(";",SUBSTITUTE(D518,"|",REPT(";",LEN(D518)),2))-1)</f>
        <v/>
      </c>
      <c r="K518">
        <f>MID(D518,FIND(";",SUBSTITUTE(D518,"|",REPT(";",LEN(D518)),3))+1,FIND(";",SUBSTITUTE(D518,"|",REPT(";",LEN(D518)),4))-FIND(";",SUBSTITUTE(D518,"|",REPT(";",LEN(D518)),3))-1)</f>
        <v/>
      </c>
      <c r="M518">
        <f>MID(D518,FIND(";",SUBSTITUTE(D518,"|",REPT(";",LEN(D518)),4))+1,FIND(";",SUBSTITUTE(D518,"|",REPT(";",LEN(D518)),5))-FIND(";",SUBSTITUTE(D518,"|",REPT(";",LEN(D518)),4))-1)</f>
        <v/>
      </c>
      <c r="N518">
        <f>MID(D518,FIND(";",SUBSTITUTE(D518,"|",REPT(";",LEN(D518)),6))+1,LEN(D518))</f>
        <v/>
      </c>
      <c r="O518">
        <f>MID(D518,FIND(";",SUBSTITUTE(D518,"|",REPT(";",LEN(D518)),5))+1,FIND(";",SUBSTITUTE(D518,"|",REPT(";",LEN(D518)),6))-FIND(";",SUBSTITUTE(D518,"|",REPT(";",LEN(D518)),5))-1)</f>
        <v/>
      </c>
    </row>
    <row r="519">
      <c r="A519" t="inlineStr">
        <is>
          <t>100201</t>
        </is>
      </c>
      <c r="B519" t="inlineStr">
        <is>
          <t>圆钢</t>
        </is>
      </c>
      <c r="C519" t="inlineStr">
        <is>
          <t>600609300</t>
        </is>
      </c>
      <c r="D519" t="inlineStr">
        <is>
          <t>优质碳素结构钢棒|钢棒|45|GB/T 699-1999</t>
        </is>
      </c>
      <c r="E519" t="inlineStr">
        <is>
          <t xml:space="preserve">物资名称 优质碳素结构钢棒;物资简称 钢棒;牌号 45;直径 Φ;技术标准号 GB/T 699-1999;加工工艺 ;热处理工艺 ;特殊要求 ;规格标准号 </t>
        </is>
      </c>
      <c r="F519" t="inlineStr">
        <is>
          <t>千克</t>
        </is>
      </c>
      <c r="G519">
        <f>LEFT(D519,FIND("|",D519,1)-1)</f>
        <v/>
      </c>
      <c r="H519">
        <f>MID(D519,FIND("|",D519,FIND("|",D519,1))+1,FIND("|",D519,FIND("|",D519,1)+1)-FIND("|",D519,FIND("|",D519,1))-1)</f>
        <v/>
      </c>
      <c r="J519">
        <f>MID(D519,FIND(";",SUBSTITUTE(D519,"|",REPT(";",LEN(D519)),2))+1,FIND(";",SUBSTITUTE(D519,"|",REPT(";",LEN(D519)),3))-FIND(";",SUBSTITUTE(D519,"|",REPT(";",LEN(D519)),2))-1)</f>
        <v/>
      </c>
      <c r="M519">
        <f>MID(D519,FIND(";",SUBSTITUTE(D519,"|",REPT(";",LEN(D519)),3))+1,LEN(D519))</f>
        <v/>
      </c>
    </row>
    <row r="520">
      <c r="A520" t="inlineStr">
        <is>
          <t>100201</t>
        </is>
      </c>
      <c r="B520" t="inlineStr">
        <is>
          <t>圆钢</t>
        </is>
      </c>
      <c r="C520" t="inlineStr">
        <is>
          <t>600609200</t>
        </is>
      </c>
      <c r="D520" t="inlineStr">
        <is>
          <t>热轧优质碳素结构圆钢|圆钢|45|Φ8|GB/T 699-1999|热轧|GB/T 702-2008</t>
        </is>
      </c>
      <c r="E520" t="inlineStr">
        <is>
          <t>物资名称 热轧优质碳素结构圆钢;物资简称 圆钢;牌号 45;直径 Φ8;技术标准号 GB/T 699-1999;加工工艺 热轧;热处理工艺 ;特殊要求 ;规格标准号 GB/T 702-2008</t>
        </is>
      </c>
      <c r="F520" t="inlineStr">
        <is>
          <t>千克</t>
        </is>
      </c>
      <c r="G520">
        <f>LEFT(D520,FIND("|",D520,1)-1)</f>
        <v/>
      </c>
      <c r="H520">
        <f>MID(D520,FIND("|",D520,FIND("|",D520,1))+1,FIND("|",D520,FIND("|",D520,1)+1)-FIND("|",D520,FIND("|",D520,1))-1)</f>
        <v/>
      </c>
      <c r="J520">
        <f>MID(D520,FIND(";",SUBSTITUTE(D520,"|",REPT(";",LEN(D520)),2))+1,FIND(";",SUBSTITUTE(D520,"|",REPT(";",LEN(D520)),3))-FIND(";",SUBSTITUTE(D520,"|",REPT(";",LEN(D520)),2))-1)</f>
        <v/>
      </c>
      <c r="K520">
        <f>MID(D520,FIND(";",SUBSTITUTE(D520,"|",REPT(";",LEN(D520)),3))+1,FIND(";",SUBSTITUTE(D520,"|",REPT(";",LEN(D520)),4))-FIND(";",SUBSTITUTE(D520,"|",REPT(";",LEN(D520)),3))-1)</f>
        <v/>
      </c>
      <c r="M520">
        <f>MID(D520,FIND(";",SUBSTITUTE(D520,"|",REPT(";",LEN(D520)),4))+1,FIND(";",SUBSTITUTE(D520,"|",REPT(";",LEN(D520)),5))-FIND(";",SUBSTITUTE(D520,"|",REPT(";",LEN(D520)),4))-1)</f>
        <v/>
      </c>
      <c r="N520">
        <f>MID(D520,FIND(";",SUBSTITUTE(D520,"|",REPT(";",LEN(D520)),6))+1,LEN(D520))</f>
        <v/>
      </c>
      <c r="O520">
        <f>MID(D520,FIND(";",SUBSTITUTE(D520,"|",REPT(";",LEN(D520)),5))+1,FIND(";",SUBSTITUTE(D520,"|",REPT(";",LEN(D520)),6))-FIND(";",SUBSTITUTE(D520,"|",REPT(";",LEN(D520)),5))-1)</f>
        <v/>
      </c>
    </row>
    <row r="521">
      <c r="A521" t="inlineStr">
        <is>
          <t>100201</t>
        </is>
      </c>
      <c r="B521" t="inlineStr">
        <is>
          <t>圆钢</t>
        </is>
      </c>
      <c r="C521" t="inlineStr">
        <is>
          <t>600609100</t>
        </is>
      </c>
      <c r="D521" t="inlineStr">
        <is>
          <t>热轧优质碳素结构圆钢|圆钢|45|Φ10|GB/T 699-1999|热轧|GB/T 702-2008</t>
        </is>
      </c>
      <c r="E521" t="inlineStr">
        <is>
          <t>物资名称 热轧优质碳素结构圆钢;物资简称 圆钢;牌号 45;直径 Φ10;技术标准号 GB/T 699-1999;加工工艺 热轧;热处理工艺 ;特殊要求 ;规格标准号 GB/T 702-2008</t>
        </is>
      </c>
      <c r="F521" t="inlineStr">
        <is>
          <t>千克</t>
        </is>
      </c>
      <c r="G521">
        <f>LEFT(D521,FIND("|",D521,1)-1)</f>
        <v/>
      </c>
      <c r="H521">
        <f>MID(D521,FIND("|",D521,FIND("|",D521,1))+1,FIND("|",D521,FIND("|",D521,1)+1)-FIND("|",D521,FIND("|",D521,1))-1)</f>
        <v/>
      </c>
      <c r="J521">
        <f>MID(D521,FIND(";",SUBSTITUTE(D521,"|",REPT(";",LEN(D521)),2))+1,FIND(";",SUBSTITUTE(D521,"|",REPT(";",LEN(D521)),3))-FIND(";",SUBSTITUTE(D521,"|",REPT(";",LEN(D521)),2))-1)</f>
        <v/>
      </c>
      <c r="K521">
        <f>MID(D521,FIND(";",SUBSTITUTE(D521,"|",REPT(";",LEN(D521)),3))+1,FIND(";",SUBSTITUTE(D521,"|",REPT(";",LEN(D521)),4))-FIND(";",SUBSTITUTE(D521,"|",REPT(";",LEN(D521)),3))-1)</f>
        <v/>
      </c>
      <c r="M521">
        <f>MID(D521,FIND(";",SUBSTITUTE(D521,"|",REPT(";",LEN(D521)),4))+1,FIND(";",SUBSTITUTE(D521,"|",REPT(";",LEN(D521)),5))-FIND(";",SUBSTITUTE(D521,"|",REPT(";",LEN(D521)),4))-1)</f>
        <v/>
      </c>
      <c r="N521">
        <f>MID(D521,FIND(";",SUBSTITUTE(D521,"|",REPT(";",LEN(D521)),6))+1,LEN(D521))</f>
        <v/>
      </c>
      <c r="O521">
        <f>MID(D521,FIND(";",SUBSTITUTE(D521,"|",REPT(";",LEN(D521)),5))+1,FIND(";",SUBSTITUTE(D521,"|",REPT(";",LEN(D521)),6))-FIND(";",SUBSTITUTE(D521,"|",REPT(";",LEN(D521)),5))-1)</f>
        <v/>
      </c>
    </row>
    <row r="522">
      <c r="A522" t="inlineStr">
        <is>
          <t>100201</t>
        </is>
      </c>
      <c r="B522" t="inlineStr">
        <is>
          <t>圆钢</t>
        </is>
      </c>
      <c r="C522" t="inlineStr">
        <is>
          <t>600609000</t>
        </is>
      </c>
      <c r="D522" t="inlineStr">
        <is>
          <t>热轧优质碳素结构圆钢|圆钢|45|Φ12|GB/T 699-1999|热轧|GB/T 702-2008</t>
        </is>
      </c>
      <c r="E522" t="inlineStr">
        <is>
          <t>物资名称 热轧优质碳素结构圆钢;物资简称 圆钢;牌号 45;直径 Φ12;技术标准号 GB/T 699-1999;加工工艺 热轧;热处理工艺 ;特殊要求 ;规格标准号 GB/T 702-2008</t>
        </is>
      </c>
      <c r="F522" t="inlineStr">
        <is>
          <t>千克</t>
        </is>
      </c>
      <c r="G522">
        <f>LEFT(D522,FIND("|",D522,1)-1)</f>
        <v/>
      </c>
      <c r="H522">
        <f>MID(D522,FIND("|",D522,FIND("|",D522,1))+1,FIND("|",D522,FIND("|",D522,1)+1)-FIND("|",D522,FIND("|",D522,1))-1)</f>
        <v/>
      </c>
      <c r="J522">
        <f>MID(D522,FIND(";",SUBSTITUTE(D522,"|",REPT(";",LEN(D522)),2))+1,FIND(";",SUBSTITUTE(D522,"|",REPT(";",LEN(D522)),3))-FIND(";",SUBSTITUTE(D522,"|",REPT(";",LEN(D522)),2))-1)</f>
        <v/>
      </c>
      <c r="K522">
        <f>MID(D522,FIND(";",SUBSTITUTE(D522,"|",REPT(";",LEN(D522)),3))+1,FIND(";",SUBSTITUTE(D522,"|",REPT(";",LEN(D522)),4))-FIND(";",SUBSTITUTE(D522,"|",REPT(";",LEN(D522)),3))-1)</f>
        <v/>
      </c>
      <c r="M522">
        <f>MID(D522,FIND(";",SUBSTITUTE(D522,"|",REPT(";",LEN(D522)),4))+1,FIND(";",SUBSTITUTE(D522,"|",REPT(";",LEN(D522)),5))-FIND(";",SUBSTITUTE(D522,"|",REPT(";",LEN(D522)),4))-1)</f>
        <v/>
      </c>
      <c r="N522">
        <f>MID(D522,FIND(";",SUBSTITUTE(D522,"|",REPT(";",LEN(D522)),6))+1,LEN(D522))</f>
        <v/>
      </c>
      <c r="O522">
        <f>MID(D522,FIND(";",SUBSTITUTE(D522,"|",REPT(";",LEN(D522)),5))+1,FIND(";",SUBSTITUTE(D522,"|",REPT(";",LEN(D522)),6))-FIND(";",SUBSTITUTE(D522,"|",REPT(";",LEN(D522)),5))-1)</f>
        <v/>
      </c>
    </row>
    <row r="523">
      <c r="A523" t="inlineStr">
        <is>
          <t>100201</t>
        </is>
      </c>
      <c r="B523" t="inlineStr">
        <is>
          <t>圆钢</t>
        </is>
      </c>
      <c r="C523" t="inlineStr">
        <is>
          <t>600608900</t>
        </is>
      </c>
      <c r="D523" t="inlineStr">
        <is>
          <t>热轧优质碳素结构圆钢|圆钢|45|Φ15|GB/T 699-1999|热轧|GB/T 702-2008</t>
        </is>
      </c>
      <c r="E523" t="inlineStr">
        <is>
          <t>物资名称 热轧优质碳素结构圆钢;物资简称 圆钢;牌号 45;直径 Φ15;技术标准号 GB/T 699-1999;加工工艺 热轧;热处理工艺 ;特殊要求 ;规格标准号 GB/T 702-2008</t>
        </is>
      </c>
      <c r="F523" t="inlineStr">
        <is>
          <t>千克</t>
        </is>
      </c>
      <c r="G523">
        <f>LEFT(D523,FIND("|",D523,1)-1)</f>
        <v/>
      </c>
      <c r="H523">
        <f>MID(D523,FIND("|",D523,FIND("|",D523,1))+1,FIND("|",D523,FIND("|",D523,1)+1)-FIND("|",D523,FIND("|",D523,1))-1)</f>
        <v/>
      </c>
      <c r="J523">
        <f>MID(D523,FIND(";",SUBSTITUTE(D523,"|",REPT(";",LEN(D523)),2))+1,FIND(";",SUBSTITUTE(D523,"|",REPT(";",LEN(D523)),3))-FIND(";",SUBSTITUTE(D523,"|",REPT(";",LEN(D523)),2))-1)</f>
        <v/>
      </c>
      <c r="K523">
        <f>MID(D523,FIND(";",SUBSTITUTE(D523,"|",REPT(";",LEN(D523)),3))+1,FIND(";",SUBSTITUTE(D523,"|",REPT(";",LEN(D523)),4))-FIND(";",SUBSTITUTE(D523,"|",REPT(";",LEN(D523)),3))-1)</f>
        <v/>
      </c>
      <c r="M523">
        <f>MID(D523,FIND(";",SUBSTITUTE(D523,"|",REPT(";",LEN(D523)),4))+1,FIND(";",SUBSTITUTE(D523,"|",REPT(";",LEN(D523)),5))-FIND(";",SUBSTITUTE(D523,"|",REPT(";",LEN(D523)),4))-1)</f>
        <v/>
      </c>
      <c r="N523">
        <f>MID(D523,FIND(";",SUBSTITUTE(D523,"|",REPT(";",LEN(D523)),6))+1,LEN(D523))</f>
        <v/>
      </c>
      <c r="O523">
        <f>MID(D523,FIND(";",SUBSTITUTE(D523,"|",REPT(";",LEN(D523)),5))+1,FIND(";",SUBSTITUTE(D523,"|",REPT(";",LEN(D523)),6))-FIND(";",SUBSTITUTE(D523,"|",REPT(";",LEN(D523)),5))-1)</f>
        <v/>
      </c>
    </row>
    <row r="524">
      <c r="A524" t="inlineStr">
        <is>
          <t>100201</t>
        </is>
      </c>
      <c r="B524" t="inlineStr">
        <is>
          <t>圆钢</t>
        </is>
      </c>
      <c r="C524" t="inlineStr">
        <is>
          <t>600608800</t>
        </is>
      </c>
      <c r="D524" t="inlineStr">
        <is>
          <t>热轧优质碳素结构圆钢|圆钢|45|Φ16|GB/T 699-1999|热轧|GB/T 702-2008</t>
        </is>
      </c>
      <c r="E524" t="inlineStr">
        <is>
          <t>物资名称 热轧优质碳素结构圆钢;物资简称 圆钢;牌号 45;直径 Φ16;技术标准号 GB/T 699-1999;加工工艺 热轧;热处理工艺 ;特殊要求 ;规格标准号 GB/T 702-2008</t>
        </is>
      </c>
      <c r="F524" t="inlineStr">
        <is>
          <t>千克</t>
        </is>
      </c>
      <c r="G524">
        <f>LEFT(D524,FIND("|",D524,1)-1)</f>
        <v/>
      </c>
      <c r="H524">
        <f>MID(D524,FIND("|",D524,FIND("|",D524,1))+1,FIND("|",D524,FIND("|",D524,1)+1)-FIND("|",D524,FIND("|",D524,1))-1)</f>
        <v/>
      </c>
      <c r="J524">
        <f>MID(D524,FIND(";",SUBSTITUTE(D524,"|",REPT(";",LEN(D524)),2))+1,FIND(";",SUBSTITUTE(D524,"|",REPT(";",LEN(D524)),3))-FIND(";",SUBSTITUTE(D524,"|",REPT(";",LEN(D524)),2))-1)</f>
        <v/>
      </c>
      <c r="K524">
        <f>MID(D524,FIND(";",SUBSTITUTE(D524,"|",REPT(";",LEN(D524)),3))+1,FIND(";",SUBSTITUTE(D524,"|",REPT(";",LEN(D524)),4))-FIND(";",SUBSTITUTE(D524,"|",REPT(";",LEN(D524)),3))-1)</f>
        <v/>
      </c>
      <c r="M524">
        <f>MID(D524,FIND(";",SUBSTITUTE(D524,"|",REPT(";",LEN(D524)),4))+1,FIND(";",SUBSTITUTE(D524,"|",REPT(";",LEN(D524)),5))-FIND(";",SUBSTITUTE(D524,"|",REPT(";",LEN(D524)),4))-1)</f>
        <v/>
      </c>
      <c r="N524">
        <f>MID(D524,FIND(";",SUBSTITUTE(D524,"|",REPT(";",LEN(D524)),6))+1,LEN(D524))</f>
        <v/>
      </c>
      <c r="O524">
        <f>MID(D524,FIND(";",SUBSTITUTE(D524,"|",REPT(";",LEN(D524)),5))+1,FIND(";",SUBSTITUTE(D524,"|",REPT(";",LEN(D524)),6))-FIND(";",SUBSTITUTE(D524,"|",REPT(";",LEN(D524)),5))-1)</f>
        <v/>
      </c>
    </row>
    <row r="525">
      <c r="A525" t="inlineStr">
        <is>
          <t>100201</t>
        </is>
      </c>
      <c r="B525" t="inlineStr">
        <is>
          <t>圆钢</t>
        </is>
      </c>
      <c r="C525" t="inlineStr">
        <is>
          <t>600608700</t>
        </is>
      </c>
      <c r="D525" t="inlineStr">
        <is>
          <t>热轧优质碳素结构圆钢|圆钢|45|Φ18|GB/T 699-1999|热轧|GB/T 702-2008</t>
        </is>
      </c>
      <c r="E525" t="inlineStr">
        <is>
          <t>物资名称 热轧优质碳素结构圆钢;物资简称 圆钢;牌号 45;直径 Φ18;技术标准号 GB/T 699-1999;加工工艺 热轧;热处理工艺 ;特殊要求 ;规格标准号 GB/T 702-2008</t>
        </is>
      </c>
      <c r="F525" t="inlineStr">
        <is>
          <t>千克</t>
        </is>
      </c>
      <c r="G525">
        <f>LEFT(D525,FIND("|",D525,1)-1)</f>
        <v/>
      </c>
      <c r="H525">
        <f>MID(D525,FIND("|",D525,FIND("|",D525,1))+1,FIND("|",D525,FIND("|",D525,1)+1)-FIND("|",D525,FIND("|",D525,1))-1)</f>
        <v/>
      </c>
      <c r="J525">
        <f>MID(D525,FIND(";",SUBSTITUTE(D525,"|",REPT(";",LEN(D525)),2))+1,FIND(";",SUBSTITUTE(D525,"|",REPT(";",LEN(D525)),3))-FIND(";",SUBSTITUTE(D525,"|",REPT(";",LEN(D525)),2))-1)</f>
        <v/>
      </c>
      <c r="K525">
        <f>MID(D525,FIND(";",SUBSTITUTE(D525,"|",REPT(";",LEN(D525)),3))+1,FIND(";",SUBSTITUTE(D525,"|",REPT(";",LEN(D525)),4))-FIND(";",SUBSTITUTE(D525,"|",REPT(";",LEN(D525)),3))-1)</f>
        <v/>
      </c>
      <c r="M525">
        <f>MID(D525,FIND(";",SUBSTITUTE(D525,"|",REPT(";",LEN(D525)),4))+1,FIND(";",SUBSTITUTE(D525,"|",REPT(";",LEN(D525)),5))-FIND(";",SUBSTITUTE(D525,"|",REPT(";",LEN(D525)),4))-1)</f>
        <v/>
      </c>
      <c r="N525">
        <f>MID(D525,FIND(";",SUBSTITUTE(D525,"|",REPT(";",LEN(D525)),6))+1,LEN(D525))</f>
        <v/>
      </c>
      <c r="O525">
        <f>MID(D525,FIND(";",SUBSTITUTE(D525,"|",REPT(";",LEN(D525)),5))+1,FIND(";",SUBSTITUTE(D525,"|",REPT(";",LEN(D525)),6))-FIND(";",SUBSTITUTE(D525,"|",REPT(";",LEN(D525)),5))-1)</f>
        <v/>
      </c>
    </row>
    <row r="526">
      <c r="A526" t="inlineStr">
        <is>
          <t>100201</t>
        </is>
      </c>
      <c r="B526" t="inlineStr">
        <is>
          <t>圆钢</t>
        </is>
      </c>
      <c r="C526" t="inlineStr">
        <is>
          <t>600608600</t>
        </is>
      </c>
      <c r="D526" t="inlineStr">
        <is>
          <t>热轧优质碳素结构圆钢|圆钢|45|Φ20|GB/T 699-1999|热轧|GB/T 702-2008</t>
        </is>
      </c>
      <c r="E526" t="inlineStr">
        <is>
          <t>物资名称 热轧优质碳素结构圆钢;物资简称 圆钢;牌号 45;直径 Φ20;技术标准号 GB/T 699-1999;加工工艺 热轧;热处理工艺 ;特殊要求 ;规格标准号 GB/T 702-2008</t>
        </is>
      </c>
      <c r="F526" t="inlineStr">
        <is>
          <t>千克</t>
        </is>
      </c>
      <c r="G526">
        <f>LEFT(D526,FIND("|",D526,1)-1)</f>
        <v/>
      </c>
      <c r="H526">
        <f>MID(D526,FIND("|",D526,FIND("|",D526,1))+1,FIND("|",D526,FIND("|",D526,1)+1)-FIND("|",D526,FIND("|",D526,1))-1)</f>
        <v/>
      </c>
      <c r="J526">
        <f>MID(D526,FIND(";",SUBSTITUTE(D526,"|",REPT(";",LEN(D526)),2))+1,FIND(";",SUBSTITUTE(D526,"|",REPT(";",LEN(D526)),3))-FIND(";",SUBSTITUTE(D526,"|",REPT(";",LEN(D526)),2))-1)</f>
        <v/>
      </c>
      <c r="K526">
        <f>MID(D526,FIND(";",SUBSTITUTE(D526,"|",REPT(";",LEN(D526)),3))+1,FIND(";",SUBSTITUTE(D526,"|",REPT(";",LEN(D526)),4))-FIND(";",SUBSTITUTE(D526,"|",REPT(";",LEN(D526)),3))-1)</f>
        <v/>
      </c>
      <c r="M526">
        <f>MID(D526,FIND(";",SUBSTITUTE(D526,"|",REPT(";",LEN(D526)),4))+1,FIND(";",SUBSTITUTE(D526,"|",REPT(";",LEN(D526)),5))-FIND(";",SUBSTITUTE(D526,"|",REPT(";",LEN(D526)),4))-1)</f>
        <v/>
      </c>
      <c r="N526">
        <f>MID(D526,FIND(";",SUBSTITUTE(D526,"|",REPT(";",LEN(D526)),6))+1,LEN(D526))</f>
        <v/>
      </c>
      <c r="O526">
        <f>MID(D526,FIND(";",SUBSTITUTE(D526,"|",REPT(";",LEN(D526)),5))+1,FIND(";",SUBSTITUTE(D526,"|",REPT(";",LEN(D526)),6))-FIND(";",SUBSTITUTE(D526,"|",REPT(";",LEN(D526)),5))-1)</f>
        <v/>
      </c>
    </row>
    <row r="527">
      <c r="A527" t="inlineStr">
        <is>
          <t>100201</t>
        </is>
      </c>
      <c r="B527" t="inlineStr">
        <is>
          <t>圆钢</t>
        </is>
      </c>
      <c r="C527" t="inlineStr">
        <is>
          <t>600608500</t>
        </is>
      </c>
      <c r="D527" t="inlineStr">
        <is>
          <t>热轧优质碳素结构圆钢|圆钢|45|Φ22|GB/T 699-1999|热轧|GB/T 702-2008</t>
        </is>
      </c>
      <c r="E527" t="inlineStr">
        <is>
          <t>物资名称 热轧优质碳素结构圆钢;物资简称 圆钢;牌号 45;直径 Φ22;技术标准号 GB/T 699-1999;加工工艺 热轧;热处理工艺 ;特殊要求 ;规格标准号 GB/T 702-2008</t>
        </is>
      </c>
      <c r="F527" t="inlineStr">
        <is>
          <t>千克</t>
        </is>
      </c>
      <c r="G527">
        <f>LEFT(D527,FIND("|",D527,1)-1)</f>
        <v/>
      </c>
      <c r="H527">
        <f>MID(D527,FIND("|",D527,FIND("|",D527,1))+1,FIND("|",D527,FIND("|",D527,1)+1)-FIND("|",D527,FIND("|",D527,1))-1)</f>
        <v/>
      </c>
      <c r="J527">
        <f>MID(D527,FIND(";",SUBSTITUTE(D527,"|",REPT(";",LEN(D527)),2))+1,FIND(";",SUBSTITUTE(D527,"|",REPT(";",LEN(D527)),3))-FIND(";",SUBSTITUTE(D527,"|",REPT(";",LEN(D527)),2))-1)</f>
        <v/>
      </c>
      <c r="K527">
        <f>MID(D527,FIND(";",SUBSTITUTE(D527,"|",REPT(";",LEN(D527)),3))+1,FIND(";",SUBSTITUTE(D527,"|",REPT(";",LEN(D527)),4))-FIND(";",SUBSTITUTE(D527,"|",REPT(";",LEN(D527)),3))-1)</f>
        <v/>
      </c>
      <c r="M527">
        <f>MID(D527,FIND(";",SUBSTITUTE(D527,"|",REPT(";",LEN(D527)),4))+1,FIND(";",SUBSTITUTE(D527,"|",REPT(";",LEN(D527)),5))-FIND(";",SUBSTITUTE(D527,"|",REPT(";",LEN(D527)),4))-1)</f>
        <v/>
      </c>
      <c r="N527">
        <f>MID(D527,FIND(";",SUBSTITUTE(D527,"|",REPT(";",LEN(D527)),6))+1,LEN(D527))</f>
        <v/>
      </c>
      <c r="O527">
        <f>MID(D527,FIND(";",SUBSTITUTE(D527,"|",REPT(";",LEN(D527)),5))+1,FIND(";",SUBSTITUTE(D527,"|",REPT(";",LEN(D527)),6))-FIND(";",SUBSTITUTE(D527,"|",REPT(";",LEN(D527)),5))-1)</f>
        <v/>
      </c>
    </row>
    <row r="528">
      <c r="A528" t="inlineStr">
        <is>
          <t>100201</t>
        </is>
      </c>
      <c r="B528" t="inlineStr">
        <is>
          <t>圆钢</t>
        </is>
      </c>
      <c r="C528" t="inlineStr">
        <is>
          <t>600608400</t>
        </is>
      </c>
      <c r="D528" t="inlineStr">
        <is>
          <t>热轧优质碳素结构圆钢|圆钢|45|Φ30|GB/T 699-1999|热轧|GB/T 702-2008</t>
        </is>
      </c>
      <c r="E528" t="inlineStr">
        <is>
          <t>物资名称 热轧优质碳素结构圆钢;物资简称 圆钢;牌号 45;直径 Φ30;技术标准号 GB/T 699-1999;加工工艺 热轧;热处理工艺 ;特殊要求 ;规格标准号 GB/T 702-2008</t>
        </is>
      </c>
      <c r="F528" t="inlineStr">
        <is>
          <t>千克</t>
        </is>
      </c>
      <c r="G528">
        <f>LEFT(D528,FIND("|",D528,1)-1)</f>
        <v/>
      </c>
      <c r="H528">
        <f>MID(D528,FIND("|",D528,FIND("|",D528,1))+1,FIND("|",D528,FIND("|",D528,1)+1)-FIND("|",D528,FIND("|",D528,1))-1)</f>
        <v/>
      </c>
      <c r="J528">
        <f>MID(D528,FIND(";",SUBSTITUTE(D528,"|",REPT(";",LEN(D528)),2))+1,FIND(";",SUBSTITUTE(D528,"|",REPT(";",LEN(D528)),3))-FIND(";",SUBSTITUTE(D528,"|",REPT(";",LEN(D528)),2))-1)</f>
        <v/>
      </c>
      <c r="K528">
        <f>MID(D528,FIND(";",SUBSTITUTE(D528,"|",REPT(";",LEN(D528)),3))+1,FIND(";",SUBSTITUTE(D528,"|",REPT(";",LEN(D528)),4))-FIND(";",SUBSTITUTE(D528,"|",REPT(";",LEN(D528)),3))-1)</f>
        <v/>
      </c>
      <c r="M528">
        <f>MID(D528,FIND(";",SUBSTITUTE(D528,"|",REPT(";",LEN(D528)),4))+1,FIND(";",SUBSTITUTE(D528,"|",REPT(";",LEN(D528)),5))-FIND(";",SUBSTITUTE(D528,"|",REPT(";",LEN(D528)),4))-1)</f>
        <v/>
      </c>
      <c r="N528">
        <f>MID(D528,FIND(";",SUBSTITUTE(D528,"|",REPT(";",LEN(D528)),6))+1,LEN(D528))</f>
        <v/>
      </c>
      <c r="O528">
        <f>MID(D528,FIND(";",SUBSTITUTE(D528,"|",REPT(";",LEN(D528)),5))+1,FIND(";",SUBSTITUTE(D528,"|",REPT(";",LEN(D528)),6))-FIND(";",SUBSTITUTE(D528,"|",REPT(";",LEN(D528)),5))-1)</f>
        <v/>
      </c>
    </row>
    <row r="529">
      <c r="A529" t="inlineStr">
        <is>
          <t>100201</t>
        </is>
      </c>
      <c r="B529" t="inlineStr">
        <is>
          <t>圆钢</t>
        </is>
      </c>
      <c r="C529" t="inlineStr">
        <is>
          <t>600608300</t>
        </is>
      </c>
      <c r="D529" t="inlineStr">
        <is>
          <t>热轧优质碳素结构圆钢|圆钢|45|Φ35|GB/T 699-1999|热轧|GB/T 702-2008</t>
        </is>
      </c>
      <c r="E529" t="inlineStr">
        <is>
          <t>物资名称 热轧优质碳素结构圆钢;物资简称 圆钢;牌号 45;直径 Φ35;技术标准号 GB/T 699-1999;加工工艺 热轧;热处理工艺 ;特殊要求 ;规格标准号 GB/T 702-2008</t>
        </is>
      </c>
      <c r="F529" t="inlineStr">
        <is>
          <t>千克</t>
        </is>
      </c>
      <c r="G529">
        <f>LEFT(D529,FIND("|",D529,1)-1)</f>
        <v/>
      </c>
      <c r="H529">
        <f>MID(D529,FIND("|",D529,FIND("|",D529,1))+1,FIND("|",D529,FIND("|",D529,1)+1)-FIND("|",D529,FIND("|",D529,1))-1)</f>
        <v/>
      </c>
      <c r="J529">
        <f>MID(D529,FIND(";",SUBSTITUTE(D529,"|",REPT(";",LEN(D529)),2))+1,FIND(";",SUBSTITUTE(D529,"|",REPT(";",LEN(D529)),3))-FIND(";",SUBSTITUTE(D529,"|",REPT(";",LEN(D529)),2))-1)</f>
        <v/>
      </c>
      <c r="K529">
        <f>MID(D529,FIND(";",SUBSTITUTE(D529,"|",REPT(";",LEN(D529)),3))+1,FIND(";",SUBSTITUTE(D529,"|",REPT(";",LEN(D529)),4))-FIND(";",SUBSTITUTE(D529,"|",REPT(";",LEN(D529)),3))-1)</f>
        <v/>
      </c>
      <c r="M529">
        <f>MID(D529,FIND(";",SUBSTITUTE(D529,"|",REPT(";",LEN(D529)),4))+1,FIND(";",SUBSTITUTE(D529,"|",REPT(";",LEN(D529)),5))-FIND(";",SUBSTITUTE(D529,"|",REPT(";",LEN(D529)),4))-1)</f>
        <v/>
      </c>
      <c r="N529">
        <f>MID(D529,FIND(";",SUBSTITUTE(D529,"|",REPT(";",LEN(D529)),6))+1,LEN(D529))</f>
        <v/>
      </c>
      <c r="O529">
        <f>MID(D529,FIND(";",SUBSTITUTE(D529,"|",REPT(";",LEN(D529)),5))+1,FIND(";",SUBSTITUTE(D529,"|",REPT(";",LEN(D529)),6))-FIND(";",SUBSTITUTE(D529,"|",REPT(";",LEN(D529)),5))-1)</f>
        <v/>
      </c>
    </row>
    <row r="530">
      <c r="A530" t="inlineStr">
        <is>
          <t>100201</t>
        </is>
      </c>
      <c r="B530" t="inlineStr">
        <is>
          <t>圆钢</t>
        </is>
      </c>
      <c r="C530" t="inlineStr">
        <is>
          <t>600608200</t>
        </is>
      </c>
      <c r="D530" t="inlineStr">
        <is>
          <t>热轧优质碳素结构圆钢|圆钢|45|Φ40|GB/T 699-1999|热轧|GB/T 702-2008</t>
        </is>
      </c>
      <c r="E530" t="inlineStr">
        <is>
          <t>物资名称 热轧优质碳素结构圆钢;物资简称 圆钢;牌号 45;直径 Φ40;技术标准号 GB/T 699-1999;加工工艺 热轧;热处理工艺 ;特殊要求 ;规格标准号 GB/T 702-2008</t>
        </is>
      </c>
      <c r="F530" t="inlineStr">
        <is>
          <t>千克</t>
        </is>
      </c>
      <c r="G530">
        <f>LEFT(D530,FIND("|",D530,1)-1)</f>
        <v/>
      </c>
      <c r="H530">
        <f>MID(D530,FIND("|",D530,FIND("|",D530,1))+1,FIND("|",D530,FIND("|",D530,1)+1)-FIND("|",D530,FIND("|",D530,1))-1)</f>
        <v/>
      </c>
      <c r="J530">
        <f>MID(D530,FIND(";",SUBSTITUTE(D530,"|",REPT(";",LEN(D530)),2))+1,FIND(";",SUBSTITUTE(D530,"|",REPT(";",LEN(D530)),3))-FIND(";",SUBSTITUTE(D530,"|",REPT(";",LEN(D530)),2))-1)</f>
        <v/>
      </c>
      <c r="K530">
        <f>MID(D530,FIND(";",SUBSTITUTE(D530,"|",REPT(";",LEN(D530)),3))+1,FIND(";",SUBSTITUTE(D530,"|",REPT(";",LEN(D530)),4))-FIND(";",SUBSTITUTE(D530,"|",REPT(";",LEN(D530)),3))-1)</f>
        <v/>
      </c>
      <c r="M530">
        <f>MID(D530,FIND(";",SUBSTITUTE(D530,"|",REPT(";",LEN(D530)),4))+1,FIND(";",SUBSTITUTE(D530,"|",REPT(";",LEN(D530)),5))-FIND(";",SUBSTITUTE(D530,"|",REPT(";",LEN(D530)),4))-1)</f>
        <v/>
      </c>
      <c r="N530">
        <f>MID(D530,FIND(";",SUBSTITUTE(D530,"|",REPT(";",LEN(D530)),6))+1,LEN(D530))</f>
        <v/>
      </c>
      <c r="O530">
        <f>MID(D530,FIND(";",SUBSTITUTE(D530,"|",REPT(";",LEN(D530)),5))+1,FIND(";",SUBSTITUTE(D530,"|",REPT(";",LEN(D530)),6))-FIND(";",SUBSTITUTE(D530,"|",REPT(";",LEN(D530)),5))-1)</f>
        <v/>
      </c>
    </row>
    <row r="531">
      <c r="A531" t="inlineStr">
        <is>
          <t>100201</t>
        </is>
      </c>
      <c r="B531" t="inlineStr">
        <is>
          <t>圆钢</t>
        </is>
      </c>
      <c r="C531" t="inlineStr">
        <is>
          <t>600608100</t>
        </is>
      </c>
      <c r="D531" t="inlineStr">
        <is>
          <t>热轧优质碳素结构圆钢|圆钢|45|Φ42|GB/T 699-1999|热轧|GB/T 702-2008</t>
        </is>
      </c>
      <c r="E531" t="inlineStr">
        <is>
          <t>物资名称 热轧优质碳素结构圆钢;物资简称 圆钢;牌号 45;直径 Φ42;技术标准号 GB/T 699-1999;加工工艺 热轧;热处理工艺 ;特殊要求 ;规格标准号 GB/T 702-2008</t>
        </is>
      </c>
      <c r="F531" t="inlineStr">
        <is>
          <t>千克</t>
        </is>
      </c>
      <c r="G531">
        <f>LEFT(D531,FIND("|",D531,1)-1)</f>
        <v/>
      </c>
      <c r="H531">
        <f>MID(D531,FIND("|",D531,FIND("|",D531,1))+1,FIND("|",D531,FIND("|",D531,1)+1)-FIND("|",D531,FIND("|",D531,1))-1)</f>
        <v/>
      </c>
      <c r="J531">
        <f>MID(D531,FIND(";",SUBSTITUTE(D531,"|",REPT(";",LEN(D531)),2))+1,FIND(";",SUBSTITUTE(D531,"|",REPT(";",LEN(D531)),3))-FIND(";",SUBSTITUTE(D531,"|",REPT(";",LEN(D531)),2))-1)</f>
        <v/>
      </c>
      <c r="K531">
        <f>MID(D531,FIND(";",SUBSTITUTE(D531,"|",REPT(";",LEN(D531)),3))+1,FIND(";",SUBSTITUTE(D531,"|",REPT(";",LEN(D531)),4))-FIND(";",SUBSTITUTE(D531,"|",REPT(";",LEN(D531)),3))-1)</f>
        <v/>
      </c>
      <c r="M531">
        <f>MID(D531,FIND(";",SUBSTITUTE(D531,"|",REPT(";",LEN(D531)),4))+1,FIND(";",SUBSTITUTE(D531,"|",REPT(";",LEN(D531)),5))-FIND(";",SUBSTITUTE(D531,"|",REPT(";",LEN(D531)),4))-1)</f>
        <v/>
      </c>
      <c r="N531">
        <f>MID(D531,FIND(";",SUBSTITUTE(D531,"|",REPT(";",LEN(D531)),6))+1,LEN(D531))</f>
        <v/>
      </c>
      <c r="O531">
        <f>MID(D531,FIND(";",SUBSTITUTE(D531,"|",REPT(";",LEN(D531)),5))+1,FIND(";",SUBSTITUTE(D531,"|",REPT(";",LEN(D531)),6))-FIND(";",SUBSTITUTE(D531,"|",REPT(";",LEN(D531)),5))-1)</f>
        <v/>
      </c>
    </row>
    <row r="532">
      <c r="A532" t="inlineStr">
        <is>
          <t>100201</t>
        </is>
      </c>
      <c r="B532" t="inlineStr">
        <is>
          <t>圆钢</t>
        </is>
      </c>
      <c r="C532" t="inlineStr">
        <is>
          <t>600608000</t>
        </is>
      </c>
      <c r="D532" t="inlineStr">
        <is>
          <t>热轧优质碳素结构圆钢|圆钢|45|Φ55|GB/T 699-1999|热轧|GB/T 702-2008</t>
        </is>
      </c>
      <c r="E532" t="inlineStr">
        <is>
          <t>物资名称 热轧优质碳素结构圆钢;物资简称 圆钢;牌号 45;直径 Φ55;技术标准号 GB/T 699-1999;加工工艺 热轧;热处理工艺 ;特殊要求 ;规格标准号 GB/T 702-2008</t>
        </is>
      </c>
      <c r="F532" t="inlineStr">
        <is>
          <t>千克</t>
        </is>
      </c>
      <c r="G532">
        <f>LEFT(D532,FIND("|",D532,1)-1)</f>
        <v/>
      </c>
      <c r="H532">
        <f>MID(D532,FIND("|",D532,FIND("|",D532,1))+1,FIND("|",D532,FIND("|",D532,1)+1)-FIND("|",D532,FIND("|",D532,1))-1)</f>
        <v/>
      </c>
      <c r="J532">
        <f>MID(D532,FIND(";",SUBSTITUTE(D532,"|",REPT(";",LEN(D532)),2))+1,FIND(";",SUBSTITUTE(D532,"|",REPT(";",LEN(D532)),3))-FIND(";",SUBSTITUTE(D532,"|",REPT(";",LEN(D532)),2))-1)</f>
        <v/>
      </c>
      <c r="K532">
        <f>MID(D532,FIND(";",SUBSTITUTE(D532,"|",REPT(";",LEN(D532)),3))+1,FIND(";",SUBSTITUTE(D532,"|",REPT(";",LEN(D532)),4))-FIND(";",SUBSTITUTE(D532,"|",REPT(";",LEN(D532)),3))-1)</f>
        <v/>
      </c>
      <c r="M532">
        <f>MID(D532,FIND(";",SUBSTITUTE(D532,"|",REPT(";",LEN(D532)),4))+1,FIND(";",SUBSTITUTE(D532,"|",REPT(";",LEN(D532)),5))-FIND(";",SUBSTITUTE(D532,"|",REPT(";",LEN(D532)),4))-1)</f>
        <v/>
      </c>
      <c r="N532">
        <f>MID(D532,FIND(";",SUBSTITUTE(D532,"|",REPT(";",LEN(D532)),6))+1,LEN(D532))</f>
        <v/>
      </c>
      <c r="O532">
        <f>MID(D532,FIND(";",SUBSTITUTE(D532,"|",REPT(";",LEN(D532)),5))+1,FIND(";",SUBSTITUTE(D532,"|",REPT(";",LEN(D532)),6))-FIND(";",SUBSTITUTE(D532,"|",REPT(";",LEN(D532)),5))-1)</f>
        <v/>
      </c>
    </row>
    <row r="533">
      <c r="A533" t="inlineStr">
        <is>
          <t>100201</t>
        </is>
      </c>
      <c r="B533" t="inlineStr">
        <is>
          <t>圆钢</t>
        </is>
      </c>
      <c r="C533" t="inlineStr">
        <is>
          <t>600607900</t>
        </is>
      </c>
      <c r="D533" t="inlineStr">
        <is>
          <t>热轧优质碳素结构圆钢|圆钢|45|Φ80|GB/T 699-1999|热轧|GB/T 702-2008</t>
        </is>
      </c>
      <c r="E533" t="inlineStr">
        <is>
          <t>物资名称 热轧优质碳素结构圆钢;物资简称 圆钢;牌号 45;直径 Φ80;技术标准号 GB/T 699-1999;加工工艺 热轧;热处理工艺 ;特殊要求 ;规格标准号 GB/T 702-2008</t>
        </is>
      </c>
      <c r="F533" t="inlineStr">
        <is>
          <t>千克</t>
        </is>
      </c>
      <c r="G533">
        <f>LEFT(D533,FIND("|",D533,1)-1)</f>
        <v/>
      </c>
      <c r="H533">
        <f>MID(D533,FIND("|",D533,FIND("|",D533,1))+1,FIND("|",D533,FIND("|",D533,1)+1)-FIND("|",D533,FIND("|",D533,1))-1)</f>
        <v/>
      </c>
      <c r="J533">
        <f>MID(D533,FIND(";",SUBSTITUTE(D533,"|",REPT(";",LEN(D533)),2))+1,FIND(";",SUBSTITUTE(D533,"|",REPT(";",LEN(D533)),3))-FIND(";",SUBSTITUTE(D533,"|",REPT(";",LEN(D533)),2))-1)</f>
        <v/>
      </c>
      <c r="K533">
        <f>MID(D533,FIND(";",SUBSTITUTE(D533,"|",REPT(";",LEN(D533)),3))+1,FIND(";",SUBSTITUTE(D533,"|",REPT(";",LEN(D533)),4))-FIND(";",SUBSTITUTE(D533,"|",REPT(";",LEN(D533)),3))-1)</f>
        <v/>
      </c>
      <c r="M533">
        <f>MID(D533,FIND(";",SUBSTITUTE(D533,"|",REPT(";",LEN(D533)),4))+1,FIND(";",SUBSTITUTE(D533,"|",REPT(";",LEN(D533)),5))-FIND(";",SUBSTITUTE(D533,"|",REPT(";",LEN(D533)),4))-1)</f>
        <v/>
      </c>
      <c r="N533">
        <f>MID(D533,FIND(";",SUBSTITUTE(D533,"|",REPT(";",LEN(D533)),6))+1,LEN(D533))</f>
        <v/>
      </c>
      <c r="O533">
        <f>MID(D533,FIND(";",SUBSTITUTE(D533,"|",REPT(";",LEN(D533)),5))+1,FIND(";",SUBSTITUTE(D533,"|",REPT(";",LEN(D533)),6))-FIND(";",SUBSTITUTE(D533,"|",REPT(";",LEN(D533)),5))-1)</f>
        <v/>
      </c>
    </row>
    <row r="534">
      <c r="A534" t="inlineStr">
        <is>
          <t>100201</t>
        </is>
      </c>
      <c r="B534" t="inlineStr">
        <is>
          <t>圆钢</t>
        </is>
      </c>
      <c r="C534" t="inlineStr">
        <is>
          <t>600607800</t>
        </is>
      </c>
      <c r="D534" t="inlineStr">
        <is>
          <t>热轧优质碳素结构圆钢|圆钢|45|Φ100|GB/T 699-1999|热轧|GB/T 702-2008</t>
        </is>
      </c>
      <c r="E534" t="inlineStr">
        <is>
          <t>物资名称 热轧优质碳素结构圆钢;物资简称 圆钢;牌号 45;直径 Φ100;技术标准号 GB/T 699-1999;加工工艺 热轧;热处理工艺 ;特殊要求 ;规格标准号 GB/T 702-2008</t>
        </is>
      </c>
      <c r="F534" t="inlineStr">
        <is>
          <t>千克</t>
        </is>
      </c>
      <c r="G534">
        <f>LEFT(D534,FIND("|",D534,1)-1)</f>
        <v/>
      </c>
      <c r="H534">
        <f>MID(D534,FIND("|",D534,FIND("|",D534,1))+1,FIND("|",D534,FIND("|",D534,1)+1)-FIND("|",D534,FIND("|",D534,1))-1)</f>
        <v/>
      </c>
      <c r="J534">
        <f>MID(D534,FIND(";",SUBSTITUTE(D534,"|",REPT(";",LEN(D534)),2))+1,FIND(";",SUBSTITUTE(D534,"|",REPT(";",LEN(D534)),3))-FIND(";",SUBSTITUTE(D534,"|",REPT(";",LEN(D534)),2))-1)</f>
        <v/>
      </c>
      <c r="K534">
        <f>MID(D534,FIND(";",SUBSTITUTE(D534,"|",REPT(";",LEN(D534)),3))+1,FIND(";",SUBSTITUTE(D534,"|",REPT(";",LEN(D534)),4))-FIND(";",SUBSTITUTE(D534,"|",REPT(";",LEN(D534)),3))-1)</f>
        <v/>
      </c>
      <c r="M534">
        <f>MID(D534,FIND(";",SUBSTITUTE(D534,"|",REPT(";",LEN(D534)),4))+1,FIND(";",SUBSTITUTE(D534,"|",REPT(";",LEN(D534)),5))-FIND(";",SUBSTITUTE(D534,"|",REPT(";",LEN(D534)),4))-1)</f>
        <v/>
      </c>
      <c r="N534">
        <f>MID(D534,FIND(";",SUBSTITUTE(D534,"|",REPT(";",LEN(D534)),6))+1,LEN(D534))</f>
        <v/>
      </c>
      <c r="O534">
        <f>MID(D534,FIND(";",SUBSTITUTE(D534,"|",REPT(";",LEN(D534)),5))+1,FIND(";",SUBSTITUTE(D534,"|",REPT(";",LEN(D534)),6))-FIND(";",SUBSTITUTE(D534,"|",REPT(";",LEN(D534)),5))-1)</f>
        <v/>
      </c>
    </row>
    <row r="535">
      <c r="A535" t="inlineStr">
        <is>
          <t>100201</t>
        </is>
      </c>
      <c r="B535" t="inlineStr">
        <is>
          <t>圆钢</t>
        </is>
      </c>
      <c r="C535" t="inlineStr">
        <is>
          <t>600607700</t>
        </is>
      </c>
      <c r="D535" t="inlineStr">
        <is>
          <t>热轧优质碳素结构圆钢|圆钢|45|Φ110|GB/T 699-1999|热轧|GB/T 702-2008</t>
        </is>
      </c>
      <c r="E535" t="inlineStr">
        <is>
          <t>物资名称 热轧优质碳素结构圆钢;物资简称 圆钢;牌号 45;直径 Φ110;技术标准号 GB/T 699-1999;加工工艺 热轧;热处理工艺 ;特殊要求 ;规格标准号 GB/T 702-2008</t>
        </is>
      </c>
      <c r="F535" t="inlineStr">
        <is>
          <t>千克</t>
        </is>
      </c>
      <c r="G535">
        <f>LEFT(D535,FIND("|",D535,1)-1)</f>
        <v/>
      </c>
      <c r="H535">
        <f>MID(D535,FIND("|",D535,FIND("|",D535,1))+1,FIND("|",D535,FIND("|",D535,1)+1)-FIND("|",D535,FIND("|",D535,1))-1)</f>
        <v/>
      </c>
      <c r="J535">
        <f>MID(D535,FIND(";",SUBSTITUTE(D535,"|",REPT(";",LEN(D535)),2))+1,FIND(";",SUBSTITUTE(D535,"|",REPT(";",LEN(D535)),3))-FIND(";",SUBSTITUTE(D535,"|",REPT(";",LEN(D535)),2))-1)</f>
        <v/>
      </c>
      <c r="K535">
        <f>MID(D535,FIND(";",SUBSTITUTE(D535,"|",REPT(";",LEN(D535)),3))+1,FIND(";",SUBSTITUTE(D535,"|",REPT(";",LEN(D535)),4))-FIND(";",SUBSTITUTE(D535,"|",REPT(";",LEN(D535)),3))-1)</f>
        <v/>
      </c>
      <c r="M535">
        <f>MID(D535,FIND(";",SUBSTITUTE(D535,"|",REPT(";",LEN(D535)),4))+1,FIND(";",SUBSTITUTE(D535,"|",REPT(";",LEN(D535)),5))-FIND(";",SUBSTITUTE(D535,"|",REPT(";",LEN(D535)),4))-1)</f>
        <v/>
      </c>
      <c r="N535">
        <f>MID(D535,FIND(";",SUBSTITUTE(D535,"|",REPT(";",LEN(D535)),6))+1,LEN(D535))</f>
        <v/>
      </c>
      <c r="O535">
        <f>MID(D535,FIND(";",SUBSTITUTE(D535,"|",REPT(";",LEN(D535)),5))+1,FIND(";",SUBSTITUTE(D535,"|",REPT(";",LEN(D535)),6))-FIND(";",SUBSTITUTE(D535,"|",REPT(";",LEN(D535)),5))-1)</f>
        <v/>
      </c>
    </row>
    <row r="536">
      <c r="A536" t="inlineStr">
        <is>
          <t>100201</t>
        </is>
      </c>
      <c r="B536" t="inlineStr">
        <is>
          <t>圆钢</t>
        </is>
      </c>
      <c r="C536" t="inlineStr">
        <is>
          <t>600607600</t>
        </is>
      </c>
      <c r="D536" t="inlineStr">
        <is>
          <t>热轧优质碳素结构圆钢|圆钢|45|Φ140|GB/T 699-1999|热轧|GB/T 702-2008</t>
        </is>
      </c>
      <c r="E536" t="inlineStr">
        <is>
          <t>物资名称 热轧优质碳素结构圆钢;物资简称 圆钢;牌号 45;直径 Φ140;技术标准号 GB/T 699-1999;加工工艺 热轧;热处理工艺 ;特殊要求 ;规格标准号 GB/T 702-2008</t>
        </is>
      </c>
      <c r="F536" t="inlineStr">
        <is>
          <t>千克</t>
        </is>
      </c>
      <c r="G536">
        <f>LEFT(D536,FIND("|",D536,1)-1)</f>
        <v/>
      </c>
      <c r="H536">
        <f>MID(D536,FIND("|",D536,FIND("|",D536,1))+1,FIND("|",D536,FIND("|",D536,1)+1)-FIND("|",D536,FIND("|",D536,1))-1)</f>
        <v/>
      </c>
      <c r="J536">
        <f>MID(D536,FIND(";",SUBSTITUTE(D536,"|",REPT(";",LEN(D536)),2))+1,FIND(";",SUBSTITUTE(D536,"|",REPT(";",LEN(D536)),3))-FIND(";",SUBSTITUTE(D536,"|",REPT(";",LEN(D536)),2))-1)</f>
        <v/>
      </c>
      <c r="K536">
        <f>MID(D536,FIND(";",SUBSTITUTE(D536,"|",REPT(";",LEN(D536)),3))+1,FIND(";",SUBSTITUTE(D536,"|",REPT(";",LEN(D536)),4))-FIND(";",SUBSTITUTE(D536,"|",REPT(";",LEN(D536)),3))-1)</f>
        <v/>
      </c>
      <c r="M536">
        <f>MID(D536,FIND(";",SUBSTITUTE(D536,"|",REPT(";",LEN(D536)),4))+1,FIND(";",SUBSTITUTE(D536,"|",REPT(";",LEN(D536)),5))-FIND(";",SUBSTITUTE(D536,"|",REPT(";",LEN(D536)),4))-1)</f>
        <v/>
      </c>
      <c r="N536">
        <f>MID(D536,FIND(";",SUBSTITUTE(D536,"|",REPT(";",LEN(D536)),6))+1,LEN(D536))</f>
        <v/>
      </c>
      <c r="O536">
        <f>MID(D536,FIND(";",SUBSTITUTE(D536,"|",REPT(";",LEN(D536)),5))+1,FIND(";",SUBSTITUTE(D536,"|",REPT(";",LEN(D536)),6))-FIND(";",SUBSTITUTE(D536,"|",REPT(";",LEN(D536)),5))-1)</f>
        <v/>
      </c>
    </row>
    <row r="537">
      <c r="A537" t="inlineStr">
        <is>
          <t>100201</t>
        </is>
      </c>
      <c r="B537" t="inlineStr">
        <is>
          <t>圆钢</t>
        </is>
      </c>
      <c r="C537" t="inlineStr">
        <is>
          <t>600607500</t>
        </is>
      </c>
      <c r="D537" t="inlineStr">
        <is>
          <t>热轧优质碳素结构圆钢|圆钢|45|Φ150|GB/T 699-1999|热轧|GB/T 702-2008</t>
        </is>
      </c>
      <c r="E537" t="inlineStr">
        <is>
          <t>物资名称 热轧优质碳素结构圆钢;物资简称 圆钢;牌号 45;直径 Φ150;技术标准号 GB/T 699-1999;加工工艺 热轧;热处理工艺 ;特殊要求 ;规格标准号 GB/T 702-2008</t>
        </is>
      </c>
      <c r="F537" t="inlineStr">
        <is>
          <t>千克</t>
        </is>
      </c>
      <c r="G537">
        <f>LEFT(D537,FIND("|",D537,1)-1)</f>
        <v/>
      </c>
      <c r="H537">
        <f>MID(D537,FIND("|",D537,FIND("|",D537,1))+1,FIND("|",D537,FIND("|",D537,1)+1)-FIND("|",D537,FIND("|",D537,1))-1)</f>
        <v/>
      </c>
      <c r="J537">
        <f>MID(D537,FIND(";",SUBSTITUTE(D537,"|",REPT(";",LEN(D537)),2))+1,FIND(";",SUBSTITUTE(D537,"|",REPT(";",LEN(D537)),3))-FIND(";",SUBSTITUTE(D537,"|",REPT(";",LEN(D537)),2))-1)</f>
        <v/>
      </c>
      <c r="K537">
        <f>MID(D537,FIND(";",SUBSTITUTE(D537,"|",REPT(";",LEN(D537)),3))+1,FIND(";",SUBSTITUTE(D537,"|",REPT(";",LEN(D537)),4))-FIND(";",SUBSTITUTE(D537,"|",REPT(";",LEN(D537)),3))-1)</f>
        <v/>
      </c>
      <c r="M537">
        <f>MID(D537,FIND(";",SUBSTITUTE(D537,"|",REPT(";",LEN(D537)),4))+1,FIND(";",SUBSTITUTE(D537,"|",REPT(";",LEN(D537)),5))-FIND(";",SUBSTITUTE(D537,"|",REPT(";",LEN(D537)),4))-1)</f>
        <v/>
      </c>
      <c r="N537">
        <f>MID(D537,FIND(";",SUBSTITUTE(D537,"|",REPT(";",LEN(D537)),6))+1,LEN(D537))</f>
        <v/>
      </c>
      <c r="O537">
        <f>MID(D537,FIND(";",SUBSTITUTE(D537,"|",REPT(";",LEN(D537)),5))+1,FIND(";",SUBSTITUTE(D537,"|",REPT(";",LEN(D537)),6))-FIND(";",SUBSTITUTE(D537,"|",REPT(";",LEN(D537)),5))-1)</f>
        <v/>
      </c>
    </row>
    <row r="538">
      <c r="A538" t="inlineStr">
        <is>
          <t>100201</t>
        </is>
      </c>
      <c r="B538" t="inlineStr">
        <is>
          <t>圆钢</t>
        </is>
      </c>
      <c r="C538" t="inlineStr">
        <is>
          <t>600607400</t>
        </is>
      </c>
      <c r="D538" t="inlineStr">
        <is>
          <t>热轧优质碳素结构圆钢|圆钢|45|Φ170|GB/T 699-1999|热轧|GB/T 702-2008</t>
        </is>
      </c>
      <c r="E538" t="inlineStr">
        <is>
          <t>物资名称 热轧优质碳素结构圆钢;物资简称 圆钢;牌号 45;直径 Φ170;技术标准号 GB/T 699-1999;加工工艺 热轧;热处理工艺 ;特殊要求 ;规格标准号 GB/T 702-2008</t>
        </is>
      </c>
      <c r="F538" t="inlineStr">
        <is>
          <t>千克</t>
        </is>
      </c>
      <c r="G538">
        <f>LEFT(D538,FIND("|",D538,1)-1)</f>
        <v/>
      </c>
      <c r="H538">
        <f>MID(D538,FIND("|",D538,FIND("|",D538,1))+1,FIND("|",D538,FIND("|",D538,1)+1)-FIND("|",D538,FIND("|",D538,1))-1)</f>
        <v/>
      </c>
      <c r="J538">
        <f>MID(D538,FIND(";",SUBSTITUTE(D538,"|",REPT(";",LEN(D538)),2))+1,FIND(";",SUBSTITUTE(D538,"|",REPT(";",LEN(D538)),3))-FIND(";",SUBSTITUTE(D538,"|",REPT(";",LEN(D538)),2))-1)</f>
        <v/>
      </c>
      <c r="K538">
        <f>MID(D538,FIND(";",SUBSTITUTE(D538,"|",REPT(";",LEN(D538)),3))+1,FIND(";",SUBSTITUTE(D538,"|",REPT(";",LEN(D538)),4))-FIND(";",SUBSTITUTE(D538,"|",REPT(";",LEN(D538)),3))-1)</f>
        <v/>
      </c>
      <c r="M538">
        <f>MID(D538,FIND(";",SUBSTITUTE(D538,"|",REPT(";",LEN(D538)),4))+1,FIND(";",SUBSTITUTE(D538,"|",REPT(";",LEN(D538)),5))-FIND(";",SUBSTITUTE(D538,"|",REPT(";",LEN(D538)),4))-1)</f>
        <v/>
      </c>
      <c r="N538">
        <f>MID(D538,FIND(";",SUBSTITUTE(D538,"|",REPT(";",LEN(D538)),6))+1,LEN(D538))</f>
        <v/>
      </c>
      <c r="O538">
        <f>MID(D538,FIND(";",SUBSTITUTE(D538,"|",REPT(";",LEN(D538)),5))+1,FIND(";",SUBSTITUTE(D538,"|",REPT(";",LEN(D538)),6))-FIND(";",SUBSTITUTE(D538,"|",REPT(";",LEN(D538)),5))-1)</f>
        <v/>
      </c>
    </row>
    <row r="539">
      <c r="A539" t="inlineStr">
        <is>
          <t>100201</t>
        </is>
      </c>
      <c r="B539" t="inlineStr">
        <is>
          <t>圆钢</t>
        </is>
      </c>
      <c r="C539" t="inlineStr">
        <is>
          <t>600607300</t>
        </is>
      </c>
      <c r="D539" t="inlineStr">
        <is>
          <t>热轧优质碳素结构圆钢|圆钢|45|Φ210|GB/T 699-1999|热轧|GB/T 702-2008</t>
        </is>
      </c>
      <c r="E539" t="inlineStr">
        <is>
          <t>物资名称 热轧优质碳素结构圆钢;物资简称 圆钢;牌号 45;直径 Φ210;技术标准号 GB/T 699-1999;加工工艺 热轧;热处理工艺 ;特殊要求 ;规格标准号 GB/T 702-2008</t>
        </is>
      </c>
      <c r="F539" t="inlineStr">
        <is>
          <t>千克</t>
        </is>
      </c>
      <c r="G539">
        <f>LEFT(D539,FIND("|",D539,1)-1)</f>
        <v/>
      </c>
      <c r="H539">
        <f>MID(D539,FIND("|",D539,FIND("|",D539,1))+1,FIND("|",D539,FIND("|",D539,1)+1)-FIND("|",D539,FIND("|",D539,1))-1)</f>
        <v/>
      </c>
      <c r="J539">
        <f>MID(D539,FIND(";",SUBSTITUTE(D539,"|",REPT(";",LEN(D539)),2))+1,FIND(";",SUBSTITUTE(D539,"|",REPT(";",LEN(D539)),3))-FIND(";",SUBSTITUTE(D539,"|",REPT(";",LEN(D539)),2))-1)</f>
        <v/>
      </c>
      <c r="K539">
        <f>MID(D539,FIND(";",SUBSTITUTE(D539,"|",REPT(";",LEN(D539)),3))+1,FIND(";",SUBSTITUTE(D539,"|",REPT(";",LEN(D539)),4))-FIND(";",SUBSTITUTE(D539,"|",REPT(";",LEN(D539)),3))-1)</f>
        <v/>
      </c>
      <c r="M539">
        <f>MID(D539,FIND(";",SUBSTITUTE(D539,"|",REPT(";",LEN(D539)),4))+1,FIND(";",SUBSTITUTE(D539,"|",REPT(";",LEN(D539)),5))-FIND(";",SUBSTITUTE(D539,"|",REPT(";",LEN(D539)),4))-1)</f>
        <v/>
      </c>
      <c r="N539">
        <f>MID(D539,FIND(";",SUBSTITUTE(D539,"|",REPT(";",LEN(D539)),6))+1,LEN(D539))</f>
        <v/>
      </c>
      <c r="O539">
        <f>MID(D539,FIND(";",SUBSTITUTE(D539,"|",REPT(";",LEN(D539)),5))+1,FIND(";",SUBSTITUTE(D539,"|",REPT(";",LEN(D539)),6))-FIND(";",SUBSTITUTE(D539,"|",REPT(";",LEN(D539)),5))-1)</f>
        <v/>
      </c>
    </row>
    <row r="540">
      <c r="A540" t="inlineStr">
        <is>
          <t>100201</t>
        </is>
      </c>
      <c r="B540" t="inlineStr">
        <is>
          <t>圆钢</t>
        </is>
      </c>
      <c r="C540" t="inlineStr">
        <is>
          <t>600607200</t>
        </is>
      </c>
      <c r="D540" t="inlineStr">
        <is>
          <t>热轧优质碳素结构圆钢|圆钢|45|Φ280|GB/T 699-1999|热轧|GB/T 702-2008</t>
        </is>
      </c>
      <c r="E540" t="inlineStr">
        <is>
          <t>物资名称 热轧优质碳素结构圆钢;物资简称 圆钢;牌号 45;直径 Φ280;技术标准号 GB/T 699-1999;加工工艺 热轧;热处理工艺 ;特殊要求 ;规格标准号 GB/T 702-2008</t>
        </is>
      </c>
      <c r="F540" t="inlineStr">
        <is>
          <t>千克</t>
        </is>
      </c>
      <c r="G540">
        <f>LEFT(D540,FIND("|",D540,1)-1)</f>
        <v/>
      </c>
      <c r="H540">
        <f>MID(D540,FIND("|",D540,FIND("|",D540,1))+1,FIND("|",D540,FIND("|",D540,1)+1)-FIND("|",D540,FIND("|",D540,1))-1)</f>
        <v/>
      </c>
      <c r="J540">
        <f>MID(D540,FIND(";",SUBSTITUTE(D540,"|",REPT(";",LEN(D540)),2))+1,FIND(";",SUBSTITUTE(D540,"|",REPT(";",LEN(D540)),3))-FIND(";",SUBSTITUTE(D540,"|",REPT(";",LEN(D540)),2))-1)</f>
        <v/>
      </c>
      <c r="K540">
        <f>MID(D540,FIND(";",SUBSTITUTE(D540,"|",REPT(";",LEN(D540)),3))+1,FIND(";",SUBSTITUTE(D540,"|",REPT(";",LEN(D540)),4))-FIND(";",SUBSTITUTE(D540,"|",REPT(";",LEN(D540)),3))-1)</f>
        <v/>
      </c>
      <c r="M540">
        <f>MID(D540,FIND(";",SUBSTITUTE(D540,"|",REPT(";",LEN(D540)),4))+1,FIND(";",SUBSTITUTE(D540,"|",REPT(";",LEN(D540)),5))-FIND(";",SUBSTITUTE(D540,"|",REPT(";",LEN(D540)),4))-1)</f>
        <v/>
      </c>
      <c r="N540">
        <f>MID(D540,FIND(";",SUBSTITUTE(D540,"|",REPT(";",LEN(D540)),6))+1,LEN(D540))</f>
        <v/>
      </c>
      <c r="O540">
        <f>MID(D540,FIND(";",SUBSTITUTE(D540,"|",REPT(";",LEN(D540)),5))+1,FIND(";",SUBSTITUTE(D540,"|",REPT(";",LEN(D540)),6))-FIND(";",SUBSTITUTE(D540,"|",REPT(";",LEN(D540)),5))-1)</f>
        <v/>
      </c>
    </row>
    <row r="541">
      <c r="A541" t="inlineStr">
        <is>
          <t>100201</t>
        </is>
      </c>
      <c r="B541" t="inlineStr">
        <is>
          <t>圆钢</t>
        </is>
      </c>
      <c r="C541" t="inlineStr">
        <is>
          <t>600607100</t>
        </is>
      </c>
      <c r="D541" t="inlineStr">
        <is>
          <t>热轧易切削结构圆钢|圆钢|Y20|GB/T 8731-2008|GB/T 702-2008</t>
        </is>
      </c>
      <c r="E541" t="inlineStr">
        <is>
          <t>物资名称 热轧易切削结构圆钢;物资简称 圆钢;牌号 Y20;直径 Φ;技术标准号 GB/T 8731-2008;加工工艺 ;热处理工艺 ;特殊要求 ;规格标准号 GB/T 702-2008</t>
        </is>
      </c>
      <c r="F541" t="inlineStr">
        <is>
          <t>千克</t>
        </is>
      </c>
      <c r="G541">
        <f>LEFT(D541,FIND("|",D541,1)-1)</f>
        <v/>
      </c>
      <c r="H541">
        <f>MID(D541,FIND("|",D541,FIND("|",D541,1))+1,FIND("|",D541,FIND("|",D541,1)+1)-FIND("|",D541,FIND("|",D541,1))-1)</f>
        <v/>
      </c>
      <c r="J541">
        <f>MID(D541,FIND(";",SUBSTITUTE(D541,"|",REPT(";",LEN(D541)),2))+1,FIND(";",SUBSTITUTE(D541,"|",REPT(";",LEN(D541)),3))-FIND(";",SUBSTITUTE(D541,"|",REPT(";",LEN(D541)),2))-1)</f>
        <v/>
      </c>
      <c r="M541">
        <f>MID(D541,FIND(";",SUBSTITUTE(D541,"|",REPT(";",LEN(D541)),3))+1,FIND(";",SUBSTITUTE(D541,"|",REPT(";",LEN(D541)),4))-FIND(";",SUBSTITUTE(D541,"|",REPT(";",LEN(D541)),3))-1)</f>
        <v/>
      </c>
      <c r="N541">
        <f>MID(D541,FIND(";",SUBSTITUTE(D541,"|",REPT(";",LEN(D541)),4))+1,LEN(D541))</f>
        <v/>
      </c>
    </row>
    <row r="542">
      <c r="A542" t="inlineStr">
        <is>
          <t>100201</t>
        </is>
      </c>
      <c r="B542" t="inlineStr">
        <is>
          <t>圆钢</t>
        </is>
      </c>
      <c r="C542" t="inlineStr">
        <is>
          <t>600607000</t>
        </is>
      </c>
      <c r="D542" t="inlineStr">
        <is>
          <t>热轧易切削结构圆钢|圆钢|Y20|Φ10|GB/T 8731-2008|热轧|GB/T 702-2008</t>
        </is>
      </c>
      <c r="E542" t="inlineStr">
        <is>
          <t>物资名称 热轧易切削结构圆钢;物资简称 圆钢;牌号 Y20;直径 Φ10;技术标准号 GB/T 8731-2008;加工工艺 热轧;热处理工艺 ;特殊要求 ;规格标准号 GB/T 702-2008</t>
        </is>
      </c>
      <c r="F542" t="inlineStr">
        <is>
          <t>千克</t>
        </is>
      </c>
      <c r="G542">
        <f>LEFT(D542,FIND("|",D542,1)-1)</f>
        <v/>
      </c>
      <c r="H542">
        <f>MID(D542,FIND("|",D542,FIND("|",D542,1))+1,FIND("|",D542,FIND("|",D542,1)+1)-FIND("|",D542,FIND("|",D542,1))-1)</f>
        <v/>
      </c>
      <c r="J542">
        <f>MID(D542,FIND(";",SUBSTITUTE(D542,"|",REPT(";",LEN(D542)),2))+1,FIND(";",SUBSTITUTE(D542,"|",REPT(";",LEN(D542)),3))-FIND(";",SUBSTITUTE(D542,"|",REPT(";",LEN(D542)),2))-1)</f>
        <v/>
      </c>
      <c r="K542">
        <f>MID(D542,FIND(";",SUBSTITUTE(D542,"|",REPT(";",LEN(D542)),3))+1,FIND(";",SUBSTITUTE(D542,"|",REPT(";",LEN(D542)),4))-FIND(";",SUBSTITUTE(D542,"|",REPT(";",LEN(D542)),3))-1)</f>
        <v/>
      </c>
      <c r="M542">
        <f>MID(D542,FIND(";",SUBSTITUTE(D542,"|",REPT(";",LEN(D542)),4))+1,FIND(";",SUBSTITUTE(D542,"|",REPT(";",LEN(D542)),5))-FIND(";",SUBSTITUTE(D542,"|",REPT(";",LEN(D542)),4))-1)</f>
        <v/>
      </c>
      <c r="N542">
        <f>MID(D542,FIND(";",SUBSTITUTE(D542,"|",REPT(";",LEN(D542)),6))+1,LEN(D542))</f>
        <v/>
      </c>
      <c r="O542">
        <f>MID(D542,FIND(";",SUBSTITUTE(D542,"|",REPT(";",LEN(D542)),5))+1,FIND(";",SUBSTITUTE(D542,"|",REPT(";",LEN(D542)),6))-FIND(";",SUBSTITUTE(D542,"|",REPT(";",LEN(D542)),5))-1)</f>
        <v/>
      </c>
    </row>
    <row r="543">
      <c r="A543" t="inlineStr">
        <is>
          <t>100201</t>
        </is>
      </c>
      <c r="B543" t="inlineStr">
        <is>
          <t>圆钢</t>
        </is>
      </c>
      <c r="C543" t="inlineStr">
        <is>
          <t>600606900</t>
        </is>
      </c>
      <c r="D543" t="inlineStr">
        <is>
          <t>热轧易切削结构圆钢|圆钢|Y20|Φ18|GB/T 8731-2008|热轧|GB/T 702-2008</t>
        </is>
      </c>
      <c r="E543" t="inlineStr">
        <is>
          <t>物资名称 热轧易切削结构圆钢;物资简称 圆钢;牌号 Y20;直径 Φ18;技术标准号 GB/T 8731-2008;加工工艺 热轧;热处理工艺 ;特殊要求 ;规格标准号 GB/T 702-2008</t>
        </is>
      </c>
      <c r="F543" t="inlineStr">
        <is>
          <t>千克</t>
        </is>
      </c>
      <c r="G543">
        <f>LEFT(D543,FIND("|",D543,1)-1)</f>
        <v/>
      </c>
      <c r="H543">
        <f>MID(D543,FIND("|",D543,FIND("|",D543,1))+1,FIND("|",D543,FIND("|",D543,1)+1)-FIND("|",D543,FIND("|",D543,1))-1)</f>
        <v/>
      </c>
      <c r="J543">
        <f>MID(D543,FIND(";",SUBSTITUTE(D543,"|",REPT(";",LEN(D543)),2))+1,FIND(";",SUBSTITUTE(D543,"|",REPT(";",LEN(D543)),3))-FIND(";",SUBSTITUTE(D543,"|",REPT(";",LEN(D543)),2))-1)</f>
        <v/>
      </c>
      <c r="K543">
        <f>MID(D543,FIND(";",SUBSTITUTE(D543,"|",REPT(";",LEN(D543)),3))+1,FIND(";",SUBSTITUTE(D543,"|",REPT(";",LEN(D543)),4))-FIND(";",SUBSTITUTE(D543,"|",REPT(";",LEN(D543)),3))-1)</f>
        <v/>
      </c>
      <c r="M543">
        <f>MID(D543,FIND(";",SUBSTITUTE(D543,"|",REPT(";",LEN(D543)),4))+1,FIND(";",SUBSTITUTE(D543,"|",REPT(";",LEN(D543)),5))-FIND(";",SUBSTITUTE(D543,"|",REPT(";",LEN(D543)),4))-1)</f>
        <v/>
      </c>
      <c r="N543">
        <f>MID(D543,FIND(";",SUBSTITUTE(D543,"|",REPT(";",LEN(D543)),6))+1,LEN(D543))</f>
        <v/>
      </c>
      <c r="O543">
        <f>MID(D543,FIND(";",SUBSTITUTE(D543,"|",REPT(";",LEN(D543)),5))+1,FIND(";",SUBSTITUTE(D543,"|",REPT(";",LEN(D543)),6))-FIND(";",SUBSTITUTE(D543,"|",REPT(";",LEN(D543)),5))-1)</f>
        <v/>
      </c>
    </row>
    <row r="544">
      <c r="A544" t="inlineStr">
        <is>
          <t>100201</t>
        </is>
      </c>
      <c r="B544" t="inlineStr">
        <is>
          <t>圆钢</t>
        </is>
      </c>
      <c r="C544" t="inlineStr">
        <is>
          <t>600606800</t>
        </is>
      </c>
      <c r="D544" t="inlineStr">
        <is>
          <t>航空用不锈钢棒|钢棒|Y2Cr13Ni2|GJB 2294-1995</t>
        </is>
      </c>
      <c r="E544" t="inlineStr">
        <is>
          <t xml:space="preserve">物资名称 航空用不锈钢棒;物资简称 钢棒;牌号 Y2Cr13Ni2;直径 Φ;技术标准号 GJB 2294-1995;加工工艺 ;热处理工艺 ;特殊要求 ;规格标准号 </t>
        </is>
      </c>
      <c r="F544" t="inlineStr">
        <is>
          <t>千克</t>
        </is>
      </c>
      <c r="G544">
        <f>LEFT(D544,FIND("|",D544,1)-1)</f>
        <v/>
      </c>
      <c r="H544">
        <f>MID(D544,FIND("|",D544,FIND("|",D544,1))+1,FIND("|",D544,FIND("|",D544,1)+1)-FIND("|",D544,FIND("|",D544,1))-1)</f>
        <v/>
      </c>
      <c r="J544">
        <f>MID(D544,FIND(";",SUBSTITUTE(D544,"|",REPT(";",LEN(D544)),2))+1,FIND(";",SUBSTITUTE(D544,"|",REPT(";",LEN(D544)),3))-FIND(";",SUBSTITUTE(D544,"|",REPT(";",LEN(D544)),2))-1)</f>
        <v/>
      </c>
      <c r="M544">
        <f>MID(D544,FIND(";",SUBSTITUTE(D544,"|",REPT(";",LEN(D544)),3))+1,LEN(D544))</f>
        <v/>
      </c>
    </row>
    <row r="545">
      <c r="A545" t="inlineStr">
        <is>
          <t>100201</t>
        </is>
      </c>
      <c r="B545" t="inlineStr">
        <is>
          <t>圆钢</t>
        </is>
      </c>
      <c r="C545" t="inlineStr">
        <is>
          <t>600606700</t>
        </is>
      </c>
      <c r="D545" t="inlineStr">
        <is>
          <t>热轧航空用不锈圆钢|圆钢|Y2Cr13Ni2|GJB 2294-1995|热轧|GB/T 702-2008</t>
        </is>
      </c>
      <c r="E545" t="inlineStr">
        <is>
          <t>物资名称 热轧航空用不锈圆钢;物资简称 圆钢;牌号 Y2Cr13Ni2;直径 Φ;技术标准号 GJB 2294-1995;加工工艺 热轧;热处理工艺 ;特殊要求 ;规格标准号 GB/T 702-2008</t>
        </is>
      </c>
      <c r="F545" t="inlineStr">
        <is>
          <t>千克</t>
        </is>
      </c>
      <c r="G545">
        <f>LEFT(D545,FIND("|",D545,1)-1)</f>
        <v/>
      </c>
      <c r="H545">
        <f>MID(D545,FIND("|",D545,FIND("|",D545,1))+1,FIND("|",D545,FIND("|",D545,1)+1)-FIND("|",D545,FIND("|",D545,1))-1)</f>
        <v/>
      </c>
      <c r="J545">
        <f>MID(D545,FIND(";",SUBSTITUTE(D545,"|",REPT(";",LEN(D545)),2))+1,FIND(";",SUBSTITUTE(D545,"|",REPT(";",LEN(D545)),3))-FIND(";",SUBSTITUTE(D545,"|",REPT(";",LEN(D545)),2))-1)</f>
        <v/>
      </c>
      <c r="M545">
        <f>MID(D545,FIND(";",SUBSTITUTE(D545,"|",REPT(";",LEN(D545)),3))+1,FIND(";",SUBSTITUTE(D545,"|",REPT(";",LEN(D545)),4))-FIND(";",SUBSTITUTE(D545,"|",REPT(";",LEN(D545)),3))-1)</f>
        <v/>
      </c>
      <c r="N545">
        <f>MID(D545,FIND(";",SUBSTITUTE(D545,"|",REPT(";",LEN(D545)),5))+1,LEN(D545))</f>
        <v/>
      </c>
      <c r="O545">
        <f>MID(D545,FIND(";",SUBSTITUTE(D545,"|",REPT(";",LEN(D545)),4))+1,FIND(";",SUBSTITUTE(D545,"|",REPT(";",LEN(D545)),5))-FIND(";",SUBSTITUTE(D545,"|",REPT(";",LEN(D545)),4))-1)</f>
        <v/>
      </c>
    </row>
    <row r="546">
      <c r="A546" t="inlineStr">
        <is>
          <t>100201</t>
        </is>
      </c>
      <c r="B546" t="inlineStr">
        <is>
          <t>圆钢</t>
        </is>
      </c>
      <c r="C546" t="inlineStr">
        <is>
          <t>600606600</t>
        </is>
      </c>
      <c r="D546" t="inlineStr">
        <is>
          <t>热轧航空用不锈圆钢|圆钢|Y2Cr13Ni2|Φ10|GJB 2294-1995|热轧|GB/T 702-2008</t>
        </is>
      </c>
      <c r="E546" t="inlineStr">
        <is>
          <t>物资名称 热轧航空用不锈圆钢;物资简称 圆钢;牌号 Y2Cr13Ni2;直径 Φ10;技术标准号 GJB 2294-1995;加工工艺 热轧;热处理工艺 ;特殊要求 ;规格标准号 GB/T 702-2008</t>
        </is>
      </c>
      <c r="F546" t="inlineStr">
        <is>
          <t>千克</t>
        </is>
      </c>
      <c r="G546">
        <f>LEFT(D546,FIND("|",D546,1)-1)</f>
        <v/>
      </c>
      <c r="H546">
        <f>MID(D546,FIND("|",D546,FIND("|",D546,1))+1,FIND("|",D546,FIND("|",D546,1)+1)-FIND("|",D546,FIND("|",D546,1))-1)</f>
        <v/>
      </c>
      <c r="J546">
        <f>MID(D546,FIND(";",SUBSTITUTE(D546,"|",REPT(";",LEN(D546)),2))+1,FIND(";",SUBSTITUTE(D546,"|",REPT(";",LEN(D546)),3))-FIND(";",SUBSTITUTE(D546,"|",REPT(";",LEN(D546)),2))-1)</f>
        <v/>
      </c>
      <c r="K546">
        <f>MID(D546,FIND(";",SUBSTITUTE(D546,"|",REPT(";",LEN(D546)),3))+1,FIND(";",SUBSTITUTE(D546,"|",REPT(";",LEN(D546)),4))-FIND(";",SUBSTITUTE(D546,"|",REPT(";",LEN(D546)),3))-1)</f>
        <v/>
      </c>
      <c r="M546">
        <f>MID(D546,FIND(";",SUBSTITUTE(D546,"|",REPT(";",LEN(D546)),4))+1,FIND(";",SUBSTITUTE(D546,"|",REPT(";",LEN(D546)),5))-FIND(";",SUBSTITUTE(D546,"|",REPT(";",LEN(D546)),4))-1)</f>
        <v/>
      </c>
      <c r="N546">
        <f>MID(D546,FIND(";",SUBSTITUTE(D546,"|",REPT(";",LEN(D546)),6))+1,LEN(D546))</f>
        <v/>
      </c>
      <c r="O546">
        <f>MID(D546,FIND(";",SUBSTITUTE(D546,"|",REPT(";",LEN(D546)),5))+1,FIND(";",SUBSTITUTE(D546,"|",REPT(";",LEN(D546)),6))-FIND(";",SUBSTITUTE(D546,"|",REPT(";",LEN(D546)),5))-1)</f>
        <v/>
      </c>
    </row>
    <row r="547">
      <c r="A547" t="inlineStr">
        <is>
          <t>100201</t>
        </is>
      </c>
      <c r="B547" t="inlineStr">
        <is>
          <t>圆钢</t>
        </is>
      </c>
      <c r="C547" t="inlineStr">
        <is>
          <t>600606500</t>
        </is>
      </c>
      <c r="D547" t="inlineStr">
        <is>
          <t>热轧航空用不锈圆钢|圆钢|Y2Cr13Ni2|Φ12|GJB 2294-1995|热轧|退火|GB/T 702-2008</t>
        </is>
      </c>
      <c r="E547" t="inlineStr">
        <is>
          <t>物资名称 热轧航空用不锈圆钢;物资简称 圆钢;牌号 Y2Cr13Ni2;直径 Φ12;技术标准号 GJB 2294-1995;加工工艺 热轧;热处理工艺 退火;特殊要求 ;规格标准号 GB/T 702-2008</t>
        </is>
      </c>
      <c r="F547" t="inlineStr">
        <is>
          <t>千克</t>
        </is>
      </c>
      <c r="G547">
        <f>LEFT(D547,FIND("|",D547,1)-1)</f>
        <v/>
      </c>
      <c r="H547">
        <f>MID(D547,FIND("|",D547,FIND("|",D547,1))+1,FIND("|",D547,FIND("|",D547,1)+1)-FIND("|",D547,FIND("|",D547,1))-1)</f>
        <v/>
      </c>
      <c r="J547">
        <f>MID(D547,FIND(";",SUBSTITUTE(D547,"|",REPT(";",LEN(D547)),2))+1,FIND(";",SUBSTITUTE(D547,"|",REPT(";",LEN(D547)),3))-FIND(";",SUBSTITUTE(D547,"|",REPT(";",LEN(D547)),2))-1)</f>
        <v/>
      </c>
      <c r="K547">
        <f>MID(D547,FIND(";",SUBSTITUTE(D547,"|",REPT(";",LEN(D547)),3))+1,FIND(";",SUBSTITUTE(D547,"|",REPT(";",LEN(D547)),4))-FIND(";",SUBSTITUTE(D547,"|",REPT(";",LEN(D547)),3))-1)</f>
        <v/>
      </c>
      <c r="M547">
        <f>MID(D547,FIND(";",SUBSTITUTE(D547,"|",REPT(";",LEN(D547)),4))+1,FIND(";",SUBSTITUTE(D547,"|",REPT(";",LEN(D547)),5))-FIND(";",SUBSTITUTE(D547,"|",REPT(";",LEN(D547)),4))-1)</f>
        <v/>
      </c>
      <c r="N547">
        <f>MID(D547,FIND(";",SUBSTITUTE(D547,"|",REPT(";",LEN(D547)),7))+1,LEN(D547))</f>
        <v/>
      </c>
      <c r="O547">
        <f>MID(D547,FIND(";",SUBSTITUTE(D547,"|",REPT(";",LEN(D547)),5))+1,FIND(";",SUBSTITUTE(D547,"|",REPT(";",LEN(D547)),6))-FIND(";",SUBSTITUTE(D547,"|",REPT(";",LEN(D547)),5))-1)</f>
        <v/>
      </c>
      <c r="P547">
        <f>MID(D547,FIND(";",SUBSTITUTE(D547,"|",REPT(";",LEN(D547)),6))+1,FIND(";",SUBSTITUTE(D547,"|",REPT(";",LEN(D547)),7))-FIND(";",SUBSTITUTE(D547,"|",REPT(";",LEN(D547)),6))-1)</f>
        <v/>
      </c>
    </row>
    <row r="548">
      <c r="A548" t="inlineStr">
        <is>
          <t>100201</t>
        </is>
      </c>
      <c r="B548" t="inlineStr">
        <is>
          <t>圆钢</t>
        </is>
      </c>
      <c r="C548" t="inlineStr">
        <is>
          <t>600606400</t>
        </is>
      </c>
      <c r="D548" t="inlineStr">
        <is>
          <t>热轧航空用不锈圆钢|圆钢|Y2Cr13Ni2|Φ14|GJB 2294-1995|热轧|退火|GB/T 702-2008</t>
        </is>
      </c>
      <c r="E548" t="inlineStr">
        <is>
          <t>物资名称 热轧航空用不锈圆钢;物资简称 圆钢;牌号 Y2Cr13Ni2;直径 Φ14;技术标准号 GJB 2294-1995;加工工艺 热轧;热处理工艺 退火;特殊要求 ;规格标准号 GB/T 702-2008</t>
        </is>
      </c>
      <c r="F548" t="inlineStr">
        <is>
          <t>千克</t>
        </is>
      </c>
      <c r="G548">
        <f>LEFT(D548,FIND("|",D548,1)-1)</f>
        <v/>
      </c>
      <c r="H548">
        <f>MID(D548,FIND("|",D548,FIND("|",D548,1))+1,FIND("|",D548,FIND("|",D548,1)+1)-FIND("|",D548,FIND("|",D548,1))-1)</f>
        <v/>
      </c>
      <c r="J548">
        <f>MID(D548,FIND(";",SUBSTITUTE(D548,"|",REPT(";",LEN(D548)),2))+1,FIND(";",SUBSTITUTE(D548,"|",REPT(";",LEN(D548)),3))-FIND(";",SUBSTITUTE(D548,"|",REPT(";",LEN(D548)),2))-1)</f>
        <v/>
      </c>
      <c r="K548">
        <f>MID(D548,FIND(";",SUBSTITUTE(D548,"|",REPT(";",LEN(D548)),3))+1,FIND(";",SUBSTITUTE(D548,"|",REPT(";",LEN(D548)),4))-FIND(";",SUBSTITUTE(D548,"|",REPT(";",LEN(D548)),3))-1)</f>
        <v/>
      </c>
      <c r="M548">
        <f>MID(D548,FIND(";",SUBSTITUTE(D548,"|",REPT(";",LEN(D548)),4))+1,FIND(";",SUBSTITUTE(D548,"|",REPT(";",LEN(D548)),5))-FIND(";",SUBSTITUTE(D548,"|",REPT(";",LEN(D548)),4))-1)</f>
        <v/>
      </c>
      <c r="N548">
        <f>MID(D548,FIND(";",SUBSTITUTE(D548,"|",REPT(";",LEN(D548)),7))+1,LEN(D548))</f>
        <v/>
      </c>
      <c r="O548">
        <f>MID(D548,FIND(";",SUBSTITUTE(D548,"|",REPT(";",LEN(D548)),5))+1,FIND(";",SUBSTITUTE(D548,"|",REPT(";",LEN(D548)),6))-FIND(";",SUBSTITUTE(D548,"|",REPT(";",LEN(D548)),5))-1)</f>
        <v/>
      </c>
      <c r="P548">
        <f>MID(D548,FIND(";",SUBSTITUTE(D548,"|",REPT(";",LEN(D548)),6))+1,FIND(";",SUBSTITUTE(D548,"|",REPT(";",LEN(D548)),7))-FIND(";",SUBSTITUTE(D548,"|",REPT(";",LEN(D548)),6))-1)</f>
        <v/>
      </c>
    </row>
    <row r="549">
      <c r="A549" t="inlineStr">
        <is>
          <t>100201</t>
        </is>
      </c>
      <c r="B549" t="inlineStr">
        <is>
          <t>圆钢</t>
        </is>
      </c>
      <c r="C549" t="inlineStr">
        <is>
          <t>600606300</t>
        </is>
      </c>
      <c r="D549" t="inlineStr">
        <is>
          <t>热轧航空用不锈圆钢|圆钢|Y2Cr13Ni2|Φ16|GJB 2294-1995|热轧|GB/T 702-2008</t>
        </is>
      </c>
      <c r="E549" t="inlineStr">
        <is>
          <t>物资名称 热轧航空用不锈圆钢;物资简称 圆钢;牌号 Y2Cr13Ni2;直径 Φ16;技术标准号 GJB 2294-1995;加工工艺 热轧;热处理工艺 ;特殊要求 ;规格标准号 GB/T 702-2008</t>
        </is>
      </c>
      <c r="F549" t="inlineStr">
        <is>
          <t>千克</t>
        </is>
      </c>
      <c r="G549">
        <f>LEFT(D549,FIND("|",D549,1)-1)</f>
        <v/>
      </c>
      <c r="H549">
        <f>MID(D549,FIND("|",D549,FIND("|",D549,1))+1,FIND("|",D549,FIND("|",D549,1)+1)-FIND("|",D549,FIND("|",D549,1))-1)</f>
        <v/>
      </c>
      <c r="J549">
        <f>MID(D549,FIND(";",SUBSTITUTE(D549,"|",REPT(";",LEN(D549)),2))+1,FIND(";",SUBSTITUTE(D549,"|",REPT(";",LEN(D549)),3))-FIND(";",SUBSTITUTE(D549,"|",REPT(";",LEN(D549)),2))-1)</f>
        <v/>
      </c>
      <c r="K549">
        <f>MID(D549,FIND(";",SUBSTITUTE(D549,"|",REPT(";",LEN(D549)),3))+1,FIND(";",SUBSTITUTE(D549,"|",REPT(";",LEN(D549)),4))-FIND(";",SUBSTITUTE(D549,"|",REPT(";",LEN(D549)),3))-1)</f>
        <v/>
      </c>
      <c r="M549">
        <f>MID(D549,FIND(";",SUBSTITUTE(D549,"|",REPT(";",LEN(D549)),4))+1,FIND(";",SUBSTITUTE(D549,"|",REPT(";",LEN(D549)),5))-FIND(";",SUBSTITUTE(D549,"|",REPT(";",LEN(D549)),4))-1)</f>
        <v/>
      </c>
      <c r="N549">
        <f>MID(D549,FIND(";",SUBSTITUTE(D549,"|",REPT(";",LEN(D549)),6))+1,LEN(D549))</f>
        <v/>
      </c>
      <c r="O549">
        <f>MID(D549,FIND(";",SUBSTITUTE(D549,"|",REPT(";",LEN(D549)),5))+1,FIND(";",SUBSTITUTE(D549,"|",REPT(";",LEN(D549)),6))-FIND(";",SUBSTITUTE(D549,"|",REPT(";",LEN(D549)),5))-1)</f>
        <v/>
      </c>
    </row>
    <row r="550">
      <c r="A550" t="inlineStr">
        <is>
          <t>100201</t>
        </is>
      </c>
      <c r="B550" t="inlineStr">
        <is>
          <t>圆钢</t>
        </is>
      </c>
      <c r="C550" t="inlineStr">
        <is>
          <t>600606200</t>
        </is>
      </c>
      <c r="D550" t="inlineStr">
        <is>
          <t>热轧航空用不锈圆钢|圆钢|Y2Cr13Ni2|Φ18|GJB 2294-1995|热轧|退火|GB/T 702-2008</t>
        </is>
      </c>
      <c r="E550" t="inlineStr">
        <is>
          <t>物资名称 热轧航空用不锈圆钢;物资简称 圆钢;牌号 Y2Cr13Ni2;直径 Φ18;技术标准号 GJB 2294-1995;加工工艺 热轧;热处理工艺 退火;特殊要求 ;规格标准号 GB/T 702-2008</t>
        </is>
      </c>
      <c r="F550" t="inlineStr">
        <is>
          <t>千克</t>
        </is>
      </c>
      <c r="G550">
        <f>LEFT(D550,FIND("|",D550,1)-1)</f>
        <v/>
      </c>
      <c r="H550">
        <f>MID(D550,FIND("|",D550,FIND("|",D550,1))+1,FIND("|",D550,FIND("|",D550,1)+1)-FIND("|",D550,FIND("|",D550,1))-1)</f>
        <v/>
      </c>
      <c r="J550">
        <f>MID(D550,FIND(";",SUBSTITUTE(D550,"|",REPT(";",LEN(D550)),2))+1,FIND(";",SUBSTITUTE(D550,"|",REPT(";",LEN(D550)),3))-FIND(";",SUBSTITUTE(D550,"|",REPT(";",LEN(D550)),2))-1)</f>
        <v/>
      </c>
      <c r="K550">
        <f>MID(D550,FIND(";",SUBSTITUTE(D550,"|",REPT(";",LEN(D550)),3))+1,FIND(";",SUBSTITUTE(D550,"|",REPT(";",LEN(D550)),4))-FIND(";",SUBSTITUTE(D550,"|",REPT(";",LEN(D550)),3))-1)</f>
        <v/>
      </c>
      <c r="M550">
        <f>MID(D550,FIND(";",SUBSTITUTE(D550,"|",REPT(";",LEN(D550)),4))+1,FIND(";",SUBSTITUTE(D550,"|",REPT(";",LEN(D550)),5))-FIND(";",SUBSTITUTE(D550,"|",REPT(";",LEN(D550)),4))-1)</f>
        <v/>
      </c>
      <c r="N550">
        <f>MID(D550,FIND(";",SUBSTITUTE(D550,"|",REPT(";",LEN(D550)),7))+1,LEN(D550))</f>
        <v/>
      </c>
      <c r="O550">
        <f>MID(D550,FIND(";",SUBSTITUTE(D550,"|",REPT(";",LEN(D550)),5))+1,FIND(";",SUBSTITUTE(D550,"|",REPT(";",LEN(D550)),6))-FIND(";",SUBSTITUTE(D550,"|",REPT(";",LEN(D550)),5))-1)</f>
        <v/>
      </c>
      <c r="P550">
        <f>MID(D550,FIND(";",SUBSTITUTE(D550,"|",REPT(";",LEN(D550)),6))+1,FIND(";",SUBSTITUTE(D550,"|",REPT(";",LEN(D550)),7))-FIND(";",SUBSTITUTE(D550,"|",REPT(";",LEN(D550)),6))-1)</f>
        <v/>
      </c>
    </row>
    <row r="551">
      <c r="A551" t="inlineStr">
        <is>
          <t>100201</t>
        </is>
      </c>
      <c r="B551" t="inlineStr">
        <is>
          <t>圆钢</t>
        </is>
      </c>
      <c r="C551" t="inlineStr">
        <is>
          <t>600606100</t>
        </is>
      </c>
      <c r="D551" t="inlineStr">
        <is>
          <t>热轧航空用不锈圆钢|圆钢|Y2Cr13Ni2|Φ20|GJB 2294-1995|热轧|GB/T 702-2008</t>
        </is>
      </c>
      <c r="E551" t="inlineStr">
        <is>
          <t>物资名称 热轧航空用不锈圆钢;物资简称 圆钢;牌号 Y2Cr13Ni2;直径 Φ20;技术标准号 GJB 2294-1995;加工工艺 热轧;热处理工艺 ;特殊要求 ;规格标准号 GB/T 702-2008</t>
        </is>
      </c>
      <c r="F551" t="inlineStr">
        <is>
          <t>千克</t>
        </is>
      </c>
      <c r="G551">
        <f>LEFT(D551,FIND("|",D551,1)-1)</f>
        <v/>
      </c>
      <c r="H551">
        <f>MID(D551,FIND("|",D551,FIND("|",D551,1))+1,FIND("|",D551,FIND("|",D551,1)+1)-FIND("|",D551,FIND("|",D551,1))-1)</f>
        <v/>
      </c>
      <c r="J551">
        <f>MID(D551,FIND(";",SUBSTITUTE(D551,"|",REPT(";",LEN(D551)),2))+1,FIND(";",SUBSTITUTE(D551,"|",REPT(";",LEN(D551)),3))-FIND(";",SUBSTITUTE(D551,"|",REPT(";",LEN(D551)),2))-1)</f>
        <v/>
      </c>
      <c r="K551">
        <f>MID(D551,FIND(";",SUBSTITUTE(D551,"|",REPT(";",LEN(D551)),3))+1,FIND(";",SUBSTITUTE(D551,"|",REPT(";",LEN(D551)),4))-FIND(";",SUBSTITUTE(D551,"|",REPT(";",LEN(D551)),3))-1)</f>
        <v/>
      </c>
      <c r="M551">
        <f>MID(D551,FIND(";",SUBSTITUTE(D551,"|",REPT(";",LEN(D551)),4))+1,FIND(";",SUBSTITUTE(D551,"|",REPT(";",LEN(D551)),5))-FIND(";",SUBSTITUTE(D551,"|",REPT(";",LEN(D551)),4))-1)</f>
        <v/>
      </c>
      <c r="N551">
        <f>MID(D551,FIND(";",SUBSTITUTE(D551,"|",REPT(";",LEN(D551)),6))+1,LEN(D551))</f>
        <v/>
      </c>
      <c r="O551">
        <f>MID(D551,FIND(";",SUBSTITUTE(D551,"|",REPT(";",LEN(D551)),5))+1,FIND(";",SUBSTITUTE(D551,"|",REPT(";",LEN(D551)),6))-FIND(";",SUBSTITUTE(D551,"|",REPT(";",LEN(D551)),5))-1)</f>
        <v/>
      </c>
    </row>
    <row r="552">
      <c r="A552" t="inlineStr">
        <is>
          <t>100201</t>
        </is>
      </c>
      <c r="B552" t="inlineStr">
        <is>
          <t>圆钢</t>
        </is>
      </c>
      <c r="C552" t="inlineStr">
        <is>
          <t>600606000</t>
        </is>
      </c>
      <c r="D552" t="inlineStr">
        <is>
          <t>热轧航空用不锈圆钢|圆钢|Y2Cr13Ni2|Φ22|GJB 2294-1995|热轧|GB/T 702-2008</t>
        </is>
      </c>
      <c r="E552" t="inlineStr">
        <is>
          <t>物资名称 热轧航空用不锈圆钢;物资简称 圆钢;牌号 Y2Cr13Ni2;直径 Φ22;技术标准号 GJB 2294-1995;加工工艺 热轧;热处理工艺 ;特殊要求 ;规格标准号 GB/T 702-2008</t>
        </is>
      </c>
      <c r="F552" t="inlineStr">
        <is>
          <t>千克</t>
        </is>
      </c>
      <c r="G552">
        <f>LEFT(D552,FIND("|",D552,1)-1)</f>
        <v/>
      </c>
      <c r="H552">
        <f>MID(D552,FIND("|",D552,FIND("|",D552,1))+1,FIND("|",D552,FIND("|",D552,1)+1)-FIND("|",D552,FIND("|",D552,1))-1)</f>
        <v/>
      </c>
      <c r="J552">
        <f>MID(D552,FIND(";",SUBSTITUTE(D552,"|",REPT(";",LEN(D552)),2))+1,FIND(";",SUBSTITUTE(D552,"|",REPT(";",LEN(D552)),3))-FIND(";",SUBSTITUTE(D552,"|",REPT(";",LEN(D552)),2))-1)</f>
        <v/>
      </c>
      <c r="K552">
        <f>MID(D552,FIND(";",SUBSTITUTE(D552,"|",REPT(";",LEN(D552)),3))+1,FIND(";",SUBSTITUTE(D552,"|",REPT(";",LEN(D552)),4))-FIND(";",SUBSTITUTE(D552,"|",REPT(";",LEN(D552)),3))-1)</f>
        <v/>
      </c>
      <c r="M552">
        <f>MID(D552,FIND(";",SUBSTITUTE(D552,"|",REPT(";",LEN(D552)),4))+1,FIND(";",SUBSTITUTE(D552,"|",REPT(";",LEN(D552)),5))-FIND(";",SUBSTITUTE(D552,"|",REPT(";",LEN(D552)),4))-1)</f>
        <v/>
      </c>
      <c r="N552">
        <f>MID(D552,FIND(";",SUBSTITUTE(D552,"|",REPT(";",LEN(D552)),6))+1,LEN(D552))</f>
        <v/>
      </c>
      <c r="O552">
        <f>MID(D552,FIND(";",SUBSTITUTE(D552,"|",REPT(";",LEN(D552)),5))+1,FIND(";",SUBSTITUTE(D552,"|",REPT(";",LEN(D552)),6))-FIND(";",SUBSTITUTE(D552,"|",REPT(";",LEN(D552)),5))-1)</f>
        <v/>
      </c>
    </row>
    <row r="553">
      <c r="A553" t="inlineStr">
        <is>
          <t>100201</t>
        </is>
      </c>
      <c r="B553" t="inlineStr">
        <is>
          <t>圆钢</t>
        </is>
      </c>
      <c r="C553" t="inlineStr">
        <is>
          <t>600605900</t>
        </is>
      </c>
      <c r="D553" t="inlineStr">
        <is>
          <t>热轧航空用不锈圆钢|圆钢|Y2Cr13Ni2|Φ24|GJB 2294-1995|热轧|GB/T 702-2008</t>
        </is>
      </c>
      <c r="E553" t="inlineStr">
        <is>
          <t>物资名称 热轧航空用不锈圆钢;物资简称 圆钢;牌号 Y2Cr13Ni2;直径 Φ24;技术标准号 GJB 2294-1995;加工工艺 热轧;热处理工艺 ;特殊要求 ;规格标准号 GB/T 702-2008</t>
        </is>
      </c>
      <c r="F553" t="inlineStr">
        <is>
          <t>千克</t>
        </is>
      </c>
      <c r="G553">
        <f>LEFT(D553,FIND("|",D553,1)-1)</f>
        <v/>
      </c>
      <c r="H553">
        <f>MID(D553,FIND("|",D553,FIND("|",D553,1))+1,FIND("|",D553,FIND("|",D553,1)+1)-FIND("|",D553,FIND("|",D553,1))-1)</f>
        <v/>
      </c>
      <c r="J553">
        <f>MID(D553,FIND(";",SUBSTITUTE(D553,"|",REPT(";",LEN(D553)),2))+1,FIND(";",SUBSTITUTE(D553,"|",REPT(";",LEN(D553)),3))-FIND(";",SUBSTITUTE(D553,"|",REPT(";",LEN(D553)),2))-1)</f>
        <v/>
      </c>
      <c r="K553">
        <f>MID(D553,FIND(";",SUBSTITUTE(D553,"|",REPT(";",LEN(D553)),3))+1,FIND(";",SUBSTITUTE(D553,"|",REPT(";",LEN(D553)),4))-FIND(";",SUBSTITUTE(D553,"|",REPT(";",LEN(D553)),3))-1)</f>
        <v/>
      </c>
      <c r="M553">
        <f>MID(D553,FIND(";",SUBSTITUTE(D553,"|",REPT(";",LEN(D553)),4))+1,FIND(";",SUBSTITUTE(D553,"|",REPT(";",LEN(D553)),5))-FIND(";",SUBSTITUTE(D553,"|",REPT(";",LEN(D553)),4))-1)</f>
        <v/>
      </c>
      <c r="N553">
        <f>MID(D553,FIND(";",SUBSTITUTE(D553,"|",REPT(";",LEN(D553)),6))+1,LEN(D553))</f>
        <v/>
      </c>
      <c r="O553">
        <f>MID(D553,FIND(";",SUBSTITUTE(D553,"|",REPT(";",LEN(D553)),5))+1,FIND(";",SUBSTITUTE(D553,"|",REPT(";",LEN(D553)),6))-FIND(";",SUBSTITUTE(D553,"|",REPT(";",LEN(D553)),5))-1)</f>
        <v/>
      </c>
    </row>
    <row r="554">
      <c r="A554" t="inlineStr">
        <is>
          <t>100201</t>
        </is>
      </c>
      <c r="B554" t="inlineStr">
        <is>
          <t>圆钢</t>
        </is>
      </c>
      <c r="C554" t="inlineStr">
        <is>
          <t>600605800</t>
        </is>
      </c>
      <c r="D554" t="inlineStr">
        <is>
          <t>热轧航空用不锈圆钢|圆钢|Y2Cr13Ni2|Φ25|GJB 2294-1995|热轧|GB/T 702-2008</t>
        </is>
      </c>
      <c r="E554" t="inlineStr">
        <is>
          <t>物资名称 热轧航空用不锈圆钢;物资简称 圆钢;牌号 Y2Cr13Ni2;直径 Φ25;技术标准号 GJB 2294-1995;加工工艺 热轧;热处理工艺 ;特殊要求 ;规格标准号 GB/T 702-2008</t>
        </is>
      </c>
      <c r="F554" t="inlineStr">
        <is>
          <t>千克</t>
        </is>
      </c>
      <c r="G554">
        <f>LEFT(D554,FIND("|",D554,1)-1)</f>
        <v/>
      </c>
      <c r="H554">
        <f>MID(D554,FIND("|",D554,FIND("|",D554,1))+1,FIND("|",D554,FIND("|",D554,1)+1)-FIND("|",D554,FIND("|",D554,1))-1)</f>
        <v/>
      </c>
      <c r="J554">
        <f>MID(D554,FIND(";",SUBSTITUTE(D554,"|",REPT(";",LEN(D554)),2))+1,FIND(";",SUBSTITUTE(D554,"|",REPT(";",LEN(D554)),3))-FIND(";",SUBSTITUTE(D554,"|",REPT(";",LEN(D554)),2))-1)</f>
        <v/>
      </c>
      <c r="K554">
        <f>MID(D554,FIND(";",SUBSTITUTE(D554,"|",REPT(";",LEN(D554)),3))+1,FIND(";",SUBSTITUTE(D554,"|",REPT(";",LEN(D554)),4))-FIND(";",SUBSTITUTE(D554,"|",REPT(";",LEN(D554)),3))-1)</f>
        <v/>
      </c>
      <c r="M554">
        <f>MID(D554,FIND(";",SUBSTITUTE(D554,"|",REPT(";",LEN(D554)),4))+1,FIND(";",SUBSTITUTE(D554,"|",REPT(";",LEN(D554)),5))-FIND(";",SUBSTITUTE(D554,"|",REPT(";",LEN(D554)),4))-1)</f>
        <v/>
      </c>
      <c r="N554">
        <f>MID(D554,FIND(";",SUBSTITUTE(D554,"|",REPT(";",LEN(D554)),6))+1,LEN(D554))</f>
        <v/>
      </c>
      <c r="O554">
        <f>MID(D554,FIND(";",SUBSTITUTE(D554,"|",REPT(";",LEN(D554)),5))+1,FIND(";",SUBSTITUTE(D554,"|",REPT(";",LEN(D554)),6))-FIND(";",SUBSTITUTE(D554,"|",REPT(";",LEN(D554)),5))-1)</f>
        <v/>
      </c>
    </row>
    <row r="555">
      <c r="A555" t="inlineStr">
        <is>
          <t>100201</t>
        </is>
      </c>
      <c r="B555" t="inlineStr">
        <is>
          <t>圆钢</t>
        </is>
      </c>
      <c r="C555" t="inlineStr">
        <is>
          <t>600605700</t>
        </is>
      </c>
      <c r="D555" t="inlineStr">
        <is>
          <t>热轧航空用不锈圆钢|圆钢|Y2Cr13Ni2|Φ28|GJB 2294-1995|热轧|GB/T 702-2008</t>
        </is>
      </c>
      <c r="E555" t="inlineStr">
        <is>
          <t>物资名称 热轧航空用不锈圆钢;物资简称 圆钢;牌号 Y2Cr13Ni2;直径 Φ28;技术标准号 GJB 2294-1995;加工工艺 热轧;热处理工艺 ;特殊要求 ;规格标准号 GB/T 702-2008</t>
        </is>
      </c>
      <c r="F555" t="inlineStr">
        <is>
          <t>千克</t>
        </is>
      </c>
      <c r="G555">
        <f>LEFT(D555,FIND("|",D555,1)-1)</f>
        <v/>
      </c>
      <c r="H555">
        <f>MID(D555,FIND("|",D555,FIND("|",D555,1))+1,FIND("|",D555,FIND("|",D555,1)+1)-FIND("|",D555,FIND("|",D555,1))-1)</f>
        <v/>
      </c>
      <c r="J555">
        <f>MID(D555,FIND(";",SUBSTITUTE(D555,"|",REPT(";",LEN(D555)),2))+1,FIND(";",SUBSTITUTE(D555,"|",REPT(";",LEN(D555)),3))-FIND(";",SUBSTITUTE(D555,"|",REPT(";",LEN(D555)),2))-1)</f>
        <v/>
      </c>
      <c r="K555">
        <f>MID(D555,FIND(";",SUBSTITUTE(D555,"|",REPT(";",LEN(D555)),3))+1,FIND(";",SUBSTITUTE(D555,"|",REPT(";",LEN(D555)),4))-FIND(";",SUBSTITUTE(D555,"|",REPT(";",LEN(D555)),3))-1)</f>
        <v/>
      </c>
      <c r="M555">
        <f>MID(D555,FIND(";",SUBSTITUTE(D555,"|",REPT(";",LEN(D555)),4))+1,FIND(";",SUBSTITUTE(D555,"|",REPT(";",LEN(D555)),5))-FIND(";",SUBSTITUTE(D555,"|",REPT(";",LEN(D555)),4))-1)</f>
        <v/>
      </c>
      <c r="N555">
        <f>MID(D555,FIND(";",SUBSTITUTE(D555,"|",REPT(";",LEN(D555)),6))+1,LEN(D555))</f>
        <v/>
      </c>
      <c r="O555">
        <f>MID(D555,FIND(";",SUBSTITUTE(D555,"|",REPT(";",LEN(D555)),5))+1,FIND(";",SUBSTITUTE(D555,"|",REPT(";",LEN(D555)),6))-FIND(";",SUBSTITUTE(D555,"|",REPT(";",LEN(D555)),5))-1)</f>
        <v/>
      </c>
    </row>
    <row r="556">
      <c r="A556" t="inlineStr">
        <is>
          <t>100201</t>
        </is>
      </c>
      <c r="B556" t="inlineStr">
        <is>
          <t>圆钢</t>
        </is>
      </c>
      <c r="C556" t="inlineStr">
        <is>
          <t>600605600</t>
        </is>
      </c>
      <c r="D556" t="inlineStr">
        <is>
          <t>热轧航空用不锈圆钢|圆钢|Y2Cr13Ni2|Φ30|GJB 2294-1995|热轧|GB/T 702-2008</t>
        </is>
      </c>
      <c r="E556" t="inlineStr">
        <is>
          <t>物资名称 热轧航空用不锈圆钢;物资简称 圆钢;牌号 Y2Cr13Ni2;直径 Φ30;技术标准号 GJB 2294-1995;加工工艺 热轧;热处理工艺 ;特殊要求 ;规格标准号 GB/T 702-2008</t>
        </is>
      </c>
      <c r="F556" t="inlineStr">
        <is>
          <t>千克</t>
        </is>
      </c>
      <c r="G556">
        <f>LEFT(D556,FIND("|",D556,1)-1)</f>
        <v/>
      </c>
      <c r="H556">
        <f>MID(D556,FIND("|",D556,FIND("|",D556,1))+1,FIND("|",D556,FIND("|",D556,1)+1)-FIND("|",D556,FIND("|",D556,1))-1)</f>
        <v/>
      </c>
      <c r="J556">
        <f>MID(D556,FIND(";",SUBSTITUTE(D556,"|",REPT(";",LEN(D556)),2))+1,FIND(";",SUBSTITUTE(D556,"|",REPT(";",LEN(D556)),3))-FIND(";",SUBSTITUTE(D556,"|",REPT(";",LEN(D556)),2))-1)</f>
        <v/>
      </c>
      <c r="K556">
        <f>MID(D556,FIND(";",SUBSTITUTE(D556,"|",REPT(";",LEN(D556)),3))+1,FIND(";",SUBSTITUTE(D556,"|",REPT(";",LEN(D556)),4))-FIND(";",SUBSTITUTE(D556,"|",REPT(";",LEN(D556)),3))-1)</f>
        <v/>
      </c>
      <c r="M556">
        <f>MID(D556,FIND(";",SUBSTITUTE(D556,"|",REPT(";",LEN(D556)),4))+1,FIND(";",SUBSTITUTE(D556,"|",REPT(";",LEN(D556)),5))-FIND(";",SUBSTITUTE(D556,"|",REPT(";",LEN(D556)),4))-1)</f>
        <v/>
      </c>
      <c r="N556">
        <f>MID(D556,FIND(";",SUBSTITUTE(D556,"|",REPT(";",LEN(D556)),6))+1,LEN(D556))</f>
        <v/>
      </c>
      <c r="O556">
        <f>MID(D556,FIND(";",SUBSTITUTE(D556,"|",REPT(";",LEN(D556)),5))+1,FIND(";",SUBSTITUTE(D556,"|",REPT(";",LEN(D556)),6))-FIND(";",SUBSTITUTE(D556,"|",REPT(";",LEN(D556)),5))-1)</f>
        <v/>
      </c>
    </row>
    <row r="557">
      <c r="A557" t="inlineStr">
        <is>
          <t>100201</t>
        </is>
      </c>
      <c r="B557" t="inlineStr">
        <is>
          <t>圆钢</t>
        </is>
      </c>
      <c r="C557" t="inlineStr">
        <is>
          <t>600605500</t>
        </is>
      </c>
      <c r="D557" t="inlineStr">
        <is>
          <t>热轧航空用不锈圆钢|圆钢|Y2Cr13Ni2|Φ32|GJB 2294-1995|热轧|GB/T 702-2008</t>
        </is>
      </c>
      <c r="E557" t="inlineStr">
        <is>
          <t>物资名称 热轧航空用不锈圆钢;物资简称 圆钢;牌号 Y2Cr13Ni2;直径 Φ32;技术标准号 GJB 2294-1995;加工工艺 热轧;热处理工艺 ;特殊要求 ;规格标准号 GB/T 702-2008</t>
        </is>
      </c>
      <c r="F557" t="inlineStr">
        <is>
          <t>千克</t>
        </is>
      </c>
      <c r="G557">
        <f>LEFT(D557,FIND("|",D557,1)-1)</f>
        <v/>
      </c>
      <c r="H557">
        <f>MID(D557,FIND("|",D557,FIND("|",D557,1))+1,FIND("|",D557,FIND("|",D557,1)+1)-FIND("|",D557,FIND("|",D557,1))-1)</f>
        <v/>
      </c>
      <c r="J557">
        <f>MID(D557,FIND(";",SUBSTITUTE(D557,"|",REPT(";",LEN(D557)),2))+1,FIND(";",SUBSTITUTE(D557,"|",REPT(";",LEN(D557)),3))-FIND(";",SUBSTITUTE(D557,"|",REPT(";",LEN(D557)),2))-1)</f>
        <v/>
      </c>
      <c r="K557">
        <f>MID(D557,FIND(";",SUBSTITUTE(D557,"|",REPT(";",LEN(D557)),3))+1,FIND(";",SUBSTITUTE(D557,"|",REPT(";",LEN(D557)),4))-FIND(";",SUBSTITUTE(D557,"|",REPT(";",LEN(D557)),3))-1)</f>
        <v/>
      </c>
      <c r="M557">
        <f>MID(D557,FIND(";",SUBSTITUTE(D557,"|",REPT(";",LEN(D557)),4))+1,FIND(";",SUBSTITUTE(D557,"|",REPT(";",LEN(D557)),5))-FIND(";",SUBSTITUTE(D557,"|",REPT(";",LEN(D557)),4))-1)</f>
        <v/>
      </c>
      <c r="N557">
        <f>MID(D557,FIND(";",SUBSTITUTE(D557,"|",REPT(";",LEN(D557)),6))+1,LEN(D557))</f>
        <v/>
      </c>
      <c r="O557">
        <f>MID(D557,FIND(";",SUBSTITUTE(D557,"|",REPT(";",LEN(D557)),5))+1,FIND(";",SUBSTITUTE(D557,"|",REPT(";",LEN(D557)),6))-FIND(";",SUBSTITUTE(D557,"|",REPT(";",LEN(D557)),5))-1)</f>
        <v/>
      </c>
    </row>
    <row r="558">
      <c r="A558" t="inlineStr">
        <is>
          <t>100201</t>
        </is>
      </c>
      <c r="B558" t="inlineStr">
        <is>
          <t>圆钢</t>
        </is>
      </c>
      <c r="C558" t="inlineStr">
        <is>
          <t>600605400</t>
        </is>
      </c>
      <c r="D558" t="inlineStr">
        <is>
          <t>热轧航空用不锈圆钢|圆钢|Y2Cr13Ni2|Φ35|GJB 2294-1995|热轧|退火|GB/T 702-2008</t>
        </is>
      </c>
      <c r="E558" t="inlineStr">
        <is>
          <t>物资名称 热轧航空用不锈圆钢;物资简称 圆钢;牌号 Y2Cr13Ni2;直径 Φ35;技术标准号 GJB 2294-1995;加工工艺 热轧;热处理工艺 退火;特殊要求 ;规格标准号 GB/T 702-2008</t>
        </is>
      </c>
      <c r="F558" t="inlineStr">
        <is>
          <t>千克</t>
        </is>
      </c>
      <c r="G558">
        <f>LEFT(D558,FIND("|",D558,1)-1)</f>
        <v/>
      </c>
      <c r="H558">
        <f>MID(D558,FIND("|",D558,FIND("|",D558,1))+1,FIND("|",D558,FIND("|",D558,1)+1)-FIND("|",D558,FIND("|",D558,1))-1)</f>
        <v/>
      </c>
      <c r="J558">
        <f>MID(D558,FIND(";",SUBSTITUTE(D558,"|",REPT(";",LEN(D558)),2))+1,FIND(";",SUBSTITUTE(D558,"|",REPT(";",LEN(D558)),3))-FIND(";",SUBSTITUTE(D558,"|",REPT(";",LEN(D558)),2))-1)</f>
        <v/>
      </c>
      <c r="K558">
        <f>MID(D558,FIND(";",SUBSTITUTE(D558,"|",REPT(";",LEN(D558)),3))+1,FIND(";",SUBSTITUTE(D558,"|",REPT(";",LEN(D558)),4))-FIND(";",SUBSTITUTE(D558,"|",REPT(";",LEN(D558)),3))-1)</f>
        <v/>
      </c>
      <c r="M558">
        <f>MID(D558,FIND(";",SUBSTITUTE(D558,"|",REPT(";",LEN(D558)),4))+1,FIND(";",SUBSTITUTE(D558,"|",REPT(";",LEN(D558)),5))-FIND(";",SUBSTITUTE(D558,"|",REPT(";",LEN(D558)),4))-1)</f>
        <v/>
      </c>
      <c r="N558">
        <f>MID(D558,FIND(";",SUBSTITUTE(D558,"|",REPT(";",LEN(D558)),7))+1,LEN(D558))</f>
        <v/>
      </c>
      <c r="O558">
        <f>MID(D558,FIND(";",SUBSTITUTE(D558,"|",REPT(";",LEN(D558)),5))+1,FIND(";",SUBSTITUTE(D558,"|",REPT(";",LEN(D558)),6))-FIND(";",SUBSTITUTE(D558,"|",REPT(";",LEN(D558)),5))-1)</f>
        <v/>
      </c>
      <c r="P558">
        <f>MID(D558,FIND(";",SUBSTITUTE(D558,"|",REPT(";",LEN(D558)),6))+1,FIND(";",SUBSTITUTE(D558,"|",REPT(";",LEN(D558)),7))-FIND(";",SUBSTITUTE(D558,"|",REPT(";",LEN(D558)),6))-1)</f>
        <v/>
      </c>
    </row>
    <row r="559">
      <c r="A559" t="inlineStr">
        <is>
          <t>100201</t>
        </is>
      </c>
      <c r="B559" t="inlineStr">
        <is>
          <t>圆钢</t>
        </is>
      </c>
      <c r="C559" t="inlineStr">
        <is>
          <t>600605300</t>
        </is>
      </c>
      <c r="D559" t="inlineStr">
        <is>
          <t>热轧航空用不锈圆钢|圆钢|Y2Cr13Ni2|Φ42|GJB 2294-1995|热轧|退火|GB/T 702-2008</t>
        </is>
      </c>
      <c r="E559" t="inlineStr">
        <is>
          <t>物资名称 热轧航空用不锈圆钢;物资简称 圆钢;牌号 Y2Cr13Ni2;直径 Φ42;技术标准号 GJB 2294-1995;加工工艺 热轧;热处理工艺 退火;特殊要求 ;规格标准号 GB/T 702-2008</t>
        </is>
      </c>
      <c r="F559" t="inlineStr">
        <is>
          <t>千克</t>
        </is>
      </c>
      <c r="G559">
        <f>LEFT(D559,FIND("|",D559,1)-1)</f>
        <v/>
      </c>
      <c r="H559">
        <f>MID(D559,FIND("|",D559,FIND("|",D559,1))+1,FIND("|",D559,FIND("|",D559,1)+1)-FIND("|",D559,FIND("|",D559,1))-1)</f>
        <v/>
      </c>
      <c r="J559">
        <f>MID(D559,FIND(";",SUBSTITUTE(D559,"|",REPT(";",LEN(D559)),2))+1,FIND(";",SUBSTITUTE(D559,"|",REPT(";",LEN(D559)),3))-FIND(";",SUBSTITUTE(D559,"|",REPT(";",LEN(D559)),2))-1)</f>
        <v/>
      </c>
      <c r="K559">
        <f>MID(D559,FIND(";",SUBSTITUTE(D559,"|",REPT(";",LEN(D559)),3))+1,FIND(";",SUBSTITUTE(D559,"|",REPT(";",LEN(D559)),4))-FIND(";",SUBSTITUTE(D559,"|",REPT(";",LEN(D559)),3))-1)</f>
        <v/>
      </c>
      <c r="M559">
        <f>MID(D559,FIND(";",SUBSTITUTE(D559,"|",REPT(";",LEN(D559)),4))+1,FIND(";",SUBSTITUTE(D559,"|",REPT(";",LEN(D559)),5))-FIND(";",SUBSTITUTE(D559,"|",REPT(";",LEN(D559)),4))-1)</f>
        <v/>
      </c>
      <c r="N559">
        <f>MID(D559,FIND(";",SUBSTITUTE(D559,"|",REPT(";",LEN(D559)),7))+1,LEN(D559))</f>
        <v/>
      </c>
      <c r="O559">
        <f>MID(D559,FIND(";",SUBSTITUTE(D559,"|",REPT(";",LEN(D559)),5))+1,FIND(";",SUBSTITUTE(D559,"|",REPT(";",LEN(D559)),6))-FIND(";",SUBSTITUTE(D559,"|",REPT(";",LEN(D559)),5))-1)</f>
        <v/>
      </c>
      <c r="P559">
        <f>MID(D559,FIND(";",SUBSTITUTE(D559,"|",REPT(";",LEN(D559)),6))+1,FIND(";",SUBSTITUTE(D559,"|",REPT(";",LEN(D559)),7))-FIND(";",SUBSTITUTE(D559,"|",REPT(";",LEN(D559)),6))-1)</f>
        <v/>
      </c>
    </row>
    <row r="560">
      <c r="A560" t="inlineStr">
        <is>
          <t>100201</t>
        </is>
      </c>
      <c r="B560" t="inlineStr">
        <is>
          <t>圆钢</t>
        </is>
      </c>
      <c r="C560" t="inlineStr">
        <is>
          <t>600605200</t>
        </is>
      </c>
      <c r="D560" t="inlineStr">
        <is>
          <t>热轧航空用不锈圆钢|圆钢|Y2Cr13Ni2|Φ42|GJB 2294-1995|热轧|GB/T 702-2008</t>
        </is>
      </c>
      <c r="E560" t="inlineStr">
        <is>
          <t>物资名称 热轧航空用不锈圆钢;物资简称 圆钢;牌号 Y2Cr13Ni2;直径 Φ42;技术标准号 GJB 2294-1995;加工工艺 热轧;热处理工艺 ;特殊要求 ;规格标准号 GB/T 702-2008</t>
        </is>
      </c>
      <c r="F560" t="inlineStr">
        <is>
          <t>千克</t>
        </is>
      </c>
      <c r="G560">
        <f>LEFT(D560,FIND("|",D560,1)-1)</f>
        <v/>
      </c>
      <c r="H560">
        <f>MID(D560,FIND("|",D560,FIND("|",D560,1))+1,FIND("|",D560,FIND("|",D560,1)+1)-FIND("|",D560,FIND("|",D560,1))-1)</f>
        <v/>
      </c>
      <c r="J560">
        <f>MID(D560,FIND(";",SUBSTITUTE(D560,"|",REPT(";",LEN(D560)),2))+1,FIND(";",SUBSTITUTE(D560,"|",REPT(";",LEN(D560)),3))-FIND(";",SUBSTITUTE(D560,"|",REPT(";",LEN(D560)),2))-1)</f>
        <v/>
      </c>
      <c r="K560">
        <f>MID(D560,FIND(";",SUBSTITUTE(D560,"|",REPT(";",LEN(D560)),3))+1,FIND(";",SUBSTITUTE(D560,"|",REPT(";",LEN(D560)),4))-FIND(";",SUBSTITUTE(D560,"|",REPT(";",LEN(D560)),3))-1)</f>
        <v/>
      </c>
      <c r="M560">
        <f>MID(D560,FIND(";",SUBSTITUTE(D560,"|",REPT(";",LEN(D560)),4))+1,FIND(";",SUBSTITUTE(D560,"|",REPT(";",LEN(D560)),5))-FIND(";",SUBSTITUTE(D560,"|",REPT(";",LEN(D560)),4))-1)</f>
        <v/>
      </c>
      <c r="N560">
        <f>MID(D560,FIND(";",SUBSTITUTE(D560,"|",REPT(";",LEN(D560)),6))+1,LEN(D560))</f>
        <v/>
      </c>
      <c r="O560">
        <f>MID(D560,FIND(";",SUBSTITUTE(D560,"|",REPT(";",LEN(D560)),5))+1,FIND(";",SUBSTITUTE(D560,"|",REPT(";",LEN(D560)),6))-FIND(";",SUBSTITUTE(D560,"|",REPT(";",LEN(D560)),5))-1)</f>
        <v/>
      </c>
    </row>
    <row r="561">
      <c r="A561" t="inlineStr">
        <is>
          <t>100201</t>
        </is>
      </c>
      <c r="B561" t="inlineStr">
        <is>
          <t>圆钢</t>
        </is>
      </c>
      <c r="C561" t="inlineStr">
        <is>
          <t>600605100</t>
        </is>
      </c>
      <c r="D561" t="inlineStr">
        <is>
          <t>热轧航空用不锈圆钢|圆钢|Y2Cr13Ni2|Φ45|GJB 2294-1995|热轧|GB/T 702-2008</t>
        </is>
      </c>
      <c r="E561" t="inlineStr">
        <is>
          <t>物资名称 热轧航空用不锈圆钢;物资简称 圆钢;牌号 Y2Cr13Ni2;直径 Φ45;技术标准号 GJB 2294-1995;加工工艺 热轧;热处理工艺 ;特殊要求 ;规格标准号 GB/T 702-2008</t>
        </is>
      </c>
      <c r="F561" t="inlineStr">
        <is>
          <t>千克</t>
        </is>
      </c>
      <c r="G561">
        <f>LEFT(D561,FIND("|",D561,1)-1)</f>
        <v/>
      </c>
      <c r="H561">
        <f>MID(D561,FIND("|",D561,FIND("|",D561,1))+1,FIND("|",D561,FIND("|",D561,1)+1)-FIND("|",D561,FIND("|",D561,1))-1)</f>
        <v/>
      </c>
      <c r="J561">
        <f>MID(D561,FIND(";",SUBSTITUTE(D561,"|",REPT(";",LEN(D561)),2))+1,FIND(";",SUBSTITUTE(D561,"|",REPT(";",LEN(D561)),3))-FIND(";",SUBSTITUTE(D561,"|",REPT(";",LEN(D561)),2))-1)</f>
        <v/>
      </c>
      <c r="K561">
        <f>MID(D561,FIND(";",SUBSTITUTE(D561,"|",REPT(";",LEN(D561)),3))+1,FIND(";",SUBSTITUTE(D561,"|",REPT(";",LEN(D561)),4))-FIND(";",SUBSTITUTE(D561,"|",REPT(";",LEN(D561)),3))-1)</f>
        <v/>
      </c>
      <c r="M561">
        <f>MID(D561,FIND(";",SUBSTITUTE(D561,"|",REPT(";",LEN(D561)),4))+1,FIND(";",SUBSTITUTE(D561,"|",REPT(";",LEN(D561)),5))-FIND(";",SUBSTITUTE(D561,"|",REPT(";",LEN(D561)),4))-1)</f>
        <v/>
      </c>
      <c r="N561">
        <f>MID(D561,FIND(";",SUBSTITUTE(D561,"|",REPT(";",LEN(D561)),6))+1,LEN(D561))</f>
        <v/>
      </c>
      <c r="O561">
        <f>MID(D561,FIND(";",SUBSTITUTE(D561,"|",REPT(";",LEN(D561)),5))+1,FIND(";",SUBSTITUTE(D561,"|",REPT(";",LEN(D561)),6))-FIND(";",SUBSTITUTE(D561,"|",REPT(";",LEN(D561)),5))-1)</f>
        <v/>
      </c>
    </row>
    <row r="562">
      <c r="A562" t="inlineStr">
        <is>
          <t>100201</t>
        </is>
      </c>
      <c r="B562" t="inlineStr">
        <is>
          <t>圆钢</t>
        </is>
      </c>
      <c r="C562" t="inlineStr">
        <is>
          <t>600605000</t>
        </is>
      </c>
      <c r="D562" t="inlineStr">
        <is>
          <t>热轧航空用不锈圆钢|圆钢|Y2Cr13Ni2|Φ150|GJB 2294-1995|热轧|GB/T 702-2008</t>
        </is>
      </c>
      <c r="E562" t="inlineStr">
        <is>
          <t>物资名称 热轧航空用不锈圆钢;物资简称 圆钢;牌号 Y2Cr13Ni2;直径 Φ150;技术标准号 GJB 2294-1995;加工工艺 热轧;热处理工艺 ;特殊要求 ;规格标准号 GB/T 702-2008</t>
        </is>
      </c>
      <c r="F562" t="inlineStr">
        <is>
          <t>千克</t>
        </is>
      </c>
      <c r="G562">
        <f>LEFT(D562,FIND("|",D562,1)-1)</f>
        <v/>
      </c>
      <c r="H562">
        <f>MID(D562,FIND("|",D562,FIND("|",D562,1))+1,FIND("|",D562,FIND("|",D562,1)+1)-FIND("|",D562,FIND("|",D562,1))-1)</f>
        <v/>
      </c>
      <c r="J562">
        <f>MID(D562,FIND(";",SUBSTITUTE(D562,"|",REPT(";",LEN(D562)),2))+1,FIND(";",SUBSTITUTE(D562,"|",REPT(";",LEN(D562)),3))-FIND(";",SUBSTITUTE(D562,"|",REPT(";",LEN(D562)),2))-1)</f>
        <v/>
      </c>
      <c r="K562">
        <f>MID(D562,FIND(";",SUBSTITUTE(D562,"|",REPT(";",LEN(D562)),3))+1,FIND(";",SUBSTITUTE(D562,"|",REPT(";",LEN(D562)),4))-FIND(";",SUBSTITUTE(D562,"|",REPT(";",LEN(D562)),3))-1)</f>
        <v/>
      </c>
      <c r="M562">
        <f>MID(D562,FIND(";",SUBSTITUTE(D562,"|",REPT(";",LEN(D562)),4))+1,FIND(";",SUBSTITUTE(D562,"|",REPT(";",LEN(D562)),5))-FIND(";",SUBSTITUTE(D562,"|",REPT(";",LEN(D562)),4))-1)</f>
        <v/>
      </c>
      <c r="N562">
        <f>MID(D562,FIND(";",SUBSTITUTE(D562,"|",REPT(";",LEN(D562)),6))+1,LEN(D562))</f>
        <v/>
      </c>
      <c r="O562">
        <f>MID(D562,FIND(";",SUBSTITUTE(D562,"|",REPT(";",LEN(D562)),5))+1,FIND(";",SUBSTITUTE(D562,"|",REPT(";",LEN(D562)),6))-FIND(";",SUBSTITUTE(D562,"|",REPT(";",LEN(D562)),5))-1)</f>
        <v/>
      </c>
    </row>
    <row r="563">
      <c r="A563" t="inlineStr">
        <is>
          <t>100201</t>
        </is>
      </c>
      <c r="B563" t="inlineStr">
        <is>
          <t>圆钢</t>
        </is>
      </c>
      <c r="C563" t="inlineStr">
        <is>
          <t>600603200</t>
        </is>
      </c>
      <c r="D563" t="inlineStr">
        <is>
          <t>不锈钢棒|钢棒|Y12Cr18Ni9|GB/T 1220-2007</t>
        </is>
      </c>
      <c r="E563" t="inlineStr">
        <is>
          <t xml:space="preserve">物资名称 不锈钢棒;物资简称 钢棒;牌号 Y12Cr18Ni9;直径 Φ;技术标准号 GB/T 1220-2007;加工工艺 ;热处理工艺 ;特殊要求 ;规格标准号 </t>
        </is>
      </c>
      <c r="F563" t="inlineStr">
        <is>
          <t>千克</t>
        </is>
      </c>
      <c r="G563">
        <f>LEFT(D563,FIND("|",D563,1)-1)</f>
        <v/>
      </c>
      <c r="H563">
        <f>MID(D563,FIND("|",D563,FIND("|",D563,1))+1,FIND("|",D563,FIND("|",D563,1)+1)-FIND("|",D563,FIND("|",D563,1))-1)</f>
        <v/>
      </c>
      <c r="J563">
        <f>MID(D563,FIND(";",SUBSTITUTE(D563,"|",REPT(";",LEN(D563)),2))+1,FIND(";",SUBSTITUTE(D563,"|",REPT(";",LEN(D563)),3))-FIND(";",SUBSTITUTE(D563,"|",REPT(";",LEN(D563)),2))-1)</f>
        <v/>
      </c>
      <c r="M563">
        <f>MID(D563,FIND(";",SUBSTITUTE(D563,"|",REPT(";",LEN(D563)),3))+1,LEN(D563))</f>
        <v/>
      </c>
    </row>
    <row r="564">
      <c r="A564" t="inlineStr">
        <is>
          <t>100201</t>
        </is>
      </c>
      <c r="B564" t="inlineStr">
        <is>
          <t>圆钢</t>
        </is>
      </c>
      <c r="C564" t="inlineStr">
        <is>
          <t>600603100</t>
        </is>
      </c>
      <c r="D564" t="inlineStr">
        <is>
          <t>热轧不锈圆钢|圆钢|Y12Cr18Ni9|GB/T 1220-2007|GB/T 702-2008</t>
        </is>
      </c>
      <c r="E564" t="inlineStr">
        <is>
          <t>物资名称 热轧不锈圆钢;物资简称 圆钢;牌号 Y12Cr18Ni9;直径 Φ;技术标准号 GB/T 1220-2007;加工工艺 ;热处理工艺 ;特殊要求 ;规格标准号 GB/T 702-2008</t>
        </is>
      </c>
      <c r="F564" t="inlineStr">
        <is>
          <t>千克</t>
        </is>
      </c>
      <c r="G564">
        <f>LEFT(D564,FIND("|",D564,1)-1)</f>
        <v/>
      </c>
      <c r="H564">
        <f>MID(D564,FIND("|",D564,FIND("|",D564,1))+1,FIND("|",D564,FIND("|",D564,1)+1)-FIND("|",D564,FIND("|",D564,1))-1)</f>
        <v/>
      </c>
      <c r="J564">
        <f>MID(D564,FIND(";",SUBSTITUTE(D564,"|",REPT(";",LEN(D564)),2))+1,FIND(";",SUBSTITUTE(D564,"|",REPT(";",LEN(D564)),3))-FIND(";",SUBSTITUTE(D564,"|",REPT(";",LEN(D564)),2))-1)</f>
        <v/>
      </c>
      <c r="M564">
        <f>MID(D564,FIND(";",SUBSTITUTE(D564,"|",REPT(";",LEN(D564)),3))+1,FIND(";",SUBSTITUTE(D564,"|",REPT(";",LEN(D564)),4))-FIND(";",SUBSTITUTE(D564,"|",REPT(";",LEN(D564)),3))-1)</f>
        <v/>
      </c>
      <c r="N564">
        <f>MID(D564,FIND(";",SUBSTITUTE(D564,"|",REPT(";",LEN(D564)),4))+1,LEN(D564))</f>
        <v/>
      </c>
    </row>
    <row r="565">
      <c r="A565" t="inlineStr">
        <is>
          <t>100201</t>
        </is>
      </c>
      <c r="B565" t="inlineStr">
        <is>
          <t>圆钢</t>
        </is>
      </c>
      <c r="C565" t="inlineStr">
        <is>
          <t>600603000</t>
        </is>
      </c>
      <c r="D565" t="inlineStr">
        <is>
          <t>热轧不锈圆钢|圆钢|Y12Cr18Ni9|Φ50|GB/T 1220-2007|热轧|GB/T 702-2008</t>
        </is>
      </c>
      <c r="E565" t="inlineStr">
        <is>
          <t>物资名称 热轧不锈圆钢;物资简称 圆钢;牌号 Y12Cr18Ni9;直径 Φ50;技术标准号 GB/T 1220-2007;加工工艺 热轧;热处理工艺 ;特殊要求 ;规格标准号 GB/T 702-2008</t>
        </is>
      </c>
      <c r="F565" t="inlineStr">
        <is>
          <t>千克</t>
        </is>
      </c>
      <c r="G565">
        <f>LEFT(D565,FIND("|",D565,1)-1)</f>
        <v/>
      </c>
      <c r="H565">
        <f>MID(D565,FIND("|",D565,FIND("|",D565,1))+1,FIND("|",D565,FIND("|",D565,1)+1)-FIND("|",D565,FIND("|",D565,1))-1)</f>
        <v/>
      </c>
      <c r="J565">
        <f>MID(D565,FIND(";",SUBSTITUTE(D565,"|",REPT(";",LEN(D565)),2))+1,FIND(";",SUBSTITUTE(D565,"|",REPT(";",LEN(D565)),3))-FIND(";",SUBSTITUTE(D565,"|",REPT(";",LEN(D565)),2))-1)</f>
        <v/>
      </c>
      <c r="K565">
        <f>MID(D565,FIND(";",SUBSTITUTE(D565,"|",REPT(";",LEN(D565)),3))+1,FIND(";",SUBSTITUTE(D565,"|",REPT(";",LEN(D565)),4))-FIND(";",SUBSTITUTE(D565,"|",REPT(";",LEN(D565)),3))-1)</f>
        <v/>
      </c>
      <c r="M565">
        <f>MID(D565,FIND(";",SUBSTITUTE(D565,"|",REPT(";",LEN(D565)),4))+1,FIND(";",SUBSTITUTE(D565,"|",REPT(";",LEN(D565)),5))-FIND(";",SUBSTITUTE(D565,"|",REPT(";",LEN(D565)),4))-1)</f>
        <v/>
      </c>
      <c r="N565">
        <f>MID(D565,FIND(";",SUBSTITUTE(D565,"|",REPT(";",LEN(D565)),6))+1,LEN(D565))</f>
        <v/>
      </c>
      <c r="O565">
        <f>MID(D565,FIND(";",SUBSTITUTE(D565,"|",REPT(";",LEN(D565)),5))+1,FIND(";",SUBSTITUTE(D565,"|",REPT(";",LEN(D565)),6))-FIND(";",SUBSTITUTE(D565,"|",REPT(";",LEN(D565)),5))-1)</f>
        <v/>
      </c>
    </row>
    <row r="566">
      <c r="A566" t="inlineStr">
        <is>
          <t>100201</t>
        </is>
      </c>
      <c r="B566" t="inlineStr">
        <is>
          <t>圆钢</t>
        </is>
      </c>
      <c r="C566" t="inlineStr">
        <is>
          <t>600602900</t>
        </is>
      </c>
      <c r="D566" t="inlineStr">
        <is>
          <t>热轧不锈圆钢|圆钢|Y12Cr18Ni9|Φ55|GB/T 1220-2007|热轧|GB/T 702-2008</t>
        </is>
      </c>
      <c r="E566" t="inlineStr">
        <is>
          <t>物资名称 热轧不锈圆钢;物资简称 圆钢;牌号 Y12Cr18Ni9;直径 Φ55;技术标准号 GB/T 1220-2007;加工工艺 热轧;热处理工艺 ;特殊要求 ;规格标准号 GB/T 702-2008</t>
        </is>
      </c>
      <c r="F566" t="inlineStr">
        <is>
          <t>千克</t>
        </is>
      </c>
      <c r="G566">
        <f>LEFT(D566,FIND("|",D566,1)-1)</f>
        <v/>
      </c>
      <c r="H566">
        <f>MID(D566,FIND("|",D566,FIND("|",D566,1))+1,FIND("|",D566,FIND("|",D566,1)+1)-FIND("|",D566,FIND("|",D566,1))-1)</f>
        <v/>
      </c>
      <c r="J566">
        <f>MID(D566,FIND(";",SUBSTITUTE(D566,"|",REPT(";",LEN(D566)),2))+1,FIND(";",SUBSTITUTE(D566,"|",REPT(";",LEN(D566)),3))-FIND(";",SUBSTITUTE(D566,"|",REPT(";",LEN(D566)),2))-1)</f>
        <v/>
      </c>
      <c r="K566">
        <f>MID(D566,FIND(";",SUBSTITUTE(D566,"|",REPT(";",LEN(D566)),3))+1,FIND(";",SUBSTITUTE(D566,"|",REPT(";",LEN(D566)),4))-FIND(";",SUBSTITUTE(D566,"|",REPT(";",LEN(D566)),3))-1)</f>
        <v/>
      </c>
      <c r="M566">
        <f>MID(D566,FIND(";",SUBSTITUTE(D566,"|",REPT(";",LEN(D566)),4))+1,FIND(";",SUBSTITUTE(D566,"|",REPT(";",LEN(D566)),5))-FIND(";",SUBSTITUTE(D566,"|",REPT(";",LEN(D566)),4))-1)</f>
        <v/>
      </c>
      <c r="N566">
        <f>MID(D566,FIND(";",SUBSTITUTE(D566,"|",REPT(";",LEN(D566)),6))+1,LEN(D566))</f>
        <v/>
      </c>
      <c r="O566">
        <f>MID(D566,FIND(";",SUBSTITUTE(D566,"|",REPT(";",LEN(D566)),5))+1,FIND(";",SUBSTITUTE(D566,"|",REPT(";",LEN(D566)),6))-FIND(";",SUBSTITUTE(D566,"|",REPT(";",LEN(D566)),5))-1)</f>
        <v/>
      </c>
    </row>
    <row r="567">
      <c r="A567" t="inlineStr">
        <is>
          <t>100201</t>
        </is>
      </c>
      <c r="B567" t="inlineStr">
        <is>
          <t>圆钢</t>
        </is>
      </c>
      <c r="C567" t="inlineStr">
        <is>
          <t>600602800</t>
        </is>
      </c>
      <c r="D567" t="inlineStr">
        <is>
          <t>热轧不锈圆钢|圆钢|Y12Cr18Ni9|Φ65|GB/T 1220-2007|热轧|GB/T 702-2008</t>
        </is>
      </c>
      <c r="E567" t="inlineStr">
        <is>
          <t>物资名称 热轧不锈圆钢;物资简称 圆钢;牌号 Y12Cr18Ni9;直径 Φ65;技术标准号 GB/T 1220-2007;加工工艺 热轧;热处理工艺 ;特殊要求 ;规格标准号 GB/T 702-2008</t>
        </is>
      </c>
      <c r="F567" t="inlineStr">
        <is>
          <t>千克</t>
        </is>
      </c>
      <c r="G567">
        <f>LEFT(D567,FIND("|",D567,1)-1)</f>
        <v/>
      </c>
      <c r="H567">
        <f>MID(D567,FIND("|",D567,FIND("|",D567,1))+1,FIND("|",D567,FIND("|",D567,1)+1)-FIND("|",D567,FIND("|",D567,1))-1)</f>
        <v/>
      </c>
      <c r="J567">
        <f>MID(D567,FIND(";",SUBSTITUTE(D567,"|",REPT(";",LEN(D567)),2))+1,FIND(";",SUBSTITUTE(D567,"|",REPT(";",LEN(D567)),3))-FIND(";",SUBSTITUTE(D567,"|",REPT(";",LEN(D567)),2))-1)</f>
        <v/>
      </c>
      <c r="K567">
        <f>MID(D567,FIND(";",SUBSTITUTE(D567,"|",REPT(";",LEN(D567)),3))+1,FIND(";",SUBSTITUTE(D567,"|",REPT(";",LEN(D567)),4))-FIND(";",SUBSTITUTE(D567,"|",REPT(";",LEN(D567)),3))-1)</f>
        <v/>
      </c>
      <c r="M567">
        <f>MID(D567,FIND(";",SUBSTITUTE(D567,"|",REPT(";",LEN(D567)),4))+1,FIND(";",SUBSTITUTE(D567,"|",REPT(";",LEN(D567)),5))-FIND(";",SUBSTITUTE(D567,"|",REPT(";",LEN(D567)),4))-1)</f>
        <v/>
      </c>
      <c r="N567">
        <f>MID(D567,FIND(";",SUBSTITUTE(D567,"|",REPT(";",LEN(D567)),6))+1,LEN(D567))</f>
        <v/>
      </c>
      <c r="O567">
        <f>MID(D567,FIND(";",SUBSTITUTE(D567,"|",REPT(";",LEN(D567)),5))+1,FIND(";",SUBSTITUTE(D567,"|",REPT(";",LEN(D567)),6))-FIND(";",SUBSTITUTE(D567,"|",REPT(";",LEN(D567)),5))-1)</f>
        <v/>
      </c>
    </row>
    <row r="568">
      <c r="A568" t="inlineStr">
        <is>
          <t>100201</t>
        </is>
      </c>
      <c r="B568" t="inlineStr">
        <is>
          <t>圆钢</t>
        </is>
      </c>
      <c r="C568" t="inlineStr">
        <is>
          <t>600602700</t>
        </is>
      </c>
      <c r="D568" t="inlineStr">
        <is>
          <t>热轧不锈圆钢|圆钢|Y12Cr18Ni9|Φ85|GB/T 1220-2007|热轧|GB/T 702-2008</t>
        </is>
      </c>
      <c r="E568" t="inlineStr">
        <is>
          <t>物资名称 热轧不锈圆钢;物资简称 圆钢;牌号 Y12Cr18Ni9;直径 Φ85;技术标准号 GB/T 1220-2007;加工工艺 热轧;热处理工艺 ;特殊要求 ;规格标准号 GB/T 702-2008</t>
        </is>
      </c>
      <c r="F568" t="inlineStr">
        <is>
          <t>千克</t>
        </is>
      </c>
      <c r="G568">
        <f>LEFT(D568,FIND("|",D568,1)-1)</f>
        <v/>
      </c>
      <c r="H568">
        <f>MID(D568,FIND("|",D568,FIND("|",D568,1))+1,FIND("|",D568,FIND("|",D568,1)+1)-FIND("|",D568,FIND("|",D568,1))-1)</f>
        <v/>
      </c>
      <c r="J568">
        <f>MID(D568,FIND(";",SUBSTITUTE(D568,"|",REPT(";",LEN(D568)),2))+1,FIND(";",SUBSTITUTE(D568,"|",REPT(";",LEN(D568)),3))-FIND(";",SUBSTITUTE(D568,"|",REPT(";",LEN(D568)),2))-1)</f>
        <v/>
      </c>
      <c r="K568">
        <f>MID(D568,FIND(";",SUBSTITUTE(D568,"|",REPT(";",LEN(D568)),3))+1,FIND(";",SUBSTITUTE(D568,"|",REPT(";",LEN(D568)),4))-FIND(";",SUBSTITUTE(D568,"|",REPT(";",LEN(D568)),3))-1)</f>
        <v/>
      </c>
      <c r="M568">
        <f>MID(D568,FIND(";",SUBSTITUTE(D568,"|",REPT(";",LEN(D568)),4))+1,FIND(";",SUBSTITUTE(D568,"|",REPT(";",LEN(D568)),5))-FIND(";",SUBSTITUTE(D568,"|",REPT(";",LEN(D568)),4))-1)</f>
        <v/>
      </c>
      <c r="N568">
        <f>MID(D568,FIND(";",SUBSTITUTE(D568,"|",REPT(";",LEN(D568)),6))+1,LEN(D568))</f>
        <v/>
      </c>
      <c r="O568">
        <f>MID(D568,FIND(";",SUBSTITUTE(D568,"|",REPT(";",LEN(D568)),5))+1,FIND(";",SUBSTITUTE(D568,"|",REPT(";",LEN(D568)),6))-FIND(";",SUBSTITUTE(D568,"|",REPT(";",LEN(D568)),5))-1)</f>
        <v/>
      </c>
    </row>
    <row r="569">
      <c r="A569" t="inlineStr">
        <is>
          <t>100201</t>
        </is>
      </c>
      <c r="B569" t="inlineStr">
        <is>
          <t>圆钢</t>
        </is>
      </c>
      <c r="C569" t="inlineStr">
        <is>
          <t>600602600</t>
        </is>
      </c>
      <c r="D569" t="inlineStr">
        <is>
          <t>热轧不锈圆钢|圆钢|Y12Cr18Ni9|Φ90|GB/T 1220-2007|热轧|GB/T 702-2008</t>
        </is>
      </c>
      <c r="E569" t="inlineStr">
        <is>
          <t>物资名称 热轧不锈圆钢;物资简称 圆钢;牌号 Y12Cr18Ni9;直径 Φ90;技术标准号 GB/T 1220-2007;加工工艺 热轧;热处理工艺 ;特殊要求 ;规格标准号 GB/T 702-2008</t>
        </is>
      </c>
      <c r="F569" t="inlineStr">
        <is>
          <t>千克</t>
        </is>
      </c>
      <c r="G569">
        <f>LEFT(D569,FIND("|",D569,1)-1)</f>
        <v/>
      </c>
      <c r="H569">
        <f>MID(D569,FIND("|",D569,FIND("|",D569,1))+1,FIND("|",D569,FIND("|",D569,1)+1)-FIND("|",D569,FIND("|",D569,1))-1)</f>
        <v/>
      </c>
      <c r="J569">
        <f>MID(D569,FIND(";",SUBSTITUTE(D569,"|",REPT(";",LEN(D569)),2))+1,FIND(";",SUBSTITUTE(D569,"|",REPT(";",LEN(D569)),3))-FIND(";",SUBSTITUTE(D569,"|",REPT(";",LEN(D569)),2))-1)</f>
        <v/>
      </c>
      <c r="K569">
        <f>MID(D569,FIND(";",SUBSTITUTE(D569,"|",REPT(";",LEN(D569)),3))+1,FIND(";",SUBSTITUTE(D569,"|",REPT(";",LEN(D569)),4))-FIND(";",SUBSTITUTE(D569,"|",REPT(";",LEN(D569)),3))-1)</f>
        <v/>
      </c>
      <c r="M569">
        <f>MID(D569,FIND(";",SUBSTITUTE(D569,"|",REPT(";",LEN(D569)),4))+1,FIND(";",SUBSTITUTE(D569,"|",REPT(";",LEN(D569)),5))-FIND(";",SUBSTITUTE(D569,"|",REPT(";",LEN(D569)),4))-1)</f>
        <v/>
      </c>
      <c r="N569">
        <f>MID(D569,FIND(";",SUBSTITUTE(D569,"|",REPT(";",LEN(D569)),6))+1,LEN(D569))</f>
        <v/>
      </c>
      <c r="O569">
        <f>MID(D569,FIND(";",SUBSTITUTE(D569,"|",REPT(";",LEN(D569)),5))+1,FIND(";",SUBSTITUTE(D569,"|",REPT(";",LEN(D569)),6))-FIND(";",SUBSTITUTE(D569,"|",REPT(";",LEN(D569)),5))-1)</f>
        <v/>
      </c>
    </row>
    <row r="570">
      <c r="A570" t="inlineStr">
        <is>
          <t>100201</t>
        </is>
      </c>
      <c r="B570" t="inlineStr">
        <is>
          <t>圆钢</t>
        </is>
      </c>
      <c r="C570" t="inlineStr">
        <is>
          <t>600602500</t>
        </is>
      </c>
      <c r="D570" t="inlineStr">
        <is>
          <t>热轧不锈圆钢|圆钢|Y12Cr18Ni9|Φ160|GB/T 1220-2007|热轧|GB/T 702-2008</t>
        </is>
      </c>
      <c r="E570" t="inlineStr">
        <is>
          <t>物资名称 热轧不锈圆钢;物资简称 圆钢;牌号 Y12Cr18Ni9;直径 Φ160;技术标准号 GB/T 1220-2007;加工工艺 热轧;热处理工艺 ;特殊要求 ;规格标准号 GB/T 702-2008</t>
        </is>
      </c>
      <c r="F570" t="inlineStr">
        <is>
          <t>千克</t>
        </is>
      </c>
      <c r="G570">
        <f>LEFT(D570,FIND("|",D570,1)-1)</f>
        <v/>
      </c>
      <c r="H570">
        <f>MID(D570,FIND("|",D570,FIND("|",D570,1))+1,FIND("|",D570,FIND("|",D570,1)+1)-FIND("|",D570,FIND("|",D570,1))-1)</f>
        <v/>
      </c>
      <c r="J570">
        <f>MID(D570,FIND(";",SUBSTITUTE(D570,"|",REPT(";",LEN(D570)),2))+1,FIND(";",SUBSTITUTE(D570,"|",REPT(";",LEN(D570)),3))-FIND(";",SUBSTITUTE(D570,"|",REPT(";",LEN(D570)),2))-1)</f>
        <v/>
      </c>
      <c r="K570">
        <f>MID(D570,FIND(";",SUBSTITUTE(D570,"|",REPT(";",LEN(D570)),3))+1,FIND(";",SUBSTITUTE(D570,"|",REPT(";",LEN(D570)),4))-FIND(";",SUBSTITUTE(D570,"|",REPT(";",LEN(D570)),3))-1)</f>
        <v/>
      </c>
    </row>
    <row r="571">
      <c r="A571" t="inlineStr">
        <is>
          <t>100201</t>
        </is>
      </c>
      <c r="B571" t="inlineStr">
        <is>
          <t>圆钢</t>
        </is>
      </c>
      <c r="C571" t="inlineStr">
        <is>
          <t>600602400</t>
        </is>
      </c>
      <c r="D571" t="inlineStr">
        <is>
          <t>合金结构钢棒|钢棒|12CrNi2|GB/T 3077-1999</t>
        </is>
      </c>
      <c r="E571" t="inlineStr">
        <is>
          <t xml:space="preserve">物资名称 合金结构钢棒;物资简称 钢棒;牌号 12CrNi2;直径 Φ;技术标准号 GB/T 3077-1999;加工工艺 ;热处理工艺 ;特殊要求 ;规格标准号 </t>
        </is>
      </c>
      <c r="F571" t="inlineStr">
        <is>
          <t>千克</t>
        </is>
      </c>
      <c r="G571">
        <f>LEFT(D571,FIND("|",D571,1)-1)</f>
        <v/>
      </c>
      <c r="H571">
        <f>MID(D571,FIND("|",D571,FIND("|",D571,1))+1,FIND("|",D571,FIND("|",D571,1)+1)-FIND("|",D571,FIND("|",D571,1))-1)</f>
        <v/>
      </c>
      <c r="J571">
        <f>MID(D571,FIND(";",SUBSTITUTE(D571,"|",REPT(";",LEN(D571)),2))+1,FIND(";",SUBSTITUTE(D571,"|",REPT(";",LEN(D571)),3))-FIND(";",SUBSTITUTE(D571,"|",REPT(";",LEN(D571)),2))-1)</f>
        <v/>
      </c>
      <c r="M571">
        <f>MID(D571,FIND(";",SUBSTITUTE(D571,"|",REPT(";",LEN(D571)),3))+1,LEN(D571))</f>
        <v/>
      </c>
    </row>
    <row r="572">
      <c r="A572" t="inlineStr">
        <is>
          <t>100201</t>
        </is>
      </c>
      <c r="B572" t="inlineStr">
        <is>
          <t>圆钢</t>
        </is>
      </c>
      <c r="C572" t="inlineStr">
        <is>
          <t>600602300</t>
        </is>
      </c>
      <c r="D572" t="inlineStr">
        <is>
          <t>热轧低膨胀铁镍合金圆钢|圆钢|4J36|YB/T 5241-2005|GB/T 14985-2007</t>
        </is>
      </c>
      <c r="E572" t="inlineStr">
        <is>
          <t>物资名称 热轧低膨胀铁镍合金圆钢;物资简称 圆钢;牌号 4J36;直径 Φ;技术标准号 YB/T 5241-2005;加工工艺 ;热处理工艺 ;特殊要求 ;规格标准号 GB/T 14985-2007</t>
        </is>
      </c>
      <c r="F572" t="inlineStr">
        <is>
          <t>千克</t>
        </is>
      </c>
      <c r="G572">
        <f>LEFT(D572,FIND("|",D572,1)-1)</f>
        <v/>
      </c>
      <c r="H572">
        <f>MID(D572,FIND("|",D572,FIND("|",D572,1))+1,FIND("|",D572,FIND("|",D572,1)+1)-FIND("|",D572,FIND("|",D572,1))-1)</f>
        <v/>
      </c>
      <c r="J572">
        <f>MID(D572,FIND(";",SUBSTITUTE(D572,"|",REPT(";",LEN(D572)),2))+1,FIND(";",SUBSTITUTE(D572,"|",REPT(";",LEN(D572)),3))-FIND(";",SUBSTITUTE(D572,"|",REPT(";",LEN(D572)),2))-1)</f>
        <v/>
      </c>
      <c r="M572">
        <f>MID(D572,FIND(";",SUBSTITUTE(D572,"|",REPT(";",LEN(D572)),3))+1,FIND(";",SUBSTITUTE(D572,"|",REPT(";",LEN(D572)),4))-FIND(";",SUBSTITUTE(D572,"|",REPT(";",LEN(D572)),3))-1)</f>
        <v/>
      </c>
      <c r="N572">
        <f>MID(D572,FIND(";",SUBSTITUTE(D572,"|",REPT(";",LEN(D572)),4))+1,LEN(D572))</f>
        <v/>
      </c>
    </row>
    <row r="573">
      <c r="A573" t="inlineStr">
        <is>
          <t>100201</t>
        </is>
      </c>
      <c r="B573" t="inlineStr">
        <is>
          <t>圆钢</t>
        </is>
      </c>
      <c r="C573" t="inlineStr">
        <is>
          <t>600602200</t>
        </is>
      </c>
      <c r="D573" t="inlineStr">
        <is>
          <t>热轧低膨胀铁镍合金圆钢|圆钢|4J36|Φ140|YB/T 5241-2005|热轧|GB/T 14985-2007</t>
        </is>
      </c>
      <c r="E573" t="inlineStr">
        <is>
          <t>物资名称 热轧低膨胀铁镍合金圆钢;物资简称 圆钢;牌号 4J36;直径 Φ140;技术标准号 YB/T 5241-2005;加工工艺 热轧;热处理工艺 ;特殊要求 ;规格标准号 GB/T 14985-2007</t>
        </is>
      </c>
      <c r="F573" t="inlineStr">
        <is>
          <t>千克</t>
        </is>
      </c>
      <c r="G573">
        <f>LEFT(D573,FIND("|",D573,1)-1)</f>
        <v/>
      </c>
      <c r="H573">
        <f>MID(D573,FIND("|",D573,FIND("|",D573,1))+1,FIND("|",D573,FIND("|",D573,1)+1)-FIND("|",D573,FIND("|",D573,1))-1)</f>
        <v/>
      </c>
      <c r="J573">
        <f>MID(D573,FIND(";",SUBSTITUTE(D573,"|",REPT(";",LEN(D573)),2))+1,FIND(";",SUBSTITUTE(D573,"|",REPT(";",LEN(D573)),3))-FIND(";",SUBSTITUTE(D573,"|",REPT(";",LEN(D573)),2))-1)</f>
        <v/>
      </c>
      <c r="K573">
        <f>MID(D573,FIND(";",SUBSTITUTE(D573,"|",REPT(";",LEN(D573)),3))+1,FIND(";",SUBSTITUTE(D573,"|",REPT(";",LEN(D573)),4))-FIND(";",SUBSTITUTE(D573,"|",REPT(";",LEN(D573)),3))-1)</f>
        <v/>
      </c>
      <c r="M573">
        <f>MID(D573,FIND(";",SUBSTITUTE(D573,"|",REPT(";",LEN(D573)),4))+1,FIND(";",SUBSTITUTE(D573,"|",REPT(";",LEN(D573)),5))-FIND(";",SUBSTITUTE(D573,"|",REPT(";",LEN(D573)),4))-1)</f>
        <v/>
      </c>
      <c r="N573">
        <f>MID(D573,FIND(";",SUBSTITUTE(D573,"|",REPT(";",LEN(D573)),6))+1,LEN(D573))</f>
        <v/>
      </c>
      <c r="O573">
        <f>MID(D573,FIND(";",SUBSTITUTE(D573,"|",REPT(";",LEN(D573)),5))+1,FIND(";",SUBSTITUTE(D573,"|",REPT(";",LEN(D573)),6))-FIND(";",SUBSTITUTE(D573,"|",REPT(";",LEN(D573)),5))-1)</f>
        <v/>
      </c>
    </row>
    <row r="574">
      <c r="A574" t="inlineStr">
        <is>
          <t>100201</t>
        </is>
      </c>
      <c r="B574" t="inlineStr">
        <is>
          <t>圆钢</t>
        </is>
      </c>
      <c r="C574" t="inlineStr">
        <is>
          <t>600602100</t>
        </is>
      </c>
      <c r="D574" t="inlineStr">
        <is>
          <t>热轧低膨胀铁镍合金圆钢|圆钢|4J36|Φ185|YB/T 5241-2005|热轧|GB/T 14985-2007</t>
        </is>
      </c>
      <c r="E574" t="inlineStr">
        <is>
          <t>物资名称 热轧低膨胀铁镍合金圆钢;物资简称 圆钢;牌号 4J36;直径 Φ185;技术标准号 YB/T 5241-2005;加工工艺 热轧;热处理工艺 ;特殊要求 ;规格标准号 GB/T 14985-2007</t>
        </is>
      </c>
      <c r="F574" t="inlineStr">
        <is>
          <t>千克</t>
        </is>
      </c>
      <c r="G574">
        <f>LEFT(D574,FIND("|",D574,1)-1)</f>
        <v/>
      </c>
      <c r="H574">
        <f>MID(D574,FIND("|",D574,FIND("|",D574,1))+1,FIND("|",D574,FIND("|",D574,1)+1)-FIND("|",D574,FIND("|",D574,1))-1)</f>
        <v/>
      </c>
      <c r="J574">
        <f>MID(D574,FIND(";",SUBSTITUTE(D574,"|",REPT(";",LEN(D574)),2))+1,FIND(";",SUBSTITUTE(D574,"|",REPT(";",LEN(D574)),3))-FIND(";",SUBSTITUTE(D574,"|",REPT(";",LEN(D574)),2))-1)</f>
        <v/>
      </c>
      <c r="K574">
        <f>MID(D574,FIND(";",SUBSTITUTE(D574,"|",REPT(";",LEN(D574)),3))+1,FIND(";",SUBSTITUTE(D574,"|",REPT(";",LEN(D574)),4))-FIND(";",SUBSTITUTE(D574,"|",REPT(";",LEN(D574)),3))-1)</f>
        <v/>
      </c>
      <c r="M574">
        <f>MID(D574,FIND(";",SUBSTITUTE(D574,"|",REPT(";",LEN(D574)),4))+1,FIND(";",SUBSTITUTE(D574,"|",REPT(";",LEN(D574)),5))-FIND(";",SUBSTITUTE(D574,"|",REPT(";",LEN(D574)),4))-1)</f>
        <v/>
      </c>
      <c r="N574">
        <f>MID(D574,FIND(";",SUBSTITUTE(D574,"|",REPT(";",LEN(D574)),6))+1,LEN(D574))</f>
        <v/>
      </c>
      <c r="O574">
        <f>MID(D574,FIND(";",SUBSTITUTE(D574,"|",REPT(";",LEN(D574)),5))+1,FIND(";",SUBSTITUTE(D574,"|",REPT(";",LEN(D574)),6))-FIND(";",SUBSTITUTE(D574,"|",REPT(";",LEN(D574)),5))-1)</f>
        <v/>
      </c>
    </row>
    <row r="575">
      <c r="A575" t="inlineStr">
        <is>
          <t>100201</t>
        </is>
      </c>
      <c r="B575" t="inlineStr">
        <is>
          <t>圆钢</t>
        </is>
      </c>
      <c r="C575" t="inlineStr">
        <is>
          <t>600602000</t>
        </is>
      </c>
      <c r="D575" t="inlineStr">
        <is>
          <t>热轧低膨胀铁镍合金圆钢|圆钢|4J36|Φ200|YB/T 5241-2005|热轧|GB/T 14985-2007</t>
        </is>
      </c>
      <c r="E575" t="inlineStr">
        <is>
          <t>物资名称 热轧低膨胀铁镍合金圆钢;物资简称 圆钢;牌号 4J36;直径 Φ200;技术标准号 YB/T 5241-2005;加工工艺 热轧;热处理工艺 ;特殊要求 ;规格标准号 GB/T 14985-2007</t>
        </is>
      </c>
      <c r="F575" t="inlineStr">
        <is>
          <t>千克</t>
        </is>
      </c>
      <c r="G575">
        <f>LEFT(D575,FIND("|",D575,1)-1)</f>
        <v/>
      </c>
      <c r="H575">
        <f>MID(D575,FIND("|",D575,FIND("|",D575,1))+1,FIND("|",D575,FIND("|",D575,1)+1)-FIND("|",D575,FIND("|",D575,1))-1)</f>
        <v/>
      </c>
      <c r="J575">
        <f>MID(D575,FIND(";",SUBSTITUTE(D575,"|",REPT(";",LEN(D575)),2))+1,FIND(";",SUBSTITUTE(D575,"|",REPT(";",LEN(D575)),3))-FIND(";",SUBSTITUTE(D575,"|",REPT(";",LEN(D575)),2))-1)</f>
        <v/>
      </c>
      <c r="K575">
        <f>MID(D575,FIND(";",SUBSTITUTE(D575,"|",REPT(";",LEN(D575)),3))+1,FIND(";",SUBSTITUTE(D575,"|",REPT(";",LEN(D575)),4))-FIND(";",SUBSTITUTE(D575,"|",REPT(";",LEN(D575)),3))-1)</f>
        <v/>
      </c>
      <c r="M575">
        <f>MID(D575,FIND(";",SUBSTITUTE(D575,"|",REPT(";",LEN(D575)),4))+1,FIND(";",SUBSTITUTE(D575,"|",REPT(";",LEN(D575)),5))-FIND(";",SUBSTITUTE(D575,"|",REPT(";",LEN(D575)),4))-1)</f>
        <v/>
      </c>
      <c r="N575">
        <f>MID(D575,FIND(";",SUBSTITUTE(D575,"|",REPT(";",LEN(D575)),6))+1,LEN(D575))</f>
        <v/>
      </c>
      <c r="O575">
        <f>MID(D575,FIND(";",SUBSTITUTE(D575,"|",REPT(";",LEN(D575)),5))+1,FIND(";",SUBSTITUTE(D575,"|",REPT(";",LEN(D575)),6))-FIND(";",SUBSTITUTE(D575,"|",REPT(";",LEN(D575)),5))-1)</f>
        <v/>
      </c>
    </row>
    <row r="576">
      <c r="A576" t="inlineStr">
        <is>
          <t>100201</t>
        </is>
      </c>
      <c r="B576" t="inlineStr">
        <is>
          <t>圆钢</t>
        </is>
      </c>
      <c r="C576" t="inlineStr">
        <is>
          <t>600601900</t>
        </is>
      </c>
      <c r="D576" t="inlineStr">
        <is>
          <t>热轧低膨胀铁镍合金圆钢|圆钢|4J36|Φ235|YB/T 5241-2005|热轧|GB/T 14985-2007</t>
        </is>
      </c>
      <c r="E576" t="inlineStr">
        <is>
          <t>物资名称 热轧低膨胀铁镍合金圆钢;物资简称 圆钢;牌号 4J36;直径 Φ235;技术标准号 YB/T 5241-2005;加工工艺 热轧;热处理工艺 ;特殊要求 ;规格标准号 GB/T 14985-2007</t>
        </is>
      </c>
      <c r="F576" t="inlineStr">
        <is>
          <t>千克</t>
        </is>
      </c>
      <c r="G576">
        <f>LEFT(D576,FIND("|",D576,1)-1)</f>
        <v/>
      </c>
      <c r="H576">
        <f>MID(D576,FIND("|",D576,FIND("|",D576,1))+1,FIND("|",D576,FIND("|",D576,1)+1)-FIND("|",D576,FIND("|",D576,1))-1)</f>
        <v/>
      </c>
      <c r="J576">
        <f>MID(D576,FIND(";",SUBSTITUTE(D576,"|",REPT(";",LEN(D576)),2))+1,FIND(";",SUBSTITUTE(D576,"|",REPT(";",LEN(D576)),3))-FIND(";",SUBSTITUTE(D576,"|",REPT(";",LEN(D576)),2))-1)</f>
        <v/>
      </c>
      <c r="K576">
        <f>MID(D576,FIND(";",SUBSTITUTE(D576,"|",REPT(";",LEN(D576)),3))+1,FIND(";",SUBSTITUTE(D576,"|",REPT(";",LEN(D576)),4))-FIND(";",SUBSTITUTE(D576,"|",REPT(";",LEN(D576)),3))-1)</f>
        <v/>
      </c>
      <c r="M576">
        <f>MID(D576,FIND(";",SUBSTITUTE(D576,"|",REPT(";",LEN(D576)),4))+1,FIND(";",SUBSTITUTE(D576,"|",REPT(";",LEN(D576)),5))-FIND(";",SUBSTITUTE(D576,"|",REPT(";",LEN(D576)),4))-1)</f>
        <v/>
      </c>
      <c r="N576">
        <f>MID(D576,FIND(";",SUBSTITUTE(D576,"|",REPT(";",LEN(D576)),6))+1,LEN(D576))</f>
        <v/>
      </c>
      <c r="O576">
        <f>MID(D576,FIND(";",SUBSTITUTE(D576,"|",REPT(";",LEN(D576)),5))+1,FIND(";",SUBSTITUTE(D576,"|",REPT(";",LEN(D576)),6))-FIND(";",SUBSTITUTE(D576,"|",REPT(";",LEN(D576)),5))-1)</f>
        <v/>
      </c>
    </row>
    <row r="577">
      <c r="A577" t="inlineStr">
        <is>
          <t>100201</t>
        </is>
      </c>
      <c r="B577" t="inlineStr">
        <is>
          <t>圆钢</t>
        </is>
      </c>
      <c r="C577" t="inlineStr">
        <is>
          <t>600601800</t>
        </is>
      </c>
      <c r="D577" t="inlineStr">
        <is>
          <t>不锈钢棒|钢棒|06Cr19Ni10|GB/T 1220-2007</t>
        </is>
      </c>
      <c r="E577" t="inlineStr">
        <is>
          <t xml:space="preserve">物资名称 不锈钢棒;物资简称 钢棒;牌号 06Cr19Ni10;直径 Φ;技术标准号 GB/T 1220-2007;加工工艺 ;热处理工艺 ;特殊要求 ;规格标准号 </t>
        </is>
      </c>
      <c r="F577" t="inlineStr">
        <is>
          <t>千克</t>
        </is>
      </c>
      <c r="G577">
        <f>LEFT(D577,FIND("|",D577,1)-1)</f>
        <v/>
      </c>
      <c r="H577">
        <f>MID(D577,FIND("|",D577,FIND("|",D577,1))+1,FIND("|",D577,FIND("|",D577,1)+1)-FIND("|",D577,FIND("|",D577,1))-1)</f>
        <v/>
      </c>
      <c r="J577">
        <f>MID(D577,FIND(";",SUBSTITUTE(D577,"|",REPT(";",LEN(D577)),2))+1,FIND(";",SUBSTITUTE(D577,"|",REPT(";",LEN(D577)),3))-FIND(";",SUBSTITUTE(D577,"|",REPT(";",LEN(D577)),2))-1)</f>
        <v/>
      </c>
      <c r="M577">
        <f>MID(D577,FIND(";",SUBSTITUTE(D577,"|",REPT(";",LEN(D577)),3))+1,LEN(D577))</f>
        <v/>
      </c>
    </row>
    <row r="578">
      <c r="A578" t="inlineStr">
        <is>
          <t>100201</t>
        </is>
      </c>
      <c r="B578" t="inlineStr">
        <is>
          <t>圆钢</t>
        </is>
      </c>
      <c r="C578" t="inlineStr">
        <is>
          <t>600601700</t>
        </is>
      </c>
      <c r="D578" t="inlineStr">
        <is>
          <t>热轧不锈圆钢|圆钢|06Cr19Ni10|GB/T 1220-2007|GB/T 702-2008</t>
        </is>
      </c>
      <c r="E578" t="inlineStr">
        <is>
          <t>物资名称 热轧不锈圆钢;物资简称 圆钢;牌号 06Cr19Ni10;直径 Φ;技术标准号 GB/T 1220-2007;加工工艺 ;热处理工艺 ;特殊要求 ;规格标准号 GB/T 702-2008</t>
        </is>
      </c>
      <c r="F578" t="inlineStr">
        <is>
          <t>千克</t>
        </is>
      </c>
      <c r="G578">
        <f>LEFT(D578,FIND("|",D578,1)-1)</f>
        <v/>
      </c>
      <c r="H578">
        <f>MID(D578,FIND("|",D578,FIND("|",D578,1))+1,FIND("|",D578,FIND("|",D578,1)+1)-FIND("|",D578,FIND("|",D578,1))-1)</f>
        <v/>
      </c>
      <c r="J578">
        <f>MID(D578,FIND(";",SUBSTITUTE(D578,"|",REPT(";",LEN(D578)),2))+1,FIND(";",SUBSTITUTE(D578,"|",REPT(";",LEN(D578)),3))-FIND(";",SUBSTITUTE(D578,"|",REPT(";",LEN(D578)),2))-1)</f>
        <v/>
      </c>
      <c r="M578">
        <f>MID(D578,FIND(";",SUBSTITUTE(D578,"|",REPT(";",LEN(D578)),3))+1,FIND(";",SUBSTITUTE(D578,"|",REPT(";",LEN(D578)),4))-FIND(";",SUBSTITUTE(D578,"|",REPT(";",LEN(D578)),3))-1)</f>
        <v/>
      </c>
      <c r="N578">
        <f>MID(D578,FIND(";",SUBSTITUTE(D578,"|",REPT(";",LEN(D578)),4))+1,LEN(D578))</f>
        <v/>
      </c>
    </row>
    <row r="579">
      <c r="A579" t="inlineStr">
        <is>
          <t>100201</t>
        </is>
      </c>
      <c r="B579" t="inlineStr">
        <is>
          <t>圆钢</t>
        </is>
      </c>
      <c r="C579" t="inlineStr">
        <is>
          <t>600601600</t>
        </is>
      </c>
      <c r="D579" t="inlineStr">
        <is>
          <t>热轧不锈圆钢|圆钢|06Cr19Ni10|Φ65|GB/T 1220-2007|热轧|固溶|GB/T 702-2008</t>
        </is>
      </c>
      <c r="E579" t="inlineStr">
        <is>
          <t>物资名称 热轧不锈圆钢;物资简称 圆钢;牌号 06Cr19Ni10;直径 Φ65;技术标准号 GB/T 1220-2007;加工工艺 热轧;热处理工艺 固溶;特殊要求 ;规格标准号 GB/T 702-2008</t>
        </is>
      </c>
      <c r="F579" t="inlineStr">
        <is>
          <t>千克</t>
        </is>
      </c>
      <c r="G579">
        <f>LEFT(D579,FIND("|",D579,1)-1)</f>
        <v/>
      </c>
      <c r="H579">
        <f>MID(D579,FIND("|",D579,FIND("|",D579,1))+1,FIND("|",D579,FIND("|",D579,1)+1)-FIND("|",D579,FIND("|",D579,1))-1)</f>
        <v/>
      </c>
      <c r="J579">
        <f>MID(D579,FIND(";",SUBSTITUTE(D579,"|",REPT(";",LEN(D579)),2))+1,FIND(";",SUBSTITUTE(D579,"|",REPT(";",LEN(D579)),3))-FIND(";",SUBSTITUTE(D579,"|",REPT(";",LEN(D579)),2))-1)</f>
        <v/>
      </c>
      <c r="K579">
        <f>MID(D579,FIND(";",SUBSTITUTE(D579,"|",REPT(";",LEN(D579)),3))+1,FIND(";",SUBSTITUTE(D579,"|",REPT(";",LEN(D579)),4))-FIND(";",SUBSTITUTE(D579,"|",REPT(";",LEN(D579)),3))-1)</f>
        <v/>
      </c>
      <c r="M579">
        <f>MID(D579,FIND(";",SUBSTITUTE(D579,"|",REPT(";",LEN(D579)),4))+1,FIND(";",SUBSTITUTE(D579,"|",REPT(";",LEN(D579)),5))-FIND(";",SUBSTITUTE(D579,"|",REPT(";",LEN(D579)),4))-1)</f>
        <v/>
      </c>
      <c r="N579">
        <f>MID(D579,FIND(";",SUBSTITUTE(D579,"|",REPT(";",LEN(D579)),7))+1,LEN(D579))</f>
        <v/>
      </c>
      <c r="O579">
        <f>MID(D579,FIND(";",SUBSTITUTE(D579,"|",REPT(";",LEN(D579)),5))+1,FIND(";",SUBSTITUTE(D579,"|",REPT(";",LEN(D579)),6))-FIND(";",SUBSTITUTE(D579,"|",REPT(";",LEN(D579)),5))-1)</f>
        <v/>
      </c>
      <c r="P579">
        <f>MID(D579,FIND(";",SUBSTITUTE(D579,"|",REPT(";",LEN(D579)),6))+1,FIND(";",SUBSTITUTE(D579,"|",REPT(";",LEN(D579)),7))-FIND(";",SUBSTITUTE(D579,"|",REPT(";",LEN(D579)),6))-1)</f>
        <v/>
      </c>
    </row>
    <row r="580">
      <c r="A580" t="inlineStr">
        <is>
          <t>100201</t>
        </is>
      </c>
      <c r="B580" t="inlineStr">
        <is>
          <t>圆钢</t>
        </is>
      </c>
      <c r="C580" t="inlineStr">
        <is>
          <t>600601500</t>
        </is>
      </c>
      <c r="D580" t="inlineStr">
        <is>
          <t>不锈钢棒|钢棒|12Cr13|GB/T 1220-2007</t>
        </is>
      </c>
      <c r="E580" t="inlineStr">
        <is>
          <t xml:space="preserve">物资名称 不锈钢棒;物资简称 钢棒;牌号 12Cr13;直径 Φ;技术标准号 GB/T 1220-2007;加工工艺 ;热处理工艺 ;特殊要求 ;规格标准号 </t>
        </is>
      </c>
      <c r="F580" t="inlineStr">
        <is>
          <t>千克</t>
        </is>
      </c>
      <c r="G580">
        <f>LEFT(D580,FIND("|",D580,1)-1)</f>
        <v/>
      </c>
      <c r="H580">
        <f>MID(D580,FIND("|",D580,FIND("|",D580,1))+1,FIND("|",D580,FIND("|",D580,1)+1)-FIND("|",D580,FIND("|",D580,1))-1)</f>
        <v/>
      </c>
      <c r="J580">
        <f>MID(D580,FIND(";",SUBSTITUTE(D580,"|",REPT(";",LEN(D580)),2))+1,FIND(";",SUBSTITUTE(D580,"|",REPT(";",LEN(D580)),3))-FIND(";",SUBSTITUTE(D580,"|",REPT(";",LEN(D580)),2))-1)</f>
        <v/>
      </c>
      <c r="M580">
        <f>MID(D580,FIND(";",SUBSTITUTE(D580,"|",REPT(";",LEN(D580)),3))+1,LEN(D580))</f>
        <v/>
      </c>
    </row>
    <row r="581">
      <c r="A581" t="inlineStr">
        <is>
          <t>100201</t>
        </is>
      </c>
      <c r="B581" t="inlineStr">
        <is>
          <t>圆钢</t>
        </is>
      </c>
      <c r="C581" t="inlineStr">
        <is>
          <t>600601400</t>
        </is>
      </c>
      <c r="D581" t="inlineStr">
        <is>
          <t>热轧不锈圆钢|圆钢|12Cr13|GB/T 1220-2007|GB/T 702-2008</t>
        </is>
      </c>
      <c r="E581" t="inlineStr">
        <is>
          <t>物资名称 热轧不锈圆钢;物资简称 圆钢;牌号 12Cr13;直径 Φ;技术标准号 GB/T 1220-2007;加工工艺 ;热处理工艺 ;特殊要求 ;规格标准号 GB/T 702-2008</t>
        </is>
      </c>
      <c r="F581" t="inlineStr">
        <is>
          <t>千克</t>
        </is>
      </c>
      <c r="G581">
        <f>LEFT(D581,FIND("|",D581,1)-1)</f>
        <v/>
      </c>
      <c r="H581">
        <f>MID(D581,FIND("|",D581,FIND("|",D581,1))+1,FIND("|",D581,FIND("|",D581,1)+1)-FIND("|",D581,FIND("|",D581,1))-1)</f>
        <v/>
      </c>
      <c r="J581">
        <f>MID(D581,FIND(";",SUBSTITUTE(D581,"|",REPT(";",LEN(D581)),2))+1,FIND(";",SUBSTITUTE(D581,"|",REPT(";",LEN(D581)),3))-FIND(";",SUBSTITUTE(D581,"|",REPT(";",LEN(D581)),2))-1)</f>
        <v/>
      </c>
      <c r="M581">
        <f>MID(D581,FIND(";",SUBSTITUTE(D581,"|",REPT(";",LEN(D581)),3))+1,FIND(";",SUBSTITUTE(D581,"|",REPT(";",LEN(D581)),4))-FIND(";",SUBSTITUTE(D581,"|",REPT(";",LEN(D581)),3))-1)</f>
        <v/>
      </c>
      <c r="N581">
        <f>MID(D581,FIND(";",SUBSTITUTE(D581,"|",REPT(";",LEN(D581)),4))+1,LEN(D581))</f>
        <v/>
      </c>
    </row>
    <row r="582">
      <c r="A582" t="inlineStr">
        <is>
          <t>100201</t>
        </is>
      </c>
      <c r="B582" t="inlineStr">
        <is>
          <t>圆钢</t>
        </is>
      </c>
      <c r="C582" t="inlineStr">
        <is>
          <t>600601300</t>
        </is>
      </c>
      <c r="D582" t="inlineStr">
        <is>
          <t>热轧不锈圆钢|圆钢|12Cr13|Φ75|GB/T 1220-2007|热轧|退火|GB/T 702-2008</t>
        </is>
      </c>
      <c r="E582" t="inlineStr">
        <is>
          <t>物资名称 热轧不锈圆钢;物资简称 圆钢;牌号 12Cr13;直径 Φ75;技术标准号 GB/T 1220-2007;加工工艺 热轧;热处理工艺 退火;特殊要求 ;规格标准号 GB/T 702-2008</t>
        </is>
      </c>
      <c r="F582" t="inlineStr">
        <is>
          <t>千克</t>
        </is>
      </c>
      <c r="G582">
        <f>LEFT(D582,FIND("|",D582,1)-1)</f>
        <v/>
      </c>
      <c r="H582">
        <f>MID(D582,FIND("|",D582,FIND("|",D582,1))+1,FIND("|",D582,FIND("|",D582,1)+1)-FIND("|",D582,FIND("|",D582,1))-1)</f>
        <v/>
      </c>
      <c r="J582">
        <f>MID(D582,FIND(";",SUBSTITUTE(D582,"|",REPT(";",LEN(D582)),2))+1,FIND(";",SUBSTITUTE(D582,"|",REPT(";",LEN(D582)),3))-FIND(";",SUBSTITUTE(D582,"|",REPT(";",LEN(D582)),2))-1)</f>
        <v/>
      </c>
      <c r="K582">
        <f>MID(D582,FIND(";",SUBSTITUTE(D582,"|",REPT(";",LEN(D582)),3))+1,FIND(";",SUBSTITUTE(D582,"|",REPT(";",LEN(D582)),4))-FIND(";",SUBSTITUTE(D582,"|",REPT(";",LEN(D582)),3))-1)</f>
        <v/>
      </c>
      <c r="M582">
        <f>MID(D582,FIND(";",SUBSTITUTE(D582,"|",REPT(";",LEN(D582)),4))+1,FIND(";",SUBSTITUTE(D582,"|",REPT(";",LEN(D582)),5))-FIND(";",SUBSTITUTE(D582,"|",REPT(";",LEN(D582)),4))-1)</f>
        <v/>
      </c>
      <c r="N582">
        <f>MID(D582,FIND(";",SUBSTITUTE(D582,"|",REPT(";",LEN(D582)),7))+1,LEN(D582))</f>
        <v/>
      </c>
      <c r="O582">
        <f>MID(D582,FIND(";",SUBSTITUTE(D582,"|",REPT(";",LEN(D582)),5))+1,FIND(";",SUBSTITUTE(D582,"|",REPT(";",LEN(D582)),6))-FIND(";",SUBSTITUTE(D582,"|",REPT(";",LEN(D582)),5))-1)</f>
        <v/>
      </c>
      <c r="P582">
        <f>MID(D582,FIND(";",SUBSTITUTE(D582,"|",REPT(";",LEN(D582)),6))+1,FIND(";",SUBSTITUTE(D582,"|",REPT(";",LEN(D582)),7))-FIND(";",SUBSTITUTE(D582,"|",REPT(";",LEN(D582)),6))-1)</f>
        <v/>
      </c>
    </row>
    <row r="583">
      <c r="A583" t="inlineStr">
        <is>
          <t>100201</t>
        </is>
      </c>
      <c r="B583" t="inlineStr">
        <is>
          <t>圆钢</t>
        </is>
      </c>
      <c r="C583" t="inlineStr">
        <is>
          <t>600601200</t>
        </is>
      </c>
      <c r="D583" t="inlineStr">
        <is>
          <t>热轧弹簧圆钢|圆钢|60Si2MnA|GB/T 1222-2007|GB/T 702-2008</t>
        </is>
      </c>
      <c r="E583" t="inlineStr">
        <is>
          <t>物资名称 热轧弹簧圆钢;物资简称 圆钢;牌号 60Si2MnA;直径 Φ;技术标准号 GB/T 1222-2007;加工工艺 ;热处理工艺 ;特殊要求 ;规格标准号 GB/T 702-2008</t>
        </is>
      </c>
      <c r="F583" t="inlineStr">
        <is>
          <t>千克</t>
        </is>
      </c>
      <c r="G583">
        <f>LEFT(D583,FIND("|",D583,1)-1)</f>
        <v/>
      </c>
      <c r="H583">
        <f>MID(D583,FIND("|",D583,FIND("|",D583,1))+1,FIND("|",D583,FIND("|",D583,1)+1)-FIND("|",D583,FIND("|",D583,1))-1)</f>
        <v/>
      </c>
      <c r="J583">
        <f>MID(D583,FIND(";",SUBSTITUTE(D583,"|",REPT(";",LEN(D583)),2))+1,FIND(";",SUBSTITUTE(D583,"|",REPT(";",LEN(D583)),3))-FIND(";",SUBSTITUTE(D583,"|",REPT(";",LEN(D583)),2))-1)</f>
        <v/>
      </c>
      <c r="M583">
        <f>MID(D583,FIND(";",SUBSTITUTE(D583,"|",REPT(";",LEN(D583)),3))+1,FIND(";",SUBSTITUTE(D583,"|",REPT(";",LEN(D583)),4))-FIND(";",SUBSTITUTE(D583,"|",REPT(";",LEN(D583)),3))-1)</f>
        <v/>
      </c>
      <c r="N583">
        <f>MID(D583,FIND(";",SUBSTITUTE(D583,"|",REPT(";",LEN(D583)),4))+1,LEN(D583))</f>
        <v/>
      </c>
    </row>
    <row r="584">
      <c r="A584" t="inlineStr">
        <is>
          <t>100201</t>
        </is>
      </c>
      <c r="B584" t="inlineStr">
        <is>
          <t>圆钢</t>
        </is>
      </c>
      <c r="C584" t="inlineStr">
        <is>
          <t>600601100</t>
        </is>
      </c>
      <c r="D584" t="inlineStr">
        <is>
          <t>热轧弹簧圆钢|圆钢|60Si2MnA|Φ45|GB/T 1222-2007|热轧|GB/T 702-2008</t>
        </is>
      </c>
      <c r="E584" t="inlineStr">
        <is>
          <t>物资名称 热轧弹簧圆钢;物资简称 圆钢;牌号 60Si2MnA;直径 Φ45;技术标准号 GB/T 1222-2007;加工工艺 热轧;热处理工艺 ;特殊要求 ;规格标准号 GB/T 702-2008</t>
        </is>
      </c>
      <c r="F584" t="inlineStr">
        <is>
          <t>千克</t>
        </is>
      </c>
      <c r="G584">
        <f>LEFT(D584,FIND("|",D584,1)-1)</f>
        <v/>
      </c>
      <c r="H584">
        <f>MID(D584,FIND("|",D584,FIND("|",D584,1))+1,FIND("|",D584,FIND("|",D584,1)+1)-FIND("|",D584,FIND("|",D584,1))-1)</f>
        <v/>
      </c>
      <c r="J584">
        <f>MID(D584,FIND(";",SUBSTITUTE(D584,"|",REPT(";",LEN(D584)),2))+1,FIND(";",SUBSTITUTE(D584,"|",REPT(";",LEN(D584)),3))-FIND(";",SUBSTITUTE(D584,"|",REPT(";",LEN(D584)),2))-1)</f>
        <v/>
      </c>
      <c r="K584">
        <f>MID(D584,FIND(";",SUBSTITUTE(D584,"|",REPT(";",LEN(D584)),3))+1,FIND(";",SUBSTITUTE(D584,"|",REPT(";",LEN(D584)),4))-FIND(";",SUBSTITUTE(D584,"|",REPT(";",LEN(D584)),3))-1)</f>
        <v/>
      </c>
      <c r="M584">
        <f>MID(D584,FIND(";",SUBSTITUTE(D584,"|",REPT(";",LEN(D584)),4))+1,FIND(";",SUBSTITUTE(D584,"|",REPT(";",LEN(D584)),5))-FIND(";",SUBSTITUTE(D584,"|",REPT(";",LEN(D584)),4))-1)</f>
        <v/>
      </c>
      <c r="N584">
        <f>MID(D584,FIND(";",SUBSTITUTE(D584,"|",REPT(";",LEN(D584)),6))+1,LEN(D584))</f>
        <v/>
      </c>
      <c r="O584">
        <f>MID(D584,FIND(";",SUBSTITUTE(D584,"|",REPT(";",LEN(D584)),5))+1,FIND(";",SUBSTITUTE(D584,"|",REPT(";",LEN(D584)),6))-FIND(";",SUBSTITUTE(D584,"|",REPT(";",LEN(D584)),5))-1)</f>
        <v/>
      </c>
    </row>
    <row r="585">
      <c r="A585" t="inlineStr">
        <is>
          <t>100201</t>
        </is>
      </c>
      <c r="B585" t="inlineStr">
        <is>
          <t>圆钢</t>
        </is>
      </c>
      <c r="C585" t="inlineStr">
        <is>
          <t>600601000</t>
        </is>
      </c>
      <c r="D585" t="inlineStr">
        <is>
          <t>热轧合金工具圆钢|圆钢|Cr12MoV|GB/T 1299-2000|GB/T 702-2008</t>
        </is>
      </c>
      <c r="E585" t="inlineStr">
        <is>
          <t>物资名称 热轧合金工具圆钢;物资简称 圆钢;牌号 Cr12MoV;直径 Φ;技术标准号 GB/T 1299-2000;加工工艺 ;热处理工艺 ;特殊要求 ;规格标准号 GB/T 702-2008</t>
        </is>
      </c>
      <c r="F585" t="inlineStr">
        <is>
          <t>千克</t>
        </is>
      </c>
      <c r="G585">
        <f>LEFT(D585,FIND("|",D585,1)-1)</f>
        <v/>
      </c>
      <c r="H585">
        <f>MID(D585,FIND("|",D585,FIND("|",D585,1))+1,FIND("|",D585,FIND("|",D585,1)+1)-FIND("|",D585,FIND("|",D585,1))-1)</f>
        <v/>
      </c>
      <c r="J585">
        <f>MID(D585,FIND(";",SUBSTITUTE(D585,"|",REPT(";",LEN(D585)),2))+1,FIND(";",SUBSTITUTE(D585,"|",REPT(";",LEN(D585)),3))-FIND(";",SUBSTITUTE(D585,"|",REPT(";",LEN(D585)),2))-1)</f>
        <v/>
      </c>
      <c r="M585">
        <f>MID(D585,FIND(";",SUBSTITUTE(D585,"|",REPT(";",LEN(D585)),3))+1,FIND(";",SUBSTITUTE(D585,"|",REPT(";",LEN(D585)),4))-FIND(";",SUBSTITUTE(D585,"|",REPT(";",LEN(D585)),3))-1)</f>
        <v/>
      </c>
      <c r="N585">
        <f>MID(D585,FIND(";",SUBSTITUTE(D585,"|",REPT(";",LEN(D585)),4))+1,LEN(D585))</f>
        <v/>
      </c>
    </row>
    <row r="586">
      <c r="A586" t="inlineStr">
        <is>
          <t>100201</t>
        </is>
      </c>
      <c r="B586" t="inlineStr">
        <is>
          <t>圆钢</t>
        </is>
      </c>
      <c r="C586" t="inlineStr">
        <is>
          <t>600600900</t>
        </is>
      </c>
      <c r="D586" t="inlineStr">
        <is>
          <t>热轧合金工具圆钢|圆钢|Cr12MoV|Φ35|GB/T 1299-2000|热轧|退火|GB/T 702-2008</t>
        </is>
      </c>
      <c r="E586" t="inlineStr">
        <is>
          <t>物资名称 热轧合金工具圆钢;物资简称 圆钢;牌号 Cr12MoV;直径 Φ35;技术标准号 GB/T 1299-2000;加工工艺 热轧;热处理工艺 退火;特殊要求 ;规格标准号 GB/T 702-2008</t>
        </is>
      </c>
      <c r="F586" t="inlineStr">
        <is>
          <t>千克</t>
        </is>
      </c>
      <c r="G586">
        <f>LEFT(D586,FIND("|",D586,1)-1)</f>
        <v/>
      </c>
      <c r="H586">
        <f>MID(D586,FIND("|",D586,FIND("|",D586,1))+1,FIND("|",D586,FIND("|",D586,1)+1)-FIND("|",D586,FIND("|",D586,1))-1)</f>
        <v/>
      </c>
      <c r="J586">
        <f>MID(D586,FIND(";",SUBSTITUTE(D586,"|",REPT(";",LEN(D586)),2))+1,FIND(";",SUBSTITUTE(D586,"|",REPT(";",LEN(D586)),3))-FIND(";",SUBSTITUTE(D586,"|",REPT(";",LEN(D586)),2))-1)</f>
        <v/>
      </c>
      <c r="K586">
        <f>MID(D586,FIND(";",SUBSTITUTE(D586,"|",REPT(";",LEN(D586)),3))+1,FIND(";",SUBSTITUTE(D586,"|",REPT(";",LEN(D586)),4))-FIND(";",SUBSTITUTE(D586,"|",REPT(";",LEN(D586)),3))-1)</f>
        <v/>
      </c>
      <c r="M586">
        <f>MID(D586,FIND(";",SUBSTITUTE(D586,"|",REPT(";",LEN(D586)),4))+1,FIND(";",SUBSTITUTE(D586,"|",REPT(";",LEN(D586)),5))-FIND(";",SUBSTITUTE(D586,"|",REPT(";",LEN(D586)),4))-1)</f>
        <v/>
      </c>
      <c r="N586">
        <f>MID(D586,FIND(";",SUBSTITUTE(D586,"|",REPT(";",LEN(D586)),7))+1,LEN(D586))</f>
        <v/>
      </c>
      <c r="O586">
        <f>MID(D586,FIND(";",SUBSTITUTE(D586,"|",REPT(";",LEN(D586)),5))+1,FIND(";",SUBSTITUTE(D586,"|",REPT(";",LEN(D586)),6))-FIND(";",SUBSTITUTE(D586,"|",REPT(";",LEN(D586)),5))-1)</f>
        <v/>
      </c>
      <c r="P586">
        <f>MID(D586,FIND(";",SUBSTITUTE(D586,"|",REPT(";",LEN(D586)),6))+1,FIND(";",SUBSTITUTE(D586,"|",REPT(";",LEN(D586)),7))-FIND(";",SUBSTITUTE(D586,"|",REPT(";",LEN(D586)),6))-1)</f>
        <v/>
      </c>
    </row>
    <row r="587">
      <c r="A587" t="inlineStr">
        <is>
          <t>100201</t>
        </is>
      </c>
      <c r="B587" t="inlineStr">
        <is>
          <t>圆钢</t>
        </is>
      </c>
      <c r="C587" t="inlineStr">
        <is>
          <t>600600800</t>
        </is>
      </c>
      <c r="D587" t="inlineStr">
        <is>
          <t>热轧合金结构圆钢|圆钢|30CrNi3|GB/T 3077-1999|热轧|GB/T 702-2008</t>
        </is>
      </c>
      <c r="E587" t="inlineStr">
        <is>
          <t>物资名称 热轧合金结构圆钢;物资简称 圆钢;牌号 30CrNi3;直径 Φ;技术标准号 GB/T 3077-1999;加工工艺 热轧;热处理工艺 ;特殊要求 ;规格标准号 GB/T 702-2008</t>
        </is>
      </c>
      <c r="F587" t="inlineStr">
        <is>
          <t>千克</t>
        </is>
      </c>
      <c r="G587">
        <f>LEFT(D587,FIND("|",D587,1)-1)</f>
        <v/>
      </c>
      <c r="H587">
        <f>MID(D587,FIND("|",D587,FIND("|",D587,1))+1,FIND("|",D587,FIND("|",D587,1)+1)-FIND("|",D587,FIND("|",D587,1))-1)</f>
        <v/>
      </c>
      <c r="J587">
        <f>MID(D587,FIND(";",SUBSTITUTE(D587,"|",REPT(";",LEN(D587)),2))+1,FIND(";",SUBSTITUTE(D587,"|",REPT(";",LEN(D587)),3))-FIND(";",SUBSTITUTE(D587,"|",REPT(";",LEN(D587)),2))-1)</f>
        <v/>
      </c>
      <c r="M587">
        <f>MID(D587,FIND(";",SUBSTITUTE(D587,"|",REPT(";",LEN(D587)),3))+1,FIND(";",SUBSTITUTE(D587,"|",REPT(";",LEN(D587)),4))-FIND(";",SUBSTITUTE(D587,"|",REPT(";",LEN(D587)),3))-1)</f>
        <v/>
      </c>
      <c r="N587">
        <f>MID(D587,FIND(";",SUBSTITUTE(D587,"|",REPT(";",LEN(D587)),5))+1,LEN(D587))</f>
        <v/>
      </c>
      <c r="O587">
        <f>MID(D587,FIND(";",SUBSTITUTE(D587,"|",REPT(";",LEN(D587)),4))+1,FIND(";",SUBSTITUTE(D587,"|",REPT(";",LEN(D587)),5))-FIND(";",SUBSTITUTE(D587,"|",REPT(";",LEN(D587)),4))-1)</f>
        <v/>
      </c>
    </row>
    <row r="588">
      <c r="A588" t="inlineStr">
        <is>
          <t>100201</t>
        </is>
      </c>
      <c r="B588" t="inlineStr">
        <is>
          <t>圆钢</t>
        </is>
      </c>
      <c r="C588" t="inlineStr">
        <is>
          <t>600600700</t>
        </is>
      </c>
      <c r="D588" t="inlineStr">
        <is>
          <t>热轧合金结构圆钢|圆钢|30CrNi3|Φ20|GB/T 3077-1999|热轧|GB/T 702-2008</t>
        </is>
      </c>
      <c r="E588" t="inlineStr">
        <is>
          <t>物资名称 热轧合金结构圆钢;物资简称 圆钢;牌号 30CrNi3;直径 Φ20;技术标准号 GB/T 3077-1999;加工工艺 热轧;热处理工艺 ;特殊要求 ;规格标准号 GB/T 702-2008</t>
        </is>
      </c>
      <c r="F588" t="inlineStr">
        <is>
          <t>千克</t>
        </is>
      </c>
      <c r="G588">
        <f>LEFT(D588,FIND("|",D588,1)-1)</f>
        <v/>
      </c>
      <c r="H588">
        <f>MID(D588,FIND("|",D588,FIND("|",D588,1))+1,FIND("|",D588,FIND("|",D588,1)+1)-FIND("|",D588,FIND("|",D588,1))-1)</f>
        <v/>
      </c>
      <c r="J588">
        <f>MID(D588,FIND(";",SUBSTITUTE(D588,"|",REPT(";",LEN(D588)),2))+1,FIND(";",SUBSTITUTE(D588,"|",REPT(";",LEN(D588)),3))-FIND(";",SUBSTITUTE(D588,"|",REPT(";",LEN(D588)),2))-1)</f>
        <v/>
      </c>
      <c r="K588">
        <f>MID(D588,FIND(";",SUBSTITUTE(D588,"|",REPT(";",LEN(D588)),3))+1,FIND(";",SUBSTITUTE(D588,"|",REPT(";",LEN(D588)),4))-FIND(";",SUBSTITUTE(D588,"|",REPT(";",LEN(D588)),3))-1)</f>
        <v/>
      </c>
      <c r="M588">
        <f>MID(D588,FIND(";",SUBSTITUTE(D588,"|",REPT(";",LEN(D588)),4))+1,FIND(";",SUBSTITUTE(D588,"|",REPT(";",LEN(D588)),5))-FIND(";",SUBSTITUTE(D588,"|",REPT(";",LEN(D588)),4))-1)</f>
        <v/>
      </c>
      <c r="N588">
        <f>MID(D588,FIND(";",SUBSTITUTE(D588,"|",REPT(";",LEN(D588)),6))+1,LEN(D588))</f>
        <v/>
      </c>
      <c r="O588">
        <f>MID(D588,FIND(";",SUBSTITUTE(D588,"|",REPT(";",LEN(D588)),5))+1,FIND(";",SUBSTITUTE(D588,"|",REPT(";",LEN(D588)),6))-FIND(";",SUBSTITUTE(D588,"|",REPT(";",LEN(D588)),5))-1)</f>
        <v/>
      </c>
    </row>
    <row r="589">
      <c r="A589" t="inlineStr">
        <is>
          <t>100201</t>
        </is>
      </c>
      <c r="B589" t="inlineStr">
        <is>
          <t>圆钢</t>
        </is>
      </c>
      <c r="C589" t="inlineStr">
        <is>
          <t>600600600</t>
        </is>
      </c>
      <c r="D589" t="inlineStr">
        <is>
          <t>热轧合金结构圆钢|圆钢|35CrMnSiA|GB/T 3077-1999|GB/T 702-2008</t>
        </is>
      </c>
      <c r="E589" t="inlineStr">
        <is>
          <t>物资名称 热轧合金结构圆钢;物资简称 圆钢;牌号 35CrMnSiA;直径 Φ;技术标准号 GB/T 3077-1999;加工工艺 ;热处理工艺 ;特殊要求 ;规格标准号 GB/T 702-2008</t>
        </is>
      </c>
      <c r="F589" t="inlineStr">
        <is>
          <t>千克</t>
        </is>
      </c>
      <c r="G589">
        <f>LEFT(D589,FIND("|",D589,1)-1)</f>
        <v/>
      </c>
      <c r="H589">
        <f>MID(D589,FIND("|",D589,FIND("|",D589,1))+1,FIND("|",D589,FIND("|",D589,1)+1)-FIND("|",D589,FIND("|",D589,1))-1)</f>
        <v/>
      </c>
      <c r="J589">
        <f>MID(D589,FIND(";",SUBSTITUTE(D589,"|",REPT(";",LEN(D589)),2))+1,FIND(";",SUBSTITUTE(D589,"|",REPT(";",LEN(D589)),3))-FIND(";",SUBSTITUTE(D589,"|",REPT(";",LEN(D589)),2))-1)</f>
        <v/>
      </c>
      <c r="M589">
        <f>MID(D589,FIND(";",SUBSTITUTE(D589,"|",REPT(";",LEN(D589)),3))+1,FIND(";",SUBSTITUTE(D589,"|",REPT(";",LEN(D589)),4))-FIND(";",SUBSTITUTE(D589,"|",REPT(";",LEN(D589)),3))-1)</f>
        <v/>
      </c>
      <c r="N589">
        <f>MID(D589,FIND(";",SUBSTITUTE(D589,"|",REPT(";",LEN(D589)),4))+1,LEN(D589))</f>
        <v/>
      </c>
    </row>
    <row r="590">
      <c r="A590" t="inlineStr">
        <is>
          <t>100201</t>
        </is>
      </c>
      <c r="B590" t="inlineStr">
        <is>
          <t>圆钢</t>
        </is>
      </c>
      <c r="C590" t="inlineStr">
        <is>
          <t>600600500</t>
        </is>
      </c>
      <c r="D590" t="inlineStr">
        <is>
          <t>热轧合金结构圆钢|圆钢|35CrMnSiA|Φ80|GB/T 3077-1999|热轧|退火|GB/T 702-2008</t>
        </is>
      </c>
      <c r="E590" t="inlineStr">
        <is>
          <t>物资名称 热轧合金结构圆钢;物资简称 圆钢;牌号 35CrMnSiA;直径 Φ80;技术标准号 GB/T 3077-1999;加工工艺 热轧;热处理工艺 退火;特殊要求 ;规格标准号 GB/T 702-2008</t>
        </is>
      </c>
      <c r="F590" t="inlineStr">
        <is>
          <t>千克</t>
        </is>
      </c>
      <c r="G590">
        <f>LEFT(D590,FIND("|",D590,1)-1)</f>
        <v/>
      </c>
      <c r="H590">
        <f>MID(D590,FIND("|",D590,FIND("|",D590,1))+1,FIND("|",D590,FIND("|",D590,1)+1)-FIND("|",D590,FIND("|",D590,1))-1)</f>
        <v/>
      </c>
      <c r="J590">
        <f>MID(D590,FIND(";",SUBSTITUTE(D590,"|",REPT(";",LEN(D590)),2))+1,FIND(";",SUBSTITUTE(D590,"|",REPT(";",LEN(D590)),3))-FIND(";",SUBSTITUTE(D590,"|",REPT(";",LEN(D590)),2))-1)</f>
        <v/>
      </c>
      <c r="K590">
        <f>MID(D590,FIND(";",SUBSTITUTE(D590,"|",REPT(";",LEN(D590)),3))+1,FIND(";",SUBSTITUTE(D590,"|",REPT(";",LEN(D590)),4))-FIND(";",SUBSTITUTE(D590,"|",REPT(";",LEN(D590)),3))-1)</f>
        <v/>
      </c>
      <c r="M590">
        <f>MID(D590,FIND(";",SUBSTITUTE(D590,"|",REPT(";",LEN(D590)),4))+1,FIND(";",SUBSTITUTE(D590,"|",REPT(";",LEN(D590)),5))-FIND(";",SUBSTITUTE(D590,"|",REPT(";",LEN(D590)),4))-1)</f>
        <v/>
      </c>
      <c r="N590">
        <f>MID(D590,FIND(";",SUBSTITUTE(D590,"|",REPT(";",LEN(D590)),7))+1,LEN(D590))</f>
        <v/>
      </c>
      <c r="O590">
        <f>MID(D590,FIND(";",SUBSTITUTE(D590,"|",REPT(";",LEN(D590)),5))+1,FIND(";",SUBSTITUTE(D590,"|",REPT(";",LEN(D590)),6))-FIND(";",SUBSTITUTE(D590,"|",REPT(";",LEN(D590)),5))-1)</f>
        <v/>
      </c>
      <c r="P590">
        <f>MID(D590,FIND(";",SUBSTITUTE(D590,"|",REPT(";",LEN(D590)),6))+1,FIND(";",SUBSTITUTE(D590,"|",REPT(";",LEN(D590)),7))-FIND(";",SUBSTITUTE(D590,"|",REPT(";",LEN(D590)),6))-1)</f>
        <v/>
      </c>
    </row>
    <row r="591">
      <c r="A591" t="inlineStr">
        <is>
          <t>100201</t>
        </is>
      </c>
      <c r="B591" t="inlineStr">
        <is>
          <t>圆钢</t>
        </is>
      </c>
      <c r="C591" t="inlineStr">
        <is>
          <t>600600400</t>
        </is>
      </c>
      <c r="D591" t="inlineStr">
        <is>
          <t>热轧圆钢|圆钢|Q235A|GB/T 700-2006|GB/T 702-2008</t>
        </is>
      </c>
      <c r="E591" t="inlineStr">
        <is>
          <t>物资名称 热轧圆钢;物资简称 圆钢;牌号 Q235A;直径 Φ;技术标准号 GB/T 700-2006;加工工艺 ;热处理工艺 ;特殊要求 ;规格标准号 GB/T 702-2008</t>
        </is>
      </c>
      <c r="F591" t="inlineStr">
        <is>
          <t>千克</t>
        </is>
      </c>
      <c r="G591">
        <f>LEFT(D591,FIND("|",D591,1)-1)</f>
        <v/>
      </c>
      <c r="H591">
        <f>MID(D591,FIND("|",D591,FIND("|",D591,1))+1,FIND("|",D591,FIND("|",D591,1)+1)-FIND("|",D591,FIND("|",D591,1))-1)</f>
        <v/>
      </c>
      <c r="J591">
        <f>MID(D591,FIND(";",SUBSTITUTE(D591,"|",REPT(";",LEN(D591)),2))+1,FIND(";",SUBSTITUTE(D591,"|",REPT(";",LEN(D591)),3))-FIND(";",SUBSTITUTE(D591,"|",REPT(";",LEN(D591)),2))-1)</f>
        <v/>
      </c>
      <c r="M591">
        <f>MID(D591,FIND(";",SUBSTITUTE(D591,"|",REPT(";",LEN(D591)),3))+1,FIND(";",SUBSTITUTE(D591,"|",REPT(";",LEN(D591)),4))-FIND(";",SUBSTITUTE(D591,"|",REPT(";",LEN(D591)),3))-1)</f>
        <v/>
      </c>
      <c r="N591">
        <f>MID(D591,FIND(";",SUBSTITUTE(D591,"|",REPT(";",LEN(D591)),4))+1,LEN(D591))</f>
        <v/>
      </c>
    </row>
    <row r="592">
      <c r="A592" t="inlineStr">
        <is>
          <t>100201</t>
        </is>
      </c>
      <c r="B592" t="inlineStr">
        <is>
          <t>圆钢</t>
        </is>
      </c>
      <c r="C592" t="inlineStr">
        <is>
          <t>600600300</t>
        </is>
      </c>
      <c r="D592" t="inlineStr">
        <is>
          <t>热轧圆钢|圆钢|Q235A|Φ10|GB/T 700-2006|热轧|GB/T 702-2008</t>
        </is>
      </c>
      <c r="E592" t="inlineStr">
        <is>
          <t>物资名称 热轧圆钢;物资简称 圆钢;牌号 Q235A;直径 Φ10;技术标准号 GB/T 700-2006;加工工艺 热轧;热处理工艺 ;特殊要求 ;规格标准号 GB/T 702-2008</t>
        </is>
      </c>
      <c r="F592" t="inlineStr">
        <is>
          <t>千克</t>
        </is>
      </c>
      <c r="G592">
        <f>LEFT(D592,FIND("|",D592,1)-1)</f>
        <v/>
      </c>
      <c r="H592">
        <f>MID(D592,FIND("|",D592,FIND("|",D592,1))+1,FIND("|",D592,FIND("|",D592,1)+1)-FIND("|",D592,FIND("|",D592,1))-1)</f>
        <v/>
      </c>
      <c r="J592">
        <f>MID(D592,FIND(";",SUBSTITUTE(D592,"|",REPT(";",LEN(D592)),2))+1,FIND(";",SUBSTITUTE(D592,"|",REPT(";",LEN(D592)),3))-FIND(";",SUBSTITUTE(D592,"|",REPT(";",LEN(D592)),2))-1)</f>
        <v/>
      </c>
      <c r="K592">
        <f>MID(D592,FIND(";",SUBSTITUTE(D592,"|",REPT(";",LEN(D592)),3))+1,FIND(";",SUBSTITUTE(D592,"|",REPT(";",LEN(D592)),4))-FIND(";",SUBSTITUTE(D592,"|",REPT(";",LEN(D592)),3))-1)</f>
        <v/>
      </c>
      <c r="M592">
        <f>MID(D592,FIND(";",SUBSTITUTE(D592,"|",REPT(";",LEN(D592)),4))+1,FIND(";",SUBSTITUTE(D592,"|",REPT(";",LEN(D592)),5))-FIND(";",SUBSTITUTE(D592,"|",REPT(";",LEN(D592)),4))-1)</f>
        <v/>
      </c>
      <c r="N592">
        <f>MID(D592,FIND(";",SUBSTITUTE(D592,"|",REPT(";",LEN(D592)),6))+1,LEN(D592))</f>
        <v/>
      </c>
      <c r="O592">
        <f>MID(D592,FIND(";",SUBSTITUTE(D592,"|",REPT(";",LEN(D592)),5))+1,FIND(";",SUBSTITUTE(D592,"|",REPT(";",LEN(D592)),6))-FIND(";",SUBSTITUTE(D592,"|",REPT(";",LEN(D592)),5))-1)</f>
        <v/>
      </c>
    </row>
    <row r="593">
      <c r="A593" t="inlineStr">
        <is>
          <t>100201</t>
        </is>
      </c>
      <c r="B593" t="inlineStr">
        <is>
          <t>圆钢</t>
        </is>
      </c>
      <c r="C593" t="inlineStr">
        <is>
          <t>600600200</t>
        </is>
      </c>
      <c r="D593" t="inlineStr">
        <is>
          <t>合金结构圆钢|圆钢|30CrMnSi|GB/T 3077-1999</t>
        </is>
      </c>
      <c r="E593" t="inlineStr">
        <is>
          <t xml:space="preserve">物资名称 合金结构圆钢;物资简称 圆钢;牌号 30CrMnSi;直径 Φ;技术标准号 GB/T 3077-1999;加工工艺 ;热处理工艺 ;特殊要求 ;规格标准号 </t>
        </is>
      </c>
      <c r="F593" t="inlineStr">
        <is>
          <t>千克</t>
        </is>
      </c>
      <c r="G593">
        <f>LEFT(D593,FIND("|",D593,1)-1)</f>
        <v/>
      </c>
      <c r="H593">
        <f>MID(D593,FIND("|",D593,FIND("|",D593,1))+1,FIND("|",D593,FIND("|",D593,1)+1)-FIND("|",D593,FIND("|",D593,1))-1)</f>
        <v/>
      </c>
      <c r="J593">
        <f>MID(D593,FIND(";",SUBSTITUTE(D593,"|",REPT(";",LEN(D593)),2))+1,FIND(";",SUBSTITUTE(D593,"|",REPT(";",LEN(D593)),3))-FIND(";",SUBSTITUTE(D593,"|",REPT(";",LEN(D593)),2))-1)</f>
        <v/>
      </c>
      <c r="M593">
        <f>MID(D593,FIND(";",SUBSTITUTE(D593,"|",REPT(";",LEN(D593)),3))+1,LEN(D593))</f>
        <v/>
      </c>
    </row>
    <row r="594">
      <c r="A594" t="inlineStr">
        <is>
          <t>100206</t>
        </is>
      </c>
      <c r="B594" t="inlineStr">
        <is>
          <t>角钢</t>
        </is>
      </c>
      <c r="C594" t="inlineStr">
        <is>
          <t>602383700</t>
        </is>
      </c>
      <c r="D594" t="inlineStr">
        <is>
          <t>热轧角钢|角钢|Q235A|∠80×80×6|GB/T 700-2006|热轧|GB/T 706-2016</t>
        </is>
      </c>
      <c r="E594" t="inlineStr">
        <is>
          <t>物资名称 热轧角钢;物资简称 角钢;牌号 Q235A;长边宽 ∠80;短边宽 80;厚度 6;技术标准号 GB/T 700-2006;加工工艺 热轧;热处理工艺 ;特殊要求 ;规格标准号 GB/T 706-2016</t>
        </is>
      </c>
      <c r="F594" t="inlineStr">
        <is>
          <t>千克</t>
        </is>
      </c>
      <c r="G594">
        <f>LEFT(D594,FIND("|",D594,1)-1)</f>
        <v/>
      </c>
      <c r="H594">
        <f>MID(D594,FIND("|",D594,FIND("|",D594,1))+1,FIND("|",D594,FIND("|",D594,1)+1)-FIND("|",D594,FIND("|",D594,1))-1)</f>
        <v/>
      </c>
      <c r="J594">
        <f>MID(D594,FIND(";",SUBSTITUTE(D594,"|",REPT(";",LEN(D594)),2))+1,FIND(";",SUBSTITUTE(D594,"|",REPT(";",LEN(D594)),3))-FIND(";",SUBSTITUTE(D594,"|",REPT(";",LEN(D594)),2))-1)</f>
        <v/>
      </c>
      <c r="K594">
        <f>MID(D594,FIND(";",SUBSTITUTE(D594,"|",REPT(";",LEN(D594)),3))+1,FIND(";",SUBSTITUTE(D594,"|",REPT(";",LEN(D594)),4))-FIND(";",SUBSTITUTE(D594,"|",REPT(";",LEN(D594)),3))-1)</f>
        <v/>
      </c>
      <c r="M594">
        <f>MID(D594,FIND(";",SUBSTITUTE(D594,"|",REPT(";",LEN(D594)),4))+1,FIND(";",SUBSTITUTE(D594,"|",REPT(";",LEN(D594)),5))-FIND(";",SUBSTITUTE(D594,"|",REPT(";",LEN(D594)),4))-1)</f>
        <v/>
      </c>
      <c r="N594">
        <f>MID(D594,FIND(";",SUBSTITUTE(D594,"|",REPT(";",LEN(D594)),6))+1,LEN(D594))</f>
        <v/>
      </c>
      <c r="O594">
        <f>MID(D594,FIND(";",SUBSTITUTE(D594,"|",REPT(";",LEN(D594)),5))+1,FIND(";",SUBSTITUTE(D594,"|",REPT(";",LEN(D594)),6))-FIND(";",SUBSTITUTE(D594,"|",REPT(";",LEN(D594)),5))-1)</f>
        <v/>
      </c>
    </row>
    <row r="595">
      <c r="A595" t="inlineStr">
        <is>
          <t>100206</t>
        </is>
      </c>
      <c r="B595" t="inlineStr">
        <is>
          <t>角钢</t>
        </is>
      </c>
      <c r="C595" t="inlineStr">
        <is>
          <t>602366600</t>
        </is>
      </c>
      <c r="D595" t="inlineStr">
        <is>
          <t>热轧角钢|角钢|Q235A|∠90×90×8|GB/T 700-2006|热轧|GB/T 706-2016</t>
        </is>
      </c>
      <c r="E595" t="inlineStr">
        <is>
          <t>物资名称 热轧角钢;物资简称 角钢;牌号 Q235A;长边宽 ∠90;短边宽 90;厚度 8;技术标准号 GB/T 700-2006;加工工艺 热轧;热处理工艺 ;特殊要求 ;规格标准号 GB/T 706-2016</t>
        </is>
      </c>
      <c r="F595" t="inlineStr">
        <is>
          <t>千克</t>
        </is>
      </c>
      <c r="G595">
        <f>LEFT(D595,FIND("|",D595,1)-1)</f>
        <v/>
      </c>
      <c r="H595">
        <f>MID(D595,FIND("|",D595,FIND("|",D595,1))+1,FIND("|",D595,FIND("|",D595,1)+1)-FIND("|",D595,FIND("|",D595,1))-1)</f>
        <v/>
      </c>
      <c r="J595">
        <f>MID(D595,FIND(";",SUBSTITUTE(D595,"|",REPT(";",LEN(D595)),2))+1,FIND(";",SUBSTITUTE(D595,"|",REPT(";",LEN(D595)),3))-FIND(";",SUBSTITUTE(D595,"|",REPT(";",LEN(D595)),2))-1)</f>
        <v/>
      </c>
      <c r="K595">
        <f>MID(D595,FIND(";",SUBSTITUTE(D595,"|",REPT(";",LEN(D595)),3))+1,FIND(";",SUBSTITUTE(D595,"|",REPT(";",LEN(D595)),4))-FIND(";",SUBSTITUTE(D595,"|",REPT(";",LEN(D595)),3))-1)</f>
        <v/>
      </c>
      <c r="M595">
        <f>MID(D595,FIND(";",SUBSTITUTE(D595,"|",REPT(";",LEN(D595)),4))+1,FIND(";",SUBSTITUTE(D595,"|",REPT(";",LEN(D595)),5))-FIND(";",SUBSTITUTE(D595,"|",REPT(";",LEN(D595)),4))-1)</f>
        <v/>
      </c>
      <c r="N595">
        <f>MID(D595,FIND(";",SUBSTITUTE(D595,"|",REPT(";",LEN(D595)),6))+1,LEN(D595))</f>
        <v/>
      </c>
      <c r="O595">
        <f>MID(D595,FIND(";",SUBSTITUTE(D595,"|",REPT(";",LEN(D595)),5))+1,FIND(";",SUBSTITUTE(D595,"|",REPT(";",LEN(D595)),6))-FIND(";",SUBSTITUTE(D595,"|",REPT(";",LEN(D595)),5))-1)</f>
        <v/>
      </c>
    </row>
    <row r="596">
      <c r="A596" t="inlineStr">
        <is>
          <t>100206</t>
        </is>
      </c>
      <c r="B596" t="inlineStr">
        <is>
          <t>角钢</t>
        </is>
      </c>
      <c r="C596" t="inlineStr">
        <is>
          <t>600999600</t>
        </is>
      </c>
      <c r="D596" t="inlineStr">
        <is>
          <t>热轧角钢|角钢|Q235|∠125×80×8|GB/T 700-2006|热轧|GB/T 706-2008</t>
        </is>
      </c>
      <c r="E596" t="inlineStr">
        <is>
          <t>物资名称 热轧角钢;物资简称 角钢;牌号 Q235;长边宽 ∠125;短边宽 80;厚度 8;技术标准号 GB/T 700-2006;加工工艺 热轧;热处理工艺 ;特殊要求 ;规格标准号 GB/T 706-2008</t>
        </is>
      </c>
      <c r="F596" t="inlineStr">
        <is>
          <t>千克</t>
        </is>
      </c>
      <c r="G596">
        <f>LEFT(D596,FIND("|",D596,1)-1)</f>
        <v/>
      </c>
      <c r="H596">
        <f>MID(D596,FIND("|",D596,FIND("|",D596,1))+1,FIND("|",D596,FIND("|",D596,1)+1)-FIND("|",D596,FIND("|",D596,1))-1)</f>
        <v/>
      </c>
      <c r="J596">
        <f>MID(D596,FIND(";",SUBSTITUTE(D596,"|",REPT(";",LEN(D596)),2))+1,FIND(";",SUBSTITUTE(D596,"|",REPT(";",LEN(D596)),3))-FIND(";",SUBSTITUTE(D596,"|",REPT(";",LEN(D596)),2))-1)</f>
        <v/>
      </c>
      <c r="K596">
        <f>MID(D596,FIND(";",SUBSTITUTE(D596,"|",REPT(";",LEN(D596)),3))+1,FIND(";",SUBSTITUTE(D596,"|",REPT(";",LEN(D596)),4))-FIND(";",SUBSTITUTE(D596,"|",REPT(";",LEN(D596)),3))-1)</f>
        <v/>
      </c>
      <c r="M596">
        <f>MID(D596,FIND(";",SUBSTITUTE(D596,"|",REPT(";",LEN(D596)),4))+1,FIND(";",SUBSTITUTE(D596,"|",REPT(";",LEN(D596)),5))-FIND(";",SUBSTITUTE(D596,"|",REPT(";",LEN(D596)),4))-1)</f>
        <v/>
      </c>
      <c r="N596">
        <f>MID(D596,FIND(";",SUBSTITUTE(D596,"|",REPT(";",LEN(D596)),6))+1,LEN(D596))</f>
        <v/>
      </c>
      <c r="O596">
        <f>MID(D596,FIND(";",SUBSTITUTE(D596,"|",REPT(";",LEN(D596)),5))+1,FIND(";",SUBSTITUTE(D596,"|",REPT(";",LEN(D596)),6))-FIND(";",SUBSTITUTE(D596,"|",REPT(";",LEN(D596)),5))-1)</f>
        <v/>
      </c>
    </row>
    <row r="597">
      <c r="A597" t="inlineStr">
        <is>
          <t>100206</t>
        </is>
      </c>
      <c r="B597" t="inlineStr">
        <is>
          <t>角钢</t>
        </is>
      </c>
      <c r="C597" t="inlineStr">
        <is>
          <t>600626000</t>
        </is>
      </c>
      <c r="D597" t="inlineStr">
        <is>
          <t>热轧角钢|角钢|Q235A|GB/T 700-2006|GB/T 706-2008</t>
        </is>
      </c>
      <c r="E597" t="inlineStr">
        <is>
          <t>物资名称 热轧角钢;物资简称 角钢;牌号 Q235A;长边宽 ∠;短边宽 ;厚度 ;技术标准号 GB/T 700-2006;加工工艺 ;热处理工艺 ;特殊要求 ;规格标准号 GB/T 706-2008</t>
        </is>
      </c>
      <c r="F597" t="inlineStr">
        <is>
          <t>千克</t>
        </is>
      </c>
      <c r="G597">
        <f>LEFT(D597,FIND("|",D597,1)-1)</f>
        <v/>
      </c>
      <c r="H597">
        <f>MID(D597,FIND("|",D597,FIND("|",D597,1))+1,FIND("|",D597,FIND("|",D597,1)+1)-FIND("|",D597,FIND("|",D597,1))-1)</f>
        <v/>
      </c>
      <c r="J597">
        <f>MID(D597,FIND(";",SUBSTITUTE(D597,"|",REPT(";",LEN(D597)),2))+1,FIND(";",SUBSTITUTE(D597,"|",REPT(";",LEN(D597)),3))-FIND(";",SUBSTITUTE(D597,"|",REPT(";",LEN(D597)),2))-1)</f>
        <v/>
      </c>
      <c r="M597">
        <f>MID(D597,FIND(";",SUBSTITUTE(D597,"|",REPT(";",LEN(D597)),3))+1,FIND(";",SUBSTITUTE(D597,"|",REPT(";",LEN(D597)),4))-FIND(";",SUBSTITUTE(D597,"|",REPT(";",LEN(D597)),3))-1)</f>
        <v/>
      </c>
      <c r="N597">
        <f>MID(D597,FIND(";",SUBSTITUTE(D597,"|",REPT(";",LEN(D597)),4))+1,LEN(D597))</f>
        <v/>
      </c>
    </row>
    <row r="598">
      <c r="A598" t="inlineStr">
        <is>
          <t>100206</t>
        </is>
      </c>
      <c r="B598" t="inlineStr">
        <is>
          <t>角钢</t>
        </is>
      </c>
      <c r="C598" t="inlineStr">
        <is>
          <t>600625900</t>
        </is>
      </c>
      <c r="D598" t="inlineStr">
        <is>
          <t>热轧角钢|角钢|Q235A|∠20×20×2|GB/T 700-2006|GB/T 706-2008</t>
        </is>
      </c>
      <c r="E598" t="inlineStr">
        <is>
          <t>物资名称 热轧角钢;物资简称 角钢;牌号 Q235A;长边宽 ∠20;短边宽 20;厚度 2;技术标准号 GB/T 700-2006;加工工艺 ;热处理工艺 ;特殊要求 ;规格标准号 GB/T 706-2008</t>
        </is>
      </c>
      <c r="F598" t="inlineStr">
        <is>
          <t>千克</t>
        </is>
      </c>
      <c r="G598">
        <f>LEFT(D598,FIND("|",D598,1)-1)</f>
        <v/>
      </c>
      <c r="H598">
        <f>MID(D598,FIND("|",D598,FIND("|",D598,1))+1,FIND("|",D598,FIND("|",D598,1)+1)-FIND("|",D598,FIND("|",D598,1))-1)</f>
        <v/>
      </c>
      <c r="J598">
        <f>MID(D598,FIND(";",SUBSTITUTE(D598,"|",REPT(";",LEN(D598)),2))+1,FIND(";",SUBSTITUTE(D598,"|",REPT(";",LEN(D598)),3))-FIND(";",SUBSTITUTE(D598,"|",REPT(";",LEN(D598)),2))-1)</f>
        <v/>
      </c>
      <c r="K598">
        <f>MID(D598,FIND(";",SUBSTITUTE(D598,"|",REPT(";",LEN(D598)),3))+1,FIND(";",SUBSTITUTE(D598,"|",REPT(";",LEN(D598)),4))-FIND(";",SUBSTITUTE(D598,"|",REPT(";",LEN(D598)),3))-1)</f>
        <v/>
      </c>
      <c r="M598">
        <f>MID(D598,FIND(";",SUBSTITUTE(D598,"|",REPT(";",LEN(D598)),4))+1,FIND(";",SUBSTITUTE(D598,"|",REPT(";",LEN(D598)),5))-FIND(";",SUBSTITUTE(D598,"|",REPT(";",LEN(D598)),4))-1)</f>
        <v/>
      </c>
      <c r="N598">
        <f>MID(D598,FIND(";",SUBSTITUTE(D598,"|",REPT(";",LEN(D598)),5))+1,LEN(D598))</f>
        <v/>
      </c>
    </row>
    <row r="599">
      <c r="A599" t="inlineStr">
        <is>
          <t>100206</t>
        </is>
      </c>
      <c r="B599" t="inlineStr">
        <is>
          <t>角钢</t>
        </is>
      </c>
      <c r="C599" t="inlineStr">
        <is>
          <t>600625800</t>
        </is>
      </c>
      <c r="D599" t="inlineStr">
        <is>
          <t>热轧角钢|角钢|Q235A|∠25×25×3|GB/T 700-2006|GB/T 706-2008</t>
        </is>
      </c>
      <c r="E599" t="inlineStr">
        <is>
          <t>物资名称 热轧角钢;物资简称 角钢;牌号 Q235A;长边宽 ∠25;短边宽 25;厚度 3;技术标准号 GB/T 700-2006;加工工艺 ;热处理工艺 ;特殊要求 ;规格标准号 GB/T 706-2008</t>
        </is>
      </c>
      <c r="F599" t="inlineStr">
        <is>
          <t>千克</t>
        </is>
      </c>
      <c r="G599">
        <f>LEFT(D599,FIND("|",D599,1)-1)</f>
        <v/>
      </c>
      <c r="H599">
        <f>MID(D599,FIND("|",D599,FIND("|",D599,1))+1,FIND("|",D599,FIND("|",D599,1)+1)-FIND("|",D599,FIND("|",D599,1))-1)</f>
        <v/>
      </c>
      <c r="J599">
        <f>MID(D599,FIND(";",SUBSTITUTE(D599,"|",REPT(";",LEN(D599)),2))+1,FIND(";",SUBSTITUTE(D599,"|",REPT(";",LEN(D599)),3))-FIND(";",SUBSTITUTE(D599,"|",REPT(";",LEN(D599)),2))-1)</f>
        <v/>
      </c>
      <c r="K599">
        <f>MID(D599,FIND(";",SUBSTITUTE(D599,"|",REPT(";",LEN(D599)),3))+1,FIND(";",SUBSTITUTE(D599,"|",REPT(";",LEN(D599)),4))-FIND(";",SUBSTITUTE(D599,"|",REPT(";",LEN(D599)),3))-1)</f>
        <v/>
      </c>
      <c r="M599">
        <f>MID(D599,FIND(";",SUBSTITUTE(D599,"|",REPT(";",LEN(D599)),4))+1,FIND(";",SUBSTITUTE(D599,"|",REPT(";",LEN(D599)),5))-FIND(";",SUBSTITUTE(D599,"|",REPT(";",LEN(D599)),4))-1)</f>
        <v/>
      </c>
      <c r="N599">
        <f>MID(D599,FIND(";",SUBSTITUTE(D599,"|",REPT(";",LEN(D599)),5))+1,LEN(D599))</f>
        <v/>
      </c>
    </row>
    <row r="600">
      <c r="A600" t="inlineStr">
        <is>
          <t>100206</t>
        </is>
      </c>
      <c r="B600" t="inlineStr">
        <is>
          <t>角钢</t>
        </is>
      </c>
      <c r="C600" t="inlineStr">
        <is>
          <t>600625700</t>
        </is>
      </c>
      <c r="D600" t="inlineStr">
        <is>
          <t>热轧角钢|角钢|Q235A|∠25×25×2|GB/T 700-2006|GB/T 706-2008</t>
        </is>
      </c>
      <c r="E600" t="inlineStr">
        <is>
          <t>物资名称 热轧角钢;物资简称 角钢;牌号 Q235A;长边宽 ∠25;短边宽 25;厚度 2;技术标准号 GB/T 700-2006;加工工艺 ;热处理工艺 ;特殊要求 ;规格标准号 GB/T 706-2008</t>
        </is>
      </c>
      <c r="F600" t="inlineStr">
        <is>
          <t>千克</t>
        </is>
      </c>
      <c r="G600">
        <f>LEFT(D600,FIND("|",D600,1)-1)</f>
        <v/>
      </c>
      <c r="H600">
        <f>MID(D600,FIND("|",D600,FIND("|",D600,1))+1,FIND("|",D600,FIND("|",D600,1)+1)-FIND("|",D600,FIND("|",D600,1))-1)</f>
        <v/>
      </c>
      <c r="J600">
        <f>MID(D600,FIND(";",SUBSTITUTE(D600,"|",REPT(";",LEN(D600)),2))+1,FIND(";",SUBSTITUTE(D600,"|",REPT(";",LEN(D600)),3))-FIND(";",SUBSTITUTE(D600,"|",REPT(";",LEN(D600)),2))-1)</f>
        <v/>
      </c>
      <c r="K600">
        <f>MID(D600,FIND(";",SUBSTITUTE(D600,"|",REPT(";",LEN(D600)),3))+1,FIND(";",SUBSTITUTE(D600,"|",REPT(";",LEN(D600)),4))-FIND(";",SUBSTITUTE(D600,"|",REPT(";",LEN(D600)),3))-1)</f>
        <v/>
      </c>
      <c r="M600">
        <f>MID(D600,FIND(";",SUBSTITUTE(D600,"|",REPT(";",LEN(D600)),4))+1,FIND(";",SUBSTITUTE(D600,"|",REPT(";",LEN(D600)),5))-FIND(";",SUBSTITUTE(D600,"|",REPT(";",LEN(D600)),4))-1)</f>
        <v/>
      </c>
      <c r="N600">
        <f>MID(D600,FIND(";",SUBSTITUTE(D600,"|",REPT(";",LEN(D600)),5))+1,LEN(D600))</f>
        <v/>
      </c>
    </row>
    <row r="601">
      <c r="A601" t="inlineStr">
        <is>
          <t>100206</t>
        </is>
      </c>
      <c r="B601" t="inlineStr">
        <is>
          <t>角钢</t>
        </is>
      </c>
      <c r="C601" t="inlineStr">
        <is>
          <t>600625600</t>
        </is>
      </c>
      <c r="D601" t="inlineStr">
        <is>
          <t>热轧角钢|角钢|Q235A|∠30×30×4|GB/T 700-2006|GB/T 706-2008</t>
        </is>
      </c>
      <c r="E601" t="inlineStr">
        <is>
          <t>物资名称 热轧角钢;物资简称 角钢;牌号 Q235A;长边宽 ∠30;短边宽 30;厚度 4;技术标准号 GB/T 700-2006;加工工艺 ;热处理工艺 ;特殊要求 ;规格标准号 GB/T 706-2008</t>
        </is>
      </c>
      <c r="F601" t="inlineStr">
        <is>
          <t>千克</t>
        </is>
      </c>
      <c r="G601">
        <f>LEFT(D601,FIND("|",D601,1)-1)</f>
        <v/>
      </c>
      <c r="H601">
        <f>MID(D601,FIND("|",D601,FIND("|",D601,1))+1,FIND("|",D601,FIND("|",D601,1)+1)-FIND("|",D601,FIND("|",D601,1))-1)</f>
        <v/>
      </c>
      <c r="J601">
        <f>MID(D601,FIND(";",SUBSTITUTE(D601,"|",REPT(";",LEN(D601)),2))+1,FIND(";",SUBSTITUTE(D601,"|",REPT(";",LEN(D601)),3))-FIND(";",SUBSTITUTE(D601,"|",REPT(";",LEN(D601)),2))-1)</f>
        <v/>
      </c>
      <c r="K601">
        <f>MID(D601,FIND(";",SUBSTITUTE(D601,"|",REPT(";",LEN(D601)),3))+1,FIND(";",SUBSTITUTE(D601,"|",REPT(";",LEN(D601)),4))-FIND(";",SUBSTITUTE(D601,"|",REPT(";",LEN(D601)),3))-1)</f>
        <v/>
      </c>
      <c r="M601">
        <f>MID(D601,FIND(";",SUBSTITUTE(D601,"|",REPT(";",LEN(D601)),4))+1,FIND(";",SUBSTITUTE(D601,"|",REPT(";",LEN(D601)),5))-FIND(";",SUBSTITUTE(D601,"|",REPT(";",LEN(D601)),4))-1)</f>
        <v/>
      </c>
      <c r="N601">
        <f>MID(D601,FIND(";",SUBSTITUTE(D601,"|",REPT(";",LEN(D601)),5))+1,LEN(D601))</f>
        <v/>
      </c>
    </row>
    <row r="602">
      <c r="A602" t="inlineStr">
        <is>
          <t>100206</t>
        </is>
      </c>
      <c r="B602" t="inlineStr">
        <is>
          <t>角钢</t>
        </is>
      </c>
      <c r="C602" t="inlineStr">
        <is>
          <t>600625500</t>
        </is>
      </c>
      <c r="D602" t="inlineStr">
        <is>
          <t>热轧角钢|角钢|Q235A|∠30×30×3|GB/T 700-2006|GB/T 706-2008</t>
        </is>
      </c>
      <c r="E602" t="inlineStr">
        <is>
          <t>物资名称 热轧角钢;物资简称 角钢;牌号 Q235A;长边宽 ∠30;短边宽 30;厚度 3;技术标准号 GB/T 700-2006;加工工艺 ;热处理工艺 ;特殊要求 ;规格标准号 GB/T 706-2008</t>
        </is>
      </c>
      <c r="F602" t="inlineStr">
        <is>
          <t>千克</t>
        </is>
      </c>
      <c r="G602">
        <f>LEFT(D602,FIND("|",D602,1)-1)</f>
        <v/>
      </c>
      <c r="H602">
        <f>MID(D602,FIND("|",D602,FIND("|",D602,1))+1,FIND("|",D602,FIND("|",D602,1)+1)-FIND("|",D602,FIND("|",D602,1))-1)</f>
        <v/>
      </c>
      <c r="J602">
        <f>MID(D602,FIND(";",SUBSTITUTE(D602,"|",REPT(";",LEN(D602)),2))+1,FIND(";",SUBSTITUTE(D602,"|",REPT(";",LEN(D602)),3))-FIND(";",SUBSTITUTE(D602,"|",REPT(";",LEN(D602)),2))-1)</f>
        <v/>
      </c>
      <c r="K602">
        <f>MID(D602,FIND(";",SUBSTITUTE(D602,"|",REPT(";",LEN(D602)),3))+1,FIND(";",SUBSTITUTE(D602,"|",REPT(";",LEN(D602)),4))-FIND(";",SUBSTITUTE(D602,"|",REPT(";",LEN(D602)),3))-1)</f>
        <v/>
      </c>
      <c r="M602">
        <f>MID(D602,FIND(";",SUBSTITUTE(D602,"|",REPT(";",LEN(D602)),4))+1,FIND(";",SUBSTITUTE(D602,"|",REPT(";",LEN(D602)),5))-FIND(";",SUBSTITUTE(D602,"|",REPT(";",LEN(D602)),4))-1)</f>
        <v/>
      </c>
      <c r="N602">
        <f>MID(D602,FIND(";",SUBSTITUTE(D602,"|",REPT(";",LEN(D602)),5))+1,LEN(D602))</f>
        <v/>
      </c>
    </row>
    <row r="603">
      <c r="A603" t="inlineStr">
        <is>
          <t>100206</t>
        </is>
      </c>
      <c r="B603" t="inlineStr">
        <is>
          <t>角钢</t>
        </is>
      </c>
      <c r="C603" t="inlineStr">
        <is>
          <t>600625400</t>
        </is>
      </c>
      <c r="D603" t="inlineStr">
        <is>
          <t>热轧角钢|角钢|Q235A|∠50×50×5|GB/T 700-2006|GB/T 706-2008</t>
        </is>
      </c>
      <c r="E603" t="inlineStr">
        <is>
          <t>物资名称 热轧角钢;物资简称 角钢;牌号 Q235A;长边宽 ∠50;短边宽 50;厚度 5;技术标准号 GB/T 700-2006;加工工艺 ;热处理工艺 ;特殊要求 ;规格标准号 GB/T 706-2008</t>
        </is>
      </c>
      <c r="F603" t="inlineStr">
        <is>
          <t>千克</t>
        </is>
      </c>
      <c r="G603">
        <f>LEFT(D603,FIND("|",D603,1)-1)</f>
        <v/>
      </c>
      <c r="H603">
        <f>MID(D603,FIND("|",D603,FIND("|",D603,1))+1,FIND("|",D603,FIND("|",D603,1)+1)-FIND("|",D603,FIND("|",D603,1))-1)</f>
        <v/>
      </c>
      <c r="J603">
        <f>MID(D603,FIND(";",SUBSTITUTE(D603,"|",REPT(";",LEN(D603)),2))+1,FIND(";",SUBSTITUTE(D603,"|",REPT(";",LEN(D603)),3))-FIND(";",SUBSTITUTE(D603,"|",REPT(";",LEN(D603)),2))-1)</f>
        <v/>
      </c>
      <c r="K603">
        <f>MID(D603,FIND(";",SUBSTITUTE(D603,"|",REPT(";",LEN(D603)),3))+1,FIND(";",SUBSTITUTE(D603,"|",REPT(";",LEN(D603)),4))-FIND(";",SUBSTITUTE(D603,"|",REPT(";",LEN(D603)),3))-1)</f>
        <v/>
      </c>
      <c r="M603">
        <f>MID(D603,FIND(";",SUBSTITUTE(D603,"|",REPT(";",LEN(D603)),4))+1,FIND(";",SUBSTITUTE(D603,"|",REPT(";",LEN(D603)),5))-FIND(";",SUBSTITUTE(D603,"|",REPT(";",LEN(D603)),4))-1)</f>
        <v/>
      </c>
      <c r="N603">
        <f>MID(D603,FIND(";",SUBSTITUTE(D603,"|",REPT(";",LEN(D603)),5))+1,LEN(D603))</f>
        <v/>
      </c>
    </row>
    <row r="604">
      <c r="A604" t="inlineStr">
        <is>
          <t>100206</t>
        </is>
      </c>
      <c r="B604" t="inlineStr">
        <is>
          <t>角钢</t>
        </is>
      </c>
      <c r="C604" t="inlineStr">
        <is>
          <t>600625300</t>
        </is>
      </c>
      <c r="D604" t="inlineStr">
        <is>
          <t>热轧角钢|角钢|Q235A|∠60×60×6|GB/T 700-2006|GB/T 706-2008</t>
        </is>
      </c>
      <c r="E604" t="inlineStr">
        <is>
          <t>物资名称 热轧角钢;物资简称 角钢;牌号 Q235A;长边宽 ∠60;短边宽 60;厚度 6;技术标准号 GB/T 700-2006;加工工艺 ;热处理工艺 ;特殊要求 ;规格标准号 GB/T 706-2008</t>
        </is>
      </c>
      <c r="F604" t="inlineStr">
        <is>
          <t>千克</t>
        </is>
      </c>
      <c r="G604">
        <f>LEFT(D604,FIND("|",D604,1)-1)</f>
        <v/>
      </c>
      <c r="H604">
        <f>MID(D604,FIND("|",D604,FIND("|",D604,1))+1,FIND("|",D604,FIND("|",D604,1)+1)-FIND("|",D604,FIND("|",D604,1))-1)</f>
        <v/>
      </c>
      <c r="J604">
        <f>MID(D604,FIND(";",SUBSTITUTE(D604,"|",REPT(";",LEN(D604)),2))+1,FIND(";",SUBSTITUTE(D604,"|",REPT(";",LEN(D604)),3))-FIND(";",SUBSTITUTE(D604,"|",REPT(";",LEN(D604)),2))-1)</f>
        <v/>
      </c>
      <c r="K604">
        <f>MID(D604,FIND(";",SUBSTITUTE(D604,"|",REPT(";",LEN(D604)),3))+1,FIND(";",SUBSTITUTE(D604,"|",REPT(";",LEN(D604)),4))-FIND(";",SUBSTITUTE(D604,"|",REPT(";",LEN(D604)),3))-1)</f>
        <v/>
      </c>
      <c r="M604">
        <f>MID(D604,FIND(";",SUBSTITUTE(D604,"|",REPT(";",LEN(D604)),4))+1,FIND(";",SUBSTITUTE(D604,"|",REPT(";",LEN(D604)),5))-FIND(";",SUBSTITUTE(D604,"|",REPT(";",LEN(D604)),4))-1)</f>
        <v/>
      </c>
      <c r="N604">
        <f>MID(D604,FIND(";",SUBSTITUTE(D604,"|",REPT(";",LEN(D604)),5))+1,LEN(D604))</f>
        <v/>
      </c>
    </row>
    <row r="605">
      <c r="A605" t="inlineStr">
        <is>
          <t>100206</t>
        </is>
      </c>
      <c r="B605" t="inlineStr">
        <is>
          <t>角钢</t>
        </is>
      </c>
      <c r="C605" t="inlineStr">
        <is>
          <t>600625200</t>
        </is>
      </c>
      <c r="D605" t="inlineStr">
        <is>
          <t>热轧角钢|角钢|Q235A|∠70×70×6|GB/T 700-2006|GB/T 706-2008</t>
        </is>
      </c>
      <c r="E605" t="inlineStr">
        <is>
          <t>物资名称 热轧角钢;物资简称 角钢;牌号 Q235A;长边宽 ∠70;短边宽 70;厚度 6;技术标准号 GB/T 700-2006;加工工艺 ;热处理工艺 ;特殊要求 ;规格标准号 GB/T 706-2008</t>
        </is>
      </c>
      <c r="F605" t="inlineStr">
        <is>
          <t>千克</t>
        </is>
      </c>
      <c r="G605">
        <f>LEFT(D605,FIND("|",D605,1)-1)</f>
        <v/>
      </c>
      <c r="H605">
        <f>MID(D605,FIND("|",D605,FIND("|",D605,1))+1,FIND("|",D605,FIND("|",D605,1)+1)-FIND("|",D605,FIND("|",D605,1))-1)</f>
        <v/>
      </c>
      <c r="J605">
        <f>MID(D605,FIND(";",SUBSTITUTE(D605,"|",REPT(";",LEN(D605)),2))+1,FIND(";",SUBSTITUTE(D605,"|",REPT(";",LEN(D605)),3))-FIND(";",SUBSTITUTE(D605,"|",REPT(";",LEN(D605)),2))-1)</f>
        <v/>
      </c>
      <c r="K605">
        <f>MID(D605,FIND(";",SUBSTITUTE(D605,"|",REPT(";",LEN(D605)),3))+1,FIND(";",SUBSTITUTE(D605,"|",REPT(";",LEN(D605)),4))-FIND(";",SUBSTITUTE(D605,"|",REPT(";",LEN(D605)),3))-1)</f>
        <v/>
      </c>
      <c r="M605">
        <f>MID(D605,FIND(";",SUBSTITUTE(D605,"|",REPT(";",LEN(D605)),4))+1,FIND(";",SUBSTITUTE(D605,"|",REPT(";",LEN(D605)),5))-FIND(";",SUBSTITUTE(D605,"|",REPT(";",LEN(D605)),4))-1)</f>
        <v/>
      </c>
      <c r="N605">
        <f>MID(D605,FIND(";",SUBSTITUTE(D605,"|",REPT(";",LEN(D605)),5))+1,LEN(D605))</f>
        <v/>
      </c>
    </row>
    <row r="606">
      <c r="A606" t="inlineStr">
        <is>
          <t>100206</t>
        </is>
      </c>
      <c r="B606" t="inlineStr">
        <is>
          <t>角钢</t>
        </is>
      </c>
      <c r="C606" t="inlineStr">
        <is>
          <t>600625100</t>
        </is>
      </c>
      <c r="D606" t="inlineStr">
        <is>
          <t>热轧角钢|角钢|Q235A|∠75×50×6|GB/T 700-2006|GB/T 706-2008</t>
        </is>
      </c>
      <c r="E606" t="inlineStr">
        <is>
          <t>物资名称 热轧角钢;物资简称 角钢;牌号 Q235A;长边宽 ∠75;短边宽 50;厚度 6;技术标准号 GB/T 700-2006;加工工艺 ;热处理工艺 ;特殊要求 ;规格标准号 GB/T 706-2008</t>
        </is>
      </c>
      <c r="F606" t="inlineStr">
        <is>
          <t>千克</t>
        </is>
      </c>
      <c r="G606">
        <f>LEFT(D606,FIND("|",D606,1)-1)</f>
        <v/>
      </c>
      <c r="H606">
        <f>MID(D606,FIND("|",D606,FIND("|",D606,1))+1,FIND("|",D606,FIND("|",D606,1)+1)-FIND("|",D606,FIND("|",D606,1))-1)</f>
        <v/>
      </c>
      <c r="J606">
        <f>MID(D606,FIND(";",SUBSTITUTE(D606,"|",REPT(";",LEN(D606)),2))+1,FIND(";",SUBSTITUTE(D606,"|",REPT(";",LEN(D606)),3))-FIND(";",SUBSTITUTE(D606,"|",REPT(";",LEN(D606)),2))-1)</f>
        <v/>
      </c>
      <c r="K606">
        <f>MID(D606,FIND(";",SUBSTITUTE(D606,"|",REPT(";",LEN(D606)),3))+1,FIND(";",SUBSTITUTE(D606,"|",REPT(";",LEN(D606)),4))-FIND(";",SUBSTITUTE(D606,"|",REPT(";",LEN(D606)),3))-1)</f>
        <v/>
      </c>
      <c r="M606">
        <f>MID(D606,FIND(";",SUBSTITUTE(D606,"|",REPT(";",LEN(D606)),4))+1,FIND(";",SUBSTITUTE(D606,"|",REPT(";",LEN(D606)),5))-FIND(";",SUBSTITUTE(D606,"|",REPT(";",LEN(D606)),4))-1)</f>
        <v/>
      </c>
      <c r="N606">
        <f>MID(D606,FIND(";",SUBSTITUTE(D606,"|",REPT(";",LEN(D606)),5))+1,LEN(D606))</f>
        <v/>
      </c>
    </row>
    <row r="607">
      <c r="A607" t="inlineStr">
        <is>
          <t>100206</t>
        </is>
      </c>
      <c r="B607" t="inlineStr">
        <is>
          <t>角钢</t>
        </is>
      </c>
      <c r="C607" t="inlineStr">
        <is>
          <t>600625000</t>
        </is>
      </c>
      <c r="D607" t="inlineStr">
        <is>
          <t>热轧角钢|角钢|Q235A|∠140×140×10|GB/T 700-2006|GB/T 706-2008</t>
        </is>
      </c>
      <c r="E607" t="inlineStr">
        <is>
          <t>物资名称 热轧角钢;物资简称 角钢;牌号 Q235A;长边宽 ∠140;短边宽 140;厚度 10;技术标准号 GB/T 700-2006;加工工艺 ;热处理工艺 ;特殊要求 ;规格标准号 GB/T 706-2008</t>
        </is>
      </c>
      <c r="F607" t="inlineStr">
        <is>
          <t>千克</t>
        </is>
      </c>
      <c r="G607">
        <f>LEFT(D607,FIND("|",D607,1)-1)</f>
        <v/>
      </c>
      <c r="H607">
        <f>MID(D607,FIND("|",D607,FIND("|",D607,1))+1,FIND("|",D607,FIND("|",D607,1)+1)-FIND("|",D607,FIND("|",D607,1))-1)</f>
        <v/>
      </c>
      <c r="J607">
        <f>MID(D607,FIND(";",SUBSTITUTE(D607,"|",REPT(";",LEN(D607)),2))+1,FIND(";",SUBSTITUTE(D607,"|",REPT(";",LEN(D607)),3))-FIND(";",SUBSTITUTE(D607,"|",REPT(";",LEN(D607)),2))-1)</f>
        <v/>
      </c>
      <c r="K607">
        <f>MID(D607,FIND(";",SUBSTITUTE(D607,"|",REPT(";",LEN(D607)),3))+1,FIND(";",SUBSTITUTE(D607,"|",REPT(";",LEN(D607)),4))-FIND(";",SUBSTITUTE(D607,"|",REPT(";",LEN(D607)),3))-1)</f>
        <v/>
      </c>
      <c r="M607">
        <f>MID(D607,FIND(";",SUBSTITUTE(D607,"|",REPT(";",LEN(D607)),4))+1,FIND(";",SUBSTITUTE(D607,"|",REPT(";",LEN(D607)),5))-FIND(";",SUBSTITUTE(D607,"|",REPT(";",LEN(D607)),4))-1)</f>
        <v/>
      </c>
      <c r="N607">
        <f>MID(D607,FIND(";",SUBSTITUTE(D607,"|",REPT(";",LEN(D607)),5))+1,LEN(D607))</f>
        <v/>
      </c>
    </row>
    <row r="608">
      <c r="A608" t="inlineStr">
        <is>
          <t>100301</t>
        </is>
      </c>
      <c r="B608" t="inlineStr">
        <is>
          <t>无缝钢管</t>
        </is>
      </c>
      <c r="C608" t="inlineStr">
        <is>
          <t>603523400</t>
        </is>
      </c>
      <c r="D608" t="inlineStr">
        <is>
          <t>结构用热轧优质碳素结构无缝钢管|钢管|45|Φ145×25|GB/T 8162-2018|热轧|GB/T 17395-2024</t>
        </is>
      </c>
      <c r="E608" t="inlineStr">
        <is>
          <t>物资名称 结构用热轧优质碳素结构无缝钢管;物资简称 钢管;牌号 45;外径 Φ145;壁厚 25;技术标准号 GB/T 8162-2018;加工工艺 热轧;热处理工艺 ;特殊要求 ;规格标准号 GB/T 17395-2024</t>
        </is>
      </c>
      <c r="F608" t="inlineStr">
        <is>
          <t>千克</t>
        </is>
      </c>
      <c r="G608">
        <f>LEFT(D608,FIND("|",D608,1)-1)</f>
        <v/>
      </c>
      <c r="H608">
        <f>MID(D608,FIND("|",D608,FIND("|",D608,1))+1,FIND("|",D608,FIND("|",D608,1)+1)-FIND("|",D608,FIND("|",D608,1))-1)</f>
        <v/>
      </c>
      <c r="J608">
        <f>MID(D608,FIND(";",SUBSTITUTE(D608,"|",REPT(";",LEN(D608)),2))+1,FIND(";",SUBSTITUTE(D608,"|",REPT(";",LEN(D608)),3))-FIND(";",SUBSTITUTE(D608,"|",REPT(";",LEN(D608)),2))-1)</f>
        <v/>
      </c>
      <c r="K608">
        <f>MID(D608,FIND(";",SUBSTITUTE(D608,"|",REPT(";",LEN(D608)),3))+1,FIND(";",SUBSTITUTE(D608,"|",REPT(";",LEN(D608)),4))-FIND(";",SUBSTITUTE(D608,"|",REPT(";",LEN(D608)),3))-1)</f>
        <v/>
      </c>
      <c r="M608">
        <f>MID(D608,FIND(";",SUBSTITUTE(D608,"|",REPT(";",LEN(D608)),4))+1,FIND(";",SUBSTITUTE(D608,"|",REPT(";",LEN(D608)),5))-FIND(";",SUBSTITUTE(D608,"|",REPT(";",LEN(D608)),4))-1)</f>
        <v/>
      </c>
      <c r="N608">
        <f>MID(D608,FIND(";",SUBSTITUTE(D608,"|",REPT(";",LEN(D608)),6))+1,LEN(D608))</f>
        <v/>
      </c>
      <c r="O608">
        <f>MID(D608,FIND(";",SUBSTITUTE(D608,"|",REPT(";",LEN(D608)),5))+1,FIND(";",SUBSTITUTE(D608,"|",REPT(";",LEN(D608)),6))-FIND(";",SUBSTITUTE(D608,"|",REPT(";",LEN(D608)),5))-1)</f>
        <v/>
      </c>
    </row>
    <row r="609">
      <c r="A609" t="inlineStr">
        <is>
          <t>100301</t>
        </is>
      </c>
      <c r="B609" t="inlineStr">
        <is>
          <t>无缝钢管</t>
        </is>
      </c>
      <c r="C609" t="inlineStr">
        <is>
          <t>603465900</t>
        </is>
      </c>
      <c r="D609" t="inlineStr">
        <is>
          <t>输送流体用无缝钢管|不锈钢管|0Cr18Ni9|Φ32×2|GB/T 8163-2018</t>
        </is>
      </c>
      <c r="E609" t="inlineStr">
        <is>
          <t>物资名称 输送流体用无缝钢管;物资简称 不锈钢管;牌号 0Cr18Ni9;外径 Φ32;壁厚 2;技术标准号 GB/T 8163-2018;加工工艺 ;热处理工艺 ;特殊要求 ;规格标准号</t>
        </is>
      </c>
      <c r="F609" t="inlineStr">
        <is>
          <t>千克</t>
        </is>
      </c>
      <c r="G609">
        <f>LEFT(D609,FIND("|",D609,1)-1)</f>
        <v/>
      </c>
      <c r="H609">
        <f>MID(D609,FIND("|",D609,FIND("|",D609,1))+1,FIND("|",D609,FIND("|",D609,1)+1)-FIND("|",D609,FIND("|",D609,1))-1)</f>
        <v/>
      </c>
      <c r="J609">
        <f>MID(D609,FIND(";",SUBSTITUTE(D609,"|",REPT(";",LEN(D609)),2))+1,FIND(";",SUBSTITUTE(D609,"|",REPT(";",LEN(D609)),3))-FIND(";",SUBSTITUTE(D609,"|",REPT(";",LEN(D609)),2))-1)</f>
        <v/>
      </c>
      <c r="K609">
        <f>MID(D609,FIND(";",SUBSTITUTE(D609,"|",REPT(";",LEN(D609)),3))+1,FIND(";",SUBSTITUTE(D609,"|",REPT(";",LEN(D609)),4))-FIND(";",SUBSTITUTE(D609,"|",REPT(";",LEN(D609)),3))-1)</f>
        <v/>
      </c>
      <c r="M609">
        <f>MID(D609,FIND(";",SUBSTITUTE(D609,"|",REPT(";",LEN(D609)),4))+1,LEN(D609))</f>
        <v/>
      </c>
    </row>
    <row r="610">
      <c r="A610" t="inlineStr">
        <is>
          <t>100301</t>
        </is>
      </c>
      <c r="B610" t="inlineStr">
        <is>
          <t>无缝钢管</t>
        </is>
      </c>
      <c r="C610" t="inlineStr">
        <is>
          <t>602290900</t>
        </is>
      </c>
      <c r="D610" t="inlineStr">
        <is>
          <t>航空用不锈钢无缝钢管|不锈钢管|1Cr18Ni9Ti|Φ32×2|GJB 2296A-2021</t>
        </is>
      </c>
      <c r="E610" t="inlineStr">
        <is>
          <t xml:space="preserve">物资名称 航空用不锈钢无缝钢管;物资简称 不锈钢管;牌号 1Cr18Ni9Ti;外径 Φ32;壁厚 2;技术标准号 GJB 2296A-2021;加工工艺 ;热处理工艺 ;特殊要求 ;规格标准号 </t>
        </is>
      </c>
      <c r="F610" t="inlineStr">
        <is>
          <t>千克</t>
        </is>
      </c>
      <c r="G610">
        <f>LEFT(D610,FIND("|",D610,1)-1)</f>
        <v/>
      </c>
      <c r="H610">
        <f>MID(D610,FIND("|",D610,FIND("|",D610,1))+1,FIND("|",D610,FIND("|",D610,1)+1)-FIND("|",D610,FIND("|",D610,1))-1)</f>
        <v/>
      </c>
      <c r="J610">
        <f>MID(D610,FIND(";",SUBSTITUTE(D610,"|",REPT(";",LEN(D610)),2))+1,FIND(";",SUBSTITUTE(D610,"|",REPT(";",LEN(D610)),3))-FIND(";",SUBSTITUTE(D610,"|",REPT(";",LEN(D610)),2))-1)</f>
        <v/>
      </c>
      <c r="K610">
        <f>MID(D610,FIND(";",SUBSTITUTE(D610,"|",REPT(";",LEN(D610)),3))+1,FIND(";",SUBSTITUTE(D610,"|",REPT(";",LEN(D610)),4))-FIND(";",SUBSTITUTE(D610,"|",REPT(";",LEN(D610)),3))-1)</f>
        <v/>
      </c>
      <c r="M610">
        <f>MID(D610,FIND(";",SUBSTITUTE(D610,"|",REPT(";",LEN(D610)),4))+1,LEN(D610))</f>
        <v/>
      </c>
    </row>
    <row r="611">
      <c r="A611" t="inlineStr">
        <is>
          <t>100301</t>
        </is>
      </c>
      <c r="B611" t="inlineStr">
        <is>
          <t>无缝钢管</t>
        </is>
      </c>
      <c r="C611" t="inlineStr">
        <is>
          <t>602290800</t>
        </is>
      </c>
      <c r="D611" t="inlineStr">
        <is>
          <t>航空用不锈钢无缝钢管|不锈钢管|1Cr18Ni9Ti|GJB 2296A-2021</t>
        </is>
      </c>
      <c r="E611" t="inlineStr">
        <is>
          <t xml:space="preserve">物资名称 航空用不锈钢无缝钢管;物资简称 不锈钢管;牌号 1Cr18Ni9Ti;外径 Φ;壁厚 ;技术标准号 GJB 2296A-2021;加工工艺 ;热处理工艺 ;特殊要求 ;规格标准号 </t>
        </is>
      </c>
      <c r="F611" t="inlineStr">
        <is>
          <t>千克</t>
        </is>
      </c>
      <c r="G611">
        <f>LEFT(D611,FIND("|",D611,1)-1)</f>
        <v/>
      </c>
      <c r="H611">
        <f>MID(D611,FIND("|",D611,FIND("|",D611,1))+1,FIND("|",D611,FIND("|",D611,1)+1)-FIND("|",D611,FIND("|",D611,1))-1)</f>
        <v/>
      </c>
      <c r="J611">
        <f>MID(D611,FIND(";",SUBSTITUTE(D611,"|",REPT(";",LEN(D611)),2))+1,FIND(";",SUBSTITUTE(D611,"|",REPT(";",LEN(D611)),3))-FIND(";",SUBSTITUTE(D611,"|",REPT(";",LEN(D611)),2))-1)</f>
        <v/>
      </c>
      <c r="M611">
        <f>MID(D611,FIND(";",SUBSTITUTE(D611,"|",REPT(";",LEN(D611)),3))+1,LEN(D611))</f>
        <v/>
      </c>
    </row>
    <row r="612">
      <c r="A612" t="inlineStr">
        <is>
          <t>100301</t>
        </is>
      </c>
      <c r="B612" t="inlineStr">
        <is>
          <t>无缝钢管</t>
        </is>
      </c>
      <c r="C612" t="inlineStr">
        <is>
          <t>602288500</t>
        </is>
      </c>
      <c r="D612" t="inlineStr">
        <is>
          <t>航空用不锈钢无缝钢管|不锈钢管|1Cr18Ni9Ti|Φ4×1|GJB 2296A-2005</t>
        </is>
      </c>
      <c r="E612" t="inlineStr">
        <is>
          <t xml:space="preserve">物资名称 航空用不锈钢无缝钢管;物资简称 不锈钢管;牌号 1Cr18Ni9Ti;外径 Φ4;壁厚 1;技术标准号 GJB 2296A-2005;加工工艺 ;热处理工艺 ;特殊要求 ;规格标准号 </t>
        </is>
      </c>
      <c r="F612" t="inlineStr">
        <is>
          <t>千克</t>
        </is>
      </c>
      <c r="G612">
        <f>LEFT(D612,FIND("|",D612,1)-1)</f>
        <v/>
      </c>
      <c r="H612">
        <f>MID(D612,FIND("|",D612,FIND("|",D612,1))+1,FIND("|",D612,FIND("|",D612,1)+1)-FIND("|",D612,FIND("|",D612,1))-1)</f>
        <v/>
      </c>
      <c r="J612">
        <f>MID(D612,FIND(";",SUBSTITUTE(D612,"|",REPT(";",LEN(D612)),2))+1,FIND(";",SUBSTITUTE(D612,"|",REPT(";",LEN(D612)),3))-FIND(";",SUBSTITUTE(D612,"|",REPT(";",LEN(D612)),2))-1)</f>
        <v/>
      </c>
      <c r="K612">
        <f>MID(D612,FIND(";",SUBSTITUTE(D612,"|",REPT(";",LEN(D612)),3))+1,FIND(";",SUBSTITUTE(D612,"|",REPT(";",LEN(D612)),4))-FIND(";",SUBSTITUTE(D612,"|",REPT(";",LEN(D612)),3))-1)</f>
        <v/>
      </c>
      <c r="M612">
        <f>MID(D612,FIND(";",SUBSTITUTE(D612,"|",REPT(";",LEN(D612)),4))+1,LEN(D612))</f>
        <v/>
      </c>
    </row>
    <row r="613">
      <c r="A613" t="inlineStr">
        <is>
          <t>100301</t>
        </is>
      </c>
      <c r="B613" t="inlineStr">
        <is>
          <t>无缝钢管</t>
        </is>
      </c>
      <c r="C613" t="inlineStr">
        <is>
          <t>602147400</t>
        </is>
      </c>
      <c r="D613" t="inlineStr">
        <is>
          <t>航空用不锈钢无缝钢管|不锈钢管|1Cr18Ni9Ti|Φ36×2|GJB 2296A-2005</t>
        </is>
      </c>
      <c r="E613" t="inlineStr">
        <is>
          <t xml:space="preserve">物资名称 航空用不锈钢无缝钢管;物资简称 不锈钢管;牌号 1Cr18Ni9Ti;外径 Φ36;壁厚 2;技术标准号 GJB 2296A-2005;加工工艺 ;热处理工艺 ;特殊要求 ;规格标准号 </t>
        </is>
      </c>
      <c r="F613" t="inlineStr">
        <is>
          <t>千克</t>
        </is>
      </c>
      <c r="G613">
        <f>LEFT(D613,FIND("|",D613,1)-1)</f>
        <v/>
      </c>
      <c r="H613">
        <f>MID(D613,FIND("|",D613,FIND("|",D613,1))+1,FIND("|",D613,FIND("|",D613,1)+1)-FIND("|",D613,FIND("|",D613,1))-1)</f>
        <v/>
      </c>
      <c r="J613">
        <f>MID(D613,FIND(";",SUBSTITUTE(D613,"|",REPT(";",LEN(D613)),2))+1,FIND(";",SUBSTITUTE(D613,"|",REPT(";",LEN(D613)),3))-FIND(";",SUBSTITUTE(D613,"|",REPT(";",LEN(D613)),2))-1)</f>
        <v/>
      </c>
      <c r="K613">
        <f>MID(D613,FIND(";",SUBSTITUTE(D613,"|",REPT(";",LEN(D613)),3))+1,FIND(";",SUBSTITUTE(D613,"|",REPT(";",LEN(D613)),4))-FIND(";",SUBSTITUTE(D613,"|",REPT(";",LEN(D613)),3))-1)</f>
        <v/>
      </c>
      <c r="M613">
        <f>MID(D613,FIND(";",SUBSTITUTE(D613,"|",REPT(";",LEN(D613)),4))+1,LEN(D613))</f>
        <v/>
      </c>
    </row>
    <row r="614">
      <c r="A614" t="inlineStr">
        <is>
          <t>100301</t>
        </is>
      </c>
      <c r="B614" t="inlineStr">
        <is>
          <t>无缝钢管</t>
        </is>
      </c>
      <c r="C614" t="inlineStr">
        <is>
          <t>601496300</t>
        </is>
      </c>
      <c r="D614" t="inlineStr">
        <is>
          <t>钢管|钢管|45|Φ203×50|-</t>
        </is>
      </c>
      <c r="E614" t="inlineStr">
        <is>
          <t xml:space="preserve">物资名称 钢管;物资简称 钢管;牌号 45;外径 Φ203;壁厚 50;技术标准号 -;加工工艺 ;热处理工艺 ;特殊要求 ;规格标准号 </t>
        </is>
      </c>
      <c r="F614" t="inlineStr">
        <is>
          <t>千克</t>
        </is>
      </c>
      <c r="G614">
        <f>LEFT(D614,FIND("|",D614,1)-1)</f>
        <v/>
      </c>
      <c r="H614">
        <f>MID(D614,FIND("|",D614,FIND("|",D614,1))+1,FIND("|",D614,FIND("|",D614,1)+1)-FIND("|",D614,FIND("|",D614,1))-1)</f>
        <v/>
      </c>
      <c r="J614">
        <f>MID(D614,FIND(";",SUBSTITUTE(D614,"|",REPT(";",LEN(D614)),2))+1,FIND(";",SUBSTITUTE(D614,"|",REPT(";",LEN(D614)),3))-FIND(";",SUBSTITUTE(D614,"|",REPT(";",LEN(D614)),2))-1)</f>
        <v/>
      </c>
      <c r="K614">
        <f>MID(D614,FIND(";",SUBSTITUTE(D614,"|",REPT(";",LEN(D614)),3))+1,FIND(";",SUBSTITUTE(D614,"|",REPT(";",LEN(D614)),4))-FIND(";",SUBSTITUTE(D614,"|",REPT(";",LEN(D614)),3))-1)</f>
        <v/>
      </c>
      <c r="M614">
        <f>MID(D614,FIND(";",SUBSTITUTE(D614,"|",REPT(";",LEN(D614)),4))+1,LEN(D614))</f>
        <v/>
      </c>
    </row>
    <row r="615">
      <c r="A615" t="inlineStr">
        <is>
          <t>100301</t>
        </is>
      </c>
      <c r="B615" t="inlineStr">
        <is>
          <t>无缝钢管</t>
        </is>
      </c>
      <c r="C615" t="inlineStr">
        <is>
          <t>601473200</t>
        </is>
      </c>
      <c r="D615" t="inlineStr">
        <is>
          <t>航空用不锈钢无缝钢管|不锈钢管|1Cr18Ni9Ti|Φ36×3|GJB 2296-1995</t>
        </is>
      </c>
      <c r="E615" t="inlineStr">
        <is>
          <t xml:space="preserve">物资名称 航空用不锈钢无缝钢管;物资简称 不锈钢管;牌号 1Cr18Ni9Ti;外径 Φ36;壁厚 3;技术标准号 GJB 2296-1995;加工工艺 ;热处理工艺 ;特殊要求 ;规格标准号 </t>
        </is>
      </c>
      <c r="F615" t="inlineStr">
        <is>
          <t>千克</t>
        </is>
      </c>
      <c r="G615">
        <f>LEFT(D615,FIND("|",D615,1)-1)</f>
        <v/>
      </c>
      <c r="H615">
        <f>MID(D615,FIND("|",D615,FIND("|",D615,1))+1,FIND("|",D615,FIND("|",D615,1)+1)-FIND("|",D615,FIND("|",D615,1))-1)</f>
        <v/>
      </c>
      <c r="J615">
        <f>MID(D615,FIND(";",SUBSTITUTE(D615,"|",REPT(";",LEN(D615)),2))+1,FIND(";",SUBSTITUTE(D615,"|",REPT(";",LEN(D615)),3))-FIND(";",SUBSTITUTE(D615,"|",REPT(";",LEN(D615)),2))-1)</f>
        <v/>
      </c>
      <c r="K615">
        <f>MID(D615,FIND(";",SUBSTITUTE(D615,"|",REPT(";",LEN(D615)),3))+1,FIND(";",SUBSTITUTE(D615,"|",REPT(";",LEN(D615)),4))-FIND(";",SUBSTITUTE(D615,"|",REPT(";",LEN(D615)),3))-1)</f>
        <v/>
      </c>
      <c r="M615">
        <f>MID(D615,FIND(";",SUBSTITUTE(D615,"|",REPT(";",LEN(D615)),4))+1,LEN(D615))</f>
        <v/>
      </c>
    </row>
    <row r="616">
      <c r="A616" t="inlineStr">
        <is>
          <t>100301</t>
        </is>
      </c>
      <c r="B616" t="inlineStr">
        <is>
          <t>无缝钢管</t>
        </is>
      </c>
      <c r="C616" t="inlineStr">
        <is>
          <t>601454500</t>
        </is>
      </c>
      <c r="D616" t="inlineStr">
        <is>
          <t>航空用不锈钢无缝钢管|钢管|1Cr18Ni9Ti|Φ45×4|GJB 2296-1995</t>
        </is>
      </c>
      <c r="E616" t="inlineStr">
        <is>
          <t xml:space="preserve">物资名称 航空用不锈钢无缝钢管;物资简称 钢管;牌号 1Cr18Ni9Ti;外径 Φ45;壁厚 4;技术标准号 GJB 2296-1995;加工工艺 ;热处理工艺 ;特殊要求 ;规格标准号 </t>
        </is>
      </c>
      <c r="F616" t="inlineStr">
        <is>
          <t>千克</t>
        </is>
      </c>
      <c r="G616">
        <f>LEFT(D616,FIND("|",D616,1)-1)</f>
        <v/>
      </c>
      <c r="H616">
        <f>MID(D616,FIND("|",D616,FIND("|",D616,1))+1,FIND("|",D616,FIND("|",D616,1)+1)-FIND("|",D616,FIND("|",D616,1))-1)</f>
        <v/>
      </c>
      <c r="J616">
        <f>MID(D616,FIND(";",SUBSTITUTE(D616,"|",REPT(";",LEN(D616)),2))+1,FIND(";",SUBSTITUTE(D616,"|",REPT(";",LEN(D616)),3))-FIND(";",SUBSTITUTE(D616,"|",REPT(";",LEN(D616)),2))-1)</f>
        <v/>
      </c>
      <c r="K616">
        <f>MID(D616,FIND(";",SUBSTITUTE(D616,"|",REPT(";",LEN(D616)),3))+1,FIND(";",SUBSTITUTE(D616,"|",REPT(";",LEN(D616)),4))-FIND(";",SUBSTITUTE(D616,"|",REPT(";",LEN(D616)),3))-1)</f>
        <v/>
      </c>
      <c r="M616">
        <f>MID(D616,FIND(";",SUBSTITUTE(D616,"|",REPT(";",LEN(D616)),4))+1,LEN(D616))</f>
        <v/>
      </c>
    </row>
    <row r="617">
      <c r="A617" t="inlineStr">
        <is>
          <t>100301</t>
        </is>
      </c>
      <c r="B617" t="inlineStr">
        <is>
          <t>无缝钢管</t>
        </is>
      </c>
      <c r="C617" t="inlineStr">
        <is>
          <t>601454400</t>
        </is>
      </c>
      <c r="D617" t="inlineStr">
        <is>
          <t>航空用不锈钢无缝钢管|钢管|1Cr18Ni9Ti|Φ6×1|GJB 2296-1995</t>
        </is>
      </c>
      <c r="E617" t="inlineStr">
        <is>
          <t xml:space="preserve">物资名称 航空用不锈钢无缝钢管;物资简称 钢管;牌号 1Cr18Ni9Ti;外径 Φ6;壁厚 1;技术标准号 GJB 2296-1995;加工工艺 ;热处理工艺 ;特殊要求 ;规格标准号 </t>
        </is>
      </c>
      <c r="F617" t="inlineStr">
        <is>
          <t>千克</t>
        </is>
      </c>
      <c r="G617">
        <f>LEFT(D617,FIND("|",D617,1)-1)</f>
        <v/>
      </c>
      <c r="H617">
        <f>MID(D617,FIND("|",D617,FIND("|",D617,1))+1,FIND("|",D617,FIND("|",D617,1)+1)-FIND("|",D617,FIND("|",D617,1))-1)</f>
        <v/>
      </c>
      <c r="J617">
        <f>MID(D617,FIND(";",SUBSTITUTE(D617,"|",REPT(";",LEN(D617)),2))+1,FIND(";",SUBSTITUTE(D617,"|",REPT(";",LEN(D617)),3))-FIND(";",SUBSTITUTE(D617,"|",REPT(";",LEN(D617)),2))-1)</f>
        <v/>
      </c>
      <c r="K617">
        <f>MID(D617,FIND(";",SUBSTITUTE(D617,"|",REPT(";",LEN(D617)),3))+1,FIND(";",SUBSTITUTE(D617,"|",REPT(";",LEN(D617)),4))-FIND(";",SUBSTITUTE(D617,"|",REPT(";",LEN(D617)),3))-1)</f>
        <v/>
      </c>
      <c r="M617">
        <f>MID(D617,FIND(";",SUBSTITUTE(D617,"|",REPT(";",LEN(D617)),4))+1,LEN(D617))</f>
        <v/>
      </c>
    </row>
    <row r="618">
      <c r="A618" t="inlineStr">
        <is>
          <t>100301</t>
        </is>
      </c>
      <c r="B618" t="inlineStr">
        <is>
          <t>无缝钢管</t>
        </is>
      </c>
      <c r="C618" t="inlineStr">
        <is>
          <t>601438800</t>
        </is>
      </c>
      <c r="D618" t="inlineStr">
        <is>
          <t>航空用不锈钢无缝钢管|钢管|1Cr18Ni9Ti|Φ25×2|GJB 2296-1995</t>
        </is>
      </c>
      <c r="E618" t="inlineStr">
        <is>
          <t xml:space="preserve">物资名称 航空用不锈钢无缝钢管;物资简称 钢管;牌号 1Cr18Ni9Ti;外径 Φ25;壁厚 2;技术标准号 GJB 2296-1995;加工工艺 ;热处理工艺 ;特殊要求 ;规格标准号 </t>
        </is>
      </c>
      <c r="F618" t="inlineStr">
        <is>
          <t>千克</t>
        </is>
      </c>
      <c r="G618">
        <f>LEFT(D618,FIND("|",D618,1)-1)</f>
        <v/>
      </c>
      <c r="H618">
        <f>MID(D618,FIND("|",D618,FIND("|",D618,1))+1,FIND("|",D618,FIND("|",D618,1)+1)-FIND("|",D618,FIND("|",D618,1))-1)</f>
        <v/>
      </c>
      <c r="J618">
        <f>MID(D618,FIND(";",SUBSTITUTE(D618,"|",REPT(";",LEN(D618)),2))+1,FIND(";",SUBSTITUTE(D618,"|",REPT(";",LEN(D618)),3))-FIND(";",SUBSTITUTE(D618,"|",REPT(";",LEN(D618)),2))-1)</f>
        <v/>
      </c>
      <c r="K618">
        <f>MID(D618,FIND(";",SUBSTITUTE(D618,"|",REPT(";",LEN(D618)),3))+1,FIND(";",SUBSTITUTE(D618,"|",REPT(";",LEN(D618)),4))-FIND(";",SUBSTITUTE(D618,"|",REPT(";",LEN(D618)),3))-1)</f>
        <v/>
      </c>
      <c r="M618">
        <f>MID(D618,FIND(";",SUBSTITUTE(D618,"|",REPT(";",LEN(D618)),4))+1,LEN(D618))</f>
        <v/>
      </c>
    </row>
    <row r="619">
      <c r="A619" t="inlineStr">
        <is>
          <t>100301</t>
        </is>
      </c>
      <c r="B619" t="inlineStr">
        <is>
          <t>无缝钢管</t>
        </is>
      </c>
      <c r="C619" t="inlineStr">
        <is>
          <t>601438700</t>
        </is>
      </c>
      <c r="D619" t="inlineStr">
        <is>
          <t>航空用不锈钢无缝钢管|钢管|1Cr18Ni9Ti|Φ32×2|GJB 2296-1995</t>
        </is>
      </c>
      <c r="E619" t="inlineStr">
        <is>
          <t xml:space="preserve">物资名称 航空用不锈钢无缝钢管;物资简称 钢管;牌号 1Cr18Ni9Ti;外径 Φ32;壁厚 2;技术标准号 GJB 2296-1995;加工工艺 ;热处理工艺 ;特殊要求 ;规格标准号 </t>
        </is>
      </c>
      <c r="F619" t="inlineStr">
        <is>
          <t>千克</t>
        </is>
      </c>
      <c r="G619">
        <f>LEFT(D619,FIND("|",D619,1)-1)</f>
        <v/>
      </c>
      <c r="H619">
        <f>MID(D619,FIND("|",D619,FIND("|",D619,1))+1,FIND("|",D619,FIND("|",D619,1)+1)-FIND("|",D619,FIND("|",D619,1))-1)</f>
        <v/>
      </c>
      <c r="J619">
        <f>MID(D619,FIND(";",SUBSTITUTE(D619,"|",REPT(";",LEN(D619)),2))+1,FIND(";",SUBSTITUTE(D619,"|",REPT(";",LEN(D619)),3))-FIND(";",SUBSTITUTE(D619,"|",REPT(";",LEN(D619)),2))-1)</f>
        <v/>
      </c>
      <c r="K619">
        <f>MID(D619,FIND(";",SUBSTITUTE(D619,"|",REPT(";",LEN(D619)),3))+1,FIND(";",SUBSTITUTE(D619,"|",REPT(";",LEN(D619)),4))-FIND(";",SUBSTITUTE(D619,"|",REPT(";",LEN(D619)),3))-1)</f>
        <v/>
      </c>
      <c r="M619">
        <f>MID(D619,FIND(";",SUBSTITUTE(D619,"|",REPT(";",LEN(D619)),4))+1,LEN(D619))</f>
        <v/>
      </c>
    </row>
    <row r="620">
      <c r="A620" t="inlineStr">
        <is>
          <t>100301</t>
        </is>
      </c>
      <c r="B620" t="inlineStr">
        <is>
          <t>无缝钢管</t>
        </is>
      </c>
      <c r="C620" t="inlineStr">
        <is>
          <t>601438600</t>
        </is>
      </c>
      <c r="D620" t="inlineStr">
        <is>
          <t>航空用不锈钢无缝钢管|钢管|1Cr18Ni9Ti|Φ42×2|GJB 2296-1995</t>
        </is>
      </c>
      <c r="E620" t="inlineStr">
        <is>
          <t xml:space="preserve">物资名称 航空用不锈钢无缝钢管;物资简称 钢管;牌号 1Cr18Ni9Ti;外径 Φ42;壁厚 2;技术标准号 GJB 2296-1995;加工工艺 ;热处理工艺 ;特殊要求 ;规格标准号 </t>
        </is>
      </c>
      <c r="F620" t="inlineStr">
        <is>
          <t>千克</t>
        </is>
      </c>
      <c r="G620">
        <f>LEFT(D620,FIND("|",D620,1)-1)</f>
        <v/>
      </c>
      <c r="H620">
        <f>MID(D620,FIND("|",D620,FIND("|",D620,1))+1,FIND("|",D620,FIND("|",D620,1)+1)-FIND("|",D620,FIND("|",D620,1))-1)</f>
        <v/>
      </c>
      <c r="J620">
        <f>MID(D620,FIND(";",SUBSTITUTE(D620,"|",REPT(";",LEN(D620)),2))+1,FIND(";",SUBSTITUTE(D620,"|",REPT(";",LEN(D620)),3))-FIND(";",SUBSTITUTE(D620,"|",REPT(";",LEN(D620)),2))-1)</f>
        <v/>
      </c>
      <c r="K620">
        <f>MID(D620,FIND(";",SUBSTITUTE(D620,"|",REPT(";",LEN(D620)),3))+1,FIND(";",SUBSTITUTE(D620,"|",REPT(";",LEN(D620)),4))-FIND(";",SUBSTITUTE(D620,"|",REPT(";",LEN(D620)),3))-1)</f>
        <v/>
      </c>
      <c r="M620">
        <f>MID(D620,FIND(";",SUBSTITUTE(D620,"|",REPT(";",LEN(D620)),4))+1,LEN(D620))</f>
        <v/>
      </c>
    </row>
    <row r="621">
      <c r="A621" t="inlineStr">
        <is>
          <t>100301</t>
        </is>
      </c>
      <c r="B621" t="inlineStr">
        <is>
          <t>无缝钢管</t>
        </is>
      </c>
      <c r="C621" t="inlineStr">
        <is>
          <t>601438500</t>
        </is>
      </c>
      <c r="D621" t="inlineStr">
        <is>
          <t>航空用不锈钢无缝钢管|钢管|1Cr18Ni9Ti|Φ36×2|GJB 2296-1995</t>
        </is>
      </c>
      <c r="E621" t="inlineStr">
        <is>
          <t xml:space="preserve">物资名称 航空用不锈钢无缝钢管;物资简称 钢管;牌号 1Cr18Ni9Ti;外径 Φ36;壁厚 2;技术标准号 GJB 2296-1995;加工工艺 ;热处理工艺 ;特殊要求 ;规格标准号 </t>
        </is>
      </c>
      <c r="F621" t="inlineStr">
        <is>
          <t>千克</t>
        </is>
      </c>
      <c r="G621">
        <f>LEFT(D621,FIND("|",D621,1)-1)</f>
        <v/>
      </c>
      <c r="H621">
        <f>MID(D621,FIND("|",D621,FIND("|",D621,1))+1,FIND("|",D621,FIND("|",D621,1)+1)-FIND("|",D621,FIND("|",D621,1))-1)</f>
        <v/>
      </c>
      <c r="J621">
        <f>MID(D621,FIND(";",SUBSTITUTE(D621,"|",REPT(";",LEN(D621)),2))+1,FIND(";",SUBSTITUTE(D621,"|",REPT(";",LEN(D621)),3))-FIND(";",SUBSTITUTE(D621,"|",REPT(";",LEN(D621)),2))-1)</f>
        <v/>
      </c>
      <c r="K621">
        <f>MID(D621,FIND(";",SUBSTITUTE(D621,"|",REPT(";",LEN(D621)),3))+1,FIND(";",SUBSTITUTE(D621,"|",REPT(";",LEN(D621)),4))-FIND(";",SUBSTITUTE(D621,"|",REPT(";",LEN(D621)),3))-1)</f>
        <v/>
      </c>
      <c r="M621">
        <f>MID(D621,FIND(";",SUBSTITUTE(D621,"|",REPT(";",LEN(D621)),4))+1,LEN(D621))</f>
        <v/>
      </c>
    </row>
    <row r="622">
      <c r="A622" t="inlineStr">
        <is>
          <t>100301</t>
        </is>
      </c>
      <c r="B622" t="inlineStr">
        <is>
          <t>无缝钢管</t>
        </is>
      </c>
      <c r="C622" t="inlineStr">
        <is>
          <t>601329800</t>
        </is>
      </c>
      <c r="D622" t="inlineStr">
        <is>
          <t>结构用不锈无缝钢管|钢管|1Cr18Ni9Ti|Φ10×1|空</t>
        </is>
      </c>
      <c r="E622" t="inlineStr">
        <is>
          <t xml:space="preserve">物资名称 结构用不锈无缝钢管;物资简称 钢管;牌号 1Cr18Ni9Ti;外径 Φ10;壁厚 1;技术标准号 空;加工工艺 ;热处理工艺 ;特殊要求 ;规格标准号 </t>
        </is>
      </c>
      <c r="F622" t="inlineStr">
        <is>
          <t>千克</t>
        </is>
      </c>
      <c r="G622">
        <f>LEFT(D622,FIND("|",D622,1)-1)</f>
        <v/>
      </c>
      <c r="H622">
        <f>MID(D622,FIND("|",D622,FIND("|",D622,1))+1,FIND("|",D622,FIND("|",D622,1)+1)-FIND("|",D622,FIND("|",D622,1))-1)</f>
        <v/>
      </c>
      <c r="J622">
        <f>MID(D622,FIND(";",SUBSTITUTE(D622,"|",REPT(";",LEN(D622)),2))+1,FIND(";",SUBSTITUTE(D622,"|",REPT(";",LEN(D622)),3))-FIND(";",SUBSTITUTE(D622,"|",REPT(";",LEN(D622)),2))-1)</f>
        <v/>
      </c>
      <c r="K622">
        <f>MID(D622,FIND(";",SUBSTITUTE(D622,"|",REPT(";",LEN(D622)),3))+1,FIND(";",SUBSTITUTE(D622,"|",REPT(";",LEN(D622)),4))-FIND(";",SUBSTITUTE(D622,"|",REPT(";",LEN(D622)),3))-1)</f>
        <v/>
      </c>
      <c r="M622">
        <f>MID(D622,FIND(";",SUBSTITUTE(D622,"|",REPT(";",LEN(D622)),4))+1,LEN(D622))</f>
        <v/>
      </c>
    </row>
    <row r="623">
      <c r="A623" t="inlineStr">
        <is>
          <t>100301</t>
        </is>
      </c>
      <c r="B623" t="inlineStr">
        <is>
          <t>无缝钢管</t>
        </is>
      </c>
      <c r="C623" t="inlineStr">
        <is>
          <t>601329700</t>
        </is>
      </c>
      <c r="D623" t="inlineStr">
        <is>
          <t>结构用不锈无缝钢管|钢管|1Cr18Ni9Ti|Φ12×1|空</t>
        </is>
      </c>
      <c r="E623" t="inlineStr">
        <is>
          <t xml:space="preserve">物资名称 结构用不锈无缝钢管;物资简称 钢管;牌号 1Cr18Ni9Ti;外径 Φ12;壁厚 1;技术标准号 空;加工工艺 ;热处理工艺 ;特殊要求 ;规格标准号 </t>
        </is>
      </c>
      <c r="F623" t="inlineStr">
        <is>
          <t>千克</t>
        </is>
      </c>
      <c r="G623">
        <f>LEFT(D623,FIND("|",D623,1)-1)</f>
        <v/>
      </c>
      <c r="H623">
        <f>MID(D623,FIND("|",D623,FIND("|",D623,1))+1,FIND("|",D623,FIND("|",D623,1)+1)-FIND("|",D623,FIND("|",D623,1))-1)</f>
        <v/>
      </c>
      <c r="J623">
        <f>MID(D623,FIND(";",SUBSTITUTE(D623,"|",REPT(";",LEN(D623)),2))+1,FIND(";",SUBSTITUTE(D623,"|",REPT(";",LEN(D623)),3))-FIND(";",SUBSTITUTE(D623,"|",REPT(";",LEN(D623)),2))-1)</f>
        <v/>
      </c>
      <c r="K623">
        <f>MID(D623,FIND(";",SUBSTITUTE(D623,"|",REPT(";",LEN(D623)),3))+1,FIND(";",SUBSTITUTE(D623,"|",REPT(";",LEN(D623)),4))-FIND(";",SUBSTITUTE(D623,"|",REPT(";",LEN(D623)),3))-1)</f>
        <v/>
      </c>
      <c r="M623">
        <f>MID(D623,FIND(";",SUBSTITUTE(D623,"|",REPT(";",LEN(D623)),4))+1,LEN(D623))</f>
        <v/>
      </c>
    </row>
    <row r="624">
      <c r="A624" t="inlineStr">
        <is>
          <t>100301</t>
        </is>
      </c>
      <c r="B624" t="inlineStr">
        <is>
          <t>无缝钢管</t>
        </is>
      </c>
      <c r="C624" t="inlineStr">
        <is>
          <t>601329600</t>
        </is>
      </c>
      <c r="D624" t="inlineStr">
        <is>
          <t>结构用不锈无缝钢管|钢管|1Cr18Ni9Ti|Φ2×0.5|空</t>
        </is>
      </c>
      <c r="E624" t="inlineStr">
        <is>
          <t xml:space="preserve">物资名称 结构用不锈无缝钢管;物资简称 钢管;牌号 1Cr18Ni9Ti;外径 Φ2;壁厚 0.5;技术标准号 空;加工工艺 ;热处理工艺 ;特殊要求 ;规格标准号 </t>
        </is>
      </c>
      <c r="F624" t="inlineStr">
        <is>
          <t>千克</t>
        </is>
      </c>
      <c r="G624">
        <f>LEFT(D624,FIND("|",D624,1)-1)</f>
        <v/>
      </c>
      <c r="H624">
        <f>MID(D624,FIND("|",D624,FIND("|",D624,1))+1,FIND("|",D624,FIND("|",D624,1)+1)-FIND("|",D624,FIND("|",D624,1))-1)</f>
        <v/>
      </c>
      <c r="J624">
        <f>MID(D624,FIND(";",SUBSTITUTE(D624,"|",REPT(";",LEN(D624)),2))+1,FIND(";",SUBSTITUTE(D624,"|",REPT(";",LEN(D624)),3))-FIND(";",SUBSTITUTE(D624,"|",REPT(";",LEN(D624)),2))-1)</f>
        <v/>
      </c>
      <c r="K624">
        <f>MID(D624,FIND(";",SUBSTITUTE(D624,"|",REPT(";",LEN(D624)),3))+1,FIND(";",SUBSTITUTE(D624,"|",REPT(";",LEN(D624)),4))-FIND(";",SUBSTITUTE(D624,"|",REPT(";",LEN(D624)),3))-1)</f>
        <v/>
      </c>
      <c r="M624">
        <f>MID(D624,FIND(";",SUBSTITUTE(D624,"|",REPT(";",LEN(D624)),4))+1,LEN(D624))</f>
        <v/>
      </c>
    </row>
    <row r="625">
      <c r="A625" t="inlineStr">
        <is>
          <t>100301</t>
        </is>
      </c>
      <c r="B625" t="inlineStr">
        <is>
          <t>无缝钢管</t>
        </is>
      </c>
      <c r="C625" t="inlineStr">
        <is>
          <t>601329500</t>
        </is>
      </c>
      <c r="D625" t="inlineStr">
        <is>
          <t>结构用不锈无缝钢管|钢管|1Cr18Ni9Ti|Φ34×5|空</t>
        </is>
      </c>
      <c r="E625" t="inlineStr">
        <is>
          <t xml:space="preserve">物资名称 结构用不锈无缝钢管;物资简称 钢管;牌号 1Cr18Ni9Ti;外径 Φ34;壁厚 5;技术标准号 空;加工工艺 ;热处理工艺 ;特殊要求 ;规格标准号 </t>
        </is>
      </c>
      <c r="F625" t="inlineStr">
        <is>
          <t>千克</t>
        </is>
      </c>
      <c r="G625">
        <f>LEFT(D625,FIND("|",D625,1)-1)</f>
        <v/>
      </c>
      <c r="H625">
        <f>MID(D625,FIND("|",D625,FIND("|",D625,1))+1,FIND("|",D625,FIND("|",D625,1)+1)-FIND("|",D625,FIND("|",D625,1))-1)</f>
        <v/>
      </c>
      <c r="J625">
        <f>MID(D625,FIND(";",SUBSTITUTE(D625,"|",REPT(";",LEN(D625)),2))+1,FIND(";",SUBSTITUTE(D625,"|",REPT(";",LEN(D625)),3))-FIND(";",SUBSTITUTE(D625,"|",REPT(";",LEN(D625)),2))-1)</f>
        <v/>
      </c>
      <c r="K625">
        <f>MID(D625,FIND(";",SUBSTITUTE(D625,"|",REPT(";",LEN(D625)),3))+1,FIND(";",SUBSTITUTE(D625,"|",REPT(";",LEN(D625)),4))-FIND(";",SUBSTITUTE(D625,"|",REPT(";",LEN(D625)),3))-1)</f>
        <v/>
      </c>
      <c r="M625">
        <f>MID(D625,FIND(";",SUBSTITUTE(D625,"|",REPT(";",LEN(D625)),4))+1,LEN(D625))</f>
        <v/>
      </c>
    </row>
    <row r="626">
      <c r="A626" t="inlineStr">
        <is>
          <t>100301</t>
        </is>
      </c>
      <c r="B626" t="inlineStr">
        <is>
          <t>无缝钢管</t>
        </is>
      </c>
      <c r="C626" t="inlineStr">
        <is>
          <t>601329400</t>
        </is>
      </c>
      <c r="D626" t="inlineStr">
        <is>
          <t>结构用不锈无缝钢管|钢管|1Cr18Ni9Ti|Φ6×1.5|空</t>
        </is>
      </c>
      <c r="E626" t="inlineStr">
        <is>
          <t xml:space="preserve">物资名称 结构用不锈无缝钢管;物资简称 钢管;牌号 1Cr18Ni9Ti;外径 Φ6;壁厚 1.5;技术标准号 空;加工工艺 ;热处理工艺 ;特殊要求 ;规格标准号 </t>
        </is>
      </c>
      <c r="F626" t="inlineStr">
        <is>
          <t>千克</t>
        </is>
      </c>
      <c r="G626">
        <f>LEFT(D626,FIND("|",D626,1)-1)</f>
        <v/>
      </c>
      <c r="H626">
        <f>MID(D626,FIND("|",D626,FIND("|",D626,1))+1,FIND("|",D626,FIND("|",D626,1)+1)-FIND("|",D626,FIND("|",D626,1))-1)</f>
        <v/>
      </c>
      <c r="J626">
        <f>MID(D626,FIND(";",SUBSTITUTE(D626,"|",REPT(";",LEN(D626)),2))+1,FIND(";",SUBSTITUTE(D626,"|",REPT(";",LEN(D626)),3))-FIND(";",SUBSTITUTE(D626,"|",REPT(";",LEN(D626)),2))-1)</f>
        <v/>
      </c>
      <c r="K626">
        <f>MID(D626,FIND(";",SUBSTITUTE(D626,"|",REPT(";",LEN(D626)),3))+1,FIND(";",SUBSTITUTE(D626,"|",REPT(";",LEN(D626)),4))-FIND(";",SUBSTITUTE(D626,"|",REPT(";",LEN(D626)),3))-1)</f>
        <v/>
      </c>
      <c r="M626">
        <f>MID(D626,FIND(";",SUBSTITUTE(D626,"|",REPT(";",LEN(D626)),4))+1,LEN(D626))</f>
        <v/>
      </c>
    </row>
    <row r="627">
      <c r="A627" t="inlineStr">
        <is>
          <t>100301</t>
        </is>
      </c>
      <c r="B627" t="inlineStr">
        <is>
          <t>无缝钢管</t>
        </is>
      </c>
      <c r="C627" t="inlineStr">
        <is>
          <t>601329300</t>
        </is>
      </c>
      <c r="D627" t="inlineStr">
        <is>
          <t>结构用不锈无缝钢管|钢管|1Cr18Ni9Ti|Φ6×1|空</t>
        </is>
      </c>
      <c r="E627" t="inlineStr">
        <is>
          <t xml:space="preserve">物资名称 结构用不锈无缝钢管;物资简称 钢管;牌号 1Cr18Ni9Ti;外径 Φ6;壁厚 1;技术标准号 空;加工工艺 ;热处理工艺 ;特殊要求 ;规格标准号 </t>
        </is>
      </c>
      <c r="F627" t="inlineStr">
        <is>
          <t>千克</t>
        </is>
      </c>
      <c r="G627">
        <f>LEFT(D627,FIND("|",D627,1)-1)</f>
        <v/>
      </c>
      <c r="H627">
        <f>MID(D627,FIND("|",D627,FIND("|",D627,1))+1,FIND("|",D627,FIND("|",D627,1)+1)-FIND("|",D627,FIND("|",D627,1))-1)</f>
        <v/>
      </c>
      <c r="J627">
        <f>MID(D627,FIND(";",SUBSTITUTE(D627,"|",REPT(";",LEN(D627)),2))+1,FIND(";",SUBSTITUTE(D627,"|",REPT(";",LEN(D627)),3))-FIND(";",SUBSTITUTE(D627,"|",REPT(";",LEN(D627)),2))-1)</f>
        <v/>
      </c>
      <c r="K627">
        <f>MID(D627,FIND(";",SUBSTITUTE(D627,"|",REPT(";",LEN(D627)),3))+1,FIND(";",SUBSTITUTE(D627,"|",REPT(";",LEN(D627)),4))-FIND(";",SUBSTITUTE(D627,"|",REPT(";",LEN(D627)),3))-1)</f>
        <v/>
      </c>
      <c r="M627">
        <f>MID(D627,FIND(";",SUBSTITUTE(D627,"|",REPT(";",LEN(D627)),4))+1,LEN(D627))</f>
        <v/>
      </c>
    </row>
    <row r="628">
      <c r="A628" t="inlineStr">
        <is>
          <t>100301</t>
        </is>
      </c>
      <c r="B628" t="inlineStr">
        <is>
          <t>无缝钢管</t>
        </is>
      </c>
      <c r="C628" t="inlineStr">
        <is>
          <t>601329200</t>
        </is>
      </c>
      <c r="D628" t="inlineStr">
        <is>
          <t>结构用不锈无缝钢管|钢管|1Cr18Ni9Ti|Φ8×1|空</t>
        </is>
      </c>
      <c r="E628" t="inlineStr">
        <is>
          <t xml:space="preserve">物资名称 结构用不锈无缝钢管;物资简称 钢管;牌号 1Cr18Ni9Ti;外径 Φ8;壁厚 1;技术标准号 空;加工工艺 ;热处理工艺 ;特殊要求 ;规格标准号 </t>
        </is>
      </c>
      <c r="F628" t="inlineStr">
        <is>
          <t>千克</t>
        </is>
      </c>
      <c r="G628">
        <f>LEFT(D628,FIND("|",D628,1)-1)</f>
        <v/>
      </c>
      <c r="H628">
        <f>MID(D628,FIND("|",D628,FIND("|",D628,1))+1,FIND("|",D628,FIND("|",D628,1)+1)-FIND("|",D628,FIND("|",D628,1))-1)</f>
        <v/>
      </c>
      <c r="J628">
        <f>MID(D628,FIND(";",SUBSTITUTE(D628,"|",REPT(";",LEN(D628)),2))+1,FIND(";",SUBSTITUTE(D628,"|",REPT(";",LEN(D628)),3))-FIND(";",SUBSTITUTE(D628,"|",REPT(";",LEN(D628)),2))-1)</f>
        <v/>
      </c>
      <c r="K628">
        <f>MID(D628,FIND(";",SUBSTITUTE(D628,"|",REPT(";",LEN(D628)),3))+1,FIND(";",SUBSTITUTE(D628,"|",REPT(";",LEN(D628)),4))-FIND(";",SUBSTITUTE(D628,"|",REPT(";",LEN(D628)),3))-1)</f>
        <v/>
      </c>
      <c r="M628">
        <f>MID(D628,FIND(";",SUBSTITUTE(D628,"|",REPT(";",LEN(D628)),4))+1,LEN(D628))</f>
        <v/>
      </c>
    </row>
    <row r="629">
      <c r="A629" t="inlineStr">
        <is>
          <t>100301</t>
        </is>
      </c>
      <c r="B629" t="inlineStr">
        <is>
          <t>无缝钢管</t>
        </is>
      </c>
      <c r="C629" t="inlineStr">
        <is>
          <t>601329100</t>
        </is>
      </c>
      <c r="D629" t="inlineStr">
        <is>
          <t>优质碳素结构无缝钢管|钢管|45#|Φ219×60|空</t>
        </is>
      </c>
      <c r="E629" t="inlineStr">
        <is>
          <t xml:space="preserve">物资名称 优质碳素结构无缝钢管;物资简称 钢管;牌号 45#;外径 Φ219;壁厚 60;技术标准号 空;加工工艺 ;热处理工艺 ;特殊要求 ;规格标准号 </t>
        </is>
      </c>
      <c r="F629" t="inlineStr">
        <is>
          <t>千克</t>
        </is>
      </c>
      <c r="G629">
        <f>LEFT(D629,FIND("|",D629,1)-1)</f>
        <v/>
      </c>
      <c r="H629">
        <f>MID(D629,FIND("|",D629,FIND("|",D629,1))+1,FIND("|",D629,FIND("|",D629,1)+1)-FIND("|",D629,FIND("|",D629,1))-1)</f>
        <v/>
      </c>
      <c r="J629">
        <f>MID(D629,FIND(";",SUBSTITUTE(D629,"|",REPT(";",LEN(D629)),2))+1,FIND(";",SUBSTITUTE(D629,"|",REPT(";",LEN(D629)),3))-FIND(";",SUBSTITUTE(D629,"|",REPT(";",LEN(D629)),2))-1)</f>
        <v/>
      </c>
      <c r="K629">
        <f>MID(D629,FIND(";",SUBSTITUTE(D629,"|",REPT(";",LEN(D629)),3))+1,FIND(";",SUBSTITUTE(D629,"|",REPT(";",LEN(D629)),4))-FIND(";",SUBSTITUTE(D629,"|",REPT(";",LEN(D629)),3))-1)</f>
        <v/>
      </c>
      <c r="M629">
        <f>MID(D629,FIND(";",SUBSTITUTE(D629,"|",REPT(";",LEN(D629)),4))+1,LEN(D629))</f>
        <v/>
      </c>
    </row>
    <row r="630">
      <c r="A630" t="inlineStr">
        <is>
          <t>100301</t>
        </is>
      </c>
      <c r="B630" t="inlineStr">
        <is>
          <t>无缝钢管</t>
        </is>
      </c>
      <c r="C630" t="inlineStr">
        <is>
          <t>601329000</t>
        </is>
      </c>
      <c r="D630" t="inlineStr">
        <is>
          <t>优质碳素结构无缝钢管|钢管|45#|Φ232×45|空</t>
        </is>
      </c>
      <c r="E630" t="inlineStr">
        <is>
          <t xml:space="preserve">物资名称 优质碳素结构无缝钢管;物资简称 钢管;牌号 45#;外径 Φ232;壁厚 45;技术标准号 空;加工工艺 ;热处理工艺 ;特殊要求 ;规格标准号 </t>
        </is>
      </c>
      <c r="F630" t="inlineStr">
        <is>
          <t>千克</t>
        </is>
      </c>
      <c r="G630">
        <f>LEFT(D630,FIND("|",D630,1)-1)</f>
        <v/>
      </c>
      <c r="H630">
        <f>MID(D630,FIND("|",D630,FIND("|",D630,1))+1,FIND("|",D630,FIND("|",D630,1)+1)-FIND("|",D630,FIND("|",D630,1))-1)</f>
        <v/>
      </c>
      <c r="J630">
        <f>MID(D630,FIND(";",SUBSTITUTE(D630,"|",REPT(";",LEN(D630)),2))+1,FIND(";",SUBSTITUTE(D630,"|",REPT(";",LEN(D630)),3))-FIND(";",SUBSTITUTE(D630,"|",REPT(";",LEN(D630)),2))-1)</f>
        <v/>
      </c>
      <c r="K630">
        <f>MID(D630,FIND(";",SUBSTITUTE(D630,"|",REPT(";",LEN(D630)),3))+1,FIND(";",SUBSTITUTE(D630,"|",REPT(";",LEN(D630)),4))-FIND(";",SUBSTITUTE(D630,"|",REPT(";",LEN(D630)),3))-1)</f>
        <v/>
      </c>
      <c r="M630">
        <f>MID(D630,FIND(";",SUBSTITUTE(D630,"|",REPT(";",LEN(D630)),4))+1,LEN(D630))</f>
        <v/>
      </c>
    </row>
    <row r="631">
      <c r="A631" t="inlineStr">
        <is>
          <t>100301</t>
        </is>
      </c>
      <c r="B631" t="inlineStr">
        <is>
          <t>无缝钢管</t>
        </is>
      </c>
      <c r="C631" t="inlineStr">
        <is>
          <t>601018300</t>
        </is>
      </c>
      <c r="D631" t="inlineStr">
        <is>
          <t>结构用热轧优质碳素结构无缝钢管|钢管|45|Φ180×25|GB/T 8162-2008|热轧</t>
        </is>
      </c>
      <c r="E631" t="inlineStr">
        <is>
          <t>物资名称 结构用热轧优质碳素结构无缝钢管;物资简称 钢管;牌号 45;外径 Φ180;壁厚 25;技术标准号 GB/T 8162-2008;加工工艺 热轧;热处理工艺 ;特殊要求 ;规格标准号 GB/T 17395-2008</t>
        </is>
      </c>
      <c r="F631" t="inlineStr">
        <is>
          <t>千克</t>
        </is>
      </c>
      <c r="G631">
        <f>LEFT(D631,FIND("|",D631,1)-1)</f>
        <v/>
      </c>
      <c r="H631">
        <f>MID(D631,FIND("|",D631,FIND("|",D631,1))+1,FIND("|",D631,FIND("|",D631,1)+1)-FIND("|",D631,FIND("|",D631,1))-1)</f>
        <v/>
      </c>
      <c r="J631">
        <f>MID(D631,FIND(";",SUBSTITUTE(D631,"|",REPT(";",LEN(D631)),2))+1,FIND(";",SUBSTITUTE(D631,"|",REPT(";",LEN(D631)),3))-FIND(";",SUBSTITUTE(D631,"|",REPT(";",LEN(D631)),2))-1)</f>
        <v/>
      </c>
      <c r="K631">
        <f>MID(D631,FIND(";",SUBSTITUTE(D631,"|",REPT(";",LEN(D631)),3))+1,FIND(";",SUBSTITUTE(D631,"|",REPT(";",LEN(D631)),4))-FIND(";",SUBSTITUTE(D631,"|",REPT(";",LEN(D631)),3))-1)</f>
        <v/>
      </c>
      <c r="M631">
        <f>MID(D631,FIND(";",SUBSTITUTE(D631,"|",REPT(";",LEN(D631)),4))+1,FIND(";",SUBSTITUTE(D631,"|",REPT(";",LEN(D631)),5))-FIND(";",SUBSTITUTE(D631,"|",REPT(";",LEN(D631)),4))-1)</f>
        <v/>
      </c>
      <c r="O631">
        <f>MID(D631,FIND(";",SUBSTITUTE(D631,"|",REPT(";",LEN(D631)),5))+1,LEN(D631))</f>
        <v/>
      </c>
    </row>
    <row r="632">
      <c r="A632" t="inlineStr">
        <is>
          <t>100301</t>
        </is>
      </c>
      <c r="B632" t="inlineStr">
        <is>
          <t>无缝钢管</t>
        </is>
      </c>
      <c r="C632" t="inlineStr">
        <is>
          <t>601003500</t>
        </is>
      </c>
      <c r="D632" t="inlineStr">
        <is>
          <t>航空用不锈钢无缝钢管|不锈钢管|1Cr18Ni9Ti|Φ25×3|GJB 2296-1995</t>
        </is>
      </c>
      <c r="E632" t="inlineStr">
        <is>
          <t xml:space="preserve">物资名称 航空用不锈钢无缝钢管;物资简称 不锈钢管;牌号 1Cr18Ni9Ti;外径 Φ25;壁厚 3;技术标准号 GJB 2296-1995;加工工艺 ;热处理工艺 ;特殊要求 ;规格标准号 </t>
        </is>
      </c>
      <c r="F632" t="inlineStr">
        <is>
          <t>千克</t>
        </is>
      </c>
      <c r="G632">
        <f>LEFT(D632,FIND("|",D632,1)-1)</f>
        <v/>
      </c>
      <c r="H632">
        <f>MID(D632,FIND("|",D632,FIND("|",D632,1))+1,FIND("|",D632,FIND("|",D632,1)+1)-FIND("|",D632,FIND("|",D632,1))-1)</f>
        <v/>
      </c>
      <c r="J632">
        <f>MID(D632,FIND(";",SUBSTITUTE(D632,"|",REPT(";",LEN(D632)),2))+1,FIND(";",SUBSTITUTE(D632,"|",REPT(";",LEN(D632)),3))-FIND(";",SUBSTITUTE(D632,"|",REPT(";",LEN(D632)),2))-1)</f>
        <v/>
      </c>
      <c r="K632">
        <f>MID(D632,FIND(";",SUBSTITUTE(D632,"|",REPT(";",LEN(D632)),3))+1,FIND(";",SUBSTITUTE(D632,"|",REPT(";",LEN(D632)),4))-FIND(";",SUBSTITUTE(D632,"|",REPT(";",LEN(D632)),3))-1)</f>
        <v/>
      </c>
      <c r="M632">
        <f>MID(D632,FIND(";",SUBSTITUTE(D632,"|",REPT(";",LEN(D632)),4))+1,LEN(D632))</f>
        <v/>
      </c>
    </row>
    <row r="633">
      <c r="A633" t="inlineStr">
        <is>
          <t>100301</t>
        </is>
      </c>
      <c r="B633" t="inlineStr">
        <is>
          <t>无缝钢管</t>
        </is>
      </c>
      <c r="C633" t="inlineStr">
        <is>
          <t>601003400</t>
        </is>
      </c>
      <c r="D633" t="inlineStr">
        <is>
          <t>航空用不锈钢无缝钢管|不锈钢管|1Cr18Ni9Ti|Φ42×3|GJB 2296-1995</t>
        </is>
      </c>
      <c r="E633" t="inlineStr">
        <is>
          <t xml:space="preserve">物资名称 航空用不锈钢无缝钢管;物资简称 不锈钢管;牌号 1Cr18Ni9Ti;外径 Φ42;壁厚 3;技术标准号 GJB 2296-1995;加工工艺 ;热处理工艺 ;特殊要求 ;规格标准号 </t>
        </is>
      </c>
      <c r="F633" t="inlineStr">
        <is>
          <t>千克</t>
        </is>
      </c>
      <c r="G633">
        <f>LEFT(D633,FIND("|",D633,1)-1)</f>
        <v/>
      </c>
      <c r="H633">
        <f>MID(D633,FIND("|",D633,FIND("|",D633,1))+1,FIND("|",D633,FIND("|",D633,1)+1)-FIND("|",D633,FIND("|",D633,1))-1)</f>
        <v/>
      </c>
      <c r="J633">
        <f>MID(D633,FIND(";",SUBSTITUTE(D633,"|",REPT(";",LEN(D633)),2))+1,FIND(";",SUBSTITUTE(D633,"|",REPT(";",LEN(D633)),3))-FIND(";",SUBSTITUTE(D633,"|",REPT(";",LEN(D633)),2))-1)</f>
        <v/>
      </c>
      <c r="K633">
        <f>MID(D633,FIND(";",SUBSTITUTE(D633,"|",REPT(";",LEN(D633)),3))+1,FIND(";",SUBSTITUTE(D633,"|",REPT(";",LEN(D633)),4))-FIND(";",SUBSTITUTE(D633,"|",REPT(";",LEN(D633)),3))-1)</f>
        <v/>
      </c>
      <c r="M633">
        <f>MID(D633,FIND(";",SUBSTITUTE(D633,"|",REPT(";",LEN(D633)),4))+1,LEN(D633))</f>
        <v/>
      </c>
    </row>
    <row r="634">
      <c r="A634" t="inlineStr">
        <is>
          <t>100301</t>
        </is>
      </c>
      <c r="B634" t="inlineStr">
        <is>
          <t>无缝钢管</t>
        </is>
      </c>
      <c r="C634" t="inlineStr">
        <is>
          <t>601003300</t>
        </is>
      </c>
      <c r="D634" t="inlineStr">
        <is>
          <t>航空用不锈钢无缝钢管|不锈钢管|1Cr18Ni9Ti|Φ32×3|GJB 2296-1995</t>
        </is>
      </c>
      <c r="E634" t="inlineStr">
        <is>
          <t xml:space="preserve">物资名称 航空用不锈钢无缝钢管;物资简称 不锈钢管;牌号 1Cr18Ni9Ti;外径 Φ32;壁厚 3;技术标准号 GJB 2296-1995;加工工艺 ;热处理工艺 ;特殊要求 ;规格标准号 </t>
        </is>
      </c>
      <c r="F634" t="inlineStr">
        <is>
          <t>千克</t>
        </is>
      </c>
      <c r="G634">
        <f>LEFT(D634,FIND("|",D634,1)-1)</f>
        <v/>
      </c>
      <c r="H634">
        <f>MID(D634,FIND("|",D634,FIND("|",D634,1))+1,FIND("|",D634,FIND("|",D634,1)+1)-FIND("|",D634,FIND("|",D634,1))-1)</f>
        <v/>
      </c>
      <c r="J634">
        <f>MID(D634,FIND(";",SUBSTITUTE(D634,"|",REPT(";",LEN(D634)),2))+1,FIND(";",SUBSTITUTE(D634,"|",REPT(";",LEN(D634)),3))-FIND(";",SUBSTITUTE(D634,"|",REPT(";",LEN(D634)),2))-1)</f>
        <v/>
      </c>
      <c r="K634">
        <f>MID(D634,FIND(";",SUBSTITUTE(D634,"|",REPT(";",LEN(D634)),3))+1,FIND(";",SUBSTITUTE(D634,"|",REPT(";",LEN(D634)),4))-FIND(";",SUBSTITUTE(D634,"|",REPT(";",LEN(D634)),3))-1)</f>
        <v/>
      </c>
      <c r="M634">
        <f>MID(D634,FIND(";",SUBSTITUTE(D634,"|",REPT(";",LEN(D634)),4))+1,LEN(D634))</f>
        <v/>
      </c>
    </row>
    <row r="635">
      <c r="A635" t="inlineStr">
        <is>
          <t>100301</t>
        </is>
      </c>
      <c r="B635" t="inlineStr">
        <is>
          <t>无缝钢管</t>
        </is>
      </c>
      <c r="C635" t="inlineStr">
        <is>
          <t>601000900</t>
        </is>
      </c>
      <c r="D635" t="inlineStr">
        <is>
          <t>结构用热轧优质碳素结构无缝钢管|钢管|45|Φ133×15|GB/T 8162-1999|热轧|退火|GB/T 17395-2008</t>
        </is>
      </c>
      <c r="E635" t="inlineStr">
        <is>
          <t>物资名称 结构用热轧优质碳素结构无缝钢管;物资简称 钢管;牌号 45;外径 Φ133;壁厚 15;技术标准号 GB/T 8162-1999;加工工艺 热轧;热处理工艺 退火;特殊要求 ;规格标准号 GB/T 17395-2008</t>
        </is>
      </c>
      <c r="F635" t="inlineStr">
        <is>
          <t>千克</t>
        </is>
      </c>
      <c r="G635">
        <f>LEFT(D635,FIND("|",D635,1)-1)</f>
        <v/>
      </c>
      <c r="H635">
        <f>MID(D635,FIND("|",D635,FIND("|",D635,1))+1,FIND("|",D635,FIND("|",D635,1)+1)-FIND("|",D635,FIND("|",D635,1))-1)</f>
        <v/>
      </c>
      <c r="J635">
        <f>MID(D635,FIND(";",SUBSTITUTE(D635,"|",REPT(";",LEN(D635)),2))+1,FIND(";",SUBSTITUTE(D635,"|",REPT(";",LEN(D635)),3))-FIND(";",SUBSTITUTE(D635,"|",REPT(";",LEN(D635)),2))-1)</f>
        <v/>
      </c>
      <c r="K635">
        <f>MID(D635,FIND(";",SUBSTITUTE(D635,"|",REPT(";",LEN(D635)),3))+1,FIND(";",SUBSTITUTE(D635,"|",REPT(";",LEN(D635)),4))-FIND(";",SUBSTITUTE(D635,"|",REPT(";",LEN(D635)),3))-1)</f>
        <v/>
      </c>
      <c r="M635">
        <f>MID(D635,FIND(";",SUBSTITUTE(D635,"|",REPT(";",LEN(D635)),4))+1,FIND(";",SUBSTITUTE(D635,"|",REPT(";",LEN(D635)),5))-FIND(";",SUBSTITUTE(D635,"|",REPT(";",LEN(D635)),4))-1)</f>
        <v/>
      </c>
      <c r="N635">
        <f>MID(D635,FIND(";",SUBSTITUTE(D635,"|",REPT(";",LEN(D635)),7))+1,LEN(D635))</f>
        <v/>
      </c>
      <c r="O635">
        <f>MID(D635,FIND(";",SUBSTITUTE(D635,"|",REPT(";",LEN(D635)),5))+1,FIND(";",SUBSTITUTE(D635,"|",REPT(";",LEN(D635)),6))-FIND(";",SUBSTITUTE(D635,"|",REPT(";",LEN(D635)),5))-1)</f>
        <v/>
      </c>
      <c r="P635">
        <f>MID(D635,FIND(";",SUBSTITUTE(D635,"|",REPT(";",LEN(D635)),6))+1,FIND(";",SUBSTITUTE(D635,"|",REPT(";",LEN(D635)),7))-FIND(";",SUBSTITUTE(D635,"|",REPT(";",LEN(D635)),6))-1)</f>
        <v/>
      </c>
    </row>
    <row r="636">
      <c r="A636" t="inlineStr">
        <is>
          <t>100301</t>
        </is>
      </c>
      <c r="B636" t="inlineStr">
        <is>
          <t>无缝钢管</t>
        </is>
      </c>
      <c r="C636" t="inlineStr">
        <is>
          <t>600996600</t>
        </is>
      </c>
      <c r="D636" t="inlineStr">
        <is>
          <t>航空用不锈钢无缝钢管|不锈钢管|1Cr18Ni9Ti|Φ28×4|GJB 2296-1995</t>
        </is>
      </c>
      <c r="E636" t="inlineStr">
        <is>
          <t xml:space="preserve">物资名称 航空用不锈钢无缝钢管;物资简称 不锈钢管;牌号 1Cr18Ni9Ti;外径 Φ28;壁厚 4;技术标准号 GJB 2296-1995;加工工艺 ;热处理工艺 ;特殊要求 ;规格标准号 </t>
        </is>
      </c>
      <c r="F636" t="inlineStr">
        <is>
          <t>千克</t>
        </is>
      </c>
      <c r="G636">
        <f>LEFT(D636,FIND("|",D636,1)-1)</f>
        <v/>
      </c>
      <c r="H636">
        <f>MID(D636,FIND("|",D636,FIND("|",D636,1))+1,FIND("|",D636,FIND("|",D636,1)+1)-FIND("|",D636,FIND("|",D636,1))-1)</f>
        <v/>
      </c>
      <c r="J636">
        <f>MID(D636,FIND(";",SUBSTITUTE(D636,"|",REPT(";",LEN(D636)),2))+1,FIND(";",SUBSTITUTE(D636,"|",REPT(";",LEN(D636)),3))-FIND(";",SUBSTITUTE(D636,"|",REPT(";",LEN(D636)),2))-1)</f>
        <v/>
      </c>
      <c r="K636">
        <f>MID(D636,FIND(";",SUBSTITUTE(D636,"|",REPT(";",LEN(D636)),3))+1,FIND(";",SUBSTITUTE(D636,"|",REPT(";",LEN(D636)),4))-FIND(";",SUBSTITUTE(D636,"|",REPT(";",LEN(D636)),3))-1)</f>
        <v/>
      </c>
      <c r="M636">
        <f>MID(D636,FIND(";",SUBSTITUTE(D636,"|",REPT(";",LEN(D636)),4))+1,LEN(D636))</f>
        <v/>
      </c>
    </row>
    <row r="637">
      <c r="A637" t="inlineStr">
        <is>
          <t>100301</t>
        </is>
      </c>
      <c r="B637" t="inlineStr">
        <is>
          <t>无缝钢管</t>
        </is>
      </c>
      <c r="C637" t="inlineStr">
        <is>
          <t>600988100</t>
        </is>
      </c>
      <c r="D637" t="inlineStr">
        <is>
          <t>航空用不锈钢无缝钢管|不锈钢管|1Cr18Ni9Ti|Φ34×3|GJB 2296-1995</t>
        </is>
      </c>
      <c r="E637" t="inlineStr">
        <is>
          <t xml:space="preserve">物资名称 航空用不锈钢无缝钢管;物资简称 不锈钢管;牌号 1Cr18Ni9Ti;外径 Φ34;壁厚 3;技术标准号 GJB 2296-1995;加工工艺 ;热处理工艺 ;特殊要求 ;规格标准号 </t>
        </is>
      </c>
      <c r="F637" t="inlineStr">
        <is>
          <t>千克</t>
        </is>
      </c>
      <c r="G637">
        <f>LEFT(D637,FIND("|",D637,1)-1)</f>
        <v/>
      </c>
      <c r="H637">
        <f>MID(D637,FIND("|",D637,FIND("|",D637,1))+1,FIND("|",D637,FIND("|",D637,1)+1)-FIND("|",D637,FIND("|",D637,1))-1)</f>
        <v/>
      </c>
      <c r="J637">
        <f>MID(D637,FIND(";",SUBSTITUTE(D637,"|",REPT(";",LEN(D637)),2))+1,FIND(";",SUBSTITUTE(D637,"|",REPT(";",LEN(D637)),3))-FIND(";",SUBSTITUTE(D637,"|",REPT(";",LEN(D637)),2))-1)</f>
        <v/>
      </c>
      <c r="K637">
        <f>MID(D637,FIND(";",SUBSTITUTE(D637,"|",REPT(";",LEN(D637)),3))+1,FIND(";",SUBSTITUTE(D637,"|",REPT(";",LEN(D637)),4))-FIND(";",SUBSTITUTE(D637,"|",REPT(";",LEN(D637)),3))-1)</f>
        <v/>
      </c>
      <c r="M637">
        <f>MID(D637,FIND(";",SUBSTITUTE(D637,"|",REPT(";",LEN(D637)),4))+1,LEN(D637))</f>
        <v/>
      </c>
    </row>
    <row r="638">
      <c r="A638" t="inlineStr">
        <is>
          <t>100301</t>
        </is>
      </c>
      <c r="B638" t="inlineStr">
        <is>
          <t>无缝钢管</t>
        </is>
      </c>
      <c r="C638" t="inlineStr">
        <is>
          <t>600988000</t>
        </is>
      </c>
      <c r="D638" t="inlineStr">
        <is>
          <t>航空用不锈钢无缝钢管|不锈钢管|1Cr18Ni9Ti|Φ27×3|GJB 2296-1995</t>
        </is>
      </c>
      <c r="E638" t="inlineStr">
        <is>
          <t xml:space="preserve">物资名称 航空用不锈钢无缝钢管;物资简称 不锈钢管;牌号 1Cr18Ni9Ti;外径 Φ27;壁厚 3;技术标准号 GJB 2296-1995;加工工艺 ;热处理工艺 ;特殊要求 ;规格标准号 </t>
        </is>
      </c>
      <c r="F638" t="inlineStr">
        <is>
          <t>千克</t>
        </is>
      </c>
      <c r="G638">
        <f>LEFT(D638,FIND("|",D638,1)-1)</f>
        <v/>
      </c>
      <c r="H638">
        <f>MID(D638,FIND("|",D638,FIND("|",D638,1))+1,FIND("|",D638,FIND("|",D638,1)+1)-FIND("|",D638,FIND("|",D638,1))-1)</f>
        <v/>
      </c>
      <c r="J638">
        <f>MID(D638,FIND(";",SUBSTITUTE(D638,"|",REPT(";",LEN(D638)),2))+1,FIND(";",SUBSTITUTE(D638,"|",REPT(";",LEN(D638)),3))-FIND(";",SUBSTITUTE(D638,"|",REPT(";",LEN(D638)),2))-1)</f>
        <v/>
      </c>
      <c r="K638">
        <f>MID(D638,FIND(";",SUBSTITUTE(D638,"|",REPT(";",LEN(D638)),3))+1,FIND(";",SUBSTITUTE(D638,"|",REPT(";",LEN(D638)),4))-FIND(";",SUBSTITUTE(D638,"|",REPT(";",LEN(D638)),3))-1)</f>
        <v/>
      </c>
      <c r="M638">
        <f>MID(D638,FIND(";",SUBSTITUTE(D638,"|",REPT(";",LEN(D638)),4))+1,LEN(D638))</f>
        <v/>
      </c>
    </row>
    <row r="639">
      <c r="A639" t="inlineStr">
        <is>
          <t>100301</t>
        </is>
      </c>
      <c r="B639" t="inlineStr">
        <is>
          <t>无缝钢管</t>
        </is>
      </c>
      <c r="C639" t="inlineStr">
        <is>
          <t>600985500</t>
        </is>
      </c>
      <c r="D639" t="inlineStr">
        <is>
          <t>结构用热轧优质碳素结构无缝钢管|钢管|45|Φ305×38|GB/T 8162-1999</t>
        </is>
      </c>
      <c r="E639" t="inlineStr">
        <is>
          <t xml:space="preserve">物资名称 结构用热轧优质碳素结构无缝钢管;物资简称 钢管;牌号 45;外径 Φ305;壁厚 38;技术标准号 GB/T 8162-1999;加工工艺 ;热处理工艺 ;特殊要求 ;规格标准号 </t>
        </is>
      </c>
      <c r="F639" t="inlineStr">
        <is>
          <t>千克</t>
        </is>
      </c>
      <c r="G639">
        <f>LEFT(D639,FIND("|",D639,1)-1)</f>
        <v/>
      </c>
      <c r="H639">
        <f>MID(D639,FIND("|",D639,FIND("|",D639,1))+1,FIND("|",D639,FIND("|",D639,1)+1)-FIND("|",D639,FIND("|",D639,1))-1)</f>
        <v/>
      </c>
      <c r="J639">
        <f>MID(D639,FIND(";",SUBSTITUTE(D639,"|",REPT(";",LEN(D639)),2))+1,FIND(";",SUBSTITUTE(D639,"|",REPT(";",LEN(D639)),3))-FIND(";",SUBSTITUTE(D639,"|",REPT(";",LEN(D639)),2))-1)</f>
        <v/>
      </c>
      <c r="K639">
        <f>MID(D639,FIND(";",SUBSTITUTE(D639,"|",REPT(";",LEN(D639)),3))+1,FIND(";",SUBSTITUTE(D639,"|",REPT(";",LEN(D639)),4))-FIND(";",SUBSTITUTE(D639,"|",REPT(";",LEN(D639)),3))-1)</f>
        <v/>
      </c>
      <c r="M639">
        <f>MID(D639,FIND(";",SUBSTITUTE(D639,"|",REPT(";",LEN(D639)),4))+1,LEN(D639))</f>
        <v/>
      </c>
    </row>
    <row r="640">
      <c r="A640" t="inlineStr">
        <is>
          <t>100301</t>
        </is>
      </c>
      <c r="B640" t="inlineStr">
        <is>
          <t>无缝钢管</t>
        </is>
      </c>
      <c r="C640" t="inlineStr">
        <is>
          <t>600985400</t>
        </is>
      </c>
      <c r="D640" t="inlineStr">
        <is>
          <t>合金结构无缝钢管|钢管|20|Φ80×6|GB/T 699-1999</t>
        </is>
      </c>
      <c r="E640" t="inlineStr">
        <is>
          <t xml:space="preserve">物资名称 合金结构无缝钢管;物资简称 钢管;牌号 20;外径 Φ80;壁厚 6;技术标准号 GB/T 699-1999;加工工艺 ;热处理工艺 ;特殊要求 ;规格标准号 </t>
        </is>
      </c>
      <c r="F640" t="inlineStr">
        <is>
          <t>千克</t>
        </is>
      </c>
      <c r="G640">
        <f>LEFT(D640,FIND("|",D640,1)-1)</f>
        <v/>
      </c>
      <c r="H640">
        <f>MID(D640,FIND("|",D640,FIND("|",D640,1))+1,FIND("|",D640,FIND("|",D640,1)+1)-FIND("|",D640,FIND("|",D640,1))-1)</f>
        <v/>
      </c>
      <c r="J640">
        <f>MID(D640,FIND(";",SUBSTITUTE(D640,"|",REPT(";",LEN(D640)),2))+1,FIND(";",SUBSTITUTE(D640,"|",REPT(";",LEN(D640)),3))-FIND(";",SUBSTITUTE(D640,"|",REPT(";",LEN(D640)),2))-1)</f>
        <v/>
      </c>
      <c r="K640">
        <f>MID(D640,FIND(";",SUBSTITUTE(D640,"|",REPT(";",LEN(D640)),3))+1,FIND(";",SUBSTITUTE(D640,"|",REPT(";",LEN(D640)),4))-FIND(";",SUBSTITUTE(D640,"|",REPT(";",LEN(D640)),3))-1)</f>
        <v/>
      </c>
      <c r="M640">
        <f>MID(D640,FIND(";",SUBSTITUTE(D640,"|",REPT(";",LEN(D640)),4))+1,LEN(D640))</f>
        <v/>
      </c>
    </row>
    <row r="641">
      <c r="A641" t="inlineStr">
        <is>
          <t>100301</t>
        </is>
      </c>
      <c r="B641" t="inlineStr">
        <is>
          <t>无缝钢管</t>
        </is>
      </c>
      <c r="C641" t="inlineStr">
        <is>
          <t>600985300</t>
        </is>
      </c>
      <c r="D641" t="inlineStr">
        <is>
          <t>结构用热轧优质碳素结构无缝钢管|钢管|20|Φ130×7|GB/T 8162-1999</t>
        </is>
      </c>
      <c r="E641" t="inlineStr">
        <is>
          <t xml:space="preserve">物资名称 结构用热轧优质碳素结构无缝钢管;物资简称 钢管;牌号 20;外径 Φ130;壁厚 7;技术标准号 GB/T 8162-1999;加工工艺 ;热处理工艺 ;特殊要求 ;规格标准号 </t>
        </is>
      </c>
      <c r="F641" t="inlineStr">
        <is>
          <t>千克</t>
        </is>
      </c>
      <c r="G641">
        <f>LEFT(D641,FIND("|",D641,1)-1)</f>
        <v/>
      </c>
      <c r="H641">
        <f>MID(D641,FIND("|",D641,FIND("|",D641,1))+1,FIND("|",D641,FIND("|",D641,1)+1)-FIND("|",D641,FIND("|",D641,1))-1)</f>
        <v/>
      </c>
      <c r="J641">
        <f>MID(D641,FIND(";",SUBSTITUTE(D641,"|",REPT(";",LEN(D641)),2))+1,FIND(";",SUBSTITUTE(D641,"|",REPT(";",LEN(D641)),3))-FIND(";",SUBSTITUTE(D641,"|",REPT(";",LEN(D641)),2))-1)</f>
        <v/>
      </c>
      <c r="K641">
        <f>MID(D641,FIND(";",SUBSTITUTE(D641,"|",REPT(";",LEN(D641)),3))+1,FIND(";",SUBSTITUTE(D641,"|",REPT(";",LEN(D641)),4))-FIND(";",SUBSTITUTE(D641,"|",REPT(";",LEN(D641)),3))-1)</f>
        <v/>
      </c>
      <c r="M641">
        <f>MID(D641,FIND(";",SUBSTITUTE(D641,"|",REPT(";",LEN(D641)),4))+1,LEN(D641))</f>
        <v/>
      </c>
    </row>
    <row r="642">
      <c r="A642" t="inlineStr">
        <is>
          <t>100301</t>
        </is>
      </c>
      <c r="B642" t="inlineStr">
        <is>
          <t>无缝钢管</t>
        </is>
      </c>
      <c r="C642" t="inlineStr">
        <is>
          <t>600985200</t>
        </is>
      </c>
      <c r="D642" t="inlineStr">
        <is>
          <t>合金结构无缝钢管|钢管|20|Φ36×4|GB/T 699-1999</t>
        </is>
      </c>
      <c r="E642" t="inlineStr">
        <is>
          <t xml:space="preserve">物资名称 合金结构无缝钢管;物资简称 钢管;牌号 20;外径 Φ36;壁厚 4;技术标准号 GB/T 699-1999;加工工艺 ;热处理工艺 ;特殊要求 ;规格标准号 </t>
        </is>
      </c>
      <c r="F642" t="inlineStr">
        <is>
          <t>千克</t>
        </is>
      </c>
      <c r="G642">
        <f>LEFT(D642,FIND("|",D642,1)-1)</f>
        <v/>
      </c>
      <c r="H642">
        <f>MID(D642,FIND("|",D642,FIND("|",D642,1))+1,FIND("|",D642,FIND("|",D642,1)+1)-FIND("|",D642,FIND("|",D642,1))-1)</f>
        <v/>
      </c>
      <c r="J642">
        <f>MID(D642,FIND(";",SUBSTITUTE(D642,"|",REPT(";",LEN(D642)),2))+1,FIND(";",SUBSTITUTE(D642,"|",REPT(";",LEN(D642)),3))-FIND(";",SUBSTITUTE(D642,"|",REPT(";",LEN(D642)),2))-1)</f>
        <v/>
      </c>
      <c r="K642">
        <f>MID(D642,FIND(";",SUBSTITUTE(D642,"|",REPT(";",LEN(D642)),3))+1,FIND(";",SUBSTITUTE(D642,"|",REPT(";",LEN(D642)),4))-FIND(";",SUBSTITUTE(D642,"|",REPT(";",LEN(D642)),3))-1)</f>
        <v/>
      </c>
      <c r="M642">
        <f>MID(D642,FIND(";",SUBSTITUTE(D642,"|",REPT(";",LEN(D642)),4))+1,LEN(D642))</f>
        <v/>
      </c>
    </row>
    <row r="643">
      <c r="A643" t="inlineStr">
        <is>
          <t>100301</t>
        </is>
      </c>
      <c r="B643" t="inlineStr">
        <is>
          <t>无缝钢管</t>
        </is>
      </c>
      <c r="C643" t="inlineStr">
        <is>
          <t>600985100</t>
        </is>
      </c>
      <c r="D643" t="inlineStr">
        <is>
          <t>合金结构无缝钢管|钢管|20|Φ68×8|GB/T 699-1999</t>
        </is>
      </c>
      <c r="E643" t="inlineStr">
        <is>
          <t xml:space="preserve">物资名称 合金结构无缝钢管;物资简称 钢管;牌号 20;外径 Φ68;壁厚 8;技术标准号 GB/T 699-1999;加工工艺 ;热处理工艺 ;特殊要求 ;规格标准号 </t>
        </is>
      </c>
      <c r="F643" t="inlineStr">
        <is>
          <t>千克</t>
        </is>
      </c>
      <c r="G643">
        <f>LEFT(D643,FIND("|",D643,1)-1)</f>
        <v/>
      </c>
      <c r="H643">
        <f>MID(D643,FIND("|",D643,FIND("|",D643,1))+1,FIND("|",D643,FIND("|",D643,1)+1)-FIND("|",D643,FIND("|",D643,1))-1)</f>
        <v/>
      </c>
      <c r="J643">
        <f>MID(D643,FIND(";",SUBSTITUTE(D643,"|",REPT(";",LEN(D643)),2))+1,FIND(";",SUBSTITUTE(D643,"|",REPT(";",LEN(D643)),3))-FIND(";",SUBSTITUTE(D643,"|",REPT(";",LEN(D643)),2))-1)</f>
        <v/>
      </c>
      <c r="K643">
        <f>MID(D643,FIND(";",SUBSTITUTE(D643,"|",REPT(";",LEN(D643)),3))+1,FIND(";",SUBSTITUTE(D643,"|",REPT(";",LEN(D643)),4))-FIND(";",SUBSTITUTE(D643,"|",REPT(";",LEN(D643)),3))-1)</f>
        <v/>
      </c>
      <c r="M643">
        <f>MID(D643,FIND(";",SUBSTITUTE(D643,"|",REPT(";",LEN(D643)),4))+1,LEN(D643))</f>
        <v/>
      </c>
    </row>
    <row r="644">
      <c r="A644" t="inlineStr">
        <is>
          <t>100301</t>
        </is>
      </c>
      <c r="B644" t="inlineStr">
        <is>
          <t>无缝钢管</t>
        </is>
      </c>
      <c r="C644" t="inlineStr">
        <is>
          <t>600985000</t>
        </is>
      </c>
      <c r="D644" t="inlineStr">
        <is>
          <t>合金结构无缝钢管|钢管|20|Φ65×5|GB/T 699-1999</t>
        </is>
      </c>
      <c r="E644" t="inlineStr">
        <is>
          <t xml:space="preserve">物资名称 合金结构无缝钢管;物资简称 钢管;牌号 20;外径 Φ65;壁厚 5;技术标准号 GB/T 699-1999;加工工艺 ;热处理工艺 ;特殊要求 ;规格标准号 </t>
        </is>
      </c>
      <c r="F644" t="inlineStr">
        <is>
          <t>千克</t>
        </is>
      </c>
      <c r="G644">
        <f>LEFT(D644,FIND("|",D644,1)-1)</f>
        <v/>
      </c>
      <c r="H644">
        <f>MID(D644,FIND("|",D644,FIND("|",D644,1))+1,FIND("|",D644,FIND("|",D644,1)+1)-FIND("|",D644,FIND("|",D644,1))-1)</f>
        <v/>
      </c>
      <c r="J644">
        <f>MID(D644,FIND(";",SUBSTITUTE(D644,"|",REPT(";",LEN(D644)),2))+1,FIND(";",SUBSTITUTE(D644,"|",REPT(";",LEN(D644)),3))-FIND(";",SUBSTITUTE(D644,"|",REPT(";",LEN(D644)),2))-1)</f>
        <v/>
      </c>
      <c r="K644">
        <f>MID(D644,FIND(";",SUBSTITUTE(D644,"|",REPT(";",LEN(D644)),3))+1,FIND(";",SUBSTITUTE(D644,"|",REPT(";",LEN(D644)),4))-FIND(";",SUBSTITUTE(D644,"|",REPT(";",LEN(D644)),3))-1)</f>
        <v/>
      </c>
      <c r="M644">
        <f>MID(D644,FIND(";",SUBSTITUTE(D644,"|",REPT(";",LEN(D644)),4))+1,LEN(D644))</f>
        <v/>
      </c>
    </row>
    <row r="645">
      <c r="A645" t="inlineStr">
        <is>
          <t>100301</t>
        </is>
      </c>
      <c r="B645" t="inlineStr">
        <is>
          <t>无缝钢管</t>
        </is>
      </c>
      <c r="C645" t="inlineStr">
        <is>
          <t>600947600</t>
        </is>
      </c>
      <c r="D645" t="inlineStr">
        <is>
          <t>结构用热轧优质碳素结构无缝钢管|钢管|45|Φ205×48|GB/T 8162-2008|热轧|GB/T 17395-2008</t>
        </is>
      </c>
      <c r="E645" t="inlineStr">
        <is>
          <t>物资名称 结构用热轧优质碳素结构无缝钢管;物资简称 钢管;牌号 45;外径 Φ205;壁厚 48;技术标准号 GB/T 8162-2008;加工工艺 热轧;热处理工艺 ;特殊要求 ;规格标准号 GB/T 17395-2008</t>
        </is>
      </c>
      <c r="F645" t="inlineStr">
        <is>
          <t>千克</t>
        </is>
      </c>
      <c r="G645">
        <f>LEFT(D645,FIND("|",D645,1)-1)</f>
        <v/>
      </c>
      <c r="H645">
        <f>MID(D645,FIND("|",D645,FIND("|",D645,1))+1,FIND("|",D645,FIND("|",D645,1)+1)-FIND("|",D645,FIND("|",D645,1))-1)</f>
        <v/>
      </c>
      <c r="J645">
        <f>MID(D645,FIND(";",SUBSTITUTE(D645,"|",REPT(";",LEN(D645)),2))+1,FIND(";",SUBSTITUTE(D645,"|",REPT(";",LEN(D645)),3))-FIND(";",SUBSTITUTE(D645,"|",REPT(";",LEN(D645)),2))-1)</f>
        <v/>
      </c>
      <c r="K645">
        <f>MID(D645,FIND(";",SUBSTITUTE(D645,"|",REPT(";",LEN(D645)),3))+1,FIND(";",SUBSTITUTE(D645,"|",REPT(";",LEN(D645)),4))-FIND(";",SUBSTITUTE(D645,"|",REPT(";",LEN(D645)),3))-1)</f>
        <v/>
      </c>
      <c r="M645">
        <f>MID(D645,FIND(";",SUBSTITUTE(D645,"|",REPT(";",LEN(D645)),4))+1,FIND(";",SUBSTITUTE(D645,"|",REPT(";",LEN(D645)),5))-FIND(";",SUBSTITUTE(D645,"|",REPT(";",LEN(D645)),4))-1)</f>
        <v/>
      </c>
      <c r="N645">
        <f>MID(D645,FIND(";",SUBSTITUTE(D645,"|",REPT(";",LEN(D645)),6))+1,LEN(D645))</f>
        <v/>
      </c>
      <c r="O645">
        <f>MID(D645,FIND(";",SUBSTITUTE(D645,"|",REPT(";",LEN(D645)),5))+1,FIND(";",SUBSTITUTE(D645,"|",REPT(";",LEN(D645)),6))-FIND(";",SUBSTITUTE(D645,"|",REPT(";",LEN(D645)),5))-1)</f>
        <v/>
      </c>
    </row>
    <row r="646">
      <c r="A646" t="inlineStr">
        <is>
          <t>100301</t>
        </is>
      </c>
      <c r="B646" t="inlineStr">
        <is>
          <t>无缝钢管</t>
        </is>
      </c>
      <c r="C646" t="inlineStr">
        <is>
          <t>600919400</t>
        </is>
      </c>
      <c r="D646" t="inlineStr">
        <is>
          <t>钢管|钢管|40Cr|Φ325×28|GB/T 8162-1999</t>
        </is>
      </c>
      <c r="E646" t="inlineStr">
        <is>
          <t xml:space="preserve">物资名称 钢管;物资简称 钢管;牌号 40Cr;外径 Φ325;壁厚 28;技术标准号 GB/T 8162-1999;加工工艺 ;热处理工艺 ;特殊要求 ;规格标准号 </t>
        </is>
      </c>
      <c r="F646" t="inlineStr">
        <is>
          <t>千克</t>
        </is>
      </c>
      <c r="G646">
        <f>LEFT(D646,FIND("|",D646,1)-1)</f>
        <v/>
      </c>
      <c r="H646">
        <f>MID(D646,FIND("|",D646,FIND("|",D646,1))+1,FIND("|",D646,FIND("|",D646,1)+1)-FIND("|",D646,FIND("|",D646,1))-1)</f>
        <v/>
      </c>
      <c r="J646">
        <f>MID(D646,FIND(";",SUBSTITUTE(D646,"|",REPT(";",LEN(D646)),2))+1,FIND(";",SUBSTITUTE(D646,"|",REPT(";",LEN(D646)),3))-FIND(";",SUBSTITUTE(D646,"|",REPT(";",LEN(D646)),2))-1)</f>
        <v/>
      </c>
      <c r="K646">
        <f>MID(D646,FIND(";",SUBSTITUTE(D646,"|",REPT(";",LEN(D646)),3))+1,FIND(";",SUBSTITUTE(D646,"|",REPT(";",LEN(D646)),4))-FIND(";",SUBSTITUTE(D646,"|",REPT(";",LEN(D646)),3))-1)</f>
        <v/>
      </c>
      <c r="M646">
        <f>MID(D646,FIND(";",SUBSTITUTE(D646,"|",REPT(";",LEN(D646)),4))+1,LEN(D646))</f>
        <v/>
      </c>
    </row>
    <row r="647">
      <c r="A647" t="inlineStr">
        <is>
          <t>100301</t>
        </is>
      </c>
      <c r="B647" t="inlineStr">
        <is>
          <t>无缝钢管</t>
        </is>
      </c>
      <c r="C647" t="inlineStr">
        <is>
          <t>600919300</t>
        </is>
      </c>
      <c r="D647" t="inlineStr">
        <is>
          <t>钢管|钢管|45|GB/T 8162-1999</t>
        </is>
      </c>
      <c r="E647" t="inlineStr">
        <is>
          <t xml:space="preserve">物资名称 钢管;物资简称 钢管;牌号 45;外径 Φ;壁厚 ;技术标准号 GB/T 8162-1999;加工工艺 ;热处理工艺 ;特殊要求 ;规格标准号 </t>
        </is>
      </c>
      <c r="F647" t="inlineStr">
        <is>
          <t>千克</t>
        </is>
      </c>
      <c r="G647">
        <f>LEFT(D647,FIND("|",D647,1)-1)</f>
        <v/>
      </c>
      <c r="H647">
        <f>MID(D647,FIND("|",D647,FIND("|",D647,1))+1,FIND("|",D647,FIND("|",D647,1)+1)-FIND("|",D647,FIND("|",D647,1))-1)</f>
        <v/>
      </c>
      <c r="J647">
        <f>MID(D647,FIND(";",SUBSTITUTE(D647,"|",REPT(";",LEN(D647)),2))+1,FIND(";",SUBSTITUTE(D647,"|",REPT(";",LEN(D647)),3))-FIND(";",SUBSTITUTE(D647,"|",REPT(";",LEN(D647)),2))-1)</f>
        <v/>
      </c>
      <c r="M647">
        <f>MID(D647,FIND(";",SUBSTITUTE(D647,"|",REPT(";",LEN(D647)),3))+1,LEN(D647))</f>
        <v/>
      </c>
    </row>
    <row r="648">
      <c r="A648" t="inlineStr">
        <is>
          <t>100301</t>
        </is>
      </c>
      <c r="B648" t="inlineStr">
        <is>
          <t>无缝钢管</t>
        </is>
      </c>
      <c r="C648" t="inlineStr">
        <is>
          <t>600918400</t>
        </is>
      </c>
      <c r="D648" t="inlineStr">
        <is>
          <t>钢管|钢管|20|GB/T 8162-1999</t>
        </is>
      </c>
      <c r="E648" t="inlineStr">
        <is>
          <t xml:space="preserve">物资名称 钢管;物资简称 钢管;牌号 20;外径 Φ;壁厚 ;技术标准号 GB/T 8162-1999;加工工艺 ;热处理工艺 ;特殊要求 ;规格标准号 </t>
        </is>
      </c>
      <c r="F648" t="inlineStr">
        <is>
          <t>千克</t>
        </is>
      </c>
      <c r="G648">
        <f>LEFT(D648,FIND("|",D648,1)-1)</f>
        <v/>
      </c>
      <c r="H648">
        <f>MID(D648,FIND("|",D648,FIND("|",D648,1))+1,FIND("|",D648,FIND("|",D648,1)+1)-FIND("|",D648,FIND("|",D648,1))-1)</f>
        <v/>
      </c>
      <c r="J648">
        <f>MID(D648,FIND(";",SUBSTITUTE(D648,"|",REPT(";",LEN(D648)),2))+1,FIND(";",SUBSTITUTE(D648,"|",REPT(";",LEN(D648)),3))-FIND(";",SUBSTITUTE(D648,"|",REPT(";",LEN(D648)),2))-1)</f>
        <v/>
      </c>
      <c r="M648">
        <f>MID(D648,FIND(";",SUBSTITUTE(D648,"|",REPT(";",LEN(D648)),3))+1,LEN(D648))</f>
        <v/>
      </c>
    </row>
    <row r="649">
      <c r="A649" t="inlineStr">
        <is>
          <t>100301</t>
        </is>
      </c>
      <c r="B649" t="inlineStr">
        <is>
          <t>无缝钢管</t>
        </is>
      </c>
      <c r="C649" t="inlineStr">
        <is>
          <t>600917800</t>
        </is>
      </c>
      <c r="D649" t="inlineStr">
        <is>
          <t>结构用热轧合金结构无缝钢管|钢管|40Cr|GB/T 8162-1999</t>
        </is>
      </c>
      <c r="E649" t="inlineStr">
        <is>
          <t xml:space="preserve">物资名称 结构用热轧合金结构无缝钢管;物资简称 钢管;牌号 40Cr;外径 Φ;壁厚 ;技术标准号 GB/T 8162-1999;加工工艺 ;热处理工艺 ;特殊要求 ;规格标准号 </t>
        </is>
      </c>
      <c r="F649" t="inlineStr">
        <is>
          <t>千克</t>
        </is>
      </c>
      <c r="G649">
        <f>LEFT(D649,FIND("|",D649,1)-1)</f>
        <v/>
      </c>
      <c r="H649">
        <f>MID(D649,FIND("|",D649,FIND("|",D649,1))+1,FIND("|",D649,FIND("|",D649,1)+1)-FIND("|",D649,FIND("|",D649,1))-1)</f>
        <v/>
      </c>
      <c r="J649">
        <f>MID(D649,FIND(";",SUBSTITUTE(D649,"|",REPT(";",LEN(D649)),2))+1,FIND(";",SUBSTITUTE(D649,"|",REPT(";",LEN(D649)),3))-FIND(";",SUBSTITUTE(D649,"|",REPT(";",LEN(D649)),2))-1)</f>
        <v/>
      </c>
      <c r="M649">
        <f>MID(D649,FIND(";",SUBSTITUTE(D649,"|",REPT(";",LEN(D649)),3))+1,LEN(D649))</f>
        <v/>
      </c>
    </row>
    <row r="650">
      <c r="A650" t="inlineStr">
        <is>
          <t>100301</t>
        </is>
      </c>
      <c r="B650" t="inlineStr">
        <is>
          <t>无缝钢管</t>
        </is>
      </c>
      <c r="C650" t="inlineStr">
        <is>
          <t>600901400</t>
        </is>
      </c>
      <c r="D650" t="inlineStr">
        <is>
          <t>结构用热轧合金结构无缝钢管|钢管|40Cr|Φ315×40|GB/T 8162-2008|热轧|GB/T 17395-2008</t>
        </is>
      </c>
      <c r="E650" t="inlineStr">
        <is>
          <t>物资名称 结构用热轧合金结构无缝钢管;物资简称 钢管;牌号 40Cr;外径 Φ315;壁厚 40;技术标准号 GB/T 8162-2008;加工工艺 热轧;热处理工艺 ;特殊要求 ;规格标准号 GB/T 17395-2008</t>
        </is>
      </c>
      <c r="F650" t="inlineStr">
        <is>
          <t>千克</t>
        </is>
      </c>
      <c r="G650">
        <f>LEFT(D650,FIND("|",D650,1)-1)</f>
        <v/>
      </c>
      <c r="H650">
        <f>MID(D650,FIND("|",D650,FIND("|",D650,1))+1,FIND("|",D650,FIND("|",D650,1)+1)-FIND("|",D650,FIND("|",D650,1))-1)</f>
        <v/>
      </c>
      <c r="J650">
        <f>MID(D650,FIND(";",SUBSTITUTE(D650,"|",REPT(";",LEN(D650)),2))+1,FIND(";",SUBSTITUTE(D650,"|",REPT(";",LEN(D650)),3))-FIND(";",SUBSTITUTE(D650,"|",REPT(";",LEN(D650)),2))-1)</f>
        <v/>
      </c>
      <c r="K650">
        <f>MID(D650,FIND(";",SUBSTITUTE(D650,"|",REPT(";",LEN(D650)),3))+1,FIND(";",SUBSTITUTE(D650,"|",REPT(";",LEN(D650)),4))-FIND(";",SUBSTITUTE(D650,"|",REPT(";",LEN(D650)),3))-1)</f>
        <v/>
      </c>
      <c r="M650">
        <f>MID(D650,FIND(";",SUBSTITUTE(D650,"|",REPT(";",LEN(D650)),4))+1,FIND(";",SUBSTITUTE(D650,"|",REPT(";",LEN(D650)),5))-FIND(";",SUBSTITUTE(D650,"|",REPT(";",LEN(D650)),4))-1)</f>
        <v/>
      </c>
      <c r="N650">
        <f>MID(D650,FIND(";",SUBSTITUTE(D650,"|",REPT(";",LEN(D650)),6))+1,LEN(D650))</f>
        <v/>
      </c>
      <c r="O650">
        <f>MID(D650,FIND(";",SUBSTITUTE(D650,"|",REPT(";",LEN(D650)),5))+1,FIND(";",SUBSTITUTE(D650,"|",REPT(";",LEN(D650)),6))-FIND(";",SUBSTITUTE(D650,"|",REPT(";",LEN(D650)),5))-1)</f>
        <v/>
      </c>
    </row>
    <row r="651">
      <c r="A651" t="inlineStr">
        <is>
          <t>100301</t>
        </is>
      </c>
      <c r="B651" t="inlineStr">
        <is>
          <t>无缝钢管</t>
        </is>
      </c>
      <c r="C651" t="inlineStr">
        <is>
          <t>600844300</t>
        </is>
      </c>
      <c r="D651" t="inlineStr">
        <is>
          <t>航空用不锈钢无缝钢管|不锈钢|1Cr18Ni9Ti|Φ4×1|GJB 2296-1995</t>
        </is>
      </c>
      <c r="E651" t="inlineStr">
        <is>
          <t xml:space="preserve">物资名称 航空用不锈钢无缝钢管;物资简称 不锈钢;牌号 1Cr18Ni9Ti;外径 Φ4;壁厚 1;技术标准号 GJB 2296-1995;加工工艺 ;热处理工艺 ;特殊要求 ;规格标准号 </t>
        </is>
      </c>
      <c r="F651" t="inlineStr">
        <is>
          <t>千克</t>
        </is>
      </c>
      <c r="G651">
        <f>LEFT(D651,FIND("|",D651,1)-1)</f>
        <v/>
      </c>
      <c r="H651">
        <f>MID(D651,FIND("|",D651,FIND("|",D651,1))+1,FIND("|",D651,FIND("|",D651,1)+1)-FIND("|",D651,FIND("|",D651,1))-1)</f>
        <v/>
      </c>
      <c r="J651">
        <f>MID(D651,FIND(";",SUBSTITUTE(D651,"|",REPT(";",LEN(D651)),2))+1,FIND(";",SUBSTITUTE(D651,"|",REPT(";",LEN(D651)),3))-FIND(";",SUBSTITUTE(D651,"|",REPT(";",LEN(D651)),2))-1)</f>
        <v/>
      </c>
      <c r="K651">
        <f>MID(D651,FIND(";",SUBSTITUTE(D651,"|",REPT(";",LEN(D651)),3))+1,FIND(";",SUBSTITUTE(D651,"|",REPT(";",LEN(D651)),4))-FIND(";",SUBSTITUTE(D651,"|",REPT(";",LEN(D651)),3))-1)</f>
        <v/>
      </c>
      <c r="M651">
        <f>MID(D651,FIND(";",SUBSTITUTE(D651,"|",REPT(";",LEN(D651)),4))+1,LEN(D651))</f>
        <v/>
      </c>
    </row>
    <row r="652">
      <c r="A652" t="inlineStr">
        <is>
          <t>100301</t>
        </is>
      </c>
      <c r="B652" t="inlineStr">
        <is>
          <t>无缝钢管</t>
        </is>
      </c>
      <c r="C652" t="inlineStr">
        <is>
          <t>600839700</t>
        </is>
      </c>
      <c r="D652" t="inlineStr">
        <is>
          <t>航空用不锈钢无缝钢管|不锈钢|1Cr18Ni9Ti|GJB 2296-1995</t>
        </is>
      </c>
      <c r="E652" t="inlineStr">
        <is>
          <t xml:space="preserve">物资名称 航空用不锈钢无缝钢管;物资简称 不锈钢;牌号 1Cr18Ni9Ti;外径 Φ;壁厚 ;技术标准号 GJB 2296-1995;加工工艺 ;热处理工艺 ;特殊要求 ;规格标准号 </t>
        </is>
      </c>
      <c r="F652" t="inlineStr">
        <is>
          <t>千克</t>
        </is>
      </c>
      <c r="G652">
        <f>LEFT(D652,FIND("|",D652,1)-1)</f>
        <v/>
      </c>
      <c r="H652">
        <f>MID(D652,FIND("|",D652,FIND("|",D652,1))+1,FIND("|",D652,FIND("|",D652,1)+1)-FIND("|",D652,FIND("|",D652,1))-1)</f>
        <v/>
      </c>
      <c r="J652">
        <f>MID(D652,FIND(";",SUBSTITUTE(D652,"|",REPT(";",LEN(D652)),2))+1,FIND(";",SUBSTITUTE(D652,"|",REPT(";",LEN(D652)),3))-FIND(";",SUBSTITUTE(D652,"|",REPT(";",LEN(D652)),2))-1)</f>
        <v/>
      </c>
      <c r="M652">
        <f>MID(D652,FIND(";",SUBSTITUTE(D652,"|",REPT(";",LEN(D652)),3))+1,LEN(D652))</f>
        <v/>
      </c>
    </row>
    <row r="653">
      <c r="A653" t="inlineStr">
        <is>
          <t>100301</t>
        </is>
      </c>
      <c r="B653" t="inlineStr">
        <is>
          <t>无缝钢管</t>
        </is>
      </c>
      <c r="C653" t="inlineStr">
        <is>
          <t>600823800</t>
        </is>
      </c>
      <c r="D653" t="inlineStr">
        <is>
          <t>结构用热轧合金结构无缝钢管|钢管|40Cr|Φ273×30|GB/T 8162-1999|热轧|GB/T 17395-2008</t>
        </is>
      </c>
      <c r="E653" t="inlineStr">
        <is>
          <t>物资名称 结构用热轧合金结构无缝钢管;物资简称 钢管;牌号 40Cr;外径 Φ273;壁厚 30;技术标准号 GB/T 8162-1999;加工工艺 热轧;热处理工艺 ;特殊要求 ;规格标准号 GB/T 17395-2008</t>
        </is>
      </c>
      <c r="F653" t="inlineStr">
        <is>
          <t>千克</t>
        </is>
      </c>
      <c r="G653">
        <f>LEFT(D653,FIND("|",D653,1)-1)</f>
        <v/>
      </c>
      <c r="H653">
        <f>MID(D653,FIND("|",D653,FIND("|",D653,1))+1,FIND("|",D653,FIND("|",D653,1)+1)-FIND("|",D653,FIND("|",D653,1))-1)</f>
        <v/>
      </c>
      <c r="J653">
        <f>MID(D653,FIND(";",SUBSTITUTE(D653,"|",REPT(";",LEN(D653)),2))+1,FIND(";",SUBSTITUTE(D653,"|",REPT(";",LEN(D653)),3))-FIND(";",SUBSTITUTE(D653,"|",REPT(";",LEN(D653)),2))-1)</f>
        <v/>
      </c>
      <c r="K653">
        <f>MID(D653,FIND(";",SUBSTITUTE(D653,"|",REPT(";",LEN(D653)),3))+1,FIND(";",SUBSTITUTE(D653,"|",REPT(";",LEN(D653)),4))-FIND(";",SUBSTITUTE(D653,"|",REPT(";",LEN(D653)),3))-1)</f>
        <v/>
      </c>
      <c r="M653">
        <f>MID(D653,FIND(";",SUBSTITUTE(D653,"|",REPT(";",LEN(D653)),4))+1,FIND(";",SUBSTITUTE(D653,"|",REPT(";",LEN(D653)),5))-FIND(";",SUBSTITUTE(D653,"|",REPT(";",LEN(D653)),4))-1)</f>
        <v/>
      </c>
      <c r="N653">
        <f>MID(D653,FIND(";",SUBSTITUTE(D653,"|",REPT(";",LEN(D653)),6))+1,LEN(D653))</f>
        <v/>
      </c>
      <c r="O653">
        <f>MID(D653,FIND(";",SUBSTITUTE(D653,"|",REPT(";",LEN(D653)),5))+1,FIND(";",SUBSTITUTE(D653,"|",REPT(";",LEN(D653)),6))-FIND(";",SUBSTITUTE(D653,"|",REPT(";",LEN(D653)),5))-1)</f>
        <v/>
      </c>
    </row>
    <row r="654">
      <c r="A654" t="inlineStr">
        <is>
          <t>100301</t>
        </is>
      </c>
      <c r="B654" t="inlineStr">
        <is>
          <t>无缝钢管</t>
        </is>
      </c>
      <c r="C654" t="inlineStr">
        <is>
          <t>600629800</t>
        </is>
      </c>
      <c r="D654" t="inlineStr">
        <is>
          <t>结构用热轧优质碳素结构无缝钢管|钢管|20|GB/T 8162-2008|GB/T 17395-2008</t>
        </is>
      </c>
      <c r="E654" t="inlineStr">
        <is>
          <t>物资名称 结构用热轧优质碳素结构无缝钢管;物资简称 钢管;牌号 20;外径 Φ;壁厚 ;技术标准号 GB/T 8162-2008;加工工艺 ;热处理工艺 ;特殊要求 ;规格标准号 GB/T 17395-2008</t>
        </is>
      </c>
      <c r="F654" t="inlineStr">
        <is>
          <t>千克</t>
        </is>
      </c>
      <c r="G654">
        <f>LEFT(D654,FIND("|",D654,1)-1)</f>
        <v/>
      </c>
      <c r="H654">
        <f>MID(D654,FIND("|",D654,FIND("|",D654,1))+1,FIND("|",D654,FIND("|",D654,1)+1)-FIND("|",D654,FIND("|",D654,1))-1)</f>
        <v/>
      </c>
      <c r="J654">
        <f>MID(D654,FIND(";",SUBSTITUTE(D654,"|",REPT(";",LEN(D654)),2))+1,FIND(";",SUBSTITUTE(D654,"|",REPT(";",LEN(D654)),3))-FIND(";",SUBSTITUTE(D654,"|",REPT(";",LEN(D654)),2))-1)</f>
        <v/>
      </c>
      <c r="K654">
        <f>MID(D654,FIND(";",SUBSTITUTE(D654,"|",REPT(";",LEN(D654)),3))+1,FIND(";",SUBSTITUTE(D654,"|",REPT(";",LEN(D654)),4))-FIND(";",SUBSTITUTE(D654,"|",REPT(";",LEN(D654)),3))-1)</f>
        <v/>
      </c>
      <c r="M654">
        <f>MID(D654,FIND(";",SUBSTITUTE(D654,"|",REPT(";",LEN(D654)),3))+1,FIND(";",SUBSTITUTE(D654,"|",REPT(";",LEN(D654)),4))-FIND(";",SUBSTITUTE(D654,"|",REPT(";",LEN(D654)),3))-1)</f>
        <v/>
      </c>
      <c r="N654">
        <f>MID(D654,FIND(";",SUBSTITUTE(D654,"|",REPT(";",LEN(D654)),4))+1,LEN(D654))</f>
        <v/>
      </c>
    </row>
    <row r="655">
      <c r="A655" t="inlineStr">
        <is>
          <t>100301</t>
        </is>
      </c>
      <c r="B655" t="inlineStr">
        <is>
          <t>无缝钢管</t>
        </is>
      </c>
      <c r="C655" t="inlineStr">
        <is>
          <t>600629700</t>
        </is>
      </c>
      <c r="D655" t="inlineStr">
        <is>
          <t>结构用热轧优质碳素结构无缝钢管|钢管|20|Φ38×6|GB/T 8162-2008|热轧|GB/T 17395-2008</t>
        </is>
      </c>
      <c r="E655" t="inlineStr">
        <is>
          <t>物资名称 结构用热轧优质碳素结构无缝钢管;物资简称 钢管;牌号 20;外径 Φ38;壁厚 6;技术标准号 GB/T 8162-2008;加工工艺 热轧;热处理工艺 ;特殊要求 ;规格标准号 GB/T 17395-2008</t>
        </is>
      </c>
      <c r="F655" t="inlineStr">
        <is>
          <t>千克</t>
        </is>
      </c>
      <c r="G655">
        <f>LEFT(D655,FIND("|",D655,1)-1)</f>
        <v/>
      </c>
      <c r="H655">
        <f>MID(D655,FIND("|",D655,FIND("|",D655,1))+1,FIND("|",D655,FIND("|",D655,1)+1)-FIND("|",D655,FIND("|",D655,1))-1)</f>
        <v/>
      </c>
      <c r="J655">
        <f>MID(D655,FIND(";",SUBSTITUTE(D655,"|",REPT(";",LEN(D655)),2))+1,FIND(";",SUBSTITUTE(D655,"|",REPT(";",LEN(D655)),3))-FIND(";",SUBSTITUTE(D655,"|",REPT(";",LEN(D655)),2))-1)</f>
        <v/>
      </c>
      <c r="K655">
        <f>MID(D655,FIND(";",SUBSTITUTE(D655,"|",REPT(";",LEN(D655)),3))+1,FIND(";",SUBSTITUTE(D655,"|",REPT(";",LEN(D655)),4))-FIND(";",SUBSTITUTE(D655,"|",REPT(";",LEN(D655)),3))-1)</f>
        <v/>
      </c>
      <c r="M655">
        <f>MID(D655,FIND(";",SUBSTITUTE(D655,"|",REPT(";",LEN(D655)),4))+1,FIND(";",SUBSTITUTE(D655,"|",REPT(";",LEN(D655)),5))-FIND(";",SUBSTITUTE(D655,"|",REPT(";",LEN(D655)),4))-1)</f>
        <v/>
      </c>
      <c r="N655">
        <f>MID(D655,FIND(";",SUBSTITUTE(D655,"|",REPT(";",LEN(D655)),6))+1,LEN(D655))</f>
        <v/>
      </c>
      <c r="O655">
        <f>MID(D655,FIND(";",SUBSTITUTE(D655,"|",REPT(";",LEN(D655)),5))+1,FIND(";",SUBSTITUTE(D655,"|",REPT(";",LEN(D655)),6))-FIND(";",SUBSTITUTE(D655,"|",REPT(";",LEN(D655)),5))-1)</f>
        <v/>
      </c>
    </row>
    <row r="656">
      <c r="A656" t="inlineStr">
        <is>
          <t>100301</t>
        </is>
      </c>
      <c r="B656" t="inlineStr">
        <is>
          <t>无缝钢管</t>
        </is>
      </c>
      <c r="C656" t="inlineStr">
        <is>
          <t>600629600</t>
        </is>
      </c>
      <c r="D656" t="inlineStr">
        <is>
          <t>结构用热轧优质碳素结构无缝钢管|钢管|20|Φ54×8|GB/T 8162-2008|热轧|退火|GB/T 17395-2008</t>
        </is>
      </c>
      <c r="E656" t="inlineStr">
        <is>
          <t>物资名称 结构用热轧优质碳素结构无缝钢管;物资简称 钢管;牌号 20;外径 Φ54;壁厚 8;技术标准号 GB/T 8162-2008;加工工艺 热轧;热处理工艺 退火;特殊要求 ;规格标准号 GB/T 17395-2008</t>
        </is>
      </c>
      <c r="F656" t="inlineStr">
        <is>
          <t>千克</t>
        </is>
      </c>
      <c r="G656">
        <f>LEFT(D656,FIND("|",D656,1)-1)</f>
        <v/>
      </c>
      <c r="H656">
        <f>MID(D656,FIND("|",D656,FIND("|",D656,1))+1,FIND("|",D656,FIND("|",D656,1)+1)-FIND("|",D656,FIND("|",D656,1))-1)</f>
        <v/>
      </c>
      <c r="J656">
        <f>MID(D656,FIND(";",SUBSTITUTE(D656,"|",REPT(";",LEN(D656)),2))+1,FIND(";",SUBSTITUTE(D656,"|",REPT(";",LEN(D656)),3))-FIND(";",SUBSTITUTE(D656,"|",REPT(";",LEN(D656)),2))-1)</f>
        <v/>
      </c>
      <c r="K656">
        <f>MID(D656,FIND(";",SUBSTITUTE(D656,"|",REPT(";",LEN(D656)),3))+1,FIND(";",SUBSTITUTE(D656,"|",REPT(";",LEN(D656)),4))-FIND(";",SUBSTITUTE(D656,"|",REPT(";",LEN(D656)),3))-1)</f>
        <v/>
      </c>
      <c r="M656">
        <f>MID(D656,FIND(";",SUBSTITUTE(D656,"|",REPT(";",LEN(D656)),4))+1,FIND(";",SUBSTITUTE(D656,"|",REPT(";",LEN(D656)),5))-FIND(";",SUBSTITUTE(D656,"|",REPT(";",LEN(D656)),4))-1)</f>
        <v/>
      </c>
      <c r="N656">
        <f>MID(D656,FIND(";",SUBSTITUTE(D656,"|",REPT(";",LEN(D656)),7))+1,LEN(D656))</f>
        <v/>
      </c>
      <c r="O656">
        <f>MID(D656,FIND(";",SUBSTITUTE(D656,"|",REPT(";",LEN(D656)),5))+1,FIND(";",SUBSTITUTE(D656,"|",REPT(";",LEN(D656)),6))-FIND(";",SUBSTITUTE(D656,"|",REPT(";",LEN(D656)),5))-1)</f>
        <v/>
      </c>
      <c r="P656">
        <f>MID(D656,FIND(";",SUBSTITUTE(D656,"|",REPT(";",LEN(D656)),6))+1,FIND(";",SUBSTITUTE(D656,"|",REPT(";",LEN(D656)),7))-FIND(";",SUBSTITUTE(D656,"|",REPT(";",LEN(D656)),6))-1)</f>
        <v/>
      </c>
    </row>
    <row r="657">
      <c r="A657" t="inlineStr">
        <is>
          <t>100301</t>
        </is>
      </c>
      <c r="B657" t="inlineStr">
        <is>
          <t>无缝钢管</t>
        </is>
      </c>
      <c r="C657" t="inlineStr">
        <is>
          <t>600629500</t>
        </is>
      </c>
      <c r="D657" t="inlineStr">
        <is>
          <t>结构用热轧优质碳素结构无缝钢管|钢管|20|Φ65×5|GB/T 8162-2008|热轧|GB/T 17395-2008</t>
        </is>
      </c>
      <c r="E657" t="inlineStr">
        <is>
          <t>物资名称 结构用热轧优质碳素结构无缝钢管;物资简称 钢管;牌号 20;外径 Φ65;壁厚 5;技术标准号 GB/T 8162-2008;加工工艺 热轧;热处理工艺 ;特殊要求 ;规格标准号 GB/T 17395-2008</t>
        </is>
      </c>
      <c r="F657" t="inlineStr">
        <is>
          <t>千克</t>
        </is>
      </c>
      <c r="G657">
        <f>LEFT(D657,FIND("|",D657,1)-1)</f>
        <v/>
      </c>
      <c r="H657">
        <f>MID(D657,FIND("|",D657,FIND("|",D657,1))+1,FIND("|",D657,FIND("|",D657,1)+1)-FIND("|",D657,FIND("|",D657,1))-1)</f>
        <v/>
      </c>
      <c r="J657">
        <f>MID(D657,FIND(";",SUBSTITUTE(D657,"|",REPT(";",LEN(D657)),2))+1,FIND(";",SUBSTITUTE(D657,"|",REPT(";",LEN(D657)),3))-FIND(";",SUBSTITUTE(D657,"|",REPT(";",LEN(D657)),2))-1)</f>
        <v/>
      </c>
      <c r="K657">
        <f>MID(D657,FIND(";",SUBSTITUTE(D657,"|",REPT(";",LEN(D657)),3))+1,FIND(";",SUBSTITUTE(D657,"|",REPT(";",LEN(D657)),4))-FIND(";",SUBSTITUTE(D657,"|",REPT(";",LEN(D657)),3))-1)</f>
        <v/>
      </c>
      <c r="M657">
        <f>MID(D657,FIND(";",SUBSTITUTE(D657,"|",REPT(";",LEN(D657)),4))+1,FIND(";",SUBSTITUTE(D657,"|",REPT(";",LEN(D657)),5))-FIND(";",SUBSTITUTE(D657,"|",REPT(";",LEN(D657)),4))-1)</f>
        <v/>
      </c>
      <c r="N657">
        <f>MID(D657,FIND(";",SUBSTITUTE(D657,"|",REPT(";",LEN(D657)),6))+1,LEN(D657))</f>
        <v/>
      </c>
      <c r="O657">
        <f>MID(D657,FIND(";",SUBSTITUTE(D657,"|",REPT(";",LEN(D657)),5))+1,FIND(";",SUBSTITUTE(D657,"|",REPT(";",LEN(D657)),6))-FIND(";",SUBSTITUTE(D657,"|",REPT(";",LEN(D657)),5))-1)</f>
        <v/>
      </c>
    </row>
    <row r="658">
      <c r="A658" t="inlineStr">
        <is>
          <t>100301</t>
        </is>
      </c>
      <c r="B658" t="inlineStr">
        <is>
          <t>无缝钢管</t>
        </is>
      </c>
      <c r="C658" t="inlineStr">
        <is>
          <t>600629400</t>
        </is>
      </c>
      <c r="D658" t="inlineStr">
        <is>
          <t>结构用热轧优质碳素结构无缝钢管|钢管|20|Φ68×8|GB/T 8162-2008|热轧|GB/T 17395-2008</t>
        </is>
      </c>
      <c r="E658" t="inlineStr">
        <is>
          <t>物资名称 结构用热轧优质碳素结构无缝钢管;物资简称 钢管;牌号 20;外径 Φ68;壁厚 8;技术标准号 GB/T 8162-2008;加工工艺 热轧;热处理工艺 ;特殊要求 ;规格标准号 GB/T 17395-2008</t>
        </is>
      </c>
      <c r="F658" t="inlineStr">
        <is>
          <t>千克</t>
        </is>
      </c>
      <c r="G658">
        <f>LEFT(D658,FIND("|",D658,1)-1)</f>
        <v/>
      </c>
      <c r="H658">
        <f>MID(D658,FIND("|",D658,FIND("|",D658,1))+1,FIND("|",D658,FIND("|",D658,1)+1)-FIND("|",D658,FIND("|",D658,1))-1)</f>
        <v/>
      </c>
      <c r="J658">
        <f>MID(D658,FIND(";",SUBSTITUTE(D658,"|",REPT(";",LEN(D658)),2))+1,FIND(";",SUBSTITUTE(D658,"|",REPT(";",LEN(D658)),3))-FIND(";",SUBSTITUTE(D658,"|",REPT(";",LEN(D658)),2))-1)</f>
        <v/>
      </c>
      <c r="K658">
        <f>MID(D658,FIND(";",SUBSTITUTE(D658,"|",REPT(";",LEN(D658)),3))+1,FIND(";",SUBSTITUTE(D658,"|",REPT(";",LEN(D658)),4))-FIND(";",SUBSTITUTE(D658,"|",REPT(";",LEN(D658)),3))-1)</f>
        <v/>
      </c>
      <c r="M658">
        <f>MID(D658,FIND(";",SUBSTITUTE(D658,"|",REPT(";",LEN(D658)),4))+1,FIND(";",SUBSTITUTE(D658,"|",REPT(";",LEN(D658)),5))-FIND(";",SUBSTITUTE(D658,"|",REPT(";",LEN(D658)),4))-1)</f>
        <v/>
      </c>
      <c r="N658">
        <f>MID(D658,FIND(";",SUBSTITUTE(D658,"|",REPT(";",LEN(D658)),6))+1,LEN(D658))</f>
        <v/>
      </c>
      <c r="O658">
        <f>MID(D658,FIND(";",SUBSTITUTE(D658,"|",REPT(";",LEN(D658)),5))+1,FIND(";",SUBSTITUTE(D658,"|",REPT(";",LEN(D658)),6))-FIND(";",SUBSTITUTE(D658,"|",REPT(";",LEN(D658)),5))-1)</f>
        <v/>
      </c>
    </row>
    <row r="659">
      <c r="A659" t="inlineStr">
        <is>
          <t>100301</t>
        </is>
      </c>
      <c r="B659" t="inlineStr">
        <is>
          <t>无缝钢管</t>
        </is>
      </c>
      <c r="C659" t="inlineStr">
        <is>
          <t>600629300</t>
        </is>
      </c>
      <c r="D659" t="inlineStr">
        <is>
          <t>结构用热轧优质碳素结构无缝钢管|钢管|20|Φ80×6|GB/T 8162-2008|热轧|GB/T 17395-2008</t>
        </is>
      </c>
      <c r="E659" t="inlineStr">
        <is>
          <t>物资名称 结构用热轧优质碳素结构无缝钢管;物资简称 钢管;牌号 20;外径 Φ80;壁厚 6;技术标准号 GB/T 8162-2008;加工工艺 热轧;热处理工艺 ;特殊要求 ;规格标准号 GB/T 17395-2008</t>
        </is>
      </c>
      <c r="F659" t="inlineStr">
        <is>
          <t>千克</t>
        </is>
      </c>
      <c r="G659">
        <f>LEFT(D659,FIND("|",D659,1)-1)</f>
        <v/>
      </c>
      <c r="H659">
        <f>MID(D659,FIND("|",D659,FIND("|",D659,1))+1,FIND("|",D659,FIND("|",D659,1)+1)-FIND("|",D659,FIND("|",D659,1))-1)</f>
        <v/>
      </c>
      <c r="J659">
        <f>MID(D659,FIND(";",SUBSTITUTE(D659,"|",REPT(";",LEN(D659)),2))+1,FIND(";",SUBSTITUTE(D659,"|",REPT(";",LEN(D659)),3))-FIND(";",SUBSTITUTE(D659,"|",REPT(";",LEN(D659)),2))-1)</f>
        <v/>
      </c>
      <c r="K659">
        <f>MID(D659,FIND(";",SUBSTITUTE(D659,"|",REPT(";",LEN(D659)),3))+1,FIND(";",SUBSTITUTE(D659,"|",REPT(";",LEN(D659)),4))-FIND(";",SUBSTITUTE(D659,"|",REPT(";",LEN(D659)),3))-1)</f>
        <v/>
      </c>
      <c r="M659">
        <f>MID(D659,FIND(";",SUBSTITUTE(D659,"|",REPT(";",LEN(D659)),4))+1,FIND(";",SUBSTITUTE(D659,"|",REPT(";",LEN(D659)),5))-FIND(";",SUBSTITUTE(D659,"|",REPT(";",LEN(D659)),4))-1)</f>
        <v/>
      </c>
      <c r="N659">
        <f>MID(D659,FIND(";",SUBSTITUTE(D659,"|",REPT(";",LEN(D659)),6))+1,LEN(D659))</f>
        <v/>
      </c>
      <c r="O659">
        <f>MID(D659,FIND(";",SUBSTITUTE(D659,"|",REPT(";",LEN(D659)),5))+1,FIND(";",SUBSTITUTE(D659,"|",REPT(";",LEN(D659)),6))-FIND(";",SUBSTITUTE(D659,"|",REPT(";",LEN(D659)),5))-1)</f>
        <v/>
      </c>
    </row>
    <row r="660">
      <c r="A660" t="inlineStr">
        <is>
          <t>100301</t>
        </is>
      </c>
      <c r="B660" t="inlineStr">
        <is>
          <t>无缝钢管</t>
        </is>
      </c>
      <c r="C660" t="inlineStr">
        <is>
          <t>600629200</t>
        </is>
      </c>
      <c r="D660" t="inlineStr">
        <is>
          <t>结构用热轧优质碳素结构无缝钢管|钢管|20|Φ89×10|GB/T 8162-2008|热轧|GB/T 17395-2008</t>
        </is>
      </c>
      <c r="E660" t="inlineStr">
        <is>
          <t>物资名称 结构用热轧优质碳素结构无缝钢管;物资简称 钢管;牌号 20;外径 Φ89;壁厚 10;技术标准号 GB/T 8162-2008;加工工艺 热轧;热处理工艺 ;特殊要求 ;规格标准号 GB/T 17395-2008</t>
        </is>
      </c>
      <c r="F660" t="inlineStr">
        <is>
          <t>千克</t>
        </is>
      </c>
      <c r="G660">
        <f>LEFT(D660,FIND("|",D660,1)-1)</f>
        <v/>
      </c>
      <c r="H660">
        <f>MID(D660,FIND("|",D660,FIND("|",D660,1))+1,FIND("|",D660,FIND("|",D660,1)+1)-FIND("|",D660,FIND("|",D660,1))-1)</f>
        <v/>
      </c>
      <c r="J660">
        <f>MID(D660,FIND(";",SUBSTITUTE(D660,"|",REPT(";",LEN(D660)),2))+1,FIND(";",SUBSTITUTE(D660,"|",REPT(";",LEN(D660)),3))-FIND(";",SUBSTITUTE(D660,"|",REPT(";",LEN(D660)),2))-1)</f>
        <v/>
      </c>
      <c r="K660">
        <f>MID(D660,FIND(";",SUBSTITUTE(D660,"|",REPT(";",LEN(D660)),3))+1,FIND(";",SUBSTITUTE(D660,"|",REPT(";",LEN(D660)),4))-FIND(";",SUBSTITUTE(D660,"|",REPT(";",LEN(D660)),3))-1)</f>
        <v/>
      </c>
      <c r="M660">
        <f>MID(D660,FIND(";",SUBSTITUTE(D660,"|",REPT(";",LEN(D660)),4))+1,FIND(";",SUBSTITUTE(D660,"|",REPT(";",LEN(D660)),5))-FIND(";",SUBSTITUTE(D660,"|",REPT(";",LEN(D660)),4))-1)</f>
        <v/>
      </c>
      <c r="N660">
        <f>MID(D660,FIND(";",SUBSTITUTE(D660,"|",REPT(";",LEN(D660)),6))+1,LEN(D660))</f>
        <v/>
      </c>
      <c r="O660">
        <f>MID(D660,FIND(";",SUBSTITUTE(D660,"|",REPT(";",LEN(D660)),5))+1,FIND(";",SUBSTITUTE(D660,"|",REPT(";",LEN(D660)),6))-FIND(";",SUBSTITUTE(D660,"|",REPT(";",LEN(D660)),5))-1)</f>
        <v/>
      </c>
    </row>
    <row r="661">
      <c r="A661" t="inlineStr">
        <is>
          <t>100301</t>
        </is>
      </c>
      <c r="B661" t="inlineStr">
        <is>
          <t>无缝钢管</t>
        </is>
      </c>
      <c r="C661" t="inlineStr">
        <is>
          <t>600629100</t>
        </is>
      </c>
      <c r="D661" t="inlineStr">
        <is>
          <t>结构用热轧优质碳素结构无缝钢管|钢管|20|Φ130×8|GB/T 8162-2008|热轧|GB/T 17395-2008</t>
        </is>
      </c>
      <c r="E661" t="inlineStr">
        <is>
          <t>物资名称 结构用热轧优质碳素结构无缝钢管;物资简称 钢管;牌号 20;外径 Φ130;壁厚 8;技术标准号 GB/T 8162-2008;加工工艺 热轧;热处理工艺 ;特殊要求 ;规格标准号 GB/T 17395-2008</t>
        </is>
      </c>
      <c r="F661" t="inlineStr">
        <is>
          <t>千克</t>
        </is>
      </c>
      <c r="G661">
        <f>LEFT(D661,FIND("|",D661,1)-1)</f>
        <v/>
      </c>
      <c r="H661">
        <f>MID(D661,FIND("|",D661,FIND("|",D661,1))+1,FIND("|",D661,FIND("|",D661,1)+1)-FIND("|",D661,FIND("|",D661,1))-1)</f>
        <v/>
      </c>
      <c r="J661">
        <f>MID(D661,FIND(";",SUBSTITUTE(D661,"|",REPT(";",LEN(D661)),2))+1,FIND(";",SUBSTITUTE(D661,"|",REPT(";",LEN(D661)),3))-FIND(";",SUBSTITUTE(D661,"|",REPT(";",LEN(D661)),2))-1)</f>
        <v/>
      </c>
      <c r="K661">
        <f>MID(D661,FIND(";",SUBSTITUTE(D661,"|",REPT(";",LEN(D661)),3))+1,FIND(";",SUBSTITUTE(D661,"|",REPT(";",LEN(D661)),4))-FIND(";",SUBSTITUTE(D661,"|",REPT(";",LEN(D661)),3))-1)</f>
        <v/>
      </c>
      <c r="M661">
        <f>MID(D661,FIND(";",SUBSTITUTE(D661,"|",REPT(";",LEN(D661)),4))+1,FIND(";",SUBSTITUTE(D661,"|",REPT(";",LEN(D661)),5))-FIND(";",SUBSTITUTE(D661,"|",REPT(";",LEN(D661)),4))-1)</f>
        <v/>
      </c>
      <c r="N661">
        <f>MID(D661,FIND(";",SUBSTITUTE(D661,"|",REPT(";",LEN(D661)),6))+1,LEN(D661))</f>
        <v/>
      </c>
      <c r="O661">
        <f>MID(D661,FIND(";",SUBSTITUTE(D661,"|",REPT(";",LEN(D661)),5))+1,FIND(";",SUBSTITUTE(D661,"|",REPT(";",LEN(D661)),6))-FIND(";",SUBSTITUTE(D661,"|",REPT(";",LEN(D661)),5))-1)</f>
        <v/>
      </c>
    </row>
    <row r="662">
      <c r="A662" t="inlineStr">
        <is>
          <t>100301</t>
        </is>
      </c>
      <c r="B662" t="inlineStr">
        <is>
          <t>无缝钢管</t>
        </is>
      </c>
      <c r="C662" t="inlineStr">
        <is>
          <t>600629000</t>
        </is>
      </c>
      <c r="D662" t="inlineStr">
        <is>
          <t>结构用热轧优质碳素结构无缝钢管|钢管|20|Φ133×10|GB/T 8162-2008|热轧|GB/T 17395-2008</t>
        </is>
      </c>
      <c r="E662" t="inlineStr">
        <is>
          <t>物资名称 结构用热轧优质碳素结构无缝钢管;物资简称 钢管;牌号 20;外径 Φ133;壁厚 10;技术标准号 GB/T 8162-2008;加工工艺 热轧;热处理工艺 ;特殊要求 ;规格标准号 GB/T 17395-2008</t>
        </is>
      </c>
      <c r="F662" t="inlineStr">
        <is>
          <t>千克</t>
        </is>
      </c>
      <c r="G662">
        <f>LEFT(D662,FIND("|",D662,1)-1)</f>
        <v/>
      </c>
      <c r="H662">
        <f>MID(D662,FIND("|",D662,FIND("|",D662,1))+1,FIND("|",D662,FIND("|",D662,1)+1)-FIND("|",D662,FIND("|",D662,1))-1)</f>
        <v/>
      </c>
      <c r="J662">
        <f>MID(D662,FIND(";",SUBSTITUTE(D662,"|",REPT(";",LEN(D662)),2))+1,FIND(";",SUBSTITUTE(D662,"|",REPT(";",LEN(D662)),3))-FIND(";",SUBSTITUTE(D662,"|",REPT(";",LEN(D662)),2))-1)</f>
        <v/>
      </c>
      <c r="K662">
        <f>MID(D662,FIND(";",SUBSTITUTE(D662,"|",REPT(";",LEN(D662)),3))+1,FIND(";",SUBSTITUTE(D662,"|",REPT(";",LEN(D662)),4))-FIND(";",SUBSTITUTE(D662,"|",REPT(";",LEN(D662)),3))-1)</f>
        <v/>
      </c>
      <c r="M662">
        <f>MID(D662,FIND(";",SUBSTITUTE(D662,"|",REPT(";",LEN(D662)),4))+1,FIND(";",SUBSTITUTE(D662,"|",REPT(";",LEN(D662)),5))-FIND(";",SUBSTITUTE(D662,"|",REPT(";",LEN(D662)),4))-1)</f>
        <v/>
      </c>
      <c r="N662">
        <f>MID(D662,FIND(";",SUBSTITUTE(D662,"|",REPT(";",LEN(D662)),6))+1,LEN(D662))</f>
        <v/>
      </c>
      <c r="O662">
        <f>MID(D662,FIND(";",SUBSTITUTE(D662,"|",REPT(";",LEN(D662)),5))+1,FIND(";",SUBSTITUTE(D662,"|",REPT(";",LEN(D662)),6))-FIND(";",SUBSTITUTE(D662,"|",REPT(";",LEN(D662)),5))-1)</f>
        <v/>
      </c>
    </row>
    <row r="663">
      <c r="A663" t="inlineStr">
        <is>
          <t>100301</t>
        </is>
      </c>
      <c r="B663" t="inlineStr">
        <is>
          <t>无缝钢管</t>
        </is>
      </c>
      <c r="C663" t="inlineStr">
        <is>
          <t>600628900</t>
        </is>
      </c>
      <c r="D663" t="inlineStr">
        <is>
          <t>结构用热轧优质碳素结构无缝钢管|钢管|45|GB/T 8162-2008|GB/T 17395-2008</t>
        </is>
      </c>
      <c r="E663" t="inlineStr">
        <is>
          <t>物资名称 结构用热轧优质碳素结构无缝钢管;物资简称 钢管;牌号 45;外径 Φ;壁厚 ;技术标准号 GB/T 8162-2008;加工工艺 ;热处理工艺 ;特殊要求 ;规格标准号 GB/T 17395-2008</t>
        </is>
      </c>
      <c r="F663" t="inlineStr">
        <is>
          <t>千克</t>
        </is>
      </c>
      <c r="G663">
        <f>LEFT(D663,FIND("|",D663,1)-1)</f>
        <v/>
      </c>
      <c r="H663">
        <f>MID(D663,FIND("|",D663,FIND("|",D663,1))+1,FIND("|",D663,FIND("|",D663,1)+1)-FIND("|",D663,FIND("|",D663,1))-1)</f>
        <v/>
      </c>
      <c r="J663">
        <f>MID(D663,FIND(";",SUBSTITUTE(D663,"|",REPT(";",LEN(D663)),2))+1,FIND(";",SUBSTITUTE(D663,"|",REPT(";",LEN(D663)),3))-FIND(";",SUBSTITUTE(D663,"|",REPT(";",LEN(D663)),2))-1)</f>
        <v/>
      </c>
      <c r="M663">
        <f>MID(D663,FIND(";",SUBSTITUTE(D663,"|",REPT(";",LEN(D663)),3))+1,FIND(";",SUBSTITUTE(D663,"|",REPT(";",LEN(D663)),4))-FIND(";",SUBSTITUTE(D663,"|",REPT(";",LEN(D663)),3))-1)</f>
        <v/>
      </c>
      <c r="N663">
        <f>MID(D663,FIND(";",SUBSTITUTE(D663,"|",REPT(";",LEN(D663)),4))+1,LEN(D663))</f>
        <v/>
      </c>
    </row>
    <row r="664">
      <c r="A664" t="inlineStr">
        <is>
          <t>100301</t>
        </is>
      </c>
      <c r="B664" t="inlineStr">
        <is>
          <t>无缝钢管</t>
        </is>
      </c>
      <c r="C664" t="inlineStr">
        <is>
          <t>600628800</t>
        </is>
      </c>
      <c r="D664" t="inlineStr">
        <is>
          <t>结构用热轧优质碳素结构无缝钢管|钢管|45|Φ133×16|GB/T 8162-2008|热轧|退火|GB/T 17395-2008</t>
        </is>
      </c>
      <c r="E664" t="inlineStr">
        <is>
          <t>物资名称 结构用热轧优质碳素结构无缝钢管;物资简称 钢管;牌号 45;外径 Φ133;壁厚 16;技术标准号 GB/T 8162-2008;加工工艺 热轧;热处理工艺 退火;特殊要求 ;规格标准号 GB/T 17395-2008</t>
        </is>
      </c>
      <c r="F664" t="inlineStr">
        <is>
          <t>千克</t>
        </is>
      </c>
      <c r="G664">
        <f>LEFT(D664,FIND("|",D664,1)-1)</f>
        <v/>
      </c>
      <c r="H664">
        <f>MID(D664,FIND("|",D664,FIND("|",D664,1))+1,FIND("|",D664,FIND("|",D664,1)+1)-FIND("|",D664,FIND("|",D664,1))-1)</f>
        <v/>
      </c>
      <c r="J664">
        <f>MID(D664,FIND(";",SUBSTITUTE(D664,"|",REPT(";",LEN(D664)),2))+1,FIND(";",SUBSTITUTE(D664,"|",REPT(";",LEN(D664)),3))-FIND(";",SUBSTITUTE(D664,"|",REPT(";",LEN(D664)),2))-1)</f>
        <v/>
      </c>
      <c r="K664">
        <f>MID(D664,FIND(";",SUBSTITUTE(D664,"|",REPT(";",LEN(D664)),3))+1,FIND(";",SUBSTITUTE(D664,"|",REPT(";",LEN(D664)),4))-FIND(";",SUBSTITUTE(D664,"|",REPT(";",LEN(D664)),3))-1)</f>
        <v/>
      </c>
      <c r="M664">
        <f>MID(D664,FIND(";",SUBSTITUTE(D664,"|",REPT(";",LEN(D664)),4))+1,FIND(";",SUBSTITUTE(D664,"|",REPT(";",LEN(D664)),5))-FIND(";",SUBSTITUTE(D664,"|",REPT(";",LEN(D664)),4))-1)</f>
        <v/>
      </c>
      <c r="N664">
        <f>MID(D664,FIND(";",SUBSTITUTE(D664,"|",REPT(";",LEN(D664)),7))+1,LEN(D664))</f>
        <v/>
      </c>
      <c r="O664">
        <f>MID(D664,FIND(";",SUBSTITUTE(D664,"|",REPT(";",LEN(D664)),5))+1,FIND(";",SUBSTITUTE(D664,"|",REPT(";",LEN(D664)),6))-FIND(";",SUBSTITUTE(D664,"|",REPT(";",LEN(D664)),5))-1)</f>
        <v/>
      </c>
      <c r="P664">
        <f>MID(D664,FIND(";",SUBSTITUTE(D664,"|",REPT(";",LEN(D664)),6))+1,FIND(";",SUBSTITUTE(D664,"|",REPT(";",LEN(D664)),7))-FIND(";",SUBSTITUTE(D664,"|",REPT(";",LEN(D664)),6))-1)</f>
        <v/>
      </c>
    </row>
    <row r="665">
      <c r="A665" t="inlineStr">
        <is>
          <t>100301</t>
        </is>
      </c>
      <c r="B665" t="inlineStr">
        <is>
          <t>无缝钢管</t>
        </is>
      </c>
      <c r="C665" t="inlineStr">
        <is>
          <t>600628700</t>
        </is>
      </c>
      <c r="D665" t="inlineStr">
        <is>
          <t>结构用热轧优质碳素结构无缝钢管|钢管|45|Φ194×35|GB/T 8162-2008|热轧|GB/T 17395-2008</t>
        </is>
      </c>
      <c r="E665" t="inlineStr">
        <is>
          <t>物资名称 结构用热轧优质碳素结构无缝钢管;物资简称 钢管;牌号 45;外径 Φ194;壁厚 35;技术标准号 GB/T 8162-2008;加工工艺 热轧;热处理工艺 ;特殊要求 ;规格标准号 GB/T 17395-2008</t>
        </is>
      </c>
      <c r="F665" t="inlineStr">
        <is>
          <t>千克</t>
        </is>
      </c>
      <c r="G665">
        <f>LEFT(D665,FIND("|",D665,1)-1)</f>
        <v/>
      </c>
      <c r="H665">
        <f>MID(D665,FIND("|",D665,FIND("|",D665,1))+1,FIND("|",D665,FIND("|",D665,1)+1)-FIND("|",D665,FIND("|",D665,1))-1)</f>
        <v/>
      </c>
      <c r="J665">
        <f>MID(D665,FIND(";",SUBSTITUTE(D665,"|",REPT(";",LEN(D665)),2))+1,FIND(";",SUBSTITUTE(D665,"|",REPT(";",LEN(D665)),3))-FIND(";",SUBSTITUTE(D665,"|",REPT(";",LEN(D665)),2))-1)</f>
        <v/>
      </c>
      <c r="K665">
        <f>MID(D665,FIND(";",SUBSTITUTE(D665,"|",REPT(";",LEN(D665)),3))+1,FIND(";",SUBSTITUTE(D665,"|",REPT(";",LEN(D665)),4))-FIND(";",SUBSTITUTE(D665,"|",REPT(";",LEN(D665)),3))-1)</f>
        <v/>
      </c>
      <c r="M665">
        <f>MID(D665,FIND(";",SUBSTITUTE(D665,"|",REPT(";",LEN(D665)),4))+1,FIND(";",SUBSTITUTE(D665,"|",REPT(";",LEN(D665)),5))-FIND(";",SUBSTITUTE(D665,"|",REPT(";",LEN(D665)),4))-1)</f>
        <v/>
      </c>
      <c r="N665">
        <f>MID(D665,FIND(";",SUBSTITUTE(D665,"|",REPT(";",LEN(D665)),6))+1,LEN(D665))</f>
        <v/>
      </c>
      <c r="O665">
        <f>MID(D665,FIND(";",SUBSTITUTE(D665,"|",REPT(";",LEN(D665)),5))+1,FIND(";",SUBSTITUTE(D665,"|",REPT(";",LEN(D665)),6))-FIND(";",SUBSTITUTE(D665,"|",REPT(";",LEN(D665)),5))-1)</f>
        <v/>
      </c>
    </row>
    <row r="666">
      <c r="A666" t="inlineStr">
        <is>
          <t>100301</t>
        </is>
      </c>
      <c r="B666" t="inlineStr">
        <is>
          <t>无缝钢管</t>
        </is>
      </c>
      <c r="C666" t="inlineStr">
        <is>
          <t>600628600</t>
        </is>
      </c>
      <c r="D666" t="inlineStr">
        <is>
          <t>结构用热轧优质碳素结构无缝钢管|钢管|45|Φ195×20|GB/T 8162-2008|热轧|GB/T 17395-2008</t>
        </is>
      </c>
      <c r="E666" t="inlineStr">
        <is>
          <t>物资名称 结构用热轧优质碳素结构无缝钢管;物资简称 钢管;牌号 45;外径 Φ195;壁厚 20;技术标准号 GB/T 8162-2008;加工工艺 热轧;热处理工艺 ;特殊要求 ;规格标准号 GB/T 17395-2008</t>
        </is>
      </c>
      <c r="F666" t="inlineStr">
        <is>
          <t>千克</t>
        </is>
      </c>
      <c r="G666">
        <f>LEFT(D666,FIND("|",D666,1)-1)</f>
        <v/>
      </c>
      <c r="H666">
        <f>MID(D666,FIND("|",D666,FIND("|",D666,1))+1,FIND("|",D666,FIND("|",D666,1)+1)-FIND("|",D666,FIND("|",D666,1))-1)</f>
        <v/>
      </c>
      <c r="J666">
        <f>MID(D666,FIND(";",SUBSTITUTE(D666,"|",REPT(";",LEN(D666)),2))+1,FIND(";",SUBSTITUTE(D666,"|",REPT(";",LEN(D666)),3))-FIND(";",SUBSTITUTE(D666,"|",REPT(";",LEN(D666)),2))-1)</f>
        <v/>
      </c>
      <c r="K666">
        <f>MID(D666,FIND(";",SUBSTITUTE(D666,"|",REPT(";",LEN(D666)),3))+1,FIND(";",SUBSTITUTE(D666,"|",REPT(";",LEN(D666)),4))-FIND(";",SUBSTITUTE(D666,"|",REPT(";",LEN(D666)),3))-1)</f>
        <v/>
      </c>
      <c r="M666">
        <f>MID(D666,FIND(";",SUBSTITUTE(D666,"|",REPT(";",LEN(D666)),4))+1,FIND(";",SUBSTITUTE(D666,"|",REPT(";",LEN(D666)),5))-FIND(";",SUBSTITUTE(D666,"|",REPT(";",LEN(D666)),4))-1)</f>
        <v/>
      </c>
      <c r="N666">
        <f>MID(D666,FIND(";",SUBSTITUTE(D666,"|",REPT(";",LEN(D666)),6))+1,LEN(D666))</f>
        <v/>
      </c>
      <c r="O666">
        <f>MID(D666,FIND(";",SUBSTITUTE(D666,"|",REPT(";",LEN(D666)),5))+1,FIND(";",SUBSTITUTE(D666,"|",REPT(";",LEN(D666)),6))-FIND(";",SUBSTITUTE(D666,"|",REPT(";",LEN(D666)),5))-1)</f>
        <v/>
      </c>
    </row>
    <row r="667">
      <c r="A667" t="inlineStr">
        <is>
          <t>100301</t>
        </is>
      </c>
      <c r="B667" t="inlineStr">
        <is>
          <t>无缝钢管</t>
        </is>
      </c>
      <c r="C667" t="inlineStr">
        <is>
          <t>600628500</t>
        </is>
      </c>
      <c r="D667" t="inlineStr">
        <is>
          <t>结构用热轧优质碳素结构无缝钢管|钢管|45|Φ325×28|GB/T 8162-2008|热轧|GB/T 17395-2008</t>
        </is>
      </c>
      <c r="E667" t="inlineStr">
        <is>
          <t>物资名称 结构用热轧优质碳素结构无缝钢管;物资简称 钢管;牌号 45;外径 Φ325;壁厚 28;技术标准号 GB/T 8162-2008;加工工艺 热轧;热处理工艺 ;特殊要求 ;规格标准号 GB/T 17395-2008</t>
        </is>
      </c>
      <c r="F667" t="inlineStr">
        <is>
          <t>千克</t>
        </is>
      </c>
      <c r="G667">
        <f>LEFT(D667,FIND("|",D667,1)-1)</f>
        <v/>
      </c>
      <c r="H667">
        <f>MID(D667,FIND("|",D667,FIND("|",D667,1))+1,FIND("|",D667,FIND("|",D667,1)+1)-FIND("|",D667,FIND("|",D667,1))-1)</f>
        <v/>
      </c>
      <c r="J667">
        <f>MID(D667,FIND(";",SUBSTITUTE(D667,"|",REPT(";",LEN(D667)),2))+1,FIND(";",SUBSTITUTE(D667,"|",REPT(";",LEN(D667)),3))-FIND(";",SUBSTITUTE(D667,"|",REPT(";",LEN(D667)),2))-1)</f>
        <v/>
      </c>
      <c r="K667">
        <f>MID(D667,FIND(";",SUBSTITUTE(D667,"|",REPT(";",LEN(D667)),3))+1,FIND(";",SUBSTITUTE(D667,"|",REPT(";",LEN(D667)),4))-FIND(";",SUBSTITUTE(D667,"|",REPT(";",LEN(D667)),3))-1)</f>
        <v/>
      </c>
      <c r="M667">
        <f>MID(D667,FIND(";",SUBSTITUTE(D667,"|",REPT(";",LEN(D667)),4))+1,FIND(";",SUBSTITUTE(D667,"|",REPT(";",LEN(D667)),5))-FIND(";",SUBSTITUTE(D667,"|",REPT(";",LEN(D667)),4))-1)</f>
        <v/>
      </c>
      <c r="N667">
        <f>MID(D667,FIND(";",SUBSTITUTE(D667,"|",REPT(";",LEN(D667)),6))+1,LEN(D667))</f>
        <v/>
      </c>
      <c r="O667">
        <f>MID(D667,FIND(";",SUBSTITUTE(D667,"|",REPT(";",LEN(D667)),5))+1,FIND(";",SUBSTITUTE(D667,"|",REPT(";",LEN(D667)),6))-FIND(";",SUBSTITUTE(D667,"|",REPT(";",LEN(D667)),5))-1)</f>
        <v/>
      </c>
    </row>
    <row r="668">
      <c r="A668" t="inlineStr">
        <is>
          <t>100301</t>
        </is>
      </c>
      <c r="B668" t="inlineStr">
        <is>
          <t>无缝钢管</t>
        </is>
      </c>
      <c r="C668" t="inlineStr">
        <is>
          <t>600628400</t>
        </is>
      </c>
      <c r="D668" t="inlineStr">
        <is>
          <t>结构用热轧合金结构无缝钢管|钢管|40Cr|GB/T 8162-2008|GB/T 17395-2008</t>
        </is>
      </c>
      <c r="E668" t="inlineStr">
        <is>
          <t>物资名称 结构用热轧合金结构无缝钢管;物资简称 钢管;牌号 40Cr;外径 Φ;壁厚 ;技术标准号 GB/T 8162-2008;加工工艺 ;热处理工艺 ;特殊要求 ;规格标准号 GB/T 17395-2008</t>
        </is>
      </c>
      <c r="F668" t="inlineStr">
        <is>
          <t>千克</t>
        </is>
      </c>
      <c r="G668">
        <f>LEFT(D668,FIND("|",D668,1)-1)</f>
        <v/>
      </c>
      <c r="H668">
        <f>MID(D668,FIND("|",D668,FIND("|",D668,1))+1,FIND("|",D668,FIND("|",D668,1)+1)-FIND("|",D668,FIND("|",D668,1))-1)</f>
        <v/>
      </c>
      <c r="J668">
        <f>MID(D668,FIND(";",SUBSTITUTE(D668,"|",REPT(";",LEN(D668)),2))+1,FIND(";",SUBSTITUTE(D668,"|",REPT(";",LEN(D668)),3))-FIND(";",SUBSTITUTE(D668,"|",REPT(";",LEN(D668)),2))-1)</f>
        <v/>
      </c>
      <c r="M668">
        <f>MID(D668,FIND(";",SUBSTITUTE(D668,"|",REPT(";",LEN(D668)),3))+1,FIND(";",SUBSTITUTE(D668,"|",REPT(";",LEN(D668)),4))-FIND(";",SUBSTITUTE(D668,"|",REPT(";",LEN(D668)),3))-1)</f>
        <v/>
      </c>
      <c r="N668">
        <f>MID(D668,FIND(";",SUBSTITUTE(D668,"|",REPT(";",LEN(D668)),4))+1,LEN(D668))</f>
        <v/>
      </c>
    </row>
    <row r="669">
      <c r="A669" t="inlineStr">
        <is>
          <t>100301</t>
        </is>
      </c>
      <c r="B669" t="inlineStr">
        <is>
          <t>无缝钢管</t>
        </is>
      </c>
      <c r="C669" t="inlineStr">
        <is>
          <t>600628300</t>
        </is>
      </c>
      <c r="D669" t="inlineStr">
        <is>
          <t>结构用热轧合金结构无缝钢管|钢管|40Cr|Φ121×13.5|GB/T 8162-2008|热轧|GB/T 17395-2008</t>
        </is>
      </c>
      <c r="E669" t="inlineStr">
        <is>
          <t>物资名称 结构用热轧合金结构无缝钢管;物资简称 钢管;牌号 40Cr;外径 Φ121;壁厚 13.5;技术标准号 GB/T 8162-2008;加工工艺 热轧;热处理工艺 ;特殊要求 ;规格标准号 GB/T 17395-2008</t>
        </is>
      </c>
      <c r="F669" t="inlineStr">
        <is>
          <t>千克</t>
        </is>
      </c>
      <c r="G669">
        <f>LEFT(D669,FIND("|",D669,1)-1)</f>
        <v/>
      </c>
      <c r="H669">
        <f>MID(D669,FIND("|",D669,FIND("|",D669,1))+1,FIND("|",D669,FIND("|",D669,1)+1)-FIND("|",D669,FIND("|",D669,1))-1)</f>
        <v/>
      </c>
      <c r="J669">
        <f>MID(D669,FIND(";",SUBSTITUTE(D669,"|",REPT(";",LEN(D669)),2))+1,FIND(";",SUBSTITUTE(D669,"|",REPT(";",LEN(D669)),3))-FIND(";",SUBSTITUTE(D669,"|",REPT(";",LEN(D669)),2))-1)</f>
        <v/>
      </c>
      <c r="K669">
        <f>MID(D669,FIND(";",SUBSTITUTE(D669,"|",REPT(";",LEN(D669)),3))+1,FIND(";",SUBSTITUTE(D669,"|",REPT(";",LEN(D669)),4))-FIND(";",SUBSTITUTE(D669,"|",REPT(";",LEN(D669)),3))-1)</f>
        <v/>
      </c>
      <c r="M669">
        <f>MID(D669,FIND(";",SUBSTITUTE(D669,"|",REPT(";",LEN(D669)),4))+1,FIND(";",SUBSTITUTE(D669,"|",REPT(";",LEN(D669)),5))-FIND(";",SUBSTITUTE(D669,"|",REPT(";",LEN(D669)),4))-1)</f>
        <v/>
      </c>
      <c r="N669">
        <f>MID(D669,FIND(";",SUBSTITUTE(D669,"|",REPT(";",LEN(D669)),6))+1,LEN(D669))</f>
        <v/>
      </c>
      <c r="O669">
        <f>MID(D669,FIND(";",SUBSTITUTE(D669,"|",REPT(";",LEN(D669)),5))+1,FIND(";",SUBSTITUTE(D669,"|",REPT(";",LEN(D669)),6))-FIND(";",SUBSTITUTE(D669,"|",REPT(";",LEN(D669)),5))-1)</f>
        <v/>
      </c>
    </row>
    <row r="670">
      <c r="A670" t="inlineStr">
        <is>
          <t>100301</t>
        </is>
      </c>
      <c r="B670" t="inlineStr">
        <is>
          <t>无缝钢管</t>
        </is>
      </c>
      <c r="C670" t="inlineStr">
        <is>
          <t>600628200</t>
        </is>
      </c>
      <c r="D670" t="inlineStr">
        <is>
          <t>结构用热轧合金结构无缝钢管|钢管|40Cr|Φ205×38|GB/T 8162-2008|热轧|GB/T 17395-2008</t>
        </is>
      </c>
      <c r="E670" t="inlineStr">
        <is>
          <t>物资名称 结构用热轧合金结构无缝钢管;物资简称 钢管;牌号 40Cr;外径 Φ205;壁厚 38;技术标准号 GB/T 8162-2008;加工工艺 热轧;热处理工艺 ;特殊要求 ;规格标准号 GB/T 17395-2008</t>
        </is>
      </c>
      <c r="F670" t="inlineStr">
        <is>
          <t>千克</t>
        </is>
      </c>
      <c r="G670">
        <f>LEFT(D670,FIND("|",D670,1)-1)</f>
        <v/>
      </c>
      <c r="H670">
        <f>MID(D670,FIND("|",D670,FIND("|",D670,1))+1,FIND("|",D670,FIND("|",D670,1)+1)-FIND("|",D670,FIND("|",D670,1))-1)</f>
        <v/>
      </c>
      <c r="J670">
        <f>MID(D670,FIND(";",SUBSTITUTE(D670,"|",REPT(";",LEN(D670)),2))+1,FIND(";",SUBSTITUTE(D670,"|",REPT(";",LEN(D670)),3))-FIND(";",SUBSTITUTE(D670,"|",REPT(";",LEN(D670)),2))-1)</f>
        <v/>
      </c>
      <c r="K670">
        <f>MID(D670,FIND(";",SUBSTITUTE(D670,"|",REPT(";",LEN(D670)),3))+1,FIND(";",SUBSTITUTE(D670,"|",REPT(";",LEN(D670)),4))-FIND(";",SUBSTITUTE(D670,"|",REPT(";",LEN(D670)),3))-1)</f>
        <v/>
      </c>
      <c r="M670">
        <f>MID(D670,FIND(";",SUBSTITUTE(D670,"|",REPT(";",LEN(D670)),4))+1,FIND(";",SUBSTITUTE(D670,"|",REPT(";",LEN(D670)),5))-FIND(";",SUBSTITUTE(D670,"|",REPT(";",LEN(D670)),4))-1)</f>
        <v/>
      </c>
      <c r="N670">
        <f>MID(D670,FIND(";",SUBSTITUTE(D670,"|",REPT(";",LEN(D670)),6))+1,LEN(D670))</f>
        <v/>
      </c>
      <c r="O670">
        <f>MID(D670,FIND(";",SUBSTITUTE(D670,"|",REPT(";",LEN(D670)),5))+1,FIND(";",SUBSTITUTE(D670,"|",REPT(";",LEN(D670)),6))-FIND(";",SUBSTITUTE(D670,"|",REPT(";",LEN(D670)),5))-1)</f>
        <v/>
      </c>
    </row>
    <row r="671">
      <c r="A671" t="inlineStr">
        <is>
          <t>100301</t>
        </is>
      </c>
      <c r="B671" t="inlineStr">
        <is>
          <t>无缝钢管</t>
        </is>
      </c>
      <c r="C671" t="inlineStr">
        <is>
          <t>600628100</t>
        </is>
      </c>
      <c r="D671" t="inlineStr">
        <is>
          <t>结构用热轧合金结构无缝钢管|钢管|40Cr|Φ273×30|GB/T 8162-2008|热轧|GB/T 17395-2008</t>
        </is>
      </c>
      <c r="E671" t="inlineStr">
        <is>
          <t>物资名称 结构用热轧合金结构无缝钢管;物资简称 钢管;牌号 40Cr;外径 Φ273;壁厚 30;技术标准号 GB/T 8162-2008;加工工艺 热轧;热处理工艺 ;特殊要求 ;规格标准号 GB/T 17395-2008</t>
        </is>
      </c>
      <c r="F671" t="inlineStr">
        <is>
          <t>千克</t>
        </is>
      </c>
      <c r="G671">
        <f>LEFT(D671,FIND("|",D671,1)-1)</f>
        <v/>
      </c>
      <c r="H671">
        <f>MID(D671,FIND("|",D671,FIND("|",D671,1))+1,FIND("|",D671,FIND("|",D671,1)+1)-FIND("|",D671,FIND("|",D671,1))-1)</f>
        <v/>
      </c>
      <c r="J671">
        <f>MID(D671,FIND(";",SUBSTITUTE(D671,"|",REPT(";",LEN(D671)),2))+1,FIND(";",SUBSTITUTE(D671,"|",REPT(";",LEN(D671)),3))-FIND(";",SUBSTITUTE(D671,"|",REPT(";",LEN(D671)),2))-1)</f>
        <v/>
      </c>
      <c r="K671">
        <f>MID(D671,FIND(";",SUBSTITUTE(D671,"|",REPT(";",LEN(D671)),3))+1,FIND(";",SUBSTITUTE(D671,"|",REPT(";",LEN(D671)),4))-FIND(";",SUBSTITUTE(D671,"|",REPT(";",LEN(D671)),3))-1)</f>
        <v/>
      </c>
      <c r="M671">
        <f>MID(D671,FIND(";",SUBSTITUTE(D671,"|",REPT(";",LEN(D671)),4))+1,FIND(";",SUBSTITUTE(D671,"|",REPT(";",LEN(D671)),5))-FIND(";",SUBSTITUTE(D671,"|",REPT(";",LEN(D671)),4))-1)</f>
        <v/>
      </c>
      <c r="N671">
        <f>MID(D671,FIND(";",SUBSTITUTE(D671,"|",REPT(";",LEN(D671)),6))+1,LEN(D671))</f>
        <v/>
      </c>
      <c r="O671">
        <f>MID(D671,FIND(";",SUBSTITUTE(D671,"|",REPT(";",LEN(D671)),5))+1,FIND(";",SUBSTITUTE(D671,"|",REPT(";",LEN(D671)),6))-FIND(";",SUBSTITUTE(D671,"|",REPT(";",LEN(D671)),5))-1)</f>
        <v/>
      </c>
    </row>
    <row r="672">
      <c r="A672" t="inlineStr">
        <is>
          <t>100301</t>
        </is>
      </c>
      <c r="B672" t="inlineStr">
        <is>
          <t>无缝钢管</t>
        </is>
      </c>
      <c r="C672" t="inlineStr">
        <is>
          <t>600628000</t>
        </is>
      </c>
      <c r="D672" t="inlineStr">
        <is>
          <t>结构用热轧合金结构无缝钢管|钢管|40Cr|Φ325×45|GB/T 8162-2008|热轧|GB/T 17395-2008</t>
        </is>
      </c>
      <c r="E672" t="inlineStr">
        <is>
          <t>物资名称 结构用热轧合金结构无缝钢管;物资简称 钢管;牌号 40Cr;外径 Φ325;壁厚 45;技术标准号 GB/T 8162-2008;加工工艺 热轧;热处理工艺 ;特殊要求 ;规格标准号 GB/T 17395-2008</t>
        </is>
      </c>
      <c r="F672" t="inlineStr">
        <is>
          <t>千克</t>
        </is>
      </c>
      <c r="G672">
        <f>LEFT(D672,FIND("|",D672,1)-1)</f>
        <v/>
      </c>
      <c r="H672">
        <f>MID(D672,FIND("|",D672,FIND("|",D672,1))+1,FIND("|",D672,FIND("|",D672,1)+1)-FIND("|",D672,FIND("|",D672,1))-1)</f>
        <v/>
      </c>
      <c r="J672">
        <f>MID(D672,FIND(";",SUBSTITUTE(D672,"|",REPT(";",LEN(D672)),2))+1,FIND(";",SUBSTITUTE(D672,"|",REPT(";",LEN(D672)),3))-FIND(";",SUBSTITUTE(D672,"|",REPT(";",LEN(D672)),2))-1)</f>
        <v/>
      </c>
      <c r="K672">
        <f>MID(D672,FIND(";",SUBSTITUTE(D672,"|",REPT(";",LEN(D672)),3))+1,FIND(";",SUBSTITUTE(D672,"|",REPT(";",LEN(D672)),4))-FIND(";",SUBSTITUTE(D672,"|",REPT(";",LEN(D672)),3))-1)</f>
        <v/>
      </c>
      <c r="M672">
        <f>MID(D672,FIND(";",SUBSTITUTE(D672,"|",REPT(";",LEN(D672)),4))+1,FIND(";",SUBSTITUTE(D672,"|",REPT(";",LEN(D672)),5))-FIND(";",SUBSTITUTE(D672,"|",REPT(";",LEN(D672)),4))-1)</f>
        <v/>
      </c>
      <c r="N672">
        <f>MID(D672,FIND(";",SUBSTITUTE(D672,"|",REPT(";",LEN(D672)),6))+1,LEN(D672))</f>
        <v/>
      </c>
      <c r="O672">
        <f>MID(D672,FIND(";",SUBSTITUTE(D672,"|",REPT(";",LEN(D672)),5))+1,FIND(";",SUBSTITUTE(D672,"|",REPT(";",LEN(D672)),6))-FIND(";",SUBSTITUTE(D672,"|",REPT(";",LEN(D672)),5))-1)</f>
        <v/>
      </c>
    </row>
    <row r="673">
      <c r="A673" t="inlineStr">
        <is>
          <t>100301</t>
        </is>
      </c>
      <c r="B673" t="inlineStr">
        <is>
          <t>无缝钢管</t>
        </is>
      </c>
      <c r="C673" t="inlineStr">
        <is>
          <t>600627900</t>
        </is>
      </c>
      <c r="D673" t="inlineStr">
        <is>
          <t>结构用热轧不锈无缝钢管|钢管|1Cr18Ni9Ti|GB/T 14975-2002</t>
        </is>
      </c>
      <c r="E673" t="inlineStr">
        <is>
          <t xml:space="preserve">物资名称 结构用热轧不锈无缝钢管;物资简称 钢管;牌号 1Cr18Ni9Ti;外径 Φ;壁厚 ;技术标准号 GB/T 14975-2002;加工工艺 ;热处理工艺 ;特殊要求 ;规格标准号 </t>
        </is>
      </c>
      <c r="F673" t="inlineStr">
        <is>
          <t>千克</t>
        </is>
      </c>
      <c r="G673">
        <f>LEFT(D673,FIND("|",D673,1)-1)</f>
        <v/>
      </c>
      <c r="H673">
        <f>MID(D673,FIND("|",D673,FIND("|",D673,1))+1,FIND("|",D673,FIND("|",D673,1)+1)-FIND("|",D673,FIND("|",D673,1))-1)</f>
        <v/>
      </c>
      <c r="J673">
        <f>MID(D673,FIND(";",SUBSTITUTE(D673,"|",REPT(";",LEN(D673)),2))+1,FIND(";",SUBSTITUTE(D673,"|",REPT(";",LEN(D673)),3))-FIND(";",SUBSTITUTE(D673,"|",REPT(";",LEN(D673)),2))-1)</f>
        <v/>
      </c>
      <c r="M673">
        <f>MID(D673,FIND(";",SUBSTITUTE(D673,"|",REPT(";",LEN(D673)),3))+1,LEN(D673))</f>
        <v/>
      </c>
    </row>
    <row r="674">
      <c r="A674" t="inlineStr">
        <is>
          <t>100301</t>
        </is>
      </c>
      <c r="B674" t="inlineStr">
        <is>
          <t>无缝钢管</t>
        </is>
      </c>
      <c r="C674" t="inlineStr">
        <is>
          <t>600627800</t>
        </is>
      </c>
      <c r="D674" t="inlineStr">
        <is>
          <t>结构用热轧不锈无缝钢管|钢管|1Cr18Ni9Ti|Φ2×0.5|GB/T 14975-2002|热轧</t>
        </is>
      </c>
      <c r="E674" t="inlineStr">
        <is>
          <t xml:space="preserve">物资名称 结构用热轧不锈无缝钢管;物资简称 钢管;牌号 1Cr18Ni9Ti;外径 Φ2;壁厚 0.5;技术标准号 GB/T 14975-2002;加工工艺 热轧;热处理工艺 ;特殊要求 ;规格标准号 </t>
        </is>
      </c>
      <c r="F674" t="inlineStr">
        <is>
          <t>千克</t>
        </is>
      </c>
      <c r="G674">
        <f>LEFT(D674,FIND("|",D674,1)-1)</f>
        <v/>
      </c>
      <c r="H674">
        <f>MID(D674,FIND("|",D674,FIND("|",D674,1))+1,FIND("|",D674,FIND("|",D674,1)+1)-FIND("|",D674,FIND("|",D674,1))-1)</f>
        <v/>
      </c>
      <c r="J674">
        <f>MID(D674,FIND(";",SUBSTITUTE(D674,"|",REPT(";",LEN(D674)),2))+1,FIND(";",SUBSTITUTE(D674,"|",REPT(";",LEN(D674)),3))-FIND(";",SUBSTITUTE(D674,"|",REPT(";",LEN(D674)),2))-1)</f>
        <v/>
      </c>
      <c r="K674">
        <f>MID(D674,FIND(";",SUBSTITUTE(D674,"|",REPT(";",LEN(D674)),3))+1,FIND(";",SUBSTITUTE(D674,"|",REPT(";",LEN(D674)),4))-FIND(";",SUBSTITUTE(D674,"|",REPT(";",LEN(D674)),3))-1)</f>
        <v/>
      </c>
      <c r="M674">
        <f>MID(D674,FIND(";",SUBSTITUTE(D674,"|",REPT(";",LEN(D674)),4))+1,FIND(";",SUBSTITUTE(D674,"|",REPT(";",LEN(D674)),5))-FIND(";",SUBSTITUTE(D674,"|",REPT(";",LEN(D674)),4))-1)</f>
        <v/>
      </c>
      <c r="O674">
        <f>MID(D674,FIND(";",SUBSTITUTE(D674,"|",REPT(";",LEN(D674)),5))+1,LEN(D674))</f>
        <v/>
      </c>
    </row>
    <row r="675">
      <c r="A675" t="inlineStr">
        <is>
          <t>100301</t>
        </is>
      </c>
      <c r="B675" t="inlineStr">
        <is>
          <t>无缝钢管</t>
        </is>
      </c>
      <c r="C675" t="inlineStr">
        <is>
          <t>600627700</t>
        </is>
      </c>
      <c r="D675" t="inlineStr">
        <is>
          <t>结构用热轧不锈无缝钢管|钢管|1Cr18Ni9Ti|Φ4×1|GB/T 14975-2002|热轧</t>
        </is>
      </c>
      <c r="E675" t="inlineStr">
        <is>
          <t xml:space="preserve">物资名称 结构用热轧不锈无缝钢管;物资简称 钢管;牌号 1Cr18Ni9Ti;外径 Φ4;壁厚 1;技术标准号 GB/T 14975-2002;加工工艺 热轧;热处理工艺 ;特殊要求 ;规格标准号 </t>
        </is>
      </c>
      <c r="F675" t="inlineStr">
        <is>
          <t>千克</t>
        </is>
      </c>
      <c r="G675">
        <f>LEFT(D675,FIND("|",D675,1)-1)</f>
        <v/>
      </c>
      <c r="H675">
        <f>MID(D675,FIND("|",D675,FIND("|",D675,1))+1,FIND("|",D675,FIND("|",D675,1)+1)-FIND("|",D675,FIND("|",D675,1))-1)</f>
        <v/>
      </c>
      <c r="J675">
        <f>MID(D675,FIND(";",SUBSTITUTE(D675,"|",REPT(";",LEN(D675)),2))+1,FIND(";",SUBSTITUTE(D675,"|",REPT(";",LEN(D675)),3))-FIND(";",SUBSTITUTE(D675,"|",REPT(";",LEN(D675)),2))-1)</f>
        <v/>
      </c>
      <c r="K675">
        <f>MID(D675,FIND(";",SUBSTITUTE(D675,"|",REPT(";",LEN(D675)),3))+1,FIND(";",SUBSTITUTE(D675,"|",REPT(";",LEN(D675)),4))-FIND(";",SUBSTITUTE(D675,"|",REPT(";",LEN(D675)),3))-1)</f>
        <v/>
      </c>
      <c r="M675">
        <f>MID(D675,FIND(";",SUBSTITUTE(D675,"|",REPT(";",LEN(D675)),4))+1,FIND(";",SUBSTITUTE(D675,"|",REPT(";",LEN(D675)),5))-FIND(";",SUBSTITUTE(D675,"|",REPT(";",LEN(D675)),4))-1)</f>
        <v/>
      </c>
      <c r="O675">
        <f>MID(D675,FIND(";",SUBSTITUTE(D675,"|",REPT(";",LEN(D675)),5))+1,LEN(D675))</f>
        <v/>
      </c>
    </row>
    <row r="676">
      <c r="A676" t="inlineStr">
        <is>
          <t>100301</t>
        </is>
      </c>
      <c r="B676" t="inlineStr">
        <is>
          <t>无缝钢管</t>
        </is>
      </c>
      <c r="C676" t="inlineStr">
        <is>
          <t>600627600</t>
        </is>
      </c>
      <c r="D676" t="inlineStr">
        <is>
          <t>结构用热轧不锈无缝钢管|钢管|1Cr18Ni9Ti|Φ6×1|GB/T 14975-2002|热轧</t>
        </is>
      </c>
      <c r="E676" t="inlineStr">
        <is>
          <t xml:space="preserve">物资名称 结构用热轧不锈无缝钢管;物资简称 钢管;牌号 1Cr18Ni9Ti;外径 Φ6;壁厚 1;技术标准号 GB/T 14975-2002;加工工艺 热轧;热处理工艺 ;特殊要求 ;规格标准号 </t>
        </is>
      </c>
      <c r="F676" t="inlineStr">
        <is>
          <t>千克</t>
        </is>
      </c>
      <c r="G676">
        <f>LEFT(D676,FIND("|",D676,1)-1)</f>
        <v/>
      </c>
      <c r="H676">
        <f>MID(D676,FIND("|",D676,FIND("|",D676,1))+1,FIND("|",D676,FIND("|",D676,1)+1)-FIND("|",D676,FIND("|",D676,1))-1)</f>
        <v/>
      </c>
      <c r="J676">
        <f>MID(D676,FIND(";",SUBSTITUTE(D676,"|",REPT(";",LEN(D676)),2))+1,FIND(";",SUBSTITUTE(D676,"|",REPT(";",LEN(D676)),3))-FIND(";",SUBSTITUTE(D676,"|",REPT(";",LEN(D676)),2))-1)</f>
        <v/>
      </c>
      <c r="K676">
        <f>MID(D676,FIND(";",SUBSTITUTE(D676,"|",REPT(";",LEN(D676)),3))+1,FIND(";",SUBSTITUTE(D676,"|",REPT(";",LEN(D676)),4))-FIND(";",SUBSTITUTE(D676,"|",REPT(";",LEN(D676)),3))-1)</f>
        <v/>
      </c>
      <c r="M676">
        <f>MID(D676,FIND(";",SUBSTITUTE(D676,"|",REPT(";",LEN(D676)),4))+1,FIND(";",SUBSTITUTE(D676,"|",REPT(";",LEN(D676)),5))-FIND(";",SUBSTITUTE(D676,"|",REPT(";",LEN(D676)),4))-1)</f>
        <v/>
      </c>
      <c r="O676">
        <f>MID(D676,FIND(";",SUBSTITUTE(D676,"|",REPT(";",LEN(D676)),5))+1,LEN(D676))</f>
        <v/>
      </c>
    </row>
    <row r="677">
      <c r="A677" t="inlineStr">
        <is>
          <t>100301</t>
        </is>
      </c>
      <c r="B677" t="inlineStr">
        <is>
          <t>无缝钢管</t>
        </is>
      </c>
      <c r="C677" t="inlineStr">
        <is>
          <t>600627500</t>
        </is>
      </c>
      <c r="D677" t="inlineStr">
        <is>
          <t>结构用热轧不锈无缝钢管|钢管|1Cr18Ni9Ti|Φ6×1.5|GB/T 14975-2002|热轧</t>
        </is>
      </c>
      <c r="E677" t="inlineStr">
        <is>
          <t xml:space="preserve">物资名称 结构用热轧不锈无缝钢管;物资简称 钢管;牌号 1Cr18Ni9Ti;外径 Φ6;壁厚 1.5;技术标准号 GB/T 14975-2002;加工工艺 热轧;热处理工艺 ;特殊要求 ;规格标准号 </t>
        </is>
      </c>
      <c r="F677" t="inlineStr">
        <is>
          <t>千克</t>
        </is>
      </c>
      <c r="G677">
        <f>LEFT(D677,FIND("|",D677,1)-1)</f>
        <v/>
      </c>
      <c r="H677">
        <f>MID(D677,FIND("|",D677,FIND("|",D677,1))+1,FIND("|",D677,FIND("|",D677,1)+1)-FIND("|",D677,FIND("|",D677,1))-1)</f>
        <v/>
      </c>
      <c r="J677">
        <f>MID(D677,FIND(";",SUBSTITUTE(D677,"|",REPT(";",LEN(D677)),2))+1,FIND(";",SUBSTITUTE(D677,"|",REPT(";",LEN(D677)),3))-FIND(";",SUBSTITUTE(D677,"|",REPT(";",LEN(D677)),2))-1)</f>
        <v/>
      </c>
      <c r="K677">
        <f>MID(D677,FIND(";",SUBSTITUTE(D677,"|",REPT(";",LEN(D677)),3))+1,FIND(";",SUBSTITUTE(D677,"|",REPT(";",LEN(D677)),4))-FIND(";",SUBSTITUTE(D677,"|",REPT(";",LEN(D677)),3))-1)</f>
        <v/>
      </c>
      <c r="M677">
        <f>MID(D677,FIND(";",SUBSTITUTE(D677,"|",REPT(";",LEN(D677)),4))+1,FIND(";",SUBSTITUTE(D677,"|",REPT(";",LEN(D677)),5))-FIND(";",SUBSTITUTE(D677,"|",REPT(";",LEN(D677)),4))-1)</f>
        <v/>
      </c>
      <c r="O677">
        <f>MID(D677,FIND(";",SUBSTITUTE(D677,"|",REPT(";",LEN(D677)),5))+1,LEN(D677))</f>
        <v/>
      </c>
    </row>
    <row r="678">
      <c r="A678" t="inlineStr">
        <is>
          <t>100301</t>
        </is>
      </c>
      <c r="B678" t="inlineStr">
        <is>
          <t>无缝钢管</t>
        </is>
      </c>
      <c r="C678" t="inlineStr">
        <is>
          <t>600627400</t>
        </is>
      </c>
      <c r="D678" t="inlineStr">
        <is>
          <t>结构用热轧不锈无缝钢管|钢管|1Cr18Ni9Ti|Φ8×1|GB/T 14975-2002|热轧</t>
        </is>
      </c>
      <c r="E678" t="inlineStr">
        <is>
          <t xml:space="preserve">物资名称 结构用热轧不锈无缝钢管;物资简称 钢管;牌号 1Cr18Ni9Ti;外径 Φ8;壁厚 1;技术标准号 GB/T 14975-2002;加工工艺 热轧;热处理工艺 ;特殊要求 ;规格标准号 </t>
        </is>
      </c>
      <c r="F678" t="inlineStr">
        <is>
          <t>千克</t>
        </is>
      </c>
      <c r="G678">
        <f>LEFT(D678,FIND("|",D678,1)-1)</f>
        <v/>
      </c>
      <c r="H678">
        <f>MID(D678,FIND("|",D678,FIND("|",D678,1))+1,FIND("|",D678,FIND("|",D678,1)+1)-FIND("|",D678,FIND("|",D678,1))-1)</f>
        <v/>
      </c>
      <c r="J678">
        <f>MID(D678,FIND(";",SUBSTITUTE(D678,"|",REPT(";",LEN(D678)),2))+1,FIND(";",SUBSTITUTE(D678,"|",REPT(";",LEN(D678)),3))-FIND(";",SUBSTITUTE(D678,"|",REPT(";",LEN(D678)),2))-1)</f>
        <v/>
      </c>
      <c r="K678">
        <f>MID(D678,FIND(";",SUBSTITUTE(D678,"|",REPT(";",LEN(D678)),3))+1,FIND(";",SUBSTITUTE(D678,"|",REPT(";",LEN(D678)),4))-FIND(";",SUBSTITUTE(D678,"|",REPT(";",LEN(D678)),3))-1)</f>
        <v/>
      </c>
      <c r="M678">
        <f>MID(D678,FIND(";",SUBSTITUTE(D678,"|",REPT(";",LEN(D678)),4))+1,FIND(";",SUBSTITUTE(D678,"|",REPT(";",LEN(D678)),5))-FIND(";",SUBSTITUTE(D678,"|",REPT(";",LEN(D678)),4))-1)</f>
        <v/>
      </c>
      <c r="O678">
        <f>MID(D678,FIND(";",SUBSTITUTE(D678,"|",REPT(";",LEN(D678)),5))+1,LEN(D678))</f>
        <v/>
      </c>
    </row>
    <row r="679">
      <c r="A679" t="inlineStr">
        <is>
          <t>100301</t>
        </is>
      </c>
      <c r="B679" t="inlineStr">
        <is>
          <t>无缝钢管</t>
        </is>
      </c>
      <c r="C679" t="inlineStr">
        <is>
          <t>600627300</t>
        </is>
      </c>
      <c r="D679" t="inlineStr">
        <is>
          <t>结构用热轧不锈无缝钢管|钢管|1Cr18Ni9Ti|Φ8×2|GB/T 14975-2002|热轧</t>
        </is>
      </c>
      <c r="E679" t="inlineStr">
        <is>
          <t xml:space="preserve">物资名称 结构用热轧不锈无缝钢管;物资简称 钢管;牌号 1Cr18Ni9Ti;外径 Φ8;壁厚 2;技术标准号 GB/T 14975-2002;加工工艺 热轧;热处理工艺 ;特殊要求 ;规格标准号 </t>
        </is>
      </c>
      <c r="F679" t="inlineStr">
        <is>
          <t>千克</t>
        </is>
      </c>
      <c r="G679">
        <f>LEFT(D679,FIND("|",D679,1)-1)</f>
        <v/>
      </c>
      <c r="H679">
        <f>MID(D679,FIND("|",D679,FIND("|",D679,1))+1,FIND("|",D679,FIND("|",D679,1)+1)-FIND("|",D679,FIND("|",D679,1))-1)</f>
        <v/>
      </c>
      <c r="J679">
        <f>MID(D679,FIND(";",SUBSTITUTE(D679,"|",REPT(";",LEN(D679)),2))+1,FIND(";",SUBSTITUTE(D679,"|",REPT(";",LEN(D679)),3))-FIND(";",SUBSTITUTE(D679,"|",REPT(";",LEN(D679)),2))-1)</f>
        <v/>
      </c>
      <c r="K679">
        <f>MID(D679,FIND(";",SUBSTITUTE(D679,"|",REPT(";",LEN(D679)),3))+1,FIND(";",SUBSTITUTE(D679,"|",REPT(";",LEN(D679)),4))-FIND(";",SUBSTITUTE(D679,"|",REPT(";",LEN(D679)),3))-1)</f>
        <v/>
      </c>
      <c r="M679">
        <f>MID(D679,FIND(";",SUBSTITUTE(D679,"|",REPT(";",LEN(D679)),4))+1,FIND(";",SUBSTITUTE(D679,"|",REPT(";",LEN(D679)),5))-FIND(";",SUBSTITUTE(D679,"|",REPT(";",LEN(D679)),4))-1)</f>
        <v/>
      </c>
      <c r="O679">
        <f>MID(D679,FIND(";",SUBSTITUTE(D679,"|",REPT(";",LEN(D679)),5))+1,LEN(D679))</f>
        <v/>
      </c>
    </row>
    <row r="680">
      <c r="A680" t="inlineStr">
        <is>
          <t>100301</t>
        </is>
      </c>
      <c r="B680" t="inlineStr">
        <is>
          <t>无缝钢管</t>
        </is>
      </c>
      <c r="C680" t="inlineStr">
        <is>
          <t>600627200</t>
        </is>
      </c>
      <c r="D680" t="inlineStr">
        <is>
          <t>结构用热轧不锈无缝钢管|钢管|1Cr18Ni9Ti|Φ10×1|GB/T 14975-2002|热轧</t>
        </is>
      </c>
      <c r="E680" t="inlineStr">
        <is>
          <t xml:space="preserve">物资名称 结构用热轧不锈无缝钢管;物资简称 钢管;牌号 1Cr18Ni9Ti;外径 Φ10;壁厚 1;技术标准号 GB/T 14975-2002;加工工艺 热轧;热处理工艺 ;特殊要求 ;规格标准号 </t>
        </is>
      </c>
      <c r="F680" t="inlineStr">
        <is>
          <t>千克</t>
        </is>
      </c>
      <c r="G680">
        <f>LEFT(D680,FIND("|",D680,1)-1)</f>
        <v/>
      </c>
      <c r="H680">
        <f>MID(D680,FIND("|",D680,FIND("|",D680,1))+1,FIND("|",D680,FIND("|",D680,1)+1)-FIND("|",D680,FIND("|",D680,1))-1)</f>
        <v/>
      </c>
      <c r="J680">
        <f>MID(D680,FIND(";",SUBSTITUTE(D680,"|",REPT(";",LEN(D680)),2))+1,FIND(";",SUBSTITUTE(D680,"|",REPT(";",LEN(D680)),3))-FIND(";",SUBSTITUTE(D680,"|",REPT(";",LEN(D680)),2))-1)</f>
        <v/>
      </c>
      <c r="K680">
        <f>MID(D680,FIND(";",SUBSTITUTE(D680,"|",REPT(";",LEN(D680)),3))+1,FIND(";",SUBSTITUTE(D680,"|",REPT(";",LEN(D680)),4))-FIND(";",SUBSTITUTE(D680,"|",REPT(";",LEN(D680)),3))-1)</f>
        <v/>
      </c>
      <c r="M680">
        <f>MID(D680,FIND(";",SUBSTITUTE(D680,"|",REPT(";",LEN(D680)),4))+1,FIND(";",SUBSTITUTE(D680,"|",REPT(";",LEN(D680)),5))-FIND(";",SUBSTITUTE(D680,"|",REPT(";",LEN(D680)),4))-1)</f>
        <v/>
      </c>
      <c r="O680">
        <f>MID(D680,FIND(";",SUBSTITUTE(D680,"|",REPT(";",LEN(D680)),5))+1,LEN(D680))</f>
        <v/>
      </c>
    </row>
    <row r="681">
      <c r="A681" t="inlineStr">
        <is>
          <t>100301</t>
        </is>
      </c>
      <c r="B681" t="inlineStr">
        <is>
          <t>无缝钢管</t>
        </is>
      </c>
      <c r="C681" t="inlineStr">
        <is>
          <t>600627100</t>
        </is>
      </c>
      <c r="D681" t="inlineStr">
        <is>
          <t>结构用热轧不锈无缝钢管|钢管|1Cr18Ni9Ti|Φ12×1|GB/T 14975-2002|热轧</t>
        </is>
      </c>
      <c r="E681" t="inlineStr">
        <is>
          <t xml:space="preserve">物资名称 结构用热轧不锈无缝钢管;物资简称 钢管;牌号 1Cr18Ni9Ti;外径 Φ12;壁厚 1;技术标准号 GB/T 14975-2002;加工工艺 热轧;热处理工艺 ;特殊要求 ;规格标准号 </t>
        </is>
      </c>
      <c r="F681" t="inlineStr">
        <is>
          <t>千克</t>
        </is>
      </c>
      <c r="G681">
        <f>LEFT(D681,FIND("|",D681,1)-1)</f>
        <v/>
      </c>
      <c r="H681">
        <f>MID(D681,FIND("|",D681,FIND("|",D681,1))+1,FIND("|",D681,FIND("|",D681,1)+1)-FIND("|",D681,FIND("|",D681,1))-1)</f>
        <v/>
      </c>
      <c r="J681">
        <f>MID(D681,FIND(";",SUBSTITUTE(D681,"|",REPT(";",LEN(D681)),2))+1,FIND(";",SUBSTITUTE(D681,"|",REPT(";",LEN(D681)),3))-FIND(";",SUBSTITUTE(D681,"|",REPT(";",LEN(D681)),2))-1)</f>
        <v/>
      </c>
      <c r="K681">
        <f>MID(D681,FIND(";",SUBSTITUTE(D681,"|",REPT(";",LEN(D681)),3))+1,FIND(";",SUBSTITUTE(D681,"|",REPT(";",LEN(D681)),4))-FIND(";",SUBSTITUTE(D681,"|",REPT(";",LEN(D681)),3))-1)</f>
        <v/>
      </c>
      <c r="M681">
        <f>MID(D681,FIND(";",SUBSTITUTE(D681,"|",REPT(";",LEN(D681)),4))+1,FIND(";",SUBSTITUTE(D681,"|",REPT(";",LEN(D681)),5))-FIND(";",SUBSTITUTE(D681,"|",REPT(";",LEN(D681)),4))-1)</f>
        <v/>
      </c>
      <c r="O681">
        <f>MID(D681,FIND(";",SUBSTITUTE(D681,"|",REPT(";",LEN(D681)),5))+1,LEN(D681))</f>
        <v/>
      </c>
    </row>
    <row r="682">
      <c r="A682" t="inlineStr">
        <is>
          <t>100301</t>
        </is>
      </c>
      <c r="B682" t="inlineStr">
        <is>
          <t>无缝钢管</t>
        </is>
      </c>
      <c r="C682" t="inlineStr">
        <is>
          <t>600627000</t>
        </is>
      </c>
      <c r="D682" t="inlineStr">
        <is>
          <t>结构用热轧不锈无缝钢管|钢管|1Cr18Ni9Ti|Φ45×4|GB/T 14975-2002|热轧</t>
        </is>
      </c>
      <c r="E682" t="inlineStr">
        <is>
          <t xml:space="preserve">物资名称 结构用热轧不锈无缝钢管;物资简称 钢管;牌号 1Cr18Ni9Ti;外径 Φ45;壁厚 4;技术标准号 GB/T 14975-2002;加工工艺 热轧;热处理工艺 ;特殊要求 ;规格标准号 </t>
        </is>
      </c>
      <c r="F682" t="inlineStr">
        <is>
          <t>千克</t>
        </is>
      </c>
      <c r="G682">
        <f>LEFT(D682,FIND("|",D682,1)-1)</f>
        <v/>
      </c>
      <c r="H682">
        <f>MID(D682,FIND("|",D682,FIND("|",D682,1))+1,FIND("|",D682,FIND("|",D682,1)+1)-FIND("|",D682,FIND("|",D682,1))-1)</f>
        <v/>
      </c>
      <c r="J682">
        <f>MID(D682,FIND(";",SUBSTITUTE(D682,"|",REPT(";",LEN(D682)),2))+1,FIND(";",SUBSTITUTE(D682,"|",REPT(";",LEN(D682)),3))-FIND(";",SUBSTITUTE(D682,"|",REPT(";",LEN(D682)),2))-1)</f>
        <v/>
      </c>
      <c r="K682">
        <f>MID(D682,FIND(";",SUBSTITUTE(D682,"|",REPT(";",LEN(D682)),3))+1,FIND(";",SUBSTITUTE(D682,"|",REPT(";",LEN(D682)),4))-FIND(";",SUBSTITUTE(D682,"|",REPT(";",LEN(D682)),3))-1)</f>
        <v/>
      </c>
      <c r="M682">
        <f>MID(D682,FIND(";",SUBSTITUTE(D682,"|",REPT(";",LEN(D682)),4))+1,FIND(";",SUBSTITUTE(D682,"|",REPT(";",LEN(D682)),5))-FIND(";",SUBSTITUTE(D682,"|",REPT(";",LEN(D682)),4))-1)</f>
        <v/>
      </c>
      <c r="O682">
        <f>MID(D682,FIND(";",SUBSTITUTE(D682,"|",REPT(";",LEN(D682)),5))+1,LEN(D682))</f>
        <v/>
      </c>
    </row>
    <row r="683">
      <c r="A683" t="inlineStr">
        <is>
          <t>100301</t>
        </is>
      </c>
      <c r="B683" t="inlineStr">
        <is>
          <t>无缝钢管</t>
        </is>
      </c>
      <c r="C683" t="inlineStr">
        <is>
          <t>600626900</t>
        </is>
      </c>
      <c r="D683" t="inlineStr">
        <is>
          <t>结构用热轧不锈无缝钢管|钢管|1Cr18Ni9Ti|Φ89×6|GB/T 14975-2002|热轧</t>
        </is>
      </c>
      <c r="E683" t="inlineStr">
        <is>
          <t xml:space="preserve">物资名称 结构用热轧不锈无缝钢管;物资简称 钢管;牌号 1Cr18Ni9Ti;外径 Φ89;壁厚 6;技术标准号 GB/T 14975-2002;加工工艺 热轧;热处理工艺 ;特殊要求 ;规格标准号 </t>
        </is>
      </c>
      <c r="F683" t="inlineStr">
        <is>
          <t>千克</t>
        </is>
      </c>
      <c r="G683">
        <f>LEFT(D683,FIND("|",D683,1)-1)</f>
        <v/>
      </c>
      <c r="H683">
        <f>MID(D683,FIND("|",D683,FIND("|",D683,1))+1,FIND("|",D683,FIND("|",D683,1)+1)-FIND("|",D683,FIND("|",D683,1))-1)</f>
        <v/>
      </c>
      <c r="J683">
        <f>MID(D683,FIND(";",SUBSTITUTE(D683,"|",REPT(";",LEN(D683)),2))+1,FIND(";",SUBSTITUTE(D683,"|",REPT(";",LEN(D683)),3))-FIND(";",SUBSTITUTE(D683,"|",REPT(";",LEN(D683)),2))-1)</f>
        <v/>
      </c>
      <c r="K683">
        <f>MID(D683,FIND(";",SUBSTITUTE(D683,"|",REPT(";",LEN(D683)),3))+1,FIND(";",SUBSTITUTE(D683,"|",REPT(";",LEN(D683)),4))-FIND(";",SUBSTITUTE(D683,"|",REPT(";",LEN(D683)),3))-1)</f>
        <v/>
      </c>
      <c r="M683">
        <f>MID(D683,FIND(";",SUBSTITUTE(D683,"|",REPT(";",LEN(D683)),4))+1,FIND(";",SUBSTITUTE(D683,"|",REPT(";",LEN(D683)),5))-FIND(";",SUBSTITUTE(D683,"|",REPT(";",LEN(D683)),4))-1)</f>
        <v/>
      </c>
      <c r="O683">
        <f>MID(D683,FIND(";",SUBSTITUTE(D683,"|",REPT(";",LEN(D683)),5))+1,LEN(D683))</f>
        <v/>
      </c>
    </row>
    <row r="684">
      <c r="A684" t="inlineStr">
        <is>
          <t>100301</t>
        </is>
      </c>
      <c r="B684" t="inlineStr">
        <is>
          <t>无缝钢管</t>
        </is>
      </c>
      <c r="C684" t="inlineStr">
        <is>
          <t>600626800</t>
        </is>
      </c>
      <c r="D684" t="inlineStr">
        <is>
          <t>结构用热轧不锈无缝钢管|钢管|1Cr18Ni9Ti|Φ25×2.5|GB/T 14975-2002|热轧</t>
        </is>
      </c>
      <c r="E684" t="inlineStr">
        <is>
          <t xml:space="preserve">物资名称 结构用热轧不锈无缝钢管;物资简称 钢管;牌号 1Cr18Ni9Ti;外径 Φ25;壁厚 2.5;技术标准号 GB/T 14975-2002;加工工艺 热轧;热处理工艺 ;特殊要求 ;规格标准号 </t>
        </is>
      </c>
      <c r="F684" t="inlineStr">
        <is>
          <t>千克</t>
        </is>
      </c>
      <c r="G684">
        <f>LEFT(D684,FIND("|",D684,1)-1)</f>
        <v/>
      </c>
      <c r="H684">
        <f>MID(D684,FIND("|",D684,FIND("|",D684,1))+1,FIND("|",D684,FIND("|",D684,1)+1)-FIND("|",D684,FIND("|",D684,1))-1)</f>
        <v/>
      </c>
      <c r="J684">
        <f>MID(D684,FIND(";",SUBSTITUTE(D684,"|",REPT(";",LEN(D684)),2))+1,FIND(";",SUBSTITUTE(D684,"|",REPT(";",LEN(D684)),3))-FIND(";",SUBSTITUTE(D684,"|",REPT(";",LEN(D684)),2))-1)</f>
        <v/>
      </c>
      <c r="K684">
        <f>MID(D684,FIND(";",SUBSTITUTE(D684,"|",REPT(";",LEN(D684)),3))+1,FIND(";",SUBSTITUTE(D684,"|",REPT(";",LEN(D684)),4))-FIND(";",SUBSTITUTE(D684,"|",REPT(";",LEN(D684)),3))-1)</f>
        <v/>
      </c>
      <c r="M684">
        <f>MID(D684,FIND(";",SUBSTITUTE(D684,"|",REPT(";",LEN(D684)),4))+1,FIND(";",SUBSTITUTE(D684,"|",REPT(";",LEN(D684)),5))-FIND(";",SUBSTITUTE(D684,"|",REPT(";",LEN(D684)),4))-1)</f>
        <v/>
      </c>
      <c r="O684">
        <f>MID(D684,FIND(";",SUBSTITUTE(D684,"|",REPT(";",LEN(D684)),5))+1,LEN(D684))</f>
        <v/>
      </c>
    </row>
    <row r="685">
      <c r="A685" t="inlineStr">
        <is>
          <t>100301</t>
        </is>
      </c>
      <c r="B685" t="inlineStr">
        <is>
          <t>无缝钢管</t>
        </is>
      </c>
      <c r="C685" t="inlineStr">
        <is>
          <t>600626700</t>
        </is>
      </c>
      <c r="D685" t="inlineStr">
        <is>
          <t>结构用热轧不锈无缝钢管|钢管|1Cr18Ni9Ti|Φ32×3|GB/T 14975-2002|热轧</t>
        </is>
      </c>
      <c r="E685" t="inlineStr">
        <is>
          <t xml:space="preserve">物资名称 结构用热轧不锈无缝钢管;物资简称 钢管;牌号 1Cr18Ni9Ti;外径 Φ32;壁厚 3;技术标准号 GB/T 14975-2002;加工工艺 热轧;热处理工艺 ;特殊要求 ;规格标准号 </t>
        </is>
      </c>
      <c r="F685" t="inlineStr">
        <is>
          <t>千克</t>
        </is>
      </c>
      <c r="G685">
        <f>LEFT(D685,FIND("|",D685,1)-1)</f>
        <v/>
      </c>
      <c r="H685">
        <f>MID(D685,FIND("|",D685,FIND("|",D685,1))+1,FIND("|",D685,FIND("|",D685,1)+1)-FIND("|",D685,FIND("|",D685,1))-1)</f>
        <v/>
      </c>
      <c r="J685">
        <f>MID(D685,FIND(";",SUBSTITUTE(D685,"|",REPT(";",LEN(D685)),2))+1,FIND(";",SUBSTITUTE(D685,"|",REPT(";",LEN(D685)),3))-FIND(";",SUBSTITUTE(D685,"|",REPT(";",LEN(D685)),2))-1)</f>
        <v/>
      </c>
      <c r="K685">
        <f>MID(D685,FIND(";",SUBSTITUTE(D685,"|",REPT(";",LEN(D685)),3))+1,FIND(";",SUBSTITUTE(D685,"|",REPT(";",LEN(D685)),4))-FIND(";",SUBSTITUTE(D685,"|",REPT(";",LEN(D685)),3))-1)</f>
        <v/>
      </c>
      <c r="M685">
        <f>MID(D685,FIND(";",SUBSTITUTE(D685,"|",REPT(";",LEN(D685)),4))+1,FIND(";",SUBSTITUTE(D685,"|",REPT(";",LEN(D685)),5))-FIND(";",SUBSTITUTE(D685,"|",REPT(";",LEN(D685)),4))-1)</f>
        <v/>
      </c>
      <c r="O685">
        <f>MID(D685,FIND(";",SUBSTITUTE(D685,"|",REPT(";",LEN(D685)),5))+1,LEN(D685))</f>
        <v/>
      </c>
    </row>
    <row r="686">
      <c r="A686" t="inlineStr">
        <is>
          <t>100301</t>
        </is>
      </c>
      <c r="B686" t="inlineStr">
        <is>
          <t>无缝钢管</t>
        </is>
      </c>
      <c r="C686" t="inlineStr">
        <is>
          <t>600626600</t>
        </is>
      </c>
      <c r="D686" t="inlineStr">
        <is>
          <t>结构用热轧不锈无缝钢管|钢管|1Cr18Ni9Ti|Φ34×3|GB/T 14975-2002|热轧</t>
        </is>
      </c>
      <c r="E686" t="inlineStr">
        <is>
          <t xml:space="preserve">物资名称 结构用热轧不锈无缝钢管;物资简称 钢管;牌号 1Cr18Ni9Ti;外径 Φ34;壁厚 3;技术标准号 GB/T 14975-2002;加工工艺 热轧;热处理工艺 ;特殊要求 ;规格标准号 </t>
        </is>
      </c>
      <c r="F686" t="inlineStr">
        <is>
          <t>千克</t>
        </is>
      </c>
      <c r="G686">
        <f>LEFT(D686,FIND("|",D686,1)-1)</f>
        <v/>
      </c>
      <c r="H686">
        <f>MID(D686,FIND("|",D686,FIND("|",D686,1))+1,FIND("|",D686,FIND("|",D686,1)+1)-FIND("|",D686,FIND("|",D686,1))-1)</f>
        <v/>
      </c>
      <c r="J686">
        <f>MID(D686,FIND(";",SUBSTITUTE(D686,"|",REPT(";",LEN(D686)),2))+1,FIND(";",SUBSTITUTE(D686,"|",REPT(";",LEN(D686)),3))-FIND(";",SUBSTITUTE(D686,"|",REPT(";",LEN(D686)),2))-1)</f>
        <v/>
      </c>
      <c r="K686">
        <f>MID(D686,FIND(";",SUBSTITUTE(D686,"|",REPT(";",LEN(D686)),3))+1,FIND(";",SUBSTITUTE(D686,"|",REPT(";",LEN(D686)),4))-FIND(";",SUBSTITUTE(D686,"|",REPT(";",LEN(D686)),3))-1)</f>
        <v/>
      </c>
      <c r="M686">
        <f>MID(D686,FIND(";",SUBSTITUTE(D686,"|",REPT(";",LEN(D686)),4))+1,FIND(";",SUBSTITUTE(D686,"|",REPT(";",LEN(D686)),5))-FIND(";",SUBSTITUTE(D686,"|",REPT(";",LEN(D686)),4))-1)</f>
        <v/>
      </c>
      <c r="O686">
        <f>MID(D686,FIND(";",SUBSTITUTE(D686,"|",REPT(";",LEN(D686)),5))+1,LEN(D686))</f>
        <v/>
      </c>
    </row>
    <row r="687">
      <c r="A687" t="inlineStr">
        <is>
          <t>100301</t>
        </is>
      </c>
      <c r="B687" t="inlineStr">
        <is>
          <t>无缝钢管</t>
        </is>
      </c>
      <c r="C687" t="inlineStr">
        <is>
          <t>600626500</t>
        </is>
      </c>
      <c r="D687" t="inlineStr">
        <is>
          <t>结构用热轧不锈无缝钢管|钢管|1Cr18Ni9Ti|Φ28×4|GB/T 14975-2002|热轧</t>
        </is>
      </c>
      <c r="E687" t="inlineStr">
        <is>
          <t xml:space="preserve">物资名称 结构用热轧不锈无缝钢管;物资简称 钢管;牌号 1Cr18Ni9Ti;外径 Φ28;壁厚 4;技术标准号 GB/T 14975-2002;加工工艺 热轧;热处理工艺 ;特殊要求 ;规格标准号 </t>
        </is>
      </c>
      <c r="F687" t="inlineStr">
        <is>
          <t>千克</t>
        </is>
      </c>
      <c r="G687">
        <f>LEFT(D687,FIND("|",D687,1)-1)</f>
        <v/>
      </c>
      <c r="H687">
        <f>MID(D687,FIND("|",D687,FIND("|",D687,1))+1,FIND("|",D687,FIND("|",D687,1)+1)-FIND("|",D687,FIND("|",D687,1))-1)</f>
        <v/>
      </c>
      <c r="J687">
        <f>MID(D687,FIND(";",SUBSTITUTE(D687,"|",REPT(";",LEN(D687)),2))+1,FIND(";",SUBSTITUTE(D687,"|",REPT(";",LEN(D687)),3))-FIND(";",SUBSTITUTE(D687,"|",REPT(";",LEN(D687)),2))-1)</f>
        <v/>
      </c>
      <c r="K687">
        <f>MID(D687,FIND(";",SUBSTITUTE(D687,"|",REPT(";",LEN(D687)),3))+1,FIND(";",SUBSTITUTE(D687,"|",REPT(";",LEN(D687)),4))-FIND(";",SUBSTITUTE(D687,"|",REPT(";",LEN(D687)),3))-1)</f>
        <v/>
      </c>
      <c r="M687">
        <f>MID(D687,FIND(";",SUBSTITUTE(D687,"|",REPT(";",LEN(D687)),4))+1,FIND(";",SUBSTITUTE(D687,"|",REPT(";",LEN(D687)),5))-FIND(";",SUBSTITUTE(D687,"|",REPT(";",LEN(D687)),4))-1)</f>
        <v/>
      </c>
      <c r="O687">
        <f>MID(D687,FIND(";",SUBSTITUTE(D687,"|",REPT(";",LEN(D687)),5))+1,LEN(D687))</f>
        <v/>
      </c>
    </row>
    <row r="688">
      <c r="A688" t="inlineStr">
        <is>
          <t>100301</t>
        </is>
      </c>
      <c r="B688" t="inlineStr">
        <is>
          <t>无缝钢管</t>
        </is>
      </c>
      <c r="C688" t="inlineStr">
        <is>
          <t>600626400</t>
        </is>
      </c>
      <c r="D688" t="inlineStr">
        <is>
          <t>结构用热轧不锈无缝钢管|钢管|1Cr18Ni9Ti|Φ27×3|GB/T 14975-2002|热轧</t>
        </is>
      </c>
      <c r="E688" t="inlineStr">
        <is>
          <t xml:space="preserve">物资名称 结构用热轧不锈无缝钢管;物资简称 钢管;牌号 1Cr18Ni9Ti;外径 Φ27;壁厚 3;技术标准号 GB/T 14975-2002;加工工艺 热轧;热处理工艺 ;特殊要求 ;规格标准号 </t>
        </is>
      </c>
      <c r="F688" t="inlineStr">
        <is>
          <t>千克</t>
        </is>
      </c>
      <c r="G688">
        <f>LEFT(D688,FIND("|",D688,1)-1)</f>
        <v/>
      </c>
      <c r="H688">
        <f>MID(D688,FIND("|",D688,FIND("|",D688,1))+1,FIND("|",D688,FIND("|",D688,1)+1)-FIND("|",D688,FIND("|",D688,1))-1)</f>
        <v/>
      </c>
      <c r="J688">
        <f>MID(D688,FIND(";",SUBSTITUTE(D688,"|",REPT(";",LEN(D688)),2))+1,FIND(";",SUBSTITUTE(D688,"|",REPT(";",LEN(D688)),3))-FIND(";",SUBSTITUTE(D688,"|",REPT(";",LEN(D688)),2))-1)</f>
        <v/>
      </c>
      <c r="K688">
        <f>MID(D688,FIND(";",SUBSTITUTE(D688,"|",REPT(";",LEN(D688)),3))+1,FIND(";",SUBSTITUTE(D688,"|",REPT(";",LEN(D688)),4))-FIND(";",SUBSTITUTE(D688,"|",REPT(";",LEN(D688)),3))-1)</f>
        <v/>
      </c>
      <c r="M688">
        <f>MID(D688,FIND(";",SUBSTITUTE(D688,"|",REPT(";",LEN(D688)),4))+1,FIND(";",SUBSTITUTE(D688,"|",REPT(";",LEN(D688)),5))-FIND(";",SUBSTITUTE(D688,"|",REPT(";",LEN(D688)),4))-1)</f>
        <v/>
      </c>
      <c r="O688">
        <f>MID(D688,FIND(";",SUBSTITUTE(D688,"|",REPT(";",LEN(D688)),5))+1,LEN(D688))</f>
        <v/>
      </c>
    </row>
    <row r="689">
      <c r="A689" t="inlineStr">
        <is>
          <t>100301</t>
        </is>
      </c>
      <c r="B689" t="inlineStr">
        <is>
          <t>无缝钢管</t>
        </is>
      </c>
      <c r="C689" t="inlineStr">
        <is>
          <t>600626300</t>
        </is>
      </c>
      <c r="D689" t="inlineStr">
        <is>
          <t>结构用热轧不锈无缝钢管|钢管|1Cr18Ni9Ti|Φ25×3|GB/T 14975-2002|热轧</t>
        </is>
      </c>
      <c r="E689" t="inlineStr">
        <is>
          <t xml:space="preserve">物资名称 结构用热轧不锈无缝钢管;物资简称 钢管;牌号 1Cr18Ni9Ti;外径 Φ25;壁厚 3;技术标准号 GB/T 14975-2002;加工工艺 热轧;热处理工艺 ;特殊要求 ;规格标准号 </t>
        </is>
      </c>
      <c r="F689" t="inlineStr">
        <is>
          <t>千克</t>
        </is>
      </c>
      <c r="G689">
        <f>LEFT(D689,FIND("|",D689,1)-1)</f>
        <v/>
      </c>
      <c r="H689">
        <f>MID(D689,FIND("|",D689,FIND("|",D689,1))+1,FIND("|",D689,FIND("|",D689,1)+1)-FIND("|",D689,FIND("|",D689,1))-1)</f>
        <v/>
      </c>
      <c r="J689">
        <f>MID(D689,FIND(";",SUBSTITUTE(D689,"|",REPT(";",LEN(D689)),2))+1,FIND(";",SUBSTITUTE(D689,"|",REPT(";",LEN(D689)),3))-FIND(";",SUBSTITUTE(D689,"|",REPT(";",LEN(D689)),2))-1)</f>
        <v/>
      </c>
      <c r="K689">
        <f>MID(D689,FIND(";",SUBSTITUTE(D689,"|",REPT(";",LEN(D689)),3))+1,FIND(";",SUBSTITUTE(D689,"|",REPT(";",LEN(D689)),4))-FIND(";",SUBSTITUTE(D689,"|",REPT(";",LEN(D689)),3))-1)</f>
        <v/>
      </c>
      <c r="M689">
        <f>MID(D689,FIND(";",SUBSTITUTE(D689,"|",REPT(";",LEN(D689)),4))+1,FIND(";",SUBSTITUTE(D689,"|",REPT(";",LEN(D689)),5))-FIND(";",SUBSTITUTE(D689,"|",REPT(";",LEN(D689)),4))-1)</f>
        <v/>
      </c>
      <c r="O689">
        <f>MID(D689,FIND(";",SUBSTITUTE(D689,"|",REPT(";",LEN(D689)),5))+1,LEN(D689))</f>
        <v/>
      </c>
    </row>
    <row r="690">
      <c r="A690" t="inlineStr">
        <is>
          <t>100301</t>
        </is>
      </c>
      <c r="B690" t="inlineStr">
        <is>
          <t>无缝钢管</t>
        </is>
      </c>
      <c r="C690" t="inlineStr">
        <is>
          <t>600626200</t>
        </is>
      </c>
      <c r="D690" t="inlineStr">
        <is>
          <t>结构用热轧不锈无缝钢管|钢管|1Cr18Ni9Ti|Φ42×3|GB/T 14975-2002|热轧</t>
        </is>
      </c>
      <c r="E690" t="inlineStr">
        <is>
          <t xml:space="preserve">物资名称 结构用热轧不锈无缝钢管;物资简称 钢管;牌号 1Cr18Ni9Ti;外径 Φ42;壁厚 3;技术标准号 GB/T 14975-2002;加工工艺 热轧;热处理工艺 ;特殊要求 ;规格标准号 </t>
        </is>
      </c>
      <c r="F690" t="inlineStr">
        <is>
          <t>千克</t>
        </is>
      </c>
      <c r="G690">
        <f>LEFT(D690,FIND("|",D690,1)-1)</f>
        <v/>
      </c>
      <c r="H690">
        <f>MID(D690,FIND("|",D690,FIND("|",D690,1))+1,FIND("|",D690,FIND("|",D690,1)+1)-FIND("|",D690,FIND("|",D690,1))-1)</f>
        <v/>
      </c>
      <c r="J690">
        <f>MID(D690,FIND(";",SUBSTITUTE(D690,"|",REPT(";",LEN(D690)),2))+1,FIND(";",SUBSTITUTE(D690,"|",REPT(";",LEN(D690)),3))-FIND(";",SUBSTITUTE(D690,"|",REPT(";",LEN(D690)),2))-1)</f>
        <v/>
      </c>
      <c r="K690">
        <f>MID(D690,FIND(";",SUBSTITUTE(D690,"|",REPT(";",LEN(D690)),3))+1,FIND(";",SUBSTITUTE(D690,"|",REPT(";",LEN(D690)),4))-FIND(";",SUBSTITUTE(D690,"|",REPT(";",LEN(D690)),3))-1)</f>
        <v/>
      </c>
      <c r="M690">
        <f>MID(D690,FIND(";",SUBSTITUTE(D690,"|",REPT(";",LEN(D690)),4))+1,FIND(";",SUBSTITUTE(D690,"|",REPT(";",LEN(D690)),5))-FIND(";",SUBSTITUTE(D690,"|",REPT(";",LEN(D690)),4))-1)</f>
        <v/>
      </c>
      <c r="O690">
        <f>MID(D690,FIND(";",SUBSTITUTE(D690,"|",REPT(";",LEN(D690)),5))+1,LEN(D690))</f>
        <v/>
      </c>
    </row>
    <row r="691">
      <c r="A691" t="inlineStr">
        <is>
          <t>100301</t>
        </is>
      </c>
      <c r="B691" t="inlineStr">
        <is>
          <t>无缝钢管</t>
        </is>
      </c>
      <c r="C691" t="inlineStr">
        <is>
          <t>600626100</t>
        </is>
      </c>
      <c r="D691" t="inlineStr">
        <is>
          <t>结构用热轧不锈无缝钢管|钢管|1Cr18Ni9Ti|Φ60×6|GB/T 14975-2002|热轧</t>
        </is>
      </c>
      <c r="E691" t="inlineStr">
        <is>
          <t xml:space="preserve">物资名称 结构用热轧不锈无缝钢管;物资简称 钢管;牌号 1Cr18Ni9Ti;外径 Φ60;壁厚 6;技术标准号 GB/T 14975-2002;加工工艺 热轧;热处理工艺 ;特殊要求 ;规格标准号 </t>
        </is>
      </c>
      <c r="F691" t="inlineStr">
        <is>
          <t>千克</t>
        </is>
      </c>
      <c r="G691">
        <f>LEFT(D691,FIND("|",D691,1)-1)</f>
        <v/>
      </c>
      <c r="H691">
        <f>MID(D691,FIND("|",D691,FIND("|",D691,1))+1,FIND("|",D691,FIND("|",D691,1)+1)-FIND("|",D691,FIND("|",D691,1))-1)</f>
        <v/>
      </c>
      <c r="J691">
        <f>MID(D691,FIND(";",SUBSTITUTE(D691,"|",REPT(";",LEN(D691)),2))+1,FIND(";",SUBSTITUTE(D691,"|",REPT(";",LEN(D691)),3))-FIND(";",SUBSTITUTE(D691,"|",REPT(";",LEN(D691)),2))-1)</f>
        <v/>
      </c>
      <c r="K691">
        <f>MID(D691,FIND(";",SUBSTITUTE(D691,"|",REPT(";",LEN(D691)),3))+1,FIND(";",SUBSTITUTE(D691,"|",REPT(";",LEN(D691)),4))-FIND(";",SUBSTITUTE(D691,"|",REPT(";",LEN(D691)),3))-1)</f>
        <v/>
      </c>
      <c r="M691">
        <f>MID(D691,FIND(";",SUBSTITUTE(D691,"|",REPT(";",LEN(D691)),4))+1,FIND(";",SUBSTITUTE(D691,"|",REPT(";",LEN(D691)),5))-FIND(";",SUBSTITUTE(D691,"|",REPT(";",LEN(D691)),4))-1)</f>
        <v/>
      </c>
      <c r="O691">
        <f>MID(D691,FIND(";",SUBSTITUTE(D691,"|",REPT(";",LEN(D691)),5))+1,LEN(D691))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长度</t>
        </is>
      </c>
      <c r="M1" t="inlineStr">
        <is>
          <t>技术标准号</t>
        </is>
      </c>
      <c r="N1" t="inlineStr">
        <is>
          <t>规格标准号</t>
        </is>
      </c>
      <c r="O1" t="inlineStr">
        <is>
          <t>加工工艺</t>
        </is>
      </c>
      <c r="P1" t="inlineStr">
        <is>
          <t>热处理工艺</t>
        </is>
      </c>
      <c r="Q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  <c r="P3" t="inlineStr">
        <is>
          <t>〇</t>
        </is>
      </c>
      <c r="Q3" t="inlineStr">
        <is>
          <t>〇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规格标准号</t>
        </is>
      </c>
      <c r="N1" t="inlineStr">
        <is>
          <t>加工工艺</t>
        </is>
      </c>
      <c r="O1" t="inlineStr">
        <is>
          <t>热处理工艺</t>
        </is>
      </c>
      <c r="P1" t="inlineStr">
        <is>
          <t>力学性能</t>
        </is>
      </c>
      <c r="Q1" t="inlineStr">
        <is>
          <t>特殊要求</t>
        </is>
      </c>
    </row>
    <row r="2">
      <c r="A2" t="inlineStr">
        <is>
          <t>100501</t>
        </is>
      </c>
      <c r="B2" t="inlineStr">
        <is>
          <t>钢丝</t>
        </is>
      </c>
      <c r="C2" t="inlineStr">
        <is>
          <t>603548500</t>
        </is>
      </c>
      <c r="D2" t="inlineStr">
        <is>
          <t>不锈钢丝|钢丝|12Cr18Ni9|Φ0.8|GB/T 4240-2019|软态</t>
        </is>
      </c>
      <c r="E2" t="inlineStr">
        <is>
          <t>物资名称 不锈钢丝;物资简称 钢丝;牌号 12Cr18Ni9;直径 Φ0.8;技术标准号 GB/T 4240-2019;抗拉强度 ;加工工艺 ;表面状态 ;特殊要求 软态;规格标准号</t>
        </is>
      </c>
      <c r="F2" t="inlineStr">
        <is>
          <t>米</t>
        </is>
      </c>
      <c r="G2">
        <f>LEFT(D2,FIND("|",D2,1)-1)</f>
        <v/>
      </c>
      <c r="H2">
        <f>MID(D2,FIND("|",D2,FIND("|",D2,1))+1,FIND("|",D2,FIND("|",D2,1)+1)-FIND("|",D2,FIND("|",D2,1))-1)</f>
        <v/>
      </c>
      <c r="J2">
        <f>MID(D2,FIND(";",SUBSTITUTE(D2,"|",REPT(";",LEN(D2)),2))+1,FIND(";",SUBSTITUTE(D2,"|",REPT(";",LEN(D2)),3))-FIND(";",SUBSTITUTE(D2,"|",REPT(";",LEN(D2)),2))-1)</f>
        <v/>
      </c>
      <c r="K2">
        <f>MID(D2,FIND(";",SUBSTITUTE(D2,"|",REPT(";",LEN(D2)),3))+1,FIND(";",SUBSTITUTE(D2,"|",REPT(";",LEN(D2)),4))-FIND(";",SUBSTITUTE(D2,"|",REPT(";",LEN(D2)),3))-1)</f>
        <v/>
      </c>
      <c r="L2">
        <f>MID(D2,FIND(";",SUBSTITUTE(D2,"|",REPT(";",LEN(D2)),4))+1,FIND(";",SUBSTITUTE(D2,"|",REPT(";",LEN(D2)),5))-FIND(";",SUBSTITUTE(D2,"|",REPT(";",LEN(D2)),4))-1)</f>
        <v/>
      </c>
      <c r="Q2">
        <f>MID(D2,FIND(";",SUBSTITUTE(D2,"|",REPT(";",LEN(D2)),5))+1,LEN(D2))</f>
        <v/>
      </c>
    </row>
    <row r="3">
      <c r="A3" t="inlineStr">
        <is>
          <t>100501</t>
        </is>
      </c>
      <c r="B3" t="inlineStr">
        <is>
          <t>钢丝</t>
        </is>
      </c>
      <c r="C3" t="inlineStr">
        <is>
          <t>603543600</t>
        </is>
      </c>
      <c r="D3" t="inlineStr">
        <is>
          <t>冷拉碳素弹簧钢丝|钢丝|T9A|Φ2.5|GB/T 4357-2022|冷拉|DM,h11|GB/T 342-2017</t>
        </is>
      </c>
      <c r="E3" t="inlineStr">
        <is>
          <t>物资名称 重要用途碳素弹簧钢丝;物资简称 钢丝;牌号 T9A;直径 Φ2.5;技术标准号 YB/T 5311-2010;抗拉强度 ;加工工艺 ;表面状态 ;特殊要求 F,h11;规格标准号 GB/T 342-1997</t>
        </is>
      </c>
      <c r="F3" t="inlineStr">
        <is>
          <t>千克</t>
        </is>
      </c>
      <c r="G3">
        <f>LEFT(D3,FIND("|",D3,1)-1)</f>
        <v/>
      </c>
      <c r="H3">
        <f>MID(D3,FIND("|",D3,FIND("|",D3,1))+1,FIND("|",D3,FIND("|",D3,1)+1)-FIND("|",D3,FIND("|",D3,1))-1)</f>
        <v/>
      </c>
      <c r="J3">
        <f>MID(D3,FIND(";",SUBSTITUTE(D3,"|",REPT(";",LEN(D3)),2))+1,FIND(";",SUBSTITUTE(D3,"|",REPT(";",LEN(D3)),3))-FIND(";",SUBSTITUTE(D3,"|",REPT(";",LEN(D3)),2))-1)</f>
        <v/>
      </c>
      <c r="K3">
        <f>MID(D3,FIND(";",SUBSTITUTE(D3,"|",REPT(";",LEN(D3)),3))+1,FIND(";",SUBSTITUTE(D3,"|",REPT(";",LEN(D3)),4))-FIND(";",SUBSTITUTE(D3,"|",REPT(";",LEN(D3)),3))-1)</f>
        <v/>
      </c>
      <c r="L3">
        <f>MID(D3,FIND(";",SUBSTITUTE(D3,"|",REPT(";",LEN(D3)),4))+1,FIND(";",SUBSTITUTE(D3,"|",REPT(";",LEN(D3)),5))-FIND(";",SUBSTITUTE(D3,"|",REPT(";",LEN(D3)),4))-1)</f>
        <v/>
      </c>
      <c r="M3">
        <f>MID(D3,FIND(";",SUBSTITUTE(D3,"|",REPT(";",LEN(D3)),7))+1,LEN(D3))</f>
        <v/>
      </c>
      <c r="N3">
        <f>MID(D3,FIND(";",SUBSTITUTE(D3,"|",REPT(";",LEN(D3)),5))+1,FIND(";",SUBSTITUTE(D3,"|",REPT(";",LEN(D3)),6))-FIND(";",SUBSTITUTE(D3,"|",REPT(";",LEN(D3)),5))-1)</f>
        <v/>
      </c>
      <c r="Q3">
        <f>MID(D3,FIND(";",SUBSTITUTE(D3,"|",REPT(";",LEN(D3)),6))+1,FIND(";",SUBSTITUTE(D3,"|",REPT(";",LEN(D3)),7))-FIND(";",SUBSTITUTE(D3,"|",REPT(";",LEN(D3)),6))-1)</f>
        <v/>
      </c>
    </row>
    <row r="4">
      <c r="A4" t="inlineStr">
        <is>
          <t>100501</t>
        </is>
      </c>
      <c r="B4" t="inlineStr">
        <is>
          <t>钢丝</t>
        </is>
      </c>
      <c r="C4" t="inlineStr">
        <is>
          <t>603543500</t>
        </is>
      </c>
      <c r="D4" t="inlineStr">
        <is>
          <t>冷拉碳素弹簧钢丝|钢丝|T9A|Φ0.8|GB/T 4357-2022|冷拉|DM,h11|GB/T 342-2017</t>
        </is>
      </c>
      <c r="E4" t="inlineStr">
        <is>
          <t>物资名称 重要用途碳素弹簧钢丝;物资简称 钢丝;牌号 T9A;直径 Φ0.8;技术标准号 YB/T 5311-2010;抗拉强度 ;加工工艺 ;表面状态 ;特殊要求 F,h11;规格标准号 GB/T 342-1997</t>
        </is>
      </c>
      <c r="F4" t="inlineStr">
        <is>
          <t>千克</t>
        </is>
      </c>
      <c r="G4">
        <f>LEFT(D4,FIND("|",D4,1)-1)</f>
        <v/>
      </c>
      <c r="H4">
        <f>MID(D4,FIND("|",D4,FIND("|",D4,1))+1,FIND("|",D4,FIND("|",D4,1)+1)-FIND("|",D4,FIND("|",D4,1))-1)</f>
        <v/>
      </c>
      <c r="J4">
        <f>MID(D4,FIND(";",SUBSTITUTE(D4,"|",REPT(";",LEN(D4)),2))+1,FIND(";",SUBSTITUTE(D4,"|",REPT(";",LEN(D4)),3))-FIND(";",SUBSTITUTE(D4,"|",REPT(";",LEN(D4)),2))-1)</f>
        <v/>
      </c>
      <c r="K4">
        <f>MID(D4,FIND(";",SUBSTITUTE(D4,"|",REPT(";",LEN(D4)),3))+1,FIND(";",SUBSTITUTE(D4,"|",REPT(";",LEN(D4)),4))-FIND(";",SUBSTITUTE(D4,"|",REPT(";",LEN(D4)),3))-1)</f>
        <v/>
      </c>
      <c r="L4">
        <f>MID(D4,FIND(";",SUBSTITUTE(D4,"|",REPT(";",LEN(D4)),4))+1,FIND(";",SUBSTITUTE(D4,"|",REPT(";",LEN(D4)),5))-FIND(";",SUBSTITUTE(D4,"|",REPT(";",LEN(D4)),4))-1)</f>
        <v/>
      </c>
    </row>
    <row r="5">
      <c r="A5" t="inlineStr">
        <is>
          <t>100501</t>
        </is>
      </c>
      <c r="B5" t="inlineStr">
        <is>
          <t>钢丝</t>
        </is>
      </c>
      <c r="C5" t="inlineStr">
        <is>
          <t>603541500</t>
        </is>
      </c>
      <c r="D5" t="inlineStr">
        <is>
          <t>冷拉碳素弹簧钢丝|钢丝|65Mn|Φ1.6|GB/T 4357-2009|DM|冷拉</t>
        </is>
      </c>
      <c r="E5" t="inlineStr">
        <is>
          <t>物资名称 冷拉碳素弹簧钢丝;物资简称 钢丝;牌号 65Mn;直径 Φ1.6;技术标准号 GB/T 4357-2009;抗拉强度 DM;加工工艺 冷拉;表面状态 ;特殊要求 ;规格标准号</t>
        </is>
      </c>
      <c r="F5" t="inlineStr">
        <is>
          <t>千克</t>
        </is>
      </c>
      <c r="G5">
        <f>LEFT(D5,FIND("|",D5,1)-1)</f>
        <v/>
      </c>
      <c r="H5">
        <f>MID(D5,FIND("|",D5,FIND("|",D5,1))+1,FIND("|",D5,FIND("|",D5,1)+1)-FIND("|",D5,FIND("|",D5,1))-1)</f>
        <v/>
      </c>
      <c r="J5">
        <f>MID(D5,FIND(";",SUBSTITUTE(D5,"|",REPT(";",LEN(D5)),2))+1,FIND(";",SUBSTITUTE(D5,"|",REPT(";",LEN(D5)),3))-FIND(";",SUBSTITUTE(D5,"|",REPT(";",LEN(D5)),2))-1)</f>
        <v/>
      </c>
      <c r="K5">
        <f>MID(D5,FIND(";",SUBSTITUTE(D5,"|",REPT(";",LEN(D5)),3))+1,FIND(";",SUBSTITUTE(D5,"|",REPT(";",LEN(D5)),4))-FIND(";",SUBSTITUTE(D5,"|",REPT(";",LEN(D5)),3))-1)</f>
        <v/>
      </c>
      <c r="L5">
        <f>MID(D5,FIND(";",SUBSTITUTE(D5,"|",REPT(";",LEN(D5)),4))+1,FIND(";",SUBSTITUTE(D5,"|",REPT(";",LEN(D5)),5))-FIND(";",SUBSTITUTE(D5,"|",REPT(";",LEN(D5)),4))-1)</f>
        <v/>
      </c>
    </row>
    <row r="6">
      <c r="A6" t="inlineStr">
        <is>
          <t>100501</t>
        </is>
      </c>
      <c r="B6" t="inlineStr">
        <is>
          <t>钢丝</t>
        </is>
      </c>
      <c r="C6" t="inlineStr">
        <is>
          <t>603536700</t>
        </is>
      </c>
      <c r="D6" t="inlineStr">
        <is>
          <t>重要用途碳素弹簧钢丝|钢丝|T9A|YB/T 5311-2010|F</t>
        </is>
      </c>
      <c r="E6" t="inlineStr">
        <is>
          <t>物资名称 重要用途碳素弹簧钢丝;物资简称 钢丝;牌号 T9A;直径 Φ;技术标准号 YB/T 5311-2010;抗拉强度 ;加工工艺 ;表面状态 ;特殊要求 F;规格标准号</t>
        </is>
      </c>
      <c r="F6" t="inlineStr">
        <is>
          <t>千克</t>
        </is>
      </c>
      <c r="G6">
        <f>LEFT(D6,FIND("|",D6,1)-1)</f>
        <v/>
      </c>
      <c r="H6">
        <f>MID(D6,FIND("|",D6,FIND("|",D6,1))+1,FIND("|",D6,FIND("|",D6,1)+1)-FIND("|",D6,FIND("|",D6,1))-1)</f>
        <v/>
      </c>
      <c r="J6">
        <f>MID(D6,FIND(";",SUBSTITUTE(D6,"|",REPT(";",LEN(D6)),2))+1,FIND(";",SUBSTITUTE(D6,"|",REPT(";",LEN(D6)),3))-FIND(";",SUBSTITUTE(D6,"|",REPT(";",LEN(D6)),2))-1)</f>
        <v/>
      </c>
      <c r="L6">
        <f>MID(D6,FIND(";",SUBSTITUTE(D6,"|",REPT(";",LEN(D6)),3))+1,FIND(";",SUBSTITUTE(D6,"|",REPT(";",LEN(D6)),4))-FIND(";",SUBSTITUTE(D6,"|",REPT(";",LEN(D6)),3))-1)</f>
        <v/>
      </c>
      <c r="Q6">
        <f>MID(D6,FIND(";",SUBSTITUTE(D6,"|",REPT(";",LEN(D6)),4))+1,LEN(D6))</f>
        <v/>
      </c>
    </row>
    <row r="7">
      <c r="A7" t="inlineStr">
        <is>
          <t>100501</t>
        </is>
      </c>
      <c r="B7" t="inlineStr">
        <is>
          <t>钢丝</t>
        </is>
      </c>
      <c r="C7" t="inlineStr">
        <is>
          <t>603536600</t>
        </is>
      </c>
      <c r="D7" t="inlineStr">
        <is>
          <t>冷拉碳素弹簧钢丝|钢丝|T9A|GB/T 4357-2009|SM|冷拉</t>
        </is>
      </c>
      <c r="E7" t="inlineStr">
        <is>
          <t>物资名称 冷拉碳素弹簧钢丝;物资简称 钢丝;牌号 T9A;直径 Φ;技术标准号 GB/T 4357-2009;抗拉强度 SM;加工工艺 冷拉;表面状态 ;特殊要求 ;规格标准号</t>
        </is>
      </c>
      <c r="F7" t="inlineStr">
        <is>
          <t>千克</t>
        </is>
      </c>
      <c r="G7">
        <f>LEFT(D7,FIND("|",D7,1)-1)</f>
        <v/>
      </c>
      <c r="H7">
        <f>MID(D7,FIND("|",D7,FIND("|",D7,1))+1,FIND("|",D7,FIND("|",D7,1)+1)-FIND("|",D7,FIND("|",D7,1))-1)</f>
        <v/>
      </c>
      <c r="J7">
        <f>MID(D7,FIND(";",SUBSTITUTE(D7,"|",REPT(";",LEN(D7)),2))+1,FIND(";",SUBSTITUTE(D7,"|",REPT(";",LEN(D7)),3))-FIND(";",SUBSTITUTE(D7,"|",REPT(";",LEN(D7)),2))-1)</f>
        <v/>
      </c>
      <c r="L7">
        <f>MID(D7,FIND(";",SUBSTITUTE(D7,"|",REPT(";",LEN(D7)),3))+1,FIND(";",SUBSTITUTE(D7,"|",REPT(";",LEN(D7)),4))-FIND(";",SUBSTITUTE(D7,"|",REPT(";",LEN(D7)),3))-1)</f>
        <v/>
      </c>
      <c r="N7">
        <f>MID(D7,FIND(";",SUBSTITUTE(D7,"|",REPT(";",LEN(D7)),5))+1,LEN(D7))</f>
        <v/>
      </c>
      <c r="P7">
        <f>MID(D7,FIND(";",SUBSTITUTE(D7,"|",REPT(";",LEN(D7)),4))+1,FIND(";",SUBSTITUTE(D7,"|",REPT(";",LEN(D7)),5))-FIND(";",SUBSTITUTE(D7,"|",REPT(";",LEN(D7)),4))-1)</f>
        <v/>
      </c>
    </row>
    <row r="8">
      <c r="A8" t="inlineStr">
        <is>
          <t>100501</t>
        </is>
      </c>
      <c r="B8" t="inlineStr">
        <is>
          <t>钢丝</t>
        </is>
      </c>
      <c r="C8" t="inlineStr">
        <is>
          <t>603171700</t>
        </is>
      </c>
      <c r="D8" t="inlineStr">
        <is>
          <t>冷拉不锈钢丝|钢丝|12Cr18Ni9|Φ1|GB/T 4240-2009|冷拉|软态</t>
        </is>
      </c>
      <c r="E8" t="inlineStr">
        <is>
          <t>物资名称 冷拉不锈钢丝;物资简称 钢丝;牌号 12Cr18Ni9;直径 Φ1;技术标准号 GB/T 4240-2009;抗拉强度 ;加工工艺 冷拉;表面状态 ;特殊要求 软态;规格标准号</t>
        </is>
      </c>
      <c r="F8" t="inlineStr">
        <is>
          <t>米</t>
        </is>
      </c>
      <c r="G8">
        <f>LEFT(D8,FIND("|",D8,1)-1)</f>
        <v/>
      </c>
      <c r="H8">
        <f>MID(D8,FIND("|",D8,FIND("|",D8,1))+1,FIND("|",D8,FIND("|",D8,1)+1)-FIND("|",D8,FIND("|",D8,1))-1)</f>
        <v/>
      </c>
      <c r="J8">
        <f>MID(D8,FIND(";",SUBSTITUTE(D8,"|",REPT(";",LEN(D8)),2))+1,FIND(";",SUBSTITUTE(D8,"|",REPT(";",LEN(D8)),3))-FIND(";",SUBSTITUTE(D8,"|",REPT(";",LEN(D8)),2))-1)</f>
        <v/>
      </c>
      <c r="K8">
        <f>MID(D8,FIND(";",SUBSTITUTE(D8,"|",REPT(";",LEN(D8)),3))+1,FIND(";",SUBSTITUTE(D8,"|",REPT(";",LEN(D8)),4))-FIND(";",SUBSTITUTE(D8,"|",REPT(";",LEN(D8)),3))-1)</f>
        <v/>
      </c>
      <c r="L8">
        <f>MID(D8,FIND(";",SUBSTITUTE(D8,"|",REPT(";",LEN(D8)),4))+1,FIND(";",SUBSTITUTE(D8,"|",REPT(";",LEN(D8)),5))-FIND(";",SUBSTITUTE(D8,"|",REPT(";",LEN(D8)),4))-1)</f>
        <v/>
      </c>
      <c r="N8">
        <f>MID(D8,FIND(";",SUBSTITUTE(D8,"|",REPT(";",LEN(D8)),5))+1,FIND(";",SUBSTITUTE(D8,"|",REPT(";",LEN(D8)),6))-FIND(";",SUBSTITUTE(D8,"|",REPT(";",LEN(D8)),5))-1)</f>
        <v/>
      </c>
      <c r="Q8">
        <f>MID(D8,FIND(";",SUBSTITUTE(D8,"|",REPT(";",LEN(D8)),6))+1,LEN(D8))</f>
        <v/>
      </c>
    </row>
    <row r="9">
      <c r="A9" t="inlineStr">
        <is>
          <t>100501</t>
        </is>
      </c>
      <c r="B9" t="inlineStr">
        <is>
          <t>钢丝</t>
        </is>
      </c>
      <c r="C9" t="inlineStr">
        <is>
          <t>602888700</t>
        </is>
      </c>
      <c r="D9" t="inlineStr">
        <is>
          <t>不锈钢丝|钢丝|12Cr18Ni9|Φ0.5|GB/T 4240-2019</t>
        </is>
      </c>
      <c r="E9" t="inlineStr">
        <is>
          <t>物资名称 不锈钢丝;物资简称 钢丝;牌号 12Cr18Ni9;直径 Φ0.5;技术标准号 GB/T 4240-2019;抗拉强度 ;加工工艺 ;表面状态 ;特殊要求 ;规格标准号</t>
        </is>
      </c>
      <c r="F9" t="inlineStr">
        <is>
          <t>米</t>
        </is>
      </c>
      <c r="G9">
        <f>LEFT(D9,FIND("|",D9,1)-1)</f>
        <v/>
      </c>
      <c r="H9">
        <f>MID(D9,FIND("|",D9,FIND("|",D9,1))+1,FIND("|",D9,FIND("|",D9,1)+1)-FIND("|",D9,FIND("|",D9,1))-1)</f>
        <v/>
      </c>
      <c r="J9">
        <f>MID(D9,FIND(";",SUBSTITUTE(D9,"|",REPT(";",LEN(D9)),2))+1,FIND(";",SUBSTITUTE(D9,"|",REPT(";",LEN(D9)),3))-FIND(";",SUBSTITUTE(D9,"|",REPT(";",LEN(D9)),2))-1)</f>
        <v/>
      </c>
      <c r="K9">
        <f>MID(D9,FIND(";",SUBSTITUTE(D9,"|",REPT(";",LEN(D9)),3))+1,FIND(";",SUBSTITUTE(D9,"|",REPT(";",LEN(D9)),4))-FIND(";",SUBSTITUTE(D9,"|",REPT(";",LEN(D9)),3))-1)</f>
        <v/>
      </c>
      <c r="L9">
        <f>MID(D9,FIND(";",SUBSTITUTE(D9,"|",REPT(";",LEN(D9)),4))+1,LEN(D9))</f>
        <v/>
      </c>
    </row>
    <row r="10">
      <c r="A10" t="inlineStr">
        <is>
          <t>100501</t>
        </is>
      </c>
      <c r="B10" t="inlineStr">
        <is>
          <t>钢丝</t>
        </is>
      </c>
      <c r="C10" t="inlineStr">
        <is>
          <t>602888600</t>
        </is>
      </c>
      <c r="D10" t="inlineStr">
        <is>
          <t>不锈钢丝|钢丝|12Cr18Ni9|Φ1|GB/T 4240-2019</t>
        </is>
      </c>
      <c r="E10" t="inlineStr">
        <is>
          <t>物资名称 不锈钢丝;物资简称 钢丝;牌号 12Cr18Ni9;直径 Φ1;技术标准号 GB/T 4240-2019;抗拉强度 ;加工工艺 ;表面状态 ;特殊要求 ;规格标准号</t>
        </is>
      </c>
      <c r="F10" t="inlineStr">
        <is>
          <t>米</t>
        </is>
      </c>
      <c r="G10">
        <f>LEFT(D10,FIND("|",D10,1)-1)</f>
        <v/>
      </c>
      <c r="H10">
        <f>MID(D10,FIND("|",D10,FIND("|",D10,1))+1,FIND("|",D10,FIND("|",D10,1)+1)-FIND("|",D10,FIND("|",D10,1))-1)</f>
        <v/>
      </c>
      <c r="J10">
        <f>MID(D10,FIND(";",SUBSTITUTE(D10,"|",REPT(";",LEN(D10)),2))+1,FIND(";",SUBSTITUTE(D10,"|",REPT(";",LEN(D10)),3))-FIND(";",SUBSTITUTE(D10,"|",REPT(";",LEN(D10)),2))-1)</f>
        <v/>
      </c>
      <c r="K10">
        <f>MID(D10,FIND(";",SUBSTITUTE(D10,"|",REPT(";",LEN(D10)),3))+1,FIND(";",SUBSTITUTE(D10,"|",REPT(";",LEN(D10)),4))-FIND(";",SUBSTITUTE(D10,"|",REPT(";",LEN(D10)),3))-1)</f>
        <v/>
      </c>
      <c r="L10">
        <f>MID(D10,FIND(";",SUBSTITUTE(D10,"|",REPT(";",LEN(D10)),4))+1,LEN(D10))</f>
        <v/>
      </c>
    </row>
    <row r="11">
      <c r="A11" t="inlineStr">
        <is>
          <t>100501</t>
        </is>
      </c>
      <c r="B11" t="inlineStr">
        <is>
          <t>钢丝</t>
        </is>
      </c>
      <c r="C11" t="inlineStr">
        <is>
          <t>602469700</t>
        </is>
      </c>
      <c r="D11" t="inlineStr">
        <is>
          <t>不锈钢丝|钢丝|06Cr19Ni10|Φ0.5|GB/T 4240-2019|软态</t>
        </is>
      </c>
      <c r="E11" t="inlineStr">
        <is>
          <t xml:space="preserve">物资名称 不锈钢丝;物资简称 钢丝;牌号 06Cr19Ni10;直径 Φ0.5;技术标准号 GB/T 4240-2019;抗拉强度 ;加工工艺 ;表面状态 ;特殊要求 软态;规格标准号 </t>
        </is>
      </c>
      <c r="F11" t="inlineStr">
        <is>
          <t>米</t>
        </is>
      </c>
      <c r="G11">
        <f>LEFT(D11,FIND("|",D11,1)-1)</f>
        <v/>
      </c>
      <c r="H11">
        <f>MID(D11,FIND("|",D11,FIND("|",D11,1))+1,FIND("|",D11,FIND("|",D11,1)+1)-FIND("|",D11,FIND("|",D11,1))-1)</f>
        <v/>
      </c>
      <c r="J11">
        <f>MID(D11,FIND(";",SUBSTITUTE(D11,"|",REPT(";",LEN(D11)),2))+1,FIND(";",SUBSTITUTE(D11,"|",REPT(";",LEN(D11)),3))-FIND(";",SUBSTITUTE(D11,"|",REPT(";",LEN(D11)),2))-1)</f>
        <v/>
      </c>
      <c r="K11">
        <f>MID(D11,FIND(";",SUBSTITUTE(D11,"|",REPT(";",LEN(D11)),3))+1,FIND(";",SUBSTITUTE(D11,"|",REPT(";",LEN(D11)),4))-FIND(";",SUBSTITUTE(D11,"|",REPT(";",LEN(D11)),3))-1)</f>
        <v/>
      </c>
      <c r="L11">
        <f>MID(D11,FIND(";",SUBSTITUTE(D11,"|",REPT(";",LEN(D11)),4))+1,FIND(";",SUBSTITUTE(D11,"|",REPT(";",LEN(D11)),5))-FIND(";",SUBSTITUTE(D11,"|",REPT(";",LEN(D11)),4))-1)</f>
        <v/>
      </c>
      <c r="Q11">
        <f>MID(D11,FIND(";",SUBSTITUTE(D11,"|",REPT(";",LEN(D11)),5))+1,LEN(D11))</f>
        <v/>
      </c>
    </row>
    <row r="12">
      <c r="A12" t="inlineStr">
        <is>
          <t>100501</t>
        </is>
      </c>
      <c r="B12" t="inlineStr">
        <is>
          <t>钢丝</t>
        </is>
      </c>
      <c r="C12" t="inlineStr">
        <is>
          <t>602377500</t>
        </is>
      </c>
      <c r="D12" t="inlineStr">
        <is>
          <t>冷拉碳素弹簧钢丝|钢丝|65Mn-DM|Φ0.9|GB/T 4357-2009|冷拉</t>
        </is>
      </c>
      <c r="E12" t="inlineStr">
        <is>
          <t xml:space="preserve">物资名称 冷拉碳素弹簧钢丝;物资简称 钢丝;牌号 65Mn-DM;直径 Φ0.9;技术标准号 GB/T 4357-2009;抗拉强度 ;加工工艺 冷拉;表面状态 ;特殊要求 ;规格标准号 </t>
        </is>
      </c>
      <c r="F12" t="inlineStr">
        <is>
          <t>千克</t>
        </is>
      </c>
      <c r="G12">
        <f>LEFT(D12,FIND("|",D12,1)-1)</f>
        <v/>
      </c>
      <c r="H12">
        <f>MID(D12,FIND("|",D12,FIND("|",D12,1))+1,FIND("|",D12,FIND("|",D12,1)+1)-FIND("|",D12,FIND("|",D12,1))-1)</f>
        <v/>
      </c>
      <c r="J12">
        <f>MID(D12,FIND(";",SUBSTITUTE(D12,"|",REPT(";",LEN(D12)),2))+1,FIND(";",SUBSTITUTE(D12,"|",REPT(";",LEN(D12)),3))-FIND(";",SUBSTITUTE(D12,"|",REPT(";",LEN(D12)),2))-1)</f>
        <v/>
      </c>
      <c r="K12">
        <f>MID(D12,FIND(";",SUBSTITUTE(D12,"|",REPT(";",LEN(D12)),3))+1,FIND(";",SUBSTITUTE(D12,"|",REPT(";",LEN(D12)),4))-FIND(";",SUBSTITUTE(D12,"|",REPT(";",LEN(D12)),3))-1)</f>
        <v/>
      </c>
      <c r="L12">
        <f>MID(D12,FIND(";",SUBSTITUTE(D12,"|",REPT(";",LEN(D12)),4))+1,FIND(";",SUBSTITUTE(D12,"|",REPT(";",LEN(D12)),5))-FIND(";",SUBSTITUTE(D12,"|",REPT(";",LEN(D12)),4))-1)</f>
        <v/>
      </c>
      <c r="N12">
        <f>MID(D12,FIND(";",SUBSTITUTE(D12,"|",REPT(";",LEN(D12)),5))+1,LEN(D12))</f>
        <v/>
      </c>
    </row>
    <row r="13">
      <c r="A13" t="inlineStr">
        <is>
          <t>100501</t>
        </is>
      </c>
      <c r="B13" t="inlineStr">
        <is>
          <t>钢丝</t>
        </is>
      </c>
      <c r="C13" t="inlineStr">
        <is>
          <t>602324700</t>
        </is>
      </c>
      <c r="D13" t="inlineStr">
        <is>
          <t>碳素弹簧钢丝|钢丝|65Mn|Φ0.9|GB/T 4357-1989|C|h11|GB/T 342-1997</t>
        </is>
      </c>
      <c r="E13" t="inlineStr">
        <is>
          <t>物资名称 碳素弹簧钢丝;物资简称 钢丝;牌号 65Mn;直径 Φ0.9;技术标准号 GB/T 4357-1989;抗拉强度 C;加工工艺 ;表面状态 ;特殊要求 h11;规格标准号 GB/T 342-1997</t>
        </is>
      </c>
      <c r="F13" t="inlineStr">
        <is>
          <t>千克</t>
        </is>
      </c>
      <c r="G13">
        <f>LEFT(D13,FIND("|",D13,1)-1)</f>
        <v/>
      </c>
      <c r="H13">
        <f>MID(D13,FIND("|",D13,FIND("|",D13,1))+1,FIND("|",D13,FIND("|",D13,1)+1)-FIND("|",D13,FIND("|",D13,1))-1)</f>
        <v/>
      </c>
      <c r="J13">
        <f>MID(D13,FIND(";",SUBSTITUTE(D13,"|",REPT(";",LEN(D13)),2))+1,FIND(";",SUBSTITUTE(D13,"|",REPT(";",LEN(D13)),3))-FIND(";",SUBSTITUTE(D13,"|",REPT(";",LEN(D13)),2))-1)</f>
        <v/>
      </c>
      <c r="K13">
        <f>MID(D13,FIND(";",SUBSTITUTE(D13,"|",REPT(";",LEN(D13)),3))+1,FIND(";",SUBSTITUTE(D13,"|",REPT(";",LEN(D13)),4))-FIND(";",SUBSTITUTE(D13,"|",REPT(";",LEN(D13)),3))-1)</f>
        <v/>
      </c>
      <c r="L13">
        <f>MID(D13,FIND(";",SUBSTITUTE(D13,"|",REPT(";",LEN(D13)),4))+1,FIND(";",SUBSTITUTE(D13,"|",REPT(";",LEN(D13)),5))-FIND(";",SUBSTITUTE(D13,"|",REPT(";",LEN(D13)),4))-1)</f>
        <v/>
      </c>
      <c r="M13">
        <f>MID(D13,FIND(";",SUBSTITUTE(D13,"|",REPT(";",LEN(D13)),7))+1,LEN(D13))</f>
        <v/>
      </c>
      <c r="P13">
        <f>MID(D13,FIND(";",SUBSTITUTE(D13,"|",REPT(";",LEN(D13)),5))+1,FIND(";",SUBSTITUTE(D13,"|",REPT(";",LEN(D13)),6))-FIND(";",SUBSTITUTE(D13,"|",REPT(";",LEN(D13)),5))-1)</f>
        <v/>
      </c>
      <c r="Q13">
        <f>MID(D13,FIND(";",SUBSTITUTE(D13,"|",REPT(";",LEN(D13)),6))+1,FIND(";",SUBSTITUTE(D13,"|",REPT(";",LEN(D13)),7))-FIND(";",SUBSTITUTE(D13,"|",REPT(";",LEN(D13)),6))-1)</f>
        <v/>
      </c>
    </row>
    <row r="14">
      <c r="A14" t="inlineStr">
        <is>
          <t>100501</t>
        </is>
      </c>
      <c r="B14" t="inlineStr">
        <is>
          <t>钢丝</t>
        </is>
      </c>
      <c r="C14" t="inlineStr">
        <is>
          <t>602324600</t>
        </is>
      </c>
      <c r="D14" t="inlineStr">
        <is>
          <t>碳素弹簧钢丝|钢丝|65Mn|Φ1.6|GB/T 4357-1989|C|h11|GB/T 342-1997</t>
        </is>
      </c>
      <c r="E14" t="inlineStr">
        <is>
          <t>物资名称 碳素弹簧钢丝;物资简称 钢丝;牌号 65Mn;直径 Φ1.6;技术标准号 GB/T 4357-1989;抗拉强度 C;加工工艺 ;表面状态 ;特殊要求 h11;规格标准号 GB/T 342-1997</t>
        </is>
      </c>
      <c r="F14" t="inlineStr">
        <is>
          <t>千克</t>
        </is>
      </c>
      <c r="G14">
        <f>LEFT(D14,FIND("|",D14,1)-1)</f>
        <v/>
      </c>
      <c r="H14">
        <f>MID(D14,FIND("|",D14,FIND("|",D14,1))+1,FIND("|",D14,FIND("|",D14,1)+1)-FIND("|",D14,FIND("|",D14,1))-1)</f>
        <v/>
      </c>
      <c r="J14">
        <f>MID(D14,FIND(";",SUBSTITUTE(D14,"|",REPT(";",LEN(D14)),2))+1,FIND(";",SUBSTITUTE(D14,"|",REPT(";",LEN(D14)),3))-FIND(";",SUBSTITUTE(D14,"|",REPT(";",LEN(D14)),2))-1)</f>
        <v/>
      </c>
      <c r="K14">
        <f>MID(D14,FIND(";",SUBSTITUTE(D14,"|",REPT(";",LEN(D14)),3))+1,FIND(";",SUBSTITUTE(D14,"|",REPT(";",LEN(D14)),4))-FIND(";",SUBSTITUTE(D14,"|",REPT(";",LEN(D14)),3))-1)</f>
        <v/>
      </c>
      <c r="L14">
        <f>MID(D14,FIND(";",SUBSTITUTE(D14,"|",REPT(";",LEN(D14)),4))+1,FIND(";",SUBSTITUTE(D14,"|",REPT(";",LEN(D14)),5))-FIND(";",SUBSTITUTE(D14,"|",REPT(";",LEN(D14)),4))-1)</f>
        <v/>
      </c>
      <c r="M14">
        <f>MID(D14,FIND(";",SUBSTITUTE(D14,"|",REPT(";",LEN(D14)),7))+1,LEN(D14))</f>
        <v/>
      </c>
      <c r="P14">
        <f>MID(D14,FIND(";",SUBSTITUTE(D14,"|",REPT(";",LEN(D14)),5))+1,FIND(";",SUBSTITUTE(D14,"|",REPT(";",LEN(D14)),6))-FIND(";",SUBSTITUTE(D14,"|",REPT(";",LEN(D14)),5))-1)</f>
        <v/>
      </c>
      <c r="Q14">
        <f>MID(D14,FIND(";",SUBSTITUTE(D14,"|",REPT(";",LEN(D14)),6))+1,FIND(";",SUBSTITUTE(D14,"|",REPT(";",LEN(D14)),7))-FIND(";",SUBSTITUTE(D14,"|",REPT(";",LEN(D14)),6))-1)</f>
        <v/>
      </c>
    </row>
    <row r="15">
      <c r="A15" t="inlineStr">
        <is>
          <t>100501</t>
        </is>
      </c>
      <c r="B15" t="inlineStr">
        <is>
          <t>钢丝</t>
        </is>
      </c>
      <c r="C15" t="inlineStr">
        <is>
          <t>601432400</t>
        </is>
      </c>
      <c r="D15" t="inlineStr">
        <is>
          <t>一般用途低碳钢丝|镀锌钢丝|Φ1|YB/T 5294-2009</t>
        </is>
      </c>
      <c r="E15" t="inlineStr">
        <is>
          <t xml:space="preserve">物资名称 一般用途低碳钢丝;物资简称 镀锌钢丝;牌号 ;直径 Φ1;技术标准号 YB/T 5294-2009;抗拉强度 ;加工工艺 ;表面状态 ;特殊要求 ;规格标准号 </t>
        </is>
      </c>
      <c r="F15" t="inlineStr">
        <is>
          <t>米</t>
        </is>
      </c>
      <c r="G15">
        <f>LEFT(D15,FIND("|",D15,1)-1)</f>
        <v/>
      </c>
      <c r="H15">
        <f>MID(D15,FIND("|",D15,FIND("|",D15,1))+1,FIND("|",D15,FIND("|",D15,1)+1)-FIND("|",D15,FIND("|",D15,1))-1)</f>
        <v/>
      </c>
      <c r="K15">
        <f>MID(D15,FIND(";",SUBSTITUTE(D15,"|",REPT(";",LEN(D15)),2))+1,FIND(";",SUBSTITUTE(D15,"|",REPT(";",LEN(D15)),3))-FIND(";",SUBSTITUTE(D15,"|",REPT(";",LEN(D15)),2))-1)</f>
        <v/>
      </c>
      <c r="L15">
        <f>MID(D15,FIND(";",SUBSTITUTE(D15,"|",REPT(";",LEN(D15)),3))+1,LEN(D15))</f>
        <v/>
      </c>
    </row>
    <row r="16">
      <c r="A16" t="inlineStr">
        <is>
          <t>100501</t>
        </is>
      </c>
      <c r="B16" t="inlineStr">
        <is>
          <t>钢丝</t>
        </is>
      </c>
      <c r="C16" t="inlineStr">
        <is>
          <t>601432300</t>
        </is>
      </c>
      <c r="D16" t="inlineStr">
        <is>
          <t>碳素弹簧钢丝|钢丝|65Mn|Φ0.8|GB/T 4357-1989|C|h11|GB/T 342-1997</t>
        </is>
      </c>
      <c r="E16" t="inlineStr">
        <is>
          <t>物资名称 碳素弹簧钢丝;物资简称 钢丝;牌号 65Mn;直径 Φ0.8;技术标准号 GB/T 4357-1989;抗拉强度 C;加工工艺 ;表面状态 ;特殊要求 h11;规格标准号 GB/T 342-1997</t>
        </is>
      </c>
      <c r="F16" t="inlineStr">
        <is>
          <t>千克</t>
        </is>
      </c>
      <c r="G16">
        <f>LEFT(D16,FIND("|",D16,1)-1)</f>
        <v/>
      </c>
      <c r="H16">
        <f>MID(D16,FIND("|",D16,FIND("|",D16,1))+1,FIND("|",D16,FIND("|",D16,1)+1)-FIND("|",D16,FIND("|",D16,1))-1)</f>
        <v/>
      </c>
      <c r="J16">
        <f>MID(D16,FIND(";",SUBSTITUTE(D16,"|",REPT(";",LEN(D16)),2))+1,FIND(";",SUBSTITUTE(D16,"|",REPT(";",LEN(D16)),3))-FIND(";",SUBSTITUTE(D16,"|",REPT(";",LEN(D16)),2))-1)</f>
        <v/>
      </c>
      <c r="K16">
        <f>MID(D16,FIND(";",SUBSTITUTE(D16,"|",REPT(";",LEN(D16)),3))+1,FIND(";",SUBSTITUTE(D16,"|",REPT(";",LEN(D16)),4))-FIND(";",SUBSTITUTE(D16,"|",REPT(";",LEN(D16)),3))-1)</f>
        <v/>
      </c>
      <c r="L16">
        <f>MID(D16,FIND(";",SUBSTITUTE(D16,"|",REPT(";",LEN(D16)),4))+1,FIND(";",SUBSTITUTE(D16,"|",REPT(";",LEN(D16)),5))-FIND(";",SUBSTITUTE(D16,"|",REPT(";",LEN(D16)),4))-1)</f>
        <v/>
      </c>
      <c r="M16">
        <f>MID(D16,FIND(";",SUBSTITUTE(D16,"|",REPT(";",LEN(D16)),7))+1,LEN(D16))</f>
        <v/>
      </c>
      <c r="P16">
        <f>MID(D16,FIND(";",SUBSTITUTE(D16,"|",REPT(";",LEN(D16)),5))+1,FIND(";",SUBSTITUTE(D16,"|",REPT(";",LEN(D16)),6))-FIND(";",SUBSTITUTE(D16,"|",REPT(";",LEN(D16)),5))-1)</f>
        <v/>
      </c>
      <c r="Q16">
        <f>MID(D16,FIND(";",SUBSTITUTE(D16,"|",REPT(";",LEN(D16)),6))+1,FIND(";",SUBSTITUTE(D16,"|",REPT(";",LEN(D16)),7))-FIND(";",SUBSTITUTE(D16,"|",REPT(";",LEN(D16)),6))-1)</f>
        <v/>
      </c>
    </row>
    <row r="17">
      <c r="A17" t="inlineStr">
        <is>
          <t>100501</t>
        </is>
      </c>
      <c r="B17" t="inlineStr">
        <is>
          <t>钢丝</t>
        </is>
      </c>
      <c r="C17" t="inlineStr">
        <is>
          <t>601417900</t>
        </is>
      </c>
      <c r="D17" t="inlineStr">
        <is>
          <t>碳素弹簧钢丝C级|钢丝|70-C|Φ1.0-11|GB/T 4357-1989|GB/T 342-1997</t>
        </is>
      </c>
      <c r="E17" t="inlineStr">
        <is>
          <t>物资名称 碳素弹簧钢丝C级;物资简称 钢丝;牌号 70-C;直径 Φ1.0-11;技术标准号 GB/T 4357-1989;抗拉强度 ;加工工艺 ;表面状态 ;特殊要求 ;规格标准号 GB/T 342-1997</t>
        </is>
      </c>
      <c r="F17" t="inlineStr">
        <is>
          <t>千克</t>
        </is>
      </c>
      <c r="G17">
        <f>LEFT(D17,FIND("|",D17,1)-1)</f>
        <v/>
      </c>
      <c r="H17">
        <f>MID(D17,FIND("|",D17,FIND("|",D17,1))+1,FIND("|",D17,FIND("|",D17,1)+1)-FIND("|",D17,FIND("|",D17,1))-1)</f>
        <v/>
      </c>
      <c r="J17">
        <f>MID(D17,FIND(";",SUBSTITUTE(D17,"|",REPT(";",LEN(D17)),2))+1,FIND(";",SUBSTITUTE(D17,"|",REPT(";",LEN(D17)),3))-FIND(";",SUBSTITUTE(D17,"|",REPT(";",LEN(D17)),2))-1)</f>
        <v/>
      </c>
      <c r="K17">
        <f>MID(D17,FIND(";",SUBSTITUTE(D17,"|",REPT(";",LEN(D17)),3))+1,FIND(";",SUBSTITUTE(D17,"|",REPT(";",LEN(D17)),4))-FIND(";",SUBSTITUTE(D17,"|",REPT(";",LEN(D17)),3))-1)</f>
        <v/>
      </c>
      <c r="L17">
        <f>MID(D17,FIND(";",SUBSTITUTE(D17,"|",REPT(";",LEN(D17)),4))+1,FIND(";",SUBSTITUTE(D17,"|",REPT(";",LEN(D17)),5))-FIND(";",SUBSTITUTE(D17,"|",REPT(";",LEN(D17)),4))-1)</f>
        <v/>
      </c>
      <c r="M17">
        <f>MID(D17,FIND(";",SUBSTITUTE(D17,"|",REPT(";",LEN(D17)),5))+1,LEN(D17))</f>
        <v/>
      </c>
    </row>
    <row r="18">
      <c r="A18" t="inlineStr">
        <is>
          <t>100501</t>
        </is>
      </c>
      <c r="B18" t="inlineStr">
        <is>
          <t>钢丝</t>
        </is>
      </c>
      <c r="C18" t="inlineStr">
        <is>
          <t>601341900</t>
        </is>
      </c>
      <c r="D18" t="inlineStr">
        <is>
          <t>钢丝|钢丝|0Cr18Ni9|Φ8|空</t>
        </is>
      </c>
      <c r="E18" t="inlineStr">
        <is>
          <t xml:space="preserve">物资名称 钢丝;物资简称 钢丝;牌号 0Cr18Ni9;直径 Φ8;技术标准号 空;抗拉强度 ;加工工艺 ;表面状态 ;特殊要求 ;规格标准号 </t>
        </is>
      </c>
      <c r="F18" t="inlineStr">
        <is>
          <t>千克</t>
        </is>
      </c>
      <c r="G18">
        <f>LEFT(D18,FIND("|",D18,1)-1)</f>
        <v/>
      </c>
      <c r="H18">
        <f>MID(D18,FIND("|",D18,FIND("|",D18,1))+1,FIND("|",D18,FIND("|",D18,1)+1)-FIND("|",D18,FIND("|",D18,1))-1)</f>
        <v/>
      </c>
      <c r="J18">
        <f>MID(D18,FIND(";",SUBSTITUTE(D18,"|",REPT(";",LEN(D18)),2))+1,FIND(";",SUBSTITUTE(D18,"|",REPT(";",LEN(D18)),3))-FIND(";",SUBSTITUTE(D18,"|",REPT(";",LEN(D18)),2))-1)</f>
        <v/>
      </c>
      <c r="K18">
        <f>MID(D18,FIND(";",SUBSTITUTE(D18,"|",REPT(";",LEN(D18)),3))+1,FIND(";",SUBSTITUTE(D18,"|",REPT(";",LEN(D18)),4))-FIND(";",SUBSTITUTE(D18,"|",REPT(";",LEN(D18)),3))-1)</f>
        <v/>
      </c>
      <c r="L18">
        <f>MID(D18,FIND(";",SUBSTITUTE(D18,"|",REPT(";",LEN(D18)),4))+1,LEN(D18))</f>
        <v/>
      </c>
    </row>
    <row r="19">
      <c r="A19" t="inlineStr">
        <is>
          <t>100501</t>
        </is>
      </c>
      <c r="B19" t="inlineStr">
        <is>
          <t>钢丝</t>
        </is>
      </c>
      <c r="C19" t="inlineStr">
        <is>
          <t>601341800</t>
        </is>
      </c>
      <c r="D19" t="inlineStr">
        <is>
          <t>钢丝|钢丝|10＃|Φ0.5|101/2002-1-4</t>
        </is>
      </c>
      <c r="E19" t="inlineStr">
        <is>
          <t xml:space="preserve">物资名称 钢丝;物资简称 钢丝;牌号 10＃;直径 Φ0.5;技术标准号 101/2002-1-4;抗拉强度 ;加工工艺 ;表面状态 ;特殊要求 ;规格标准号 </t>
        </is>
      </c>
      <c r="F19" t="inlineStr">
        <is>
          <t>千克</t>
        </is>
      </c>
      <c r="G19">
        <f>LEFT(D19,FIND("|",D19,1)-1)</f>
        <v/>
      </c>
      <c r="H19">
        <f>MID(D19,FIND("|",D19,FIND("|",D19,1))+1,FIND("|",D19,FIND("|",D19,1)+1)-FIND("|",D19,FIND("|",D19,1))-1)</f>
        <v/>
      </c>
      <c r="J19">
        <f>MID(D19,FIND(";",SUBSTITUTE(D19,"|",REPT(";",LEN(D19)),2))+1,FIND(";",SUBSTITUTE(D19,"|",REPT(";",LEN(D19)),3))-FIND(";",SUBSTITUTE(D19,"|",REPT(";",LEN(D19)),2))-1)</f>
        <v/>
      </c>
      <c r="K19">
        <f>MID(D19,FIND(";",SUBSTITUTE(D19,"|",REPT(";",LEN(D19)),3))+1,FIND(";",SUBSTITUTE(D19,"|",REPT(";",LEN(D19)),4))-FIND(";",SUBSTITUTE(D19,"|",REPT(";",LEN(D19)),3))-1)</f>
        <v/>
      </c>
      <c r="L19">
        <f>MID(D19,FIND(";",SUBSTITUTE(D19,"|",REPT(";",LEN(D19)),4))+1,LEN(D19))</f>
        <v/>
      </c>
    </row>
    <row r="20">
      <c r="A20" t="inlineStr">
        <is>
          <t>100501</t>
        </is>
      </c>
      <c r="B20" t="inlineStr">
        <is>
          <t>钢丝</t>
        </is>
      </c>
      <c r="C20" t="inlineStr">
        <is>
          <t>601341700</t>
        </is>
      </c>
      <c r="D20" t="inlineStr">
        <is>
          <t>钢丝|钢丝|1Cr17Ni2|Φ4|503/2002-6-17</t>
        </is>
      </c>
      <c r="E20" t="inlineStr">
        <is>
          <t xml:space="preserve">物资名称 钢丝;物资简称 钢丝;牌号 1Cr17Ni2;直径 Φ4;技术标准号 503/2002-6-17;抗拉强度 ;加工工艺 ;表面状态 ;特殊要求 ;规格标准号 </t>
        </is>
      </c>
      <c r="F20" t="inlineStr">
        <is>
          <t>千克</t>
        </is>
      </c>
      <c r="G20">
        <f>LEFT(D20,FIND("|",D20,1)-1)</f>
        <v/>
      </c>
      <c r="H20">
        <f>MID(D20,FIND("|",D20,FIND("|",D20,1))+1,FIND("|",D20,FIND("|",D20,1)+1)-FIND("|",D20,FIND("|",D20,1))-1)</f>
        <v/>
      </c>
      <c r="J20">
        <f>MID(D20,FIND(";",SUBSTITUTE(D20,"|",REPT(";",LEN(D20)),2))+1,FIND(";",SUBSTITUTE(D20,"|",REPT(";",LEN(D20)),3))-FIND(";",SUBSTITUTE(D20,"|",REPT(";",LEN(D20)),2))-1)</f>
        <v/>
      </c>
      <c r="K20">
        <f>MID(D20,FIND(";",SUBSTITUTE(D20,"|",REPT(";",LEN(D20)),3))+1,FIND(";",SUBSTITUTE(D20,"|",REPT(";",LEN(D20)),4))-FIND(";",SUBSTITUTE(D20,"|",REPT(";",LEN(D20)),3))-1)</f>
        <v/>
      </c>
      <c r="L20">
        <f>MID(D20,FIND(";",SUBSTITUTE(D20,"|",REPT(";",LEN(D20)),4))+1,LEN(D20))</f>
        <v/>
      </c>
    </row>
    <row r="21">
      <c r="A21" t="inlineStr">
        <is>
          <t>100501</t>
        </is>
      </c>
      <c r="B21" t="inlineStr">
        <is>
          <t>钢丝</t>
        </is>
      </c>
      <c r="C21" t="inlineStr">
        <is>
          <t>601341600</t>
        </is>
      </c>
      <c r="D21" t="inlineStr">
        <is>
          <t>钢丝|钢丝|1Cr17Ni2|Φ5|503/2002-6-18</t>
        </is>
      </c>
      <c r="E21" t="inlineStr">
        <is>
          <t xml:space="preserve">物资名称 钢丝;物资简称 钢丝;牌号 1Cr17Ni2;直径 Φ5;技术标准号 503/2002-6-18;抗拉强度 ;加工工艺 ;表面状态 ;特殊要求 ;规格标准号 </t>
        </is>
      </c>
      <c r="F21" t="inlineStr">
        <is>
          <t>千克</t>
        </is>
      </c>
      <c r="G21">
        <f>LEFT(D21,FIND("|",D21,1)-1)</f>
        <v/>
      </c>
      <c r="H21">
        <f>MID(D21,FIND("|",D21,FIND("|",D21,1))+1,FIND("|",D21,FIND("|",D21,1)+1)-FIND("|",D21,FIND("|",D21,1))-1)</f>
        <v/>
      </c>
      <c r="J21">
        <f>MID(D21,FIND(";",SUBSTITUTE(D21,"|",REPT(";",LEN(D21)),2))+1,FIND(";",SUBSTITUTE(D21,"|",REPT(";",LEN(D21)),3))-FIND(";",SUBSTITUTE(D21,"|",REPT(";",LEN(D21)),2))-1)</f>
        <v/>
      </c>
      <c r="K21">
        <f>MID(D21,FIND(";",SUBSTITUTE(D21,"|",REPT(";",LEN(D21)),3))+1,FIND(";",SUBSTITUTE(D21,"|",REPT(";",LEN(D21)),4))-FIND(";",SUBSTITUTE(D21,"|",REPT(";",LEN(D21)),3))-1)</f>
        <v/>
      </c>
      <c r="L21">
        <f>MID(D21,FIND(";",SUBSTITUTE(D21,"|",REPT(";",LEN(D21)),4))+1,LEN(D21))</f>
        <v/>
      </c>
    </row>
    <row r="22">
      <c r="A22" t="inlineStr">
        <is>
          <t>100501</t>
        </is>
      </c>
      <c r="B22" t="inlineStr">
        <is>
          <t>钢丝</t>
        </is>
      </c>
      <c r="C22" t="inlineStr">
        <is>
          <t>601341500</t>
        </is>
      </c>
      <c r="D22" t="inlineStr">
        <is>
          <t>钢丝|钢丝|1Cr18Ni9|Φ0.5|空</t>
        </is>
      </c>
      <c r="E22" t="inlineStr">
        <is>
          <t xml:space="preserve">物资名称 钢丝;物资简称 钢丝;牌号 1Cr18Ni9;直径 Φ0.5;技术标准号 空;抗拉强度 ;加工工艺 ;表面状态 ;特殊要求 ;规格标准号 </t>
        </is>
      </c>
      <c r="F22" t="inlineStr">
        <is>
          <t>千克</t>
        </is>
      </c>
      <c r="G22">
        <f>LEFT(D22,FIND("|",D22,1)-1)</f>
        <v/>
      </c>
      <c r="H22">
        <f>MID(D22,FIND("|",D22,FIND("|",D22,1))+1,FIND("|",D22,FIND("|",D22,1)+1)-FIND("|",D22,FIND("|",D22,1))-1)</f>
        <v/>
      </c>
      <c r="J22">
        <f>MID(D22,FIND(";",SUBSTITUTE(D22,"|",REPT(";",LEN(D22)),2))+1,FIND(";",SUBSTITUTE(D22,"|",REPT(";",LEN(D22)),3))-FIND(";",SUBSTITUTE(D22,"|",REPT(";",LEN(D22)),2))-1)</f>
        <v/>
      </c>
      <c r="K22">
        <f>MID(D22,FIND(";",SUBSTITUTE(D22,"|",REPT(";",LEN(D22)),3))+1,FIND(";",SUBSTITUTE(D22,"|",REPT(";",LEN(D22)),4))-FIND(";",SUBSTITUTE(D22,"|",REPT(";",LEN(D22)),3))-1)</f>
        <v/>
      </c>
      <c r="L22">
        <f>MID(D22,FIND(";",SUBSTITUTE(D22,"|",REPT(";",LEN(D22)),4))+1,LEN(D22))</f>
        <v/>
      </c>
    </row>
    <row r="23">
      <c r="A23" t="inlineStr">
        <is>
          <t>100501</t>
        </is>
      </c>
      <c r="B23" t="inlineStr">
        <is>
          <t>钢丝</t>
        </is>
      </c>
      <c r="C23" t="inlineStr">
        <is>
          <t>601341400</t>
        </is>
      </c>
      <c r="D23" t="inlineStr">
        <is>
          <t>钢丝|钢丝|1Cr18Ni9|Φ3|401/92-6-40</t>
        </is>
      </c>
      <c r="E23" t="inlineStr">
        <is>
          <t xml:space="preserve">物资名称 钢丝;物资简称 钢丝;牌号 1Cr18Ni9;直径 Φ3;技术标准号 401/92-6-40;抗拉强度 ;加工工艺 ;表面状态 ;特殊要求 ;规格标准号 </t>
        </is>
      </c>
      <c r="F23" t="inlineStr">
        <is>
          <t>千克</t>
        </is>
      </c>
      <c r="G23">
        <f>LEFT(D23,FIND("|",D23,1)-1)</f>
        <v/>
      </c>
      <c r="H23">
        <f>MID(D23,FIND("|",D23,FIND("|",D23,1))+1,FIND("|",D23,FIND("|",D23,1)+1)-FIND("|",D23,FIND("|",D23,1))-1)</f>
        <v/>
      </c>
      <c r="J23">
        <f>MID(D23,FIND(";",SUBSTITUTE(D23,"|",REPT(";",LEN(D23)),2))+1,FIND(";",SUBSTITUTE(D23,"|",REPT(";",LEN(D23)),3))-FIND(";",SUBSTITUTE(D23,"|",REPT(";",LEN(D23)),2))-1)</f>
        <v/>
      </c>
      <c r="K23">
        <f>MID(D23,FIND(";",SUBSTITUTE(D23,"|",REPT(";",LEN(D23)),3))+1,FIND(";",SUBSTITUTE(D23,"|",REPT(";",LEN(D23)),4))-FIND(";",SUBSTITUTE(D23,"|",REPT(";",LEN(D23)),3))-1)</f>
        <v/>
      </c>
      <c r="L23">
        <f>MID(D23,FIND(";",SUBSTITUTE(D23,"|",REPT(";",LEN(D23)),4))+1,LEN(D23))</f>
        <v/>
      </c>
    </row>
    <row r="24">
      <c r="A24" t="inlineStr">
        <is>
          <t>100501</t>
        </is>
      </c>
      <c r="B24" t="inlineStr">
        <is>
          <t>钢丝</t>
        </is>
      </c>
      <c r="C24" t="inlineStr">
        <is>
          <t>601341300</t>
        </is>
      </c>
      <c r="D24" t="inlineStr">
        <is>
          <t>钢丝|钢丝|1Cr18Ni9-A|Φ0.8|506/06-7-189</t>
        </is>
      </c>
      <c r="E24" t="inlineStr">
        <is>
          <t xml:space="preserve">物资名称 钢丝;物资简称 钢丝;牌号 1Cr18Ni9-A;直径 Φ0.8;技术标准号 506/06-7-189;抗拉强度 ;加工工艺 ;表面状态 ;特殊要求 ;规格标准号 </t>
        </is>
      </c>
      <c r="F24" t="inlineStr">
        <is>
          <t>千克</t>
        </is>
      </c>
      <c r="G24">
        <f>LEFT(D24,FIND("|",D24,1)-1)</f>
        <v/>
      </c>
      <c r="H24">
        <f>MID(D24,FIND("|",D24,FIND("|",D24,1))+1,FIND("|",D24,FIND("|",D24,1)+1)-FIND("|",D24,FIND("|",D24,1))-1)</f>
        <v/>
      </c>
      <c r="J24">
        <f>MID(D24,FIND(";",SUBSTITUTE(D24,"|",REPT(";",LEN(D24)),2))+1,FIND(";",SUBSTITUTE(D24,"|",REPT(";",LEN(D24)),3))-FIND(";",SUBSTITUTE(D24,"|",REPT(";",LEN(D24)),2))-1)</f>
        <v/>
      </c>
      <c r="K24">
        <f>MID(D24,FIND(";",SUBSTITUTE(D24,"|",REPT(";",LEN(D24)),3))+1,FIND(";",SUBSTITUTE(D24,"|",REPT(";",LEN(D24)),4))-FIND(";",SUBSTITUTE(D24,"|",REPT(";",LEN(D24)),3))-1)</f>
        <v/>
      </c>
      <c r="L24">
        <f>MID(D24,FIND(";",SUBSTITUTE(D24,"|",REPT(";",LEN(D24)),4))+1,LEN(D24))</f>
        <v/>
      </c>
    </row>
    <row r="25">
      <c r="A25" t="inlineStr">
        <is>
          <t>100501</t>
        </is>
      </c>
      <c r="B25" t="inlineStr">
        <is>
          <t>钢丝</t>
        </is>
      </c>
      <c r="C25" t="inlineStr">
        <is>
          <t>601341200</t>
        </is>
      </c>
      <c r="D25" t="inlineStr">
        <is>
          <t>钢丝|钢丝|20＃|Φ2.5|104/78-12-134</t>
        </is>
      </c>
      <c r="E25" t="inlineStr">
        <is>
          <t xml:space="preserve">物资名称 钢丝;物资简称 钢丝;牌号 20＃;直径 Φ2.5;技术标准号 104/78-12-134;抗拉强度 ;加工工艺 ;表面状态 ;特殊要求 ;规格标准号 </t>
        </is>
      </c>
      <c r="F25" t="inlineStr">
        <is>
          <t>千克</t>
        </is>
      </c>
      <c r="G25">
        <f>LEFT(D25,FIND("|",D25,1)-1)</f>
        <v/>
      </c>
      <c r="H25">
        <f>MID(D25,FIND("|",D25,FIND("|",D25,1))+1,FIND("|",D25,FIND("|",D25,1)+1)-FIND("|",D25,FIND("|",D25,1))-1)</f>
        <v/>
      </c>
      <c r="J25">
        <f>MID(D25,FIND(";",SUBSTITUTE(D25,"|",REPT(";",LEN(D25)),2))+1,FIND(";",SUBSTITUTE(D25,"|",REPT(";",LEN(D25)),3))-FIND(";",SUBSTITUTE(D25,"|",REPT(";",LEN(D25)),2))-1)</f>
        <v/>
      </c>
      <c r="K25">
        <f>MID(D25,FIND(";",SUBSTITUTE(D25,"|",REPT(";",LEN(D25)),3))+1,FIND(";",SUBSTITUTE(D25,"|",REPT(";",LEN(D25)),4))-FIND(";",SUBSTITUTE(D25,"|",REPT(";",LEN(D25)),3))-1)</f>
        <v/>
      </c>
      <c r="L25">
        <f>MID(D25,FIND(";",SUBSTITUTE(D25,"|",REPT(";",LEN(D25)),4))+1,LEN(D25))</f>
        <v/>
      </c>
    </row>
    <row r="26">
      <c r="A26" t="inlineStr">
        <is>
          <t>100501</t>
        </is>
      </c>
      <c r="B26" t="inlineStr">
        <is>
          <t>钢丝</t>
        </is>
      </c>
      <c r="C26" t="inlineStr">
        <is>
          <t>601341100</t>
        </is>
      </c>
      <c r="D26" t="inlineStr">
        <is>
          <t>钢丝|钢丝|20＃|Φ2|101/74-11-46</t>
        </is>
      </c>
      <c r="E26" t="inlineStr">
        <is>
          <t xml:space="preserve">物资名称 钢丝;物资简称 钢丝;牌号 20＃;直径 Φ2;技术标准号 101/74-11-46;抗拉强度 ;加工工艺 ;表面状态 ;特殊要求 ;规格标准号 </t>
        </is>
      </c>
      <c r="F26" t="inlineStr">
        <is>
          <t>千克</t>
        </is>
      </c>
      <c r="G26">
        <f>LEFT(D26,FIND("|",D26,1)-1)</f>
        <v/>
      </c>
      <c r="H26">
        <f>MID(D26,FIND("|",D26,FIND("|",D26,1))+1,FIND("|",D26,FIND("|",D26,1)+1)-FIND("|",D26,FIND("|",D26,1))-1)</f>
        <v/>
      </c>
      <c r="J26">
        <f>MID(D26,FIND(";",SUBSTITUTE(D26,"|",REPT(";",LEN(D26)),2))+1,FIND(";",SUBSTITUTE(D26,"|",REPT(";",LEN(D26)),3))-FIND(";",SUBSTITUTE(D26,"|",REPT(";",LEN(D26)),2))-1)</f>
        <v/>
      </c>
      <c r="K26">
        <f>MID(D26,FIND(";",SUBSTITUTE(D26,"|",REPT(";",LEN(D26)),3))+1,FIND(";",SUBSTITUTE(D26,"|",REPT(";",LEN(D26)),4))-FIND(";",SUBSTITUTE(D26,"|",REPT(";",LEN(D26)),3))-1)</f>
        <v/>
      </c>
      <c r="L26">
        <f>MID(D26,FIND(";",SUBSTITUTE(D26,"|",REPT(";",LEN(D26)),4))+1,LEN(D26))</f>
        <v/>
      </c>
    </row>
    <row r="27">
      <c r="A27" t="inlineStr">
        <is>
          <t>100501</t>
        </is>
      </c>
      <c r="B27" t="inlineStr">
        <is>
          <t>钢丝</t>
        </is>
      </c>
      <c r="C27" t="inlineStr">
        <is>
          <t>601341000</t>
        </is>
      </c>
      <c r="D27" t="inlineStr">
        <is>
          <t>钢丝|钢丝|20＃|Φ3|101/76-11-103</t>
        </is>
      </c>
      <c r="E27" t="inlineStr">
        <is>
          <t xml:space="preserve">物资名称 钢丝;物资简称 钢丝;牌号 20＃;直径 Φ3;技术标准号 101/76-11-103;抗拉强度 ;加工工艺 ;表面状态 ;特殊要求 ;规格标准号 </t>
        </is>
      </c>
      <c r="F27" t="inlineStr">
        <is>
          <t>千克</t>
        </is>
      </c>
      <c r="G27">
        <f>LEFT(D27,FIND("|",D27,1)-1)</f>
        <v/>
      </c>
      <c r="H27">
        <f>MID(D27,FIND("|",D27,FIND("|",D27,1))+1,FIND("|",D27,FIND("|",D27,1)+1)-FIND("|",D27,FIND("|",D27,1))-1)</f>
        <v/>
      </c>
      <c r="J27">
        <f>MID(D27,FIND(";",SUBSTITUTE(D27,"|",REPT(";",LEN(D27)),2))+1,FIND(";",SUBSTITUTE(D27,"|",REPT(";",LEN(D27)),3))-FIND(";",SUBSTITUTE(D27,"|",REPT(";",LEN(D27)),2))-1)</f>
        <v/>
      </c>
      <c r="K27">
        <f>MID(D27,FIND(";",SUBSTITUTE(D27,"|",REPT(";",LEN(D27)),3))+1,FIND(";",SUBSTITUTE(D27,"|",REPT(";",LEN(D27)),4))-FIND(";",SUBSTITUTE(D27,"|",REPT(";",LEN(D27)),3))-1)</f>
        <v/>
      </c>
      <c r="L27">
        <f>MID(D27,FIND(";",SUBSTITUTE(D27,"|",REPT(";",LEN(D27)),4))+1,LEN(D27))</f>
        <v/>
      </c>
    </row>
    <row r="28">
      <c r="A28" t="inlineStr">
        <is>
          <t>100501</t>
        </is>
      </c>
      <c r="B28" t="inlineStr">
        <is>
          <t>钢丝</t>
        </is>
      </c>
      <c r="C28" t="inlineStr">
        <is>
          <t>601340900</t>
        </is>
      </c>
      <c r="D28" t="inlineStr">
        <is>
          <t>钢丝|钢丝|20＃|Φ5|101/69-12-276</t>
        </is>
      </c>
      <c r="E28" t="inlineStr">
        <is>
          <t xml:space="preserve">物资名称 钢丝;物资简称 钢丝;牌号 20＃;直径 Φ5;技术标准号 101/69-12-276;抗拉强度 ;加工工艺 ;表面状态 ;特殊要求 ;规格标准号 </t>
        </is>
      </c>
      <c r="F28" t="inlineStr">
        <is>
          <t>千克</t>
        </is>
      </c>
      <c r="G28">
        <f>LEFT(D28,FIND("|",D28,1)-1)</f>
        <v/>
      </c>
      <c r="H28">
        <f>MID(D28,FIND("|",D28,FIND("|",D28,1))+1,FIND("|",D28,FIND("|",D28,1)+1)-FIND("|",D28,FIND("|",D28,1))-1)</f>
        <v/>
      </c>
      <c r="J28">
        <f>MID(D28,FIND(";",SUBSTITUTE(D28,"|",REPT(";",LEN(D28)),2))+1,FIND(";",SUBSTITUTE(D28,"|",REPT(";",LEN(D28)),3))-FIND(";",SUBSTITUTE(D28,"|",REPT(";",LEN(D28)),2))-1)</f>
        <v/>
      </c>
      <c r="K28">
        <f>MID(D28,FIND(";",SUBSTITUTE(D28,"|",REPT(";",LEN(D28)),3))+1,FIND(";",SUBSTITUTE(D28,"|",REPT(";",LEN(D28)),4))-FIND(";",SUBSTITUTE(D28,"|",REPT(";",LEN(D28)),3))-1)</f>
        <v/>
      </c>
      <c r="L28">
        <f>MID(D28,FIND(";",SUBSTITUTE(D28,"|",REPT(";",LEN(D28)),4))+1,LEN(D28))</f>
        <v/>
      </c>
    </row>
    <row r="29">
      <c r="A29" t="inlineStr">
        <is>
          <t>100501</t>
        </is>
      </c>
      <c r="B29" t="inlineStr">
        <is>
          <t>钢丝</t>
        </is>
      </c>
      <c r="C29" t="inlineStr">
        <is>
          <t>601340800</t>
        </is>
      </c>
      <c r="D29" t="inlineStr">
        <is>
          <t>钢丝|钢丝|20＃|Φ5|101/79-10-114</t>
        </is>
      </c>
      <c r="E29" t="inlineStr">
        <is>
          <t xml:space="preserve">物资名称 钢丝;物资简称 钢丝;牌号 20＃;直径 Φ5;技术标准号 101/79-10-114;抗拉强度 ;加工工艺 ;表面状态 ;特殊要求 ;规格标准号 </t>
        </is>
      </c>
      <c r="F29" t="inlineStr">
        <is>
          <t>千克</t>
        </is>
      </c>
      <c r="G29">
        <f>LEFT(D29,FIND("|",D29,1)-1)</f>
        <v/>
      </c>
      <c r="H29">
        <f>MID(D29,FIND("|",D29,FIND("|",D29,1))+1,FIND("|",D29,FIND("|",D29,1)+1)-FIND("|",D29,FIND("|",D29,1))-1)</f>
        <v/>
      </c>
      <c r="J29">
        <f>MID(D29,FIND(";",SUBSTITUTE(D29,"|",REPT(";",LEN(D29)),2))+1,FIND(";",SUBSTITUTE(D29,"|",REPT(";",LEN(D29)),3))-FIND(";",SUBSTITUTE(D29,"|",REPT(";",LEN(D29)),2))-1)</f>
        <v/>
      </c>
      <c r="K29">
        <f>MID(D29,FIND(";",SUBSTITUTE(D29,"|",REPT(";",LEN(D29)),3))+1,FIND(";",SUBSTITUTE(D29,"|",REPT(";",LEN(D29)),4))-FIND(";",SUBSTITUTE(D29,"|",REPT(";",LEN(D29)),3))-1)</f>
        <v/>
      </c>
      <c r="L29">
        <f>MID(D29,FIND(";",SUBSTITUTE(D29,"|",REPT(";",LEN(D29)),4))+1,LEN(D29))</f>
        <v/>
      </c>
    </row>
    <row r="30">
      <c r="A30" t="inlineStr">
        <is>
          <t>100501</t>
        </is>
      </c>
      <c r="B30" t="inlineStr">
        <is>
          <t>钢丝</t>
        </is>
      </c>
      <c r="C30" t="inlineStr">
        <is>
          <t>601340700</t>
        </is>
      </c>
      <c r="D30" t="inlineStr">
        <is>
          <t>钢丝|钢丝|2Cr13|Φ4|空</t>
        </is>
      </c>
      <c r="E30" t="inlineStr">
        <is>
          <t xml:space="preserve">物资名称 钢丝;物资简称 钢丝;牌号 2Cr13;直径 Φ4;技术标准号 空;抗拉强度 ;加工工艺 ;表面状态 ;特殊要求 ;规格标准号 </t>
        </is>
      </c>
      <c r="F30" t="inlineStr">
        <is>
          <t>千克</t>
        </is>
      </c>
      <c r="G30">
        <f>LEFT(D30,FIND("|",D30,1)-1)</f>
        <v/>
      </c>
      <c r="H30">
        <f>MID(D30,FIND("|",D30,FIND("|",D30,1))+1,FIND("|",D30,FIND("|",D30,1)+1)-FIND("|",D30,FIND("|",D30,1))-1)</f>
        <v/>
      </c>
      <c r="J30">
        <f>MID(D30,FIND(";",SUBSTITUTE(D30,"|",REPT(";",LEN(D30)),2))+1,FIND(";",SUBSTITUTE(D30,"|",REPT(";",LEN(D30)),3))-FIND(";",SUBSTITUTE(D30,"|",REPT(";",LEN(D30)),2))-1)</f>
        <v/>
      </c>
      <c r="K30">
        <f>MID(D30,FIND(";",SUBSTITUTE(D30,"|",REPT(";",LEN(D30)),3))+1,FIND(";",SUBSTITUTE(D30,"|",REPT(";",LEN(D30)),4))-FIND(";",SUBSTITUTE(D30,"|",REPT(";",LEN(D30)),3))-1)</f>
        <v/>
      </c>
      <c r="L30">
        <f>MID(D30,FIND(";",SUBSTITUTE(D30,"|",REPT(";",LEN(D30)),4))+1,LEN(D30))</f>
        <v/>
      </c>
    </row>
    <row r="31">
      <c r="A31" t="inlineStr">
        <is>
          <t>100501</t>
        </is>
      </c>
      <c r="B31" t="inlineStr">
        <is>
          <t>钢丝</t>
        </is>
      </c>
      <c r="C31" t="inlineStr">
        <is>
          <t>601340600</t>
        </is>
      </c>
      <c r="D31" t="inlineStr">
        <is>
          <t>钢丝|钢丝|2Cr13|Φ5|107/07-8-3</t>
        </is>
      </c>
      <c r="E31" t="inlineStr">
        <is>
          <t xml:space="preserve">物资名称 钢丝;物资简称 钢丝;牌号 2Cr13;直径 Φ5;技术标准号 107/07-8-3;抗拉强度 ;加工工艺 ;表面状态 ;特殊要求 ;规格标准号 </t>
        </is>
      </c>
      <c r="F31" t="inlineStr">
        <is>
          <t>千克</t>
        </is>
      </c>
      <c r="G31">
        <f>LEFT(D31,FIND("|",D31,1)-1)</f>
        <v/>
      </c>
      <c r="H31">
        <f>MID(D31,FIND("|",D31,FIND("|",D31,1))+1,FIND("|",D31,FIND("|",D31,1)+1)-FIND("|",D31,FIND("|",D31,1))-1)</f>
        <v/>
      </c>
      <c r="J31">
        <f>MID(D31,FIND(";",SUBSTITUTE(D31,"|",REPT(";",LEN(D31)),2))+1,FIND(";",SUBSTITUTE(D31,"|",REPT(";",LEN(D31)),3))-FIND(";",SUBSTITUTE(D31,"|",REPT(";",LEN(D31)),2))-1)</f>
        <v/>
      </c>
      <c r="K31">
        <f>MID(D31,FIND(";",SUBSTITUTE(D31,"|",REPT(";",LEN(D31)),3))+1,FIND(";",SUBSTITUTE(D31,"|",REPT(";",LEN(D31)),4))-FIND(";",SUBSTITUTE(D31,"|",REPT(";",LEN(D31)),3))-1)</f>
        <v/>
      </c>
      <c r="L31">
        <f>MID(D31,FIND(";",SUBSTITUTE(D31,"|",REPT(";",LEN(D31)),4))+1,LEN(D31))</f>
        <v/>
      </c>
    </row>
    <row r="32">
      <c r="A32" t="inlineStr">
        <is>
          <t>100501</t>
        </is>
      </c>
      <c r="B32" t="inlineStr">
        <is>
          <t>钢丝</t>
        </is>
      </c>
      <c r="C32" t="inlineStr">
        <is>
          <t>601340500</t>
        </is>
      </c>
      <c r="D32" t="inlineStr">
        <is>
          <t>钢丝|钢丝|2Cr13|Φ6|101/68-12-215</t>
        </is>
      </c>
      <c r="E32" t="inlineStr">
        <is>
          <t xml:space="preserve">物资名称 钢丝;物资简称 钢丝;牌号 2Cr13;直径 Φ6;技术标准号 101/68-12-215;抗拉强度 ;加工工艺 ;表面状态 ;特殊要求 ;规格标准号 </t>
        </is>
      </c>
      <c r="F32" t="inlineStr">
        <is>
          <t>千克</t>
        </is>
      </c>
      <c r="G32">
        <f>LEFT(D32,FIND("|",D32,1)-1)</f>
        <v/>
      </c>
      <c r="H32">
        <f>MID(D32,FIND("|",D32,FIND("|",D32,1))+1,FIND("|",D32,FIND("|",D32,1)+1)-FIND("|",D32,FIND("|",D32,1))-1)</f>
        <v/>
      </c>
      <c r="J32">
        <f>MID(D32,FIND(";",SUBSTITUTE(D32,"|",REPT(";",LEN(D32)),2))+1,FIND(";",SUBSTITUTE(D32,"|",REPT(";",LEN(D32)),3))-FIND(";",SUBSTITUTE(D32,"|",REPT(";",LEN(D32)),2))-1)</f>
        <v/>
      </c>
      <c r="K32">
        <f>MID(D32,FIND(";",SUBSTITUTE(D32,"|",REPT(";",LEN(D32)),3))+1,FIND(";",SUBSTITUTE(D32,"|",REPT(";",LEN(D32)),4))-FIND(";",SUBSTITUTE(D32,"|",REPT(";",LEN(D32)),3))-1)</f>
        <v/>
      </c>
      <c r="L32">
        <f>MID(D32,FIND(";",SUBSTITUTE(D32,"|",REPT(";",LEN(D32)),4))+1,LEN(D32))</f>
        <v/>
      </c>
    </row>
    <row r="33">
      <c r="A33" t="inlineStr">
        <is>
          <t>100501</t>
        </is>
      </c>
      <c r="B33" t="inlineStr">
        <is>
          <t>钢丝</t>
        </is>
      </c>
      <c r="C33" t="inlineStr">
        <is>
          <t>601340400</t>
        </is>
      </c>
      <c r="D33" t="inlineStr">
        <is>
          <t>钢丝|钢丝|2Cr13|Φ7|101/67-4-126</t>
        </is>
      </c>
      <c r="E33" t="inlineStr">
        <is>
          <t xml:space="preserve">物资名称 钢丝;物资简称 钢丝;牌号 2Cr13;直径 Φ7;技术标准号 101/67-4-126;抗拉强度 ;加工工艺 ;表面状态 ;特殊要求 ;规格标准号 </t>
        </is>
      </c>
      <c r="F33" t="inlineStr">
        <is>
          <t>千克</t>
        </is>
      </c>
      <c r="G33">
        <f>LEFT(D33,FIND("|",D33,1)-1)</f>
        <v/>
      </c>
      <c r="H33">
        <f>MID(D33,FIND("|",D33,FIND("|",D33,1))+1,FIND("|",D33,FIND("|",D33,1)+1)-FIND("|",D33,FIND("|",D33,1))-1)</f>
        <v/>
      </c>
      <c r="J33">
        <f>MID(D33,FIND(";",SUBSTITUTE(D33,"|",REPT(";",LEN(D33)),2))+1,FIND(";",SUBSTITUTE(D33,"|",REPT(";",LEN(D33)),3))-FIND(";",SUBSTITUTE(D33,"|",REPT(";",LEN(D33)),2))-1)</f>
        <v/>
      </c>
      <c r="K33">
        <f>MID(D33,FIND(";",SUBSTITUTE(D33,"|",REPT(";",LEN(D33)),3))+1,FIND(";",SUBSTITUTE(D33,"|",REPT(";",LEN(D33)),4))-FIND(";",SUBSTITUTE(D33,"|",REPT(";",LEN(D33)),3))-1)</f>
        <v/>
      </c>
      <c r="L33">
        <f>MID(D33,FIND(";",SUBSTITUTE(D33,"|",REPT(";",LEN(D33)),4))+1,LEN(D33))</f>
        <v/>
      </c>
    </row>
    <row r="34">
      <c r="A34" t="inlineStr">
        <is>
          <t>100501</t>
        </is>
      </c>
      <c r="B34" t="inlineStr">
        <is>
          <t>钢丝</t>
        </is>
      </c>
      <c r="C34" t="inlineStr">
        <is>
          <t>601340300</t>
        </is>
      </c>
      <c r="D34" t="inlineStr">
        <is>
          <t>钢丝|钢丝|2Cr13Ni2|Φ2.5|101/66-11-449</t>
        </is>
      </c>
      <c r="E34" t="inlineStr">
        <is>
          <t xml:space="preserve">物资名称 钢丝;物资简称 钢丝;牌号 2Cr13Ni2;直径 Φ2.5;技术标准号 101/66-11-449;抗拉强度 ;加工工艺 ;表面状态 ;特殊要求 ;规格标准号 </t>
        </is>
      </c>
      <c r="F34" t="inlineStr">
        <is>
          <t>千克</t>
        </is>
      </c>
      <c r="G34">
        <f>LEFT(D34,FIND("|",D34,1)-1)</f>
        <v/>
      </c>
      <c r="H34">
        <f>MID(D34,FIND("|",D34,FIND("|",D34,1))+1,FIND("|",D34,FIND("|",D34,1)+1)-FIND("|",D34,FIND("|",D34,1))-1)</f>
        <v/>
      </c>
      <c r="J34">
        <f>MID(D34,FIND(";",SUBSTITUTE(D34,"|",REPT(";",LEN(D34)),2))+1,FIND(";",SUBSTITUTE(D34,"|",REPT(";",LEN(D34)),3))-FIND(";",SUBSTITUTE(D34,"|",REPT(";",LEN(D34)),2))-1)</f>
        <v/>
      </c>
      <c r="K34">
        <f>MID(D34,FIND(";",SUBSTITUTE(D34,"|",REPT(";",LEN(D34)),3))+1,FIND(";",SUBSTITUTE(D34,"|",REPT(";",LEN(D34)),4))-FIND(";",SUBSTITUTE(D34,"|",REPT(";",LEN(D34)),3))-1)</f>
        <v/>
      </c>
      <c r="L34">
        <f>MID(D34,FIND(";",SUBSTITUTE(D34,"|",REPT(";",LEN(D34)),4))+1,LEN(D34))</f>
        <v/>
      </c>
    </row>
    <row r="35">
      <c r="A35" t="inlineStr">
        <is>
          <t>100501</t>
        </is>
      </c>
      <c r="B35" t="inlineStr">
        <is>
          <t>钢丝</t>
        </is>
      </c>
      <c r="C35" t="inlineStr">
        <is>
          <t>601340200</t>
        </is>
      </c>
      <c r="D35" t="inlineStr">
        <is>
          <t>钢丝|钢丝|2Cr13Ni2|Φ3|101/66-7-277</t>
        </is>
      </c>
      <c r="E35" t="inlineStr">
        <is>
          <t xml:space="preserve">物资名称 钢丝;物资简称 钢丝;牌号 2Cr13Ni2;直径 Φ3;技术标准号 101/66-7-277;抗拉强度 ;加工工艺 ;表面状态 ;特殊要求 ;规格标准号 </t>
        </is>
      </c>
      <c r="F35" t="inlineStr">
        <is>
          <t>千克</t>
        </is>
      </c>
      <c r="G35">
        <f>LEFT(D35,FIND("|",D35,1)-1)</f>
        <v/>
      </c>
      <c r="H35">
        <f>MID(D35,FIND("|",D35,FIND("|",D35,1))+1,FIND("|",D35,FIND("|",D35,1)+1)-FIND("|",D35,FIND("|",D35,1))-1)</f>
        <v/>
      </c>
      <c r="J35">
        <f>MID(D35,FIND(";",SUBSTITUTE(D35,"|",REPT(";",LEN(D35)),2))+1,FIND(";",SUBSTITUTE(D35,"|",REPT(";",LEN(D35)),3))-FIND(";",SUBSTITUTE(D35,"|",REPT(";",LEN(D35)),2))-1)</f>
        <v/>
      </c>
      <c r="K35">
        <f>MID(D35,FIND(";",SUBSTITUTE(D35,"|",REPT(";",LEN(D35)),3))+1,FIND(";",SUBSTITUTE(D35,"|",REPT(";",LEN(D35)),4))-FIND(";",SUBSTITUTE(D35,"|",REPT(";",LEN(D35)),3))-1)</f>
        <v/>
      </c>
      <c r="L35">
        <f>MID(D35,FIND(";",SUBSTITUTE(D35,"|",REPT(";",LEN(D35)),4))+1,LEN(D35))</f>
        <v/>
      </c>
    </row>
    <row r="36">
      <c r="A36" t="inlineStr">
        <is>
          <t>100501</t>
        </is>
      </c>
      <c r="B36" t="inlineStr">
        <is>
          <t>钢丝</t>
        </is>
      </c>
      <c r="C36" t="inlineStr">
        <is>
          <t>601340100</t>
        </is>
      </c>
      <c r="D36" t="inlineStr">
        <is>
          <t>钢丝|钢丝|2Cr13Ni2|Φ1.5|101/74-12-63</t>
        </is>
      </c>
      <c r="E36" t="inlineStr">
        <is>
          <t xml:space="preserve">物资名称 钢丝;物资简称 钢丝;牌号 2Cr13Ni2;直径 Φ1.5;技术标准号 101/74-12-63;抗拉强度 ;加工工艺 ;表面状态 ;特殊要求 ;规格标准号 </t>
        </is>
      </c>
      <c r="F36" t="inlineStr">
        <is>
          <t>千克</t>
        </is>
      </c>
      <c r="G36">
        <f>LEFT(D36,FIND("|",D36,1)-1)</f>
        <v/>
      </c>
      <c r="H36">
        <f>MID(D36,FIND("|",D36,FIND("|",D36,1))+1,FIND("|",D36,FIND("|",D36,1)+1)-FIND("|",D36,FIND("|",D36,1))-1)</f>
        <v/>
      </c>
      <c r="J36">
        <f>MID(D36,FIND(";",SUBSTITUTE(D36,"|",REPT(";",LEN(D36)),2))+1,FIND(";",SUBSTITUTE(D36,"|",REPT(";",LEN(D36)),3))-FIND(";",SUBSTITUTE(D36,"|",REPT(";",LEN(D36)),2))-1)</f>
        <v/>
      </c>
      <c r="K36">
        <f>MID(D36,FIND(";",SUBSTITUTE(D36,"|",REPT(";",LEN(D36)),3))+1,FIND(";",SUBSTITUTE(D36,"|",REPT(";",LEN(D36)),4))-FIND(";",SUBSTITUTE(D36,"|",REPT(";",LEN(D36)),3))-1)</f>
        <v/>
      </c>
      <c r="L36">
        <f>MID(D36,FIND(";",SUBSTITUTE(D36,"|",REPT(";",LEN(D36)),4))+1,LEN(D36))</f>
        <v/>
      </c>
    </row>
    <row r="37">
      <c r="A37" t="inlineStr">
        <is>
          <t>100501</t>
        </is>
      </c>
      <c r="B37" t="inlineStr">
        <is>
          <t>钢丝</t>
        </is>
      </c>
      <c r="C37" t="inlineStr">
        <is>
          <t>601340000</t>
        </is>
      </c>
      <c r="D37" t="inlineStr">
        <is>
          <t>钢丝|钢丝|2Cr13Ni2|Φ6|107/05-12-10</t>
        </is>
      </c>
      <c r="E37" t="inlineStr">
        <is>
          <t xml:space="preserve">物资名称 钢丝;物资简称 钢丝;牌号 2Cr13Ni2;直径 Φ6;技术标准号 107/05-12-10;抗拉强度 ;加工工艺 ;表面状态 ;特殊要求 ;规格标准号 </t>
        </is>
      </c>
      <c r="F37" t="inlineStr">
        <is>
          <t>千克</t>
        </is>
      </c>
      <c r="G37">
        <f>LEFT(D37,FIND("|",D37,1)-1)</f>
        <v/>
      </c>
      <c r="H37">
        <f>MID(D37,FIND("|",D37,FIND("|",D37,1))+1,FIND("|",D37,FIND("|",D37,1)+1)-FIND("|",D37,FIND("|",D37,1))-1)</f>
        <v/>
      </c>
      <c r="J37">
        <f>MID(D37,FIND(";",SUBSTITUTE(D37,"|",REPT(";",LEN(D37)),2))+1,FIND(";",SUBSTITUTE(D37,"|",REPT(";",LEN(D37)),3))-FIND(";",SUBSTITUTE(D37,"|",REPT(";",LEN(D37)),2))-1)</f>
        <v/>
      </c>
      <c r="K37">
        <f>MID(D37,FIND(";",SUBSTITUTE(D37,"|",REPT(";",LEN(D37)),3))+1,FIND(";",SUBSTITUTE(D37,"|",REPT(";",LEN(D37)),4))-FIND(";",SUBSTITUTE(D37,"|",REPT(";",LEN(D37)),3))-1)</f>
        <v/>
      </c>
      <c r="L37">
        <f>MID(D37,FIND(";",SUBSTITUTE(D37,"|",REPT(";",LEN(D37)),4))+1,LEN(D37))</f>
        <v/>
      </c>
    </row>
    <row r="38">
      <c r="A38" t="inlineStr">
        <is>
          <t>100501</t>
        </is>
      </c>
      <c r="B38" t="inlineStr">
        <is>
          <t>钢丝</t>
        </is>
      </c>
      <c r="C38" t="inlineStr">
        <is>
          <t>601339900</t>
        </is>
      </c>
      <c r="D38" t="inlineStr">
        <is>
          <t>钢丝|钢丝|2Cr13Ni2|Φ7|107/05-12-11</t>
        </is>
      </c>
      <c r="E38" t="inlineStr">
        <is>
          <t xml:space="preserve">物资名称 钢丝;物资简称 钢丝;牌号 2Cr13Ni2;直径 Φ7;技术标准号 107/05-12-11;抗拉强度 ;加工工艺 ;表面状态 ;特殊要求 ;规格标准号 </t>
        </is>
      </c>
      <c r="F38" t="inlineStr">
        <is>
          <t>千克</t>
        </is>
      </c>
      <c r="G38">
        <f>LEFT(D38,FIND("|",D38,1)-1)</f>
        <v/>
      </c>
      <c r="H38">
        <f>MID(D38,FIND("|",D38,FIND("|",D38,1))+1,FIND("|",D38,FIND("|",D38,1)+1)-FIND("|",D38,FIND("|",D38,1))-1)</f>
        <v/>
      </c>
      <c r="J38">
        <f>MID(D38,FIND(";",SUBSTITUTE(D38,"|",REPT(";",LEN(D38)),2))+1,FIND(";",SUBSTITUTE(D38,"|",REPT(";",LEN(D38)),3))-FIND(";",SUBSTITUTE(D38,"|",REPT(";",LEN(D38)),2))-1)</f>
        <v/>
      </c>
      <c r="K38">
        <f>MID(D38,FIND(";",SUBSTITUTE(D38,"|",REPT(";",LEN(D38)),3))+1,FIND(";",SUBSTITUTE(D38,"|",REPT(";",LEN(D38)),4))-FIND(";",SUBSTITUTE(D38,"|",REPT(";",LEN(D38)),3))-1)</f>
        <v/>
      </c>
      <c r="L38">
        <f>MID(D38,FIND(";",SUBSTITUTE(D38,"|",REPT(";",LEN(D38)),4))+1,LEN(D38))</f>
        <v/>
      </c>
    </row>
    <row r="39">
      <c r="A39" t="inlineStr">
        <is>
          <t>100501</t>
        </is>
      </c>
      <c r="B39" t="inlineStr">
        <is>
          <t>钢丝</t>
        </is>
      </c>
      <c r="C39" t="inlineStr">
        <is>
          <t>601339800</t>
        </is>
      </c>
      <c r="D39" t="inlineStr">
        <is>
          <t>钢丝|钢丝|45#|Φ4|空</t>
        </is>
      </c>
      <c r="E39" t="inlineStr">
        <is>
          <t xml:space="preserve">物资名称 钢丝;物资简称 钢丝;牌号 45#;直径 Φ4;技术标准号 空;抗拉强度 ;加工工艺 ;表面状态 ;特殊要求 ;规格标准号 </t>
        </is>
      </c>
      <c r="F39" t="inlineStr">
        <is>
          <t>千克</t>
        </is>
      </c>
      <c r="G39">
        <f>LEFT(D39,FIND("|",D39,1)-1)</f>
        <v/>
      </c>
      <c r="H39">
        <f>MID(D39,FIND("|",D39,FIND("|",D39,1))+1,FIND("|",D39,FIND("|",D39,1)+1)-FIND("|",D39,FIND("|",D39,1))-1)</f>
        <v/>
      </c>
      <c r="J39">
        <f>MID(D39,FIND(";",SUBSTITUTE(D39,"|",REPT(";",LEN(D39)),2))+1,FIND(";",SUBSTITUTE(D39,"|",REPT(";",LEN(D39)),3))-FIND(";",SUBSTITUTE(D39,"|",REPT(";",LEN(D39)),2))-1)</f>
        <v/>
      </c>
      <c r="K39">
        <f>MID(D39,FIND(";",SUBSTITUTE(D39,"|",REPT(";",LEN(D39)),3))+1,FIND(";",SUBSTITUTE(D39,"|",REPT(";",LEN(D39)),4))-FIND(";",SUBSTITUTE(D39,"|",REPT(";",LEN(D39)),3))-1)</f>
        <v/>
      </c>
      <c r="L39">
        <f>MID(D39,FIND(";",SUBSTITUTE(D39,"|",REPT(";",LEN(D39)),4))+1,LEN(D39))</f>
        <v/>
      </c>
    </row>
    <row r="40">
      <c r="A40" t="inlineStr">
        <is>
          <t>100501</t>
        </is>
      </c>
      <c r="B40" t="inlineStr">
        <is>
          <t>钢丝</t>
        </is>
      </c>
      <c r="C40" t="inlineStr">
        <is>
          <t>601339700</t>
        </is>
      </c>
      <c r="D40" t="inlineStr">
        <is>
          <t>钢丝|钢丝|45#|Φ5|107/2005-4-5</t>
        </is>
      </c>
      <c r="E40" t="inlineStr">
        <is>
          <t xml:space="preserve">物资名称 钢丝;物资简称 钢丝;牌号 45#;直径 Φ5;技术标准号 107/2005-4-5;抗拉强度 ;加工工艺 ;表面状态 ;特殊要求 ;规格标准号 </t>
        </is>
      </c>
      <c r="F40" t="inlineStr">
        <is>
          <t>千克</t>
        </is>
      </c>
      <c r="G40">
        <f>LEFT(D40,FIND("|",D40,1)-1)</f>
        <v/>
      </c>
      <c r="H40">
        <f>MID(D40,FIND("|",D40,FIND("|",D40,1))+1,FIND("|",D40,FIND("|",D40,1)+1)-FIND("|",D40,FIND("|",D40,1))-1)</f>
        <v/>
      </c>
      <c r="J40">
        <f>MID(D40,FIND(";",SUBSTITUTE(D40,"|",REPT(";",LEN(D40)),2))+1,FIND(";",SUBSTITUTE(D40,"|",REPT(";",LEN(D40)),3))-FIND(";",SUBSTITUTE(D40,"|",REPT(";",LEN(D40)),2))-1)</f>
        <v/>
      </c>
      <c r="K40">
        <f>MID(D40,FIND(";",SUBSTITUTE(D40,"|",REPT(";",LEN(D40)),3))+1,FIND(";",SUBSTITUTE(D40,"|",REPT(";",LEN(D40)),4))-FIND(";",SUBSTITUTE(D40,"|",REPT(";",LEN(D40)),3))-1)</f>
        <v/>
      </c>
      <c r="L40">
        <f>MID(D40,FIND(";",SUBSTITUTE(D40,"|",REPT(";",LEN(D40)),4))+1,LEN(D40))</f>
        <v/>
      </c>
    </row>
    <row r="41">
      <c r="A41" t="inlineStr">
        <is>
          <t>100501</t>
        </is>
      </c>
      <c r="B41" t="inlineStr">
        <is>
          <t>钢丝</t>
        </is>
      </c>
      <c r="C41" t="inlineStr">
        <is>
          <t>601339600</t>
        </is>
      </c>
      <c r="D41" t="inlineStr">
        <is>
          <t>钢丝|钢丝|45#|Φ6|101/2000-10-93</t>
        </is>
      </c>
      <c r="E41" t="inlineStr">
        <is>
          <t xml:space="preserve">物资名称 钢丝;物资简称 钢丝;牌号 45#;直径 Φ6;技术标准号 101/2000-10-93;抗拉强度 ;加工工艺 ;表面状态 ;特殊要求 ;规格标准号 </t>
        </is>
      </c>
      <c r="F41" t="inlineStr">
        <is>
          <t>千克</t>
        </is>
      </c>
      <c r="G41">
        <f>LEFT(D41,FIND("|",D41,1)-1)</f>
        <v/>
      </c>
      <c r="H41">
        <f>MID(D41,FIND("|",D41,FIND("|",D41,1))+1,FIND("|",D41,FIND("|",D41,1)+1)-FIND("|",D41,FIND("|",D41,1))-1)</f>
        <v/>
      </c>
      <c r="J41">
        <f>MID(D41,FIND(";",SUBSTITUTE(D41,"|",REPT(";",LEN(D41)),2))+1,FIND(";",SUBSTITUTE(D41,"|",REPT(";",LEN(D41)),3))-FIND(";",SUBSTITUTE(D41,"|",REPT(";",LEN(D41)),2))-1)</f>
        <v/>
      </c>
      <c r="K41">
        <f>MID(D41,FIND(";",SUBSTITUTE(D41,"|",REPT(";",LEN(D41)),3))+1,FIND(";",SUBSTITUTE(D41,"|",REPT(";",LEN(D41)),4))-FIND(";",SUBSTITUTE(D41,"|",REPT(";",LEN(D41)),3))-1)</f>
        <v/>
      </c>
      <c r="L41">
        <f>MID(D41,FIND(";",SUBSTITUTE(D41,"|",REPT(";",LEN(D41)),4))+1,LEN(D41))</f>
        <v/>
      </c>
    </row>
    <row r="42">
      <c r="A42" t="inlineStr">
        <is>
          <t>100501</t>
        </is>
      </c>
      <c r="B42" t="inlineStr">
        <is>
          <t>钢丝</t>
        </is>
      </c>
      <c r="C42" t="inlineStr">
        <is>
          <t>601339500</t>
        </is>
      </c>
      <c r="D42" t="inlineStr">
        <is>
          <t>钢丝|钢丝|45#|Φ6|101/2001-4-16</t>
        </is>
      </c>
      <c r="E42" t="inlineStr">
        <is>
          <t xml:space="preserve">物资名称 钢丝;物资简称 钢丝;牌号 45#;直径 Φ6;技术标准号 101/2001-4-16;抗拉强度 ;加工工艺 ;表面状态 ;特殊要求 ;规格标准号 </t>
        </is>
      </c>
      <c r="F42" t="inlineStr">
        <is>
          <t>千克</t>
        </is>
      </c>
      <c r="G42">
        <f>LEFT(D42,FIND("|",D42,1)-1)</f>
        <v/>
      </c>
      <c r="H42">
        <f>MID(D42,FIND("|",D42,FIND("|",D42,1))+1,FIND("|",D42,FIND("|",D42,1)+1)-FIND("|",D42,FIND("|",D42,1))-1)</f>
        <v/>
      </c>
      <c r="J42">
        <f>MID(D42,FIND(";",SUBSTITUTE(D42,"|",REPT(";",LEN(D42)),2))+1,FIND(";",SUBSTITUTE(D42,"|",REPT(";",LEN(D42)),3))-FIND(";",SUBSTITUTE(D42,"|",REPT(";",LEN(D42)),2))-1)</f>
        <v/>
      </c>
      <c r="K42">
        <f>MID(D42,FIND(";",SUBSTITUTE(D42,"|",REPT(";",LEN(D42)),3))+1,FIND(";",SUBSTITUTE(D42,"|",REPT(";",LEN(D42)),4))-FIND(";",SUBSTITUTE(D42,"|",REPT(";",LEN(D42)),3))-1)</f>
        <v/>
      </c>
      <c r="L42">
        <f>MID(D42,FIND(";",SUBSTITUTE(D42,"|",REPT(";",LEN(D42)),4))+1,LEN(D42))</f>
        <v/>
      </c>
    </row>
    <row r="43">
      <c r="A43" t="inlineStr">
        <is>
          <t>100501</t>
        </is>
      </c>
      <c r="B43" t="inlineStr">
        <is>
          <t>钢丝</t>
        </is>
      </c>
      <c r="C43" t="inlineStr">
        <is>
          <t>601339400</t>
        </is>
      </c>
      <c r="D43" t="inlineStr">
        <is>
          <t>钢丝|钢丝|45#y|Φ3|942/05-12-200</t>
        </is>
      </c>
      <c r="E43" t="inlineStr">
        <is>
          <t xml:space="preserve">物资名称 钢丝;物资简称 钢丝;牌号 45#y;直径 Φ3;技术标准号 942/05-12-200;抗拉强度 ;加工工艺 ;表面状态 ;特殊要求 ;规格标准号 </t>
        </is>
      </c>
      <c r="F43" t="inlineStr">
        <is>
          <t>千克</t>
        </is>
      </c>
      <c r="G43">
        <f>LEFT(D43,FIND("|",D43,1)-1)</f>
        <v/>
      </c>
      <c r="H43">
        <f>MID(D43,FIND("|",D43,FIND("|",D43,1))+1,FIND("|",D43,FIND("|",D43,1)+1)-FIND("|",D43,FIND("|",D43,1))-1)</f>
        <v/>
      </c>
      <c r="J43">
        <f>MID(D43,FIND(";",SUBSTITUTE(D43,"|",REPT(";",LEN(D43)),2))+1,FIND(";",SUBSTITUTE(D43,"|",REPT(";",LEN(D43)),3))-FIND(";",SUBSTITUTE(D43,"|",REPT(";",LEN(D43)),2))-1)</f>
        <v/>
      </c>
      <c r="K43">
        <f>MID(D43,FIND(";",SUBSTITUTE(D43,"|",REPT(";",LEN(D43)),3))+1,FIND(";",SUBSTITUTE(D43,"|",REPT(";",LEN(D43)),4))-FIND(";",SUBSTITUTE(D43,"|",REPT(";",LEN(D43)),3))-1)</f>
        <v/>
      </c>
      <c r="L43">
        <f>MID(D43,FIND(";",SUBSTITUTE(D43,"|",REPT(";",LEN(D43)),4))+1,LEN(D43))</f>
        <v/>
      </c>
    </row>
    <row r="44">
      <c r="A44" t="inlineStr">
        <is>
          <t>100501</t>
        </is>
      </c>
      <c r="B44" t="inlineStr">
        <is>
          <t>钢丝</t>
        </is>
      </c>
      <c r="C44" t="inlineStr">
        <is>
          <t>601339300</t>
        </is>
      </c>
      <c r="D44" t="inlineStr">
        <is>
          <t>钢丝|钢丝|50#|Φ2|104/67-8-178</t>
        </is>
      </c>
      <c r="E44" t="inlineStr">
        <is>
          <t xml:space="preserve">物资名称 钢丝;物资简称 钢丝;牌号 50#;直径 Φ2;技术标准号 104/67-8-178;抗拉强度 ;加工工艺 ;表面状态 ;特殊要求 ;规格标准号 </t>
        </is>
      </c>
      <c r="F44" t="inlineStr">
        <is>
          <t>千克</t>
        </is>
      </c>
      <c r="G44">
        <f>LEFT(D44,FIND("|",D44,1)-1)</f>
        <v/>
      </c>
      <c r="H44">
        <f>MID(D44,FIND("|",D44,FIND("|",D44,1))+1,FIND("|",D44,FIND("|",D44,1)+1)-FIND("|",D44,FIND("|",D44,1))-1)</f>
        <v/>
      </c>
      <c r="J44">
        <f>MID(D44,FIND(";",SUBSTITUTE(D44,"|",REPT(";",LEN(D44)),2))+1,FIND(";",SUBSTITUTE(D44,"|",REPT(";",LEN(D44)),3))-FIND(";",SUBSTITUTE(D44,"|",REPT(";",LEN(D44)),2))-1)</f>
        <v/>
      </c>
      <c r="K44">
        <f>MID(D44,FIND(";",SUBSTITUTE(D44,"|",REPT(";",LEN(D44)),3))+1,FIND(";",SUBSTITUTE(D44,"|",REPT(";",LEN(D44)),4))-FIND(";",SUBSTITUTE(D44,"|",REPT(";",LEN(D44)),3))-1)</f>
        <v/>
      </c>
      <c r="L44">
        <f>MID(D44,FIND(";",SUBSTITUTE(D44,"|",REPT(";",LEN(D44)),4))+1,LEN(D44))</f>
        <v/>
      </c>
    </row>
    <row r="45">
      <c r="A45" t="inlineStr">
        <is>
          <t>100501</t>
        </is>
      </c>
      <c r="B45" t="inlineStr">
        <is>
          <t>钢丝</t>
        </is>
      </c>
      <c r="C45" t="inlineStr">
        <is>
          <t>601339200</t>
        </is>
      </c>
      <c r="D45" t="inlineStr">
        <is>
          <t>钢丝|钢丝|50#|Φ5|101/70-2-23</t>
        </is>
      </c>
      <c r="E45" t="inlineStr">
        <is>
          <t xml:space="preserve">物资名称 钢丝;物资简称 钢丝;牌号 50#;直径 Φ5;技术标准号 101/70-2-23;抗拉强度 ;加工工艺 ;表面状态 ;特殊要求 ;规格标准号 </t>
        </is>
      </c>
      <c r="F45" t="inlineStr">
        <is>
          <t>千克</t>
        </is>
      </c>
      <c r="G45">
        <f>LEFT(D45,FIND("|",D45,1)-1)</f>
        <v/>
      </c>
      <c r="H45">
        <f>MID(D45,FIND("|",D45,FIND("|",D45,1))+1,FIND("|",D45,FIND("|",D45,1)+1)-FIND("|",D45,FIND("|",D45,1))-1)</f>
        <v/>
      </c>
      <c r="J45">
        <f>MID(D45,FIND(";",SUBSTITUTE(D45,"|",REPT(";",LEN(D45)),2))+1,FIND(";",SUBSTITUTE(D45,"|",REPT(";",LEN(D45)),3))-FIND(";",SUBSTITUTE(D45,"|",REPT(";",LEN(D45)),2))-1)</f>
        <v/>
      </c>
      <c r="K45">
        <f>MID(D45,FIND(";",SUBSTITUTE(D45,"|",REPT(";",LEN(D45)),3))+1,FIND(";",SUBSTITUTE(D45,"|",REPT(";",LEN(D45)),4))-FIND(";",SUBSTITUTE(D45,"|",REPT(";",LEN(D45)),3))-1)</f>
        <v/>
      </c>
      <c r="L45">
        <f>MID(D45,FIND(";",SUBSTITUTE(D45,"|",REPT(";",LEN(D45)),4))+1,LEN(D45))</f>
        <v/>
      </c>
    </row>
    <row r="46">
      <c r="A46" t="inlineStr">
        <is>
          <t>100501</t>
        </is>
      </c>
      <c r="B46" t="inlineStr">
        <is>
          <t>钢丝</t>
        </is>
      </c>
      <c r="C46" t="inlineStr">
        <is>
          <t>601339100</t>
        </is>
      </c>
      <c r="D46" t="inlineStr">
        <is>
          <t>钢丝|钢丝|50#|Φ6|101/69-6-167</t>
        </is>
      </c>
      <c r="E46" t="inlineStr">
        <is>
          <t xml:space="preserve">物资名称 钢丝;物资简称 钢丝;牌号 50#;直径 Φ6;技术标准号 101/69-6-167;抗拉强度 ;加工工艺 ;表面状态 ;特殊要求 ;规格标准号 </t>
        </is>
      </c>
      <c r="F46" t="inlineStr">
        <is>
          <t>千克</t>
        </is>
      </c>
      <c r="G46">
        <f>LEFT(D46,FIND("|",D46,1)-1)</f>
        <v/>
      </c>
      <c r="H46">
        <f>MID(D46,FIND("|",D46,FIND("|",D46,1))+1,FIND("|",D46,FIND("|",D46,1)+1)-FIND("|",D46,FIND("|",D46,1))-1)</f>
        <v/>
      </c>
      <c r="J46">
        <f>MID(D46,FIND(";",SUBSTITUTE(D46,"|",REPT(";",LEN(D46)),2))+1,FIND(";",SUBSTITUTE(D46,"|",REPT(";",LEN(D46)),3))-FIND(";",SUBSTITUTE(D46,"|",REPT(";",LEN(D46)),2))-1)</f>
        <v/>
      </c>
      <c r="K46">
        <f>MID(D46,FIND(";",SUBSTITUTE(D46,"|",REPT(";",LEN(D46)),3))+1,FIND(";",SUBSTITUTE(D46,"|",REPT(";",LEN(D46)),4))-FIND(";",SUBSTITUTE(D46,"|",REPT(";",LEN(D46)),3))-1)</f>
        <v/>
      </c>
      <c r="L46">
        <f>MID(D46,FIND(";",SUBSTITUTE(D46,"|",REPT(";",LEN(D46)),4))+1,LEN(D46))</f>
        <v/>
      </c>
    </row>
    <row r="47">
      <c r="A47" t="inlineStr">
        <is>
          <t>100501</t>
        </is>
      </c>
      <c r="B47" t="inlineStr">
        <is>
          <t>钢丝</t>
        </is>
      </c>
      <c r="C47" t="inlineStr">
        <is>
          <t>601339000</t>
        </is>
      </c>
      <c r="D47" t="inlineStr">
        <is>
          <t>钢丝|钢丝|50CrVA|Φ1|空</t>
        </is>
      </c>
      <c r="E47" t="inlineStr">
        <is>
          <t xml:space="preserve">物资名称 钢丝;物资简称 钢丝;牌号 50CrVA;直径 Φ1;技术标准号 空;抗拉强度 ;加工工艺 ;表面状态 ;特殊要求 ;规格标准号 </t>
        </is>
      </c>
      <c r="F47" t="inlineStr">
        <is>
          <t>千克</t>
        </is>
      </c>
      <c r="G47">
        <f>LEFT(D47,FIND("|",D47,1)-1)</f>
        <v/>
      </c>
      <c r="H47">
        <f>MID(D47,FIND("|",D47,FIND("|",D47,1))+1,FIND("|",D47,FIND("|",D47,1)+1)-FIND("|",D47,FIND("|",D47,1))-1)</f>
        <v/>
      </c>
      <c r="J47">
        <f>MID(D47,FIND(";",SUBSTITUTE(D47,"|",REPT(";",LEN(D47)),2))+1,FIND(";",SUBSTITUTE(D47,"|",REPT(";",LEN(D47)),3))-FIND(";",SUBSTITUTE(D47,"|",REPT(";",LEN(D47)),2))-1)</f>
        <v/>
      </c>
      <c r="K47">
        <f>MID(D47,FIND(";",SUBSTITUTE(D47,"|",REPT(";",LEN(D47)),3))+1,FIND(";",SUBSTITUTE(D47,"|",REPT(";",LEN(D47)),4))-FIND(";",SUBSTITUTE(D47,"|",REPT(";",LEN(D47)),3))-1)</f>
        <v/>
      </c>
      <c r="L47">
        <f>MID(D47,FIND(";",SUBSTITUTE(D47,"|",REPT(";",LEN(D47)),4))+1,LEN(D47))</f>
        <v/>
      </c>
    </row>
    <row r="48">
      <c r="A48" t="inlineStr">
        <is>
          <t>100501</t>
        </is>
      </c>
      <c r="B48" t="inlineStr">
        <is>
          <t>钢丝</t>
        </is>
      </c>
      <c r="C48" t="inlineStr">
        <is>
          <t>601338900</t>
        </is>
      </c>
      <c r="D48" t="inlineStr">
        <is>
          <t>钢丝|钢丝|50CrVA|Φ2|空</t>
        </is>
      </c>
      <c r="E48" t="inlineStr">
        <is>
          <t xml:space="preserve">物资名称 钢丝;物资简称 钢丝;牌号 50CrVA;直径 Φ2;技术标准号 空;抗拉强度 ;加工工艺 ;表面状态 ;特殊要求 ;规格标准号 </t>
        </is>
      </c>
      <c r="F48" t="inlineStr">
        <is>
          <t>千克</t>
        </is>
      </c>
      <c r="G48">
        <f>LEFT(D48,FIND("|",D48,1)-1)</f>
        <v/>
      </c>
      <c r="H48">
        <f>MID(D48,FIND("|",D48,FIND("|",D48,1))+1,FIND("|",D48,FIND("|",D48,1)+1)-FIND("|",D48,FIND("|",D48,1))-1)</f>
        <v/>
      </c>
      <c r="J48">
        <f>MID(D48,FIND(";",SUBSTITUTE(D48,"|",REPT(";",LEN(D48)),2))+1,FIND(";",SUBSTITUTE(D48,"|",REPT(";",LEN(D48)),3))-FIND(";",SUBSTITUTE(D48,"|",REPT(";",LEN(D48)),2))-1)</f>
        <v/>
      </c>
      <c r="K48">
        <f>MID(D48,FIND(";",SUBSTITUTE(D48,"|",REPT(";",LEN(D48)),3))+1,FIND(";",SUBSTITUTE(D48,"|",REPT(";",LEN(D48)),4))-FIND(";",SUBSTITUTE(D48,"|",REPT(";",LEN(D48)),3))-1)</f>
        <v/>
      </c>
      <c r="L48">
        <f>MID(D48,FIND(";",SUBSTITUTE(D48,"|",REPT(";",LEN(D48)),4))+1,LEN(D48))</f>
        <v/>
      </c>
    </row>
    <row r="49">
      <c r="A49" t="inlineStr">
        <is>
          <t>100501</t>
        </is>
      </c>
      <c r="B49" t="inlineStr">
        <is>
          <t>钢丝</t>
        </is>
      </c>
      <c r="C49" t="inlineStr">
        <is>
          <t>601338800</t>
        </is>
      </c>
      <c r="D49" t="inlineStr">
        <is>
          <t>钢丝|钢丝|60Si2MnA|Φ0.8|空</t>
        </is>
      </c>
      <c r="E49" t="inlineStr">
        <is>
          <t xml:space="preserve">物资名称 钢丝;物资简称 钢丝;牌号 60Si2MnA;直径 Φ0.8;技术标准号 空;抗拉强度 ;加工工艺 ;表面状态 ;特殊要求 ;规格标准号 </t>
        </is>
      </c>
      <c r="F49" t="inlineStr">
        <is>
          <t>千克</t>
        </is>
      </c>
      <c r="G49">
        <f>LEFT(D49,FIND("|",D49,1)-1)</f>
        <v/>
      </c>
      <c r="H49">
        <f>MID(D49,FIND("|",D49,FIND("|",D49,1))+1,FIND("|",D49,FIND("|",D49,1)+1)-FIND("|",D49,FIND("|",D49,1))-1)</f>
        <v/>
      </c>
      <c r="J49">
        <f>MID(D49,FIND(";",SUBSTITUTE(D49,"|",REPT(";",LEN(D49)),2))+1,FIND(";",SUBSTITUTE(D49,"|",REPT(";",LEN(D49)),3))-FIND(";",SUBSTITUTE(D49,"|",REPT(";",LEN(D49)),2))-1)</f>
        <v/>
      </c>
      <c r="K49">
        <f>MID(D49,FIND(";",SUBSTITUTE(D49,"|",REPT(";",LEN(D49)),3))+1,FIND(";",SUBSTITUTE(D49,"|",REPT(";",LEN(D49)),4))-FIND(";",SUBSTITUTE(D49,"|",REPT(";",LEN(D49)),3))-1)</f>
        <v/>
      </c>
      <c r="L49">
        <f>MID(D49,FIND(";",SUBSTITUTE(D49,"|",REPT(";",LEN(D49)),4))+1,LEN(D49))</f>
        <v/>
      </c>
    </row>
    <row r="50">
      <c r="A50" t="inlineStr">
        <is>
          <t>100501</t>
        </is>
      </c>
      <c r="B50" t="inlineStr">
        <is>
          <t>钢丝</t>
        </is>
      </c>
      <c r="C50" t="inlineStr">
        <is>
          <t>601338700</t>
        </is>
      </c>
      <c r="D50" t="inlineStr">
        <is>
          <t>钢丝|钢丝|60Si2MnA|Φ1.2|空</t>
        </is>
      </c>
      <c r="E50" t="inlineStr">
        <is>
          <t xml:space="preserve">物资名称 钢丝;物资简称 钢丝;牌号 60Si2MnA;直径 Φ1.2;技术标准号 空;抗拉强度 ;加工工艺 ;表面状态 ;特殊要求 ;规格标准号 </t>
        </is>
      </c>
      <c r="F50" t="inlineStr">
        <is>
          <t>千克</t>
        </is>
      </c>
      <c r="G50">
        <f>LEFT(D50,FIND("|",D50,1)-1)</f>
        <v/>
      </c>
      <c r="H50">
        <f>MID(D50,FIND("|",D50,FIND("|",D50,1))+1,FIND("|",D50,FIND("|",D50,1)+1)-FIND("|",D50,FIND("|",D50,1))-1)</f>
        <v/>
      </c>
      <c r="J50">
        <f>MID(D50,FIND(";",SUBSTITUTE(D50,"|",REPT(";",LEN(D50)),2))+1,FIND(";",SUBSTITUTE(D50,"|",REPT(";",LEN(D50)),3))-FIND(";",SUBSTITUTE(D50,"|",REPT(";",LEN(D50)),2))-1)</f>
        <v/>
      </c>
      <c r="K50">
        <f>MID(D50,FIND(";",SUBSTITUTE(D50,"|",REPT(";",LEN(D50)),3))+1,FIND(";",SUBSTITUTE(D50,"|",REPT(";",LEN(D50)),4))-FIND(";",SUBSTITUTE(D50,"|",REPT(";",LEN(D50)),3))-1)</f>
        <v/>
      </c>
      <c r="L50">
        <f>MID(D50,FIND(";",SUBSTITUTE(D50,"|",REPT(";",LEN(D50)),4))+1,LEN(D50))</f>
        <v/>
      </c>
    </row>
    <row r="51">
      <c r="A51" t="inlineStr">
        <is>
          <t>100501</t>
        </is>
      </c>
      <c r="B51" t="inlineStr">
        <is>
          <t>钢丝</t>
        </is>
      </c>
      <c r="C51" t="inlineStr">
        <is>
          <t>601338600</t>
        </is>
      </c>
      <c r="D51" t="inlineStr">
        <is>
          <t>钢丝|钢丝|60Si2MnA|Φ1.6|502/2000-8-80</t>
        </is>
      </c>
      <c r="E51" t="inlineStr">
        <is>
          <t xml:space="preserve">物资名称 钢丝;物资简称 钢丝;牌号 60Si2MnA;直径 Φ1.6;技术标准号 502/2000-8-80;抗拉强度 ;加工工艺 ;表面状态 ;特殊要求 ;规格标准号 </t>
        </is>
      </c>
      <c r="F51" t="inlineStr">
        <is>
          <t>千克</t>
        </is>
      </c>
      <c r="G51">
        <f>LEFT(D51,FIND("|",D51,1)-1)</f>
        <v/>
      </c>
      <c r="H51">
        <f>MID(D51,FIND("|",D51,FIND("|",D51,1))+1,FIND("|",D51,FIND("|",D51,1)+1)-FIND("|",D51,FIND("|",D51,1))-1)</f>
        <v/>
      </c>
      <c r="J51">
        <f>MID(D51,FIND(";",SUBSTITUTE(D51,"|",REPT(";",LEN(D51)),2))+1,FIND(";",SUBSTITUTE(D51,"|",REPT(";",LEN(D51)),3))-FIND(";",SUBSTITUTE(D51,"|",REPT(";",LEN(D51)),2))-1)</f>
        <v/>
      </c>
      <c r="K51">
        <f>MID(D51,FIND(";",SUBSTITUTE(D51,"|",REPT(";",LEN(D51)),3))+1,FIND(";",SUBSTITUTE(D51,"|",REPT(";",LEN(D51)),4))-FIND(";",SUBSTITUTE(D51,"|",REPT(";",LEN(D51)),3))-1)</f>
        <v/>
      </c>
      <c r="L51">
        <f>MID(D51,FIND(";",SUBSTITUTE(D51,"|",REPT(";",LEN(D51)),4))+1,LEN(D51))</f>
        <v/>
      </c>
    </row>
    <row r="52">
      <c r="A52" t="inlineStr">
        <is>
          <t>100501</t>
        </is>
      </c>
      <c r="B52" t="inlineStr">
        <is>
          <t>钢丝</t>
        </is>
      </c>
      <c r="C52" t="inlineStr">
        <is>
          <t>601338500</t>
        </is>
      </c>
      <c r="D52" t="inlineStr">
        <is>
          <t>钢丝|钢丝|70#B|Φ1.2|空</t>
        </is>
      </c>
      <c r="E52" t="inlineStr">
        <is>
          <t xml:space="preserve">物资名称 钢丝;物资简称 钢丝;牌号 70#B;直径 Φ1.2;技术标准号 空;抗拉强度 ;加工工艺 ;表面状态 ;特殊要求 ;规格标准号 </t>
        </is>
      </c>
      <c r="F52" t="inlineStr">
        <is>
          <t>千克</t>
        </is>
      </c>
      <c r="G52">
        <f>LEFT(D52,FIND("|",D52,1)-1)</f>
        <v/>
      </c>
      <c r="H52">
        <f>MID(D52,FIND("|",D52,FIND("|",D52,1))+1,FIND("|",D52,FIND("|",D52,1)+1)-FIND("|",D52,FIND("|",D52,1))-1)</f>
        <v/>
      </c>
      <c r="J52">
        <f>MID(D52,FIND(";",SUBSTITUTE(D52,"|",REPT(";",LEN(D52)),2))+1,FIND(";",SUBSTITUTE(D52,"|",REPT(";",LEN(D52)),3))-FIND(";",SUBSTITUTE(D52,"|",REPT(";",LEN(D52)),2))-1)</f>
        <v/>
      </c>
      <c r="K52">
        <f>MID(D52,FIND(";",SUBSTITUTE(D52,"|",REPT(";",LEN(D52)),3))+1,FIND(";",SUBSTITUTE(D52,"|",REPT(";",LEN(D52)),4))-FIND(";",SUBSTITUTE(D52,"|",REPT(";",LEN(D52)),3))-1)</f>
        <v/>
      </c>
      <c r="L52">
        <f>MID(D52,FIND(";",SUBSTITUTE(D52,"|",REPT(";",LEN(D52)),4))+1,LEN(D52))</f>
        <v/>
      </c>
    </row>
    <row r="53">
      <c r="A53" t="inlineStr">
        <is>
          <t>100501</t>
        </is>
      </c>
      <c r="B53" t="inlineStr">
        <is>
          <t>钢丝</t>
        </is>
      </c>
      <c r="C53" t="inlineStr">
        <is>
          <t>601338400</t>
        </is>
      </c>
      <c r="D53" t="inlineStr">
        <is>
          <t>钢丝|钢丝|T10A|Φ1.5|101/65-4-119</t>
        </is>
      </c>
      <c r="E53" t="inlineStr">
        <is>
          <t xml:space="preserve">物资名称 钢丝;物资简称 钢丝;牌号 T10A;直径 Φ1.5;技术标准号 101/65-4-119;抗拉强度 ;加工工艺 ;表面状态 ;特殊要求 ;规格标准号 </t>
        </is>
      </c>
      <c r="F53" t="inlineStr">
        <is>
          <t>千克</t>
        </is>
      </c>
      <c r="G53">
        <f>LEFT(D53,FIND("|",D53,1)-1)</f>
        <v/>
      </c>
      <c r="H53">
        <f>MID(D53,FIND("|",D53,FIND("|",D53,1))+1,FIND("|",D53,FIND("|",D53,1)+1)-FIND("|",D53,FIND("|",D53,1))-1)</f>
        <v/>
      </c>
      <c r="J53">
        <f>MID(D53,FIND(";",SUBSTITUTE(D53,"|",REPT(";",LEN(D53)),2))+1,FIND(";",SUBSTITUTE(D53,"|",REPT(";",LEN(D53)),3))-FIND(";",SUBSTITUTE(D53,"|",REPT(";",LEN(D53)),2))-1)</f>
        <v/>
      </c>
      <c r="K53">
        <f>MID(D53,FIND(";",SUBSTITUTE(D53,"|",REPT(";",LEN(D53)),3))+1,FIND(";",SUBSTITUTE(D53,"|",REPT(";",LEN(D53)),4))-FIND(";",SUBSTITUTE(D53,"|",REPT(";",LEN(D53)),3))-1)</f>
        <v/>
      </c>
      <c r="L53">
        <f>MID(D53,FIND(";",SUBSTITUTE(D53,"|",REPT(";",LEN(D53)),4))+1,LEN(D53))</f>
        <v/>
      </c>
    </row>
    <row r="54">
      <c r="A54" t="inlineStr">
        <is>
          <t>100501</t>
        </is>
      </c>
      <c r="B54" t="inlineStr">
        <is>
          <t>钢丝</t>
        </is>
      </c>
      <c r="C54" t="inlineStr">
        <is>
          <t>601338300</t>
        </is>
      </c>
      <c r="D54" t="inlineStr">
        <is>
          <t>钢丝|钢丝|T10A|Φ1|101/71-1-3</t>
        </is>
      </c>
      <c r="E54" t="inlineStr">
        <is>
          <t xml:space="preserve">物资名称 钢丝;物资简称 钢丝;牌号 T10A;直径 Φ1;技术标准号 101/71-1-3;抗拉强度 ;加工工艺 ;表面状态 ;特殊要求 ;规格标准号 </t>
        </is>
      </c>
      <c r="F54" t="inlineStr">
        <is>
          <t>千克</t>
        </is>
      </c>
      <c r="G54">
        <f>LEFT(D54,FIND("|",D54,1)-1)</f>
        <v/>
      </c>
      <c r="H54">
        <f>MID(D54,FIND("|",D54,FIND("|",D54,1))+1,FIND("|",D54,FIND("|",D54,1)+1)-FIND("|",D54,FIND("|",D54,1))-1)</f>
        <v/>
      </c>
      <c r="J54">
        <f>MID(D54,FIND(";",SUBSTITUTE(D54,"|",REPT(";",LEN(D54)),2))+1,FIND(";",SUBSTITUTE(D54,"|",REPT(";",LEN(D54)),3))-FIND(";",SUBSTITUTE(D54,"|",REPT(";",LEN(D54)),2))-1)</f>
        <v/>
      </c>
      <c r="K54">
        <f>MID(D54,FIND(";",SUBSTITUTE(D54,"|",REPT(";",LEN(D54)),3))+1,FIND(";",SUBSTITUTE(D54,"|",REPT(";",LEN(D54)),4))-FIND(";",SUBSTITUTE(D54,"|",REPT(";",LEN(D54)),3))-1)</f>
        <v/>
      </c>
      <c r="L54">
        <f>MID(D54,FIND(";",SUBSTITUTE(D54,"|",REPT(";",LEN(D54)),4))+1,LEN(D54))</f>
        <v/>
      </c>
    </row>
    <row r="55">
      <c r="A55" t="inlineStr">
        <is>
          <t>100501</t>
        </is>
      </c>
      <c r="B55" t="inlineStr">
        <is>
          <t>钢丝</t>
        </is>
      </c>
      <c r="C55" t="inlineStr">
        <is>
          <t>601338200</t>
        </is>
      </c>
      <c r="D55" t="inlineStr">
        <is>
          <t>钢丝|钢丝|T10A|Φ2|101/69-5-106</t>
        </is>
      </c>
      <c r="E55" t="inlineStr">
        <is>
          <t xml:space="preserve">物资名称 钢丝;物资简称 钢丝;牌号 T10A;直径 Φ2;技术标准号 101/69-5-106;抗拉强度 ;加工工艺 ;表面状态 ;特殊要求 ;规格标准号 </t>
        </is>
      </c>
      <c r="F55" t="inlineStr">
        <is>
          <t>千克</t>
        </is>
      </c>
      <c r="G55">
        <f>LEFT(D55,FIND("|",D55,1)-1)</f>
        <v/>
      </c>
      <c r="H55">
        <f>MID(D55,FIND("|",D55,FIND("|",D55,1))+1,FIND("|",D55,FIND("|",D55,1)+1)-FIND("|",D55,FIND("|",D55,1))-1)</f>
        <v/>
      </c>
      <c r="J55">
        <f>MID(D55,FIND(";",SUBSTITUTE(D55,"|",REPT(";",LEN(D55)),2))+1,FIND(";",SUBSTITUTE(D55,"|",REPT(";",LEN(D55)),3))-FIND(";",SUBSTITUTE(D55,"|",REPT(";",LEN(D55)),2))-1)</f>
        <v/>
      </c>
      <c r="K55">
        <f>MID(D55,FIND(";",SUBSTITUTE(D55,"|",REPT(";",LEN(D55)),3))+1,FIND(";",SUBSTITUTE(D55,"|",REPT(";",LEN(D55)),4))-FIND(";",SUBSTITUTE(D55,"|",REPT(";",LEN(D55)),3))-1)</f>
        <v/>
      </c>
      <c r="L55">
        <f>MID(D55,FIND(";",SUBSTITUTE(D55,"|",REPT(";",LEN(D55)),4))+1,LEN(D55))</f>
        <v/>
      </c>
    </row>
    <row r="56">
      <c r="A56" t="inlineStr">
        <is>
          <t>100501</t>
        </is>
      </c>
      <c r="B56" t="inlineStr">
        <is>
          <t>钢丝</t>
        </is>
      </c>
      <c r="C56" t="inlineStr">
        <is>
          <t>601338100</t>
        </is>
      </c>
      <c r="D56" t="inlineStr">
        <is>
          <t>钢丝|钢丝|T10A|Φ3|101/69-5-107A</t>
        </is>
      </c>
      <c r="E56" t="inlineStr">
        <is>
          <t xml:space="preserve">物资名称 钢丝;物资简称 钢丝;牌号 T10A;直径 Φ3;技术标准号 101/69-5-107A;抗拉强度 ;加工工艺 ;表面状态 ;特殊要求 ;规格标准号 </t>
        </is>
      </c>
      <c r="F56" t="inlineStr">
        <is>
          <t>千克</t>
        </is>
      </c>
      <c r="G56">
        <f>LEFT(D56,FIND("|",D56,1)-1)</f>
        <v/>
      </c>
      <c r="H56">
        <f>MID(D56,FIND("|",D56,FIND("|",D56,1))+1,FIND("|",D56,FIND("|",D56,1)+1)-FIND("|",D56,FIND("|",D56,1))-1)</f>
        <v/>
      </c>
      <c r="J56">
        <f>MID(D56,FIND(";",SUBSTITUTE(D56,"|",REPT(";",LEN(D56)),2))+1,FIND(";",SUBSTITUTE(D56,"|",REPT(";",LEN(D56)),3))-FIND(";",SUBSTITUTE(D56,"|",REPT(";",LEN(D56)),2))-1)</f>
        <v/>
      </c>
      <c r="K56">
        <f>MID(D56,FIND(";",SUBSTITUTE(D56,"|",REPT(";",LEN(D56)),3))+1,FIND(";",SUBSTITUTE(D56,"|",REPT(";",LEN(D56)),4))-FIND(";",SUBSTITUTE(D56,"|",REPT(";",LEN(D56)),3))-1)</f>
        <v/>
      </c>
      <c r="L56">
        <f>MID(D56,FIND(";",SUBSTITUTE(D56,"|",REPT(";",LEN(D56)),4))+1,LEN(D56))</f>
        <v/>
      </c>
    </row>
    <row r="57">
      <c r="A57" t="inlineStr">
        <is>
          <t>100501</t>
        </is>
      </c>
      <c r="B57" t="inlineStr">
        <is>
          <t>钢丝</t>
        </is>
      </c>
      <c r="C57" t="inlineStr">
        <is>
          <t>601338000</t>
        </is>
      </c>
      <c r="D57" t="inlineStr">
        <is>
          <t>钢丝|钢丝|T10A|Φ4|101/2002-1-2</t>
        </is>
      </c>
      <c r="E57" t="inlineStr">
        <is>
          <t xml:space="preserve">物资名称 钢丝;物资简称 钢丝;牌号 T10A;直径 Φ4;技术标准号 101/2002-1-2;抗拉强度 ;加工工艺 ;表面状态 ;特殊要求 ;规格标准号 </t>
        </is>
      </c>
      <c r="F57" t="inlineStr">
        <is>
          <t>千克</t>
        </is>
      </c>
      <c r="G57">
        <f>LEFT(D57,FIND("|",D57,1)-1)</f>
        <v/>
      </c>
      <c r="H57">
        <f>MID(D57,FIND("|",D57,FIND("|",D57,1))+1,FIND("|",D57,FIND("|",D57,1)+1)-FIND("|",D57,FIND("|",D57,1))-1)</f>
        <v/>
      </c>
      <c r="J57">
        <f>MID(D57,FIND(";",SUBSTITUTE(D57,"|",REPT(";",LEN(D57)),2))+1,FIND(";",SUBSTITUTE(D57,"|",REPT(";",LEN(D57)),3))-FIND(";",SUBSTITUTE(D57,"|",REPT(";",LEN(D57)),2))-1)</f>
        <v/>
      </c>
      <c r="K57">
        <f>MID(D57,FIND(";",SUBSTITUTE(D57,"|",REPT(";",LEN(D57)),3))+1,FIND(";",SUBSTITUTE(D57,"|",REPT(";",LEN(D57)),4))-FIND(";",SUBSTITUTE(D57,"|",REPT(";",LEN(D57)),3))-1)</f>
        <v/>
      </c>
      <c r="L57">
        <f>MID(D57,FIND(";",SUBSTITUTE(D57,"|",REPT(";",LEN(D57)),4))+1,LEN(D57))</f>
        <v/>
      </c>
    </row>
    <row r="58">
      <c r="A58" t="inlineStr">
        <is>
          <t>100501</t>
        </is>
      </c>
      <c r="B58" t="inlineStr">
        <is>
          <t>钢丝</t>
        </is>
      </c>
      <c r="C58" t="inlineStr">
        <is>
          <t>601337900</t>
        </is>
      </c>
      <c r="D58" t="inlineStr">
        <is>
          <t>钢丝|钢丝|T12A|Φ5|101/2001-2-1</t>
        </is>
      </c>
      <c r="E58" t="inlineStr">
        <is>
          <t xml:space="preserve">物资名称 钢丝;物资简称 钢丝;牌号 T12A;直径 Φ5;技术标准号 101/2001-2-1;抗拉强度 ;加工工艺 ;表面状态 ;特殊要求 ;规格标准号 </t>
        </is>
      </c>
      <c r="F58" t="inlineStr">
        <is>
          <t>千克</t>
        </is>
      </c>
      <c r="G58">
        <f>LEFT(D58,FIND("|",D58,1)-1)</f>
        <v/>
      </c>
      <c r="H58">
        <f>MID(D58,FIND("|",D58,FIND("|",D58,1))+1,FIND("|",D58,FIND("|",D58,1)+1)-FIND("|",D58,FIND("|",D58,1))-1)</f>
        <v/>
      </c>
      <c r="J58">
        <f>MID(D58,FIND(";",SUBSTITUTE(D58,"|",REPT(";",LEN(D58)),2))+1,FIND(";",SUBSTITUTE(D58,"|",REPT(";",LEN(D58)),3))-FIND(";",SUBSTITUTE(D58,"|",REPT(";",LEN(D58)),2))-1)</f>
        <v/>
      </c>
      <c r="K58">
        <f>MID(D58,FIND(";",SUBSTITUTE(D58,"|",REPT(";",LEN(D58)),3))+1,FIND(";",SUBSTITUTE(D58,"|",REPT(";",LEN(D58)),4))-FIND(";",SUBSTITUTE(D58,"|",REPT(";",LEN(D58)),3))-1)</f>
        <v/>
      </c>
      <c r="L58">
        <f>MID(D58,FIND(";",SUBSTITUTE(D58,"|",REPT(";",LEN(D58)),4))+1,LEN(D58))</f>
        <v/>
      </c>
    </row>
    <row r="59">
      <c r="A59" t="inlineStr">
        <is>
          <t>100501</t>
        </is>
      </c>
      <c r="B59" t="inlineStr">
        <is>
          <t>钢丝</t>
        </is>
      </c>
      <c r="C59" t="inlineStr">
        <is>
          <t>601337800</t>
        </is>
      </c>
      <c r="D59" t="inlineStr">
        <is>
          <t>钢丝|钢丝|T9A-D级|Φ0.8|107/2005-6-7</t>
        </is>
      </c>
      <c r="E59" t="inlineStr">
        <is>
          <t xml:space="preserve">物资名称 钢丝;物资简称 钢丝;牌号 T9A-D级;直径 Φ0.8;技术标准号 107/2005-6-7;抗拉强度 ;加工工艺 ;表面状态 ;特殊要求 ;规格标准号 </t>
        </is>
      </c>
      <c r="F59" t="inlineStr">
        <is>
          <t>千克</t>
        </is>
      </c>
      <c r="G59">
        <f>LEFT(D59,FIND("|",D59,1)-1)</f>
        <v/>
      </c>
      <c r="H59">
        <f>MID(D59,FIND("|",D59,FIND("|",D59,1))+1,FIND("|",D59,FIND("|",D59,1)+1)-FIND("|",D59,FIND("|",D59,1))-1)</f>
        <v/>
      </c>
      <c r="J59">
        <f>MID(D59,FIND(";",SUBSTITUTE(D59,"|",REPT(";",LEN(D59)),2))+1,FIND(";",SUBSTITUTE(D59,"|",REPT(";",LEN(D59)),3))-FIND(";",SUBSTITUTE(D59,"|",REPT(";",LEN(D59)),2))-1)</f>
        <v/>
      </c>
      <c r="K59">
        <f>MID(D59,FIND(";",SUBSTITUTE(D59,"|",REPT(";",LEN(D59)),3))+1,FIND(";",SUBSTITUTE(D59,"|",REPT(";",LEN(D59)),4))-FIND(";",SUBSTITUTE(D59,"|",REPT(";",LEN(D59)),3))-1)</f>
        <v/>
      </c>
      <c r="L59">
        <f>MID(D59,FIND(";",SUBSTITUTE(D59,"|",REPT(";",LEN(D59)),4))+1,LEN(D59))</f>
        <v/>
      </c>
    </row>
    <row r="60">
      <c r="A60" t="inlineStr">
        <is>
          <t>100501</t>
        </is>
      </c>
      <c r="B60" t="inlineStr">
        <is>
          <t>钢丝</t>
        </is>
      </c>
      <c r="C60" t="inlineStr">
        <is>
          <t>601337700</t>
        </is>
      </c>
      <c r="D60" t="inlineStr">
        <is>
          <t>钢丝|钢丝|60Si2MnA|Φ1.4|空</t>
        </is>
      </c>
      <c r="E60" t="inlineStr">
        <is>
          <t xml:space="preserve">物资名称 钢丝;物资简称 钢丝;牌号 60Si2MnA;直径 Φ1.4;技术标准号 空;抗拉强度 ;加工工艺 ;表面状态 ;特殊要求 ;规格标准号 </t>
        </is>
      </c>
      <c r="F60" t="inlineStr">
        <is>
          <t>千克</t>
        </is>
      </c>
      <c r="G60">
        <f>LEFT(D60,FIND("|",D60,1)-1)</f>
        <v/>
      </c>
      <c r="H60">
        <f>MID(D60,FIND("|",D60,FIND("|",D60,1))+1,FIND("|",D60,FIND("|",D60,1)+1)-FIND("|",D60,FIND("|",D60,1))-1)</f>
        <v/>
      </c>
      <c r="J60">
        <f>MID(D60,FIND(";",SUBSTITUTE(D60,"|",REPT(";",LEN(D60)),2))+1,FIND(";",SUBSTITUTE(D60,"|",REPT(";",LEN(D60)),3))-FIND(";",SUBSTITUTE(D60,"|",REPT(";",LEN(D60)),2))-1)</f>
        <v/>
      </c>
      <c r="K60">
        <f>MID(D60,FIND(";",SUBSTITUTE(D60,"|",REPT(";",LEN(D60)),3))+1,FIND(";",SUBSTITUTE(D60,"|",REPT(";",LEN(D60)),4))-FIND(";",SUBSTITUTE(D60,"|",REPT(";",LEN(D60)),3))-1)</f>
        <v/>
      </c>
      <c r="L60">
        <f>MID(D60,FIND(";",SUBSTITUTE(D60,"|",REPT(";",LEN(D60)),4))+1,LEN(D60))</f>
        <v/>
      </c>
    </row>
    <row r="61">
      <c r="A61" t="inlineStr">
        <is>
          <t>100501</t>
        </is>
      </c>
      <c r="B61" t="inlineStr">
        <is>
          <t>钢丝</t>
        </is>
      </c>
      <c r="C61" t="inlineStr">
        <is>
          <t>601337600</t>
        </is>
      </c>
      <c r="D61" t="inlineStr">
        <is>
          <t>钢丝|钢丝|Φ0.6|空</t>
        </is>
      </c>
      <c r="E61" t="inlineStr">
        <is>
          <t xml:space="preserve">物资名称 钢丝;物资简称 钢丝;牌号 ;直径 Φ0.6;技术标准号 空;抗拉强度 ;加工工艺 ;表面状态 ;特殊要求 ;规格标准号 </t>
        </is>
      </c>
      <c r="F61" t="inlineStr">
        <is>
          <t>千克</t>
        </is>
      </c>
      <c r="G61">
        <f>LEFT(D61,FIND("|",D61,1)-1)</f>
        <v/>
      </c>
      <c r="H61">
        <f>MID(D61,FIND("|",D61,FIND("|",D61,1))+1,FIND("|",D61,FIND("|",D61,1)+1)-FIND("|",D61,FIND("|",D61,1))-1)</f>
        <v/>
      </c>
      <c r="J61">
        <f>MID(D61,FIND(";",SUBSTITUTE(D61,"|",REPT(";",LEN(D61)),2))+1,FIND(";",SUBSTITUTE(D61,"|",REPT(";",LEN(D61)),3))-FIND(";",SUBSTITUTE(D61,"|",REPT(";",LEN(D61)),2))-1)</f>
        <v/>
      </c>
      <c r="L61">
        <f>MID(D61,FIND(";",SUBSTITUTE(D61,"|",REPT(";",LEN(D61)),3))+1,LEN(D61))</f>
        <v/>
      </c>
    </row>
    <row r="62">
      <c r="A62" t="inlineStr">
        <is>
          <t>100501</t>
        </is>
      </c>
      <c r="B62" t="inlineStr">
        <is>
          <t>钢丝</t>
        </is>
      </c>
      <c r="C62" t="inlineStr">
        <is>
          <t>601337500</t>
        </is>
      </c>
      <c r="D62" t="inlineStr">
        <is>
          <t>冷拉碳素弹簧钢丝|钢丝|65Mn|Φ1.4|GB/T 4357</t>
        </is>
      </c>
      <c r="E62" t="inlineStr">
        <is>
          <t xml:space="preserve">物资名称 冷拉碳素弹簧钢丝;物资简称 钢丝;牌号 65Mn;直径 Φ1.4;技术标准号 GB/T 4357;抗拉强度 ;加工工艺 ;表面状态 ;特殊要求 ;规格标准号 </t>
        </is>
      </c>
      <c r="F62" t="inlineStr">
        <is>
          <t>千克</t>
        </is>
      </c>
      <c r="G62">
        <f>LEFT(D62,FIND("|",D62,1)-1)</f>
        <v/>
      </c>
      <c r="H62">
        <f>MID(D62,FIND("|",D62,FIND("|",D62,1))+1,FIND("|",D62,FIND("|",D62,1)+1)-FIND("|",D62,FIND("|",D62,1))-1)</f>
        <v/>
      </c>
      <c r="J62">
        <f>MID(D62,FIND(";",SUBSTITUTE(D62,"|",REPT(";",LEN(D62)),2))+1,FIND(";",SUBSTITUTE(D62,"|",REPT(";",LEN(D62)),3))-FIND(";",SUBSTITUTE(D62,"|",REPT(";",LEN(D62)),2))-1)</f>
        <v/>
      </c>
      <c r="K62">
        <f>MID(D62,FIND(";",SUBSTITUTE(D62,"|",REPT(";",LEN(D62)),3))+1,FIND(";",SUBSTITUTE(D62,"|",REPT(";",LEN(D62)),4))-FIND(";",SUBSTITUTE(D62,"|",REPT(";",LEN(D62)),3))-1)</f>
        <v/>
      </c>
      <c r="L62">
        <f>MID(D62,FIND(";",SUBSTITUTE(D62,"|",REPT(";",LEN(D62)),4))+1,LEN(D62))</f>
        <v/>
      </c>
    </row>
    <row r="63">
      <c r="A63" t="inlineStr">
        <is>
          <t>100501</t>
        </is>
      </c>
      <c r="B63" t="inlineStr">
        <is>
          <t>钢丝</t>
        </is>
      </c>
      <c r="C63" t="inlineStr">
        <is>
          <t>601337400</t>
        </is>
      </c>
      <c r="D63" t="inlineStr">
        <is>
          <t>合金弹簧钢丝|钢丝|60Si2Mn|Φ6.5|YB/T 5318？</t>
        </is>
      </c>
      <c r="E63" t="inlineStr">
        <is>
          <t xml:space="preserve">物资名称 合金弹簧钢丝;物资简称 钢丝;牌号 60Si2Mn;直径 Φ6.5;技术标准号 YB/T 5318？;抗拉强度 ;加工工艺 ;表面状态 ;特殊要求 ;规格标准号 </t>
        </is>
      </c>
      <c r="F63" t="inlineStr">
        <is>
          <t>千克</t>
        </is>
      </c>
      <c r="G63">
        <f>LEFT(D63,FIND("|",D63,1)-1)</f>
        <v/>
      </c>
      <c r="H63">
        <f>MID(D63,FIND("|",D63,FIND("|",D63,1))+1,FIND("|",D63,FIND("|",D63,1)+1)-FIND("|",D63,FIND("|",D63,1))-1)</f>
        <v/>
      </c>
      <c r="J63">
        <f>MID(D63,FIND(";",SUBSTITUTE(D63,"|",REPT(";",LEN(D63)),2))+1,FIND(";",SUBSTITUTE(D63,"|",REPT(";",LEN(D63)),3))-FIND(";",SUBSTITUTE(D63,"|",REPT(";",LEN(D63)),2))-1)</f>
        <v/>
      </c>
      <c r="K63">
        <f>MID(D63,FIND(";",SUBSTITUTE(D63,"|",REPT(";",LEN(D63)),3))+1,FIND(";",SUBSTITUTE(D63,"|",REPT(";",LEN(D63)),4))-FIND(";",SUBSTITUTE(D63,"|",REPT(";",LEN(D63)),3))-1)</f>
        <v/>
      </c>
      <c r="L63">
        <f>MID(D63,FIND(";",SUBSTITUTE(D63,"|",REPT(";",LEN(D63)),4))+1,LEN(D63))</f>
        <v/>
      </c>
    </row>
    <row r="64">
      <c r="A64" t="inlineStr">
        <is>
          <t>100501</t>
        </is>
      </c>
      <c r="B64" t="inlineStr">
        <is>
          <t>钢丝</t>
        </is>
      </c>
      <c r="C64" t="inlineStr">
        <is>
          <t>601337300</t>
        </is>
      </c>
      <c r="D64" t="inlineStr">
        <is>
          <t>合金弹簧钢丝|钢丝|60Si2MnA|Φ6|YB/T 5318-2010</t>
        </is>
      </c>
      <c r="E64" t="inlineStr">
        <is>
          <t xml:space="preserve">物资名称 合金弹簧钢丝;物资简称 钢丝;牌号 60Si2MnA;直径 Φ6;技术标准号 YB/T 5318-2010;抗拉强度 ;加工工艺 ;表面状态 ;特殊要求 ;规格标准号 </t>
        </is>
      </c>
      <c r="F64" t="inlineStr">
        <is>
          <t>千克</t>
        </is>
      </c>
      <c r="G64">
        <f>LEFT(D64,FIND("|",D64,1)-1)</f>
        <v/>
      </c>
      <c r="H64">
        <f>MID(D64,FIND("|",D64,FIND("|",D64,1))+1,FIND("|",D64,FIND("|",D64,1)+1)-FIND("|",D64,FIND("|",D64,1))-1)</f>
        <v/>
      </c>
      <c r="J64">
        <f>MID(D64,FIND(";",SUBSTITUTE(D64,"|",REPT(";",LEN(D64)),2))+1,FIND(";",SUBSTITUTE(D64,"|",REPT(";",LEN(D64)),3))-FIND(";",SUBSTITUTE(D64,"|",REPT(";",LEN(D64)),2))-1)</f>
        <v/>
      </c>
      <c r="K64">
        <f>MID(D64,FIND(";",SUBSTITUTE(D64,"|",REPT(";",LEN(D64)),3))+1,FIND(";",SUBSTITUTE(D64,"|",REPT(";",LEN(D64)),4))-FIND(";",SUBSTITUTE(D64,"|",REPT(";",LEN(D64)),3))-1)</f>
        <v/>
      </c>
      <c r="L64">
        <f>MID(D64,FIND(";",SUBSTITUTE(D64,"|",REPT(";",LEN(D64)),4))+1,LEN(D64))</f>
        <v/>
      </c>
    </row>
    <row r="65">
      <c r="A65" t="inlineStr">
        <is>
          <t>100501</t>
        </is>
      </c>
      <c r="B65" t="inlineStr">
        <is>
          <t>钢丝</t>
        </is>
      </c>
      <c r="C65" t="inlineStr">
        <is>
          <t>601337200</t>
        </is>
      </c>
      <c r="D65" t="inlineStr">
        <is>
          <t>合金弹簧钢丝|钢丝|30CrMnSiA|Φ2|YB/T 5301</t>
        </is>
      </c>
      <c r="E65" t="inlineStr">
        <is>
          <t xml:space="preserve">物资名称 合金弹簧钢丝;物资简称 钢丝;牌号 30CrMnSiA;直径 Φ2;技术标准号 YB/T 5301;抗拉强度 ;加工工艺 ;表面状态 ;特殊要求 ;规格标准号 </t>
        </is>
      </c>
      <c r="F65" t="inlineStr">
        <is>
          <t>千克</t>
        </is>
      </c>
      <c r="G65">
        <f>LEFT(D65,FIND("|",D65,1)-1)</f>
        <v/>
      </c>
      <c r="H65">
        <f>MID(D65,FIND("|",D65,FIND("|",D65,1))+1,FIND("|",D65,FIND("|",D65,1)+1)-FIND("|",D65,FIND("|",D65,1))-1)</f>
        <v/>
      </c>
      <c r="J65">
        <f>MID(D65,FIND(";",SUBSTITUTE(D65,"|",REPT(";",LEN(D65)),2))+1,FIND(";",SUBSTITUTE(D65,"|",REPT(";",LEN(D65)),3))-FIND(";",SUBSTITUTE(D65,"|",REPT(";",LEN(D65)),2))-1)</f>
        <v/>
      </c>
      <c r="K65">
        <f>MID(D65,FIND(";",SUBSTITUTE(D65,"|",REPT(";",LEN(D65)),3))+1,FIND(";",SUBSTITUTE(D65,"|",REPT(";",LEN(D65)),4))-FIND(";",SUBSTITUTE(D65,"|",REPT(";",LEN(D65)),3))-1)</f>
        <v/>
      </c>
      <c r="L65">
        <f>MID(D65,FIND(";",SUBSTITUTE(D65,"|",REPT(";",LEN(D65)),4))+1,LEN(D65))</f>
        <v/>
      </c>
    </row>
    <row r="66">
      <c r="A66" t="inlineStr">
        <is>
          <t>100501</t>
        </is>
      </c>
      <c r="B66" t="inlineStr">
        <is>
          <t>钢丝</t>
        </is>
      </c>
      <c r="C66" t="inlineStr">
        <is>
          <t>600979400</t>
        </is>
      </c>
      <c r="D66" t="inlineStr">
        <is>
          <t>重要用途碳素弹簧钢丝|钢丝|65Mn|Φ0.8|GB/T 4358-1995|冷拉|h11,F|GB/T 342-1982</t>
        </is>
      </c>
      <c r="E66" t="inlineStr">
        <is>
          <t>物资名称 重要用途碳素弹簧钢丝;物资简称 钢丝;牌号 65Mn;直径 Φ0.8;技术标准号 GB/T 4358-1995;抗拉强度 ;加工工艺 冷拉;表面状态 ;特殊要求 h11,F;规格标准号 GB/T 342-1982</t>
        </is>
      </c>
      <c r="F66" t="inlineStr">
        <is>
          <t>千克</t>
        </is>
      </c>
      <c r="G66">
        <f>LEFT(D66,FIND("|",D66,1)-1)</f>
        <v/>
      </c>
      <c r="H66">
        <f>MID(D66,FIND("|",D66,FIND("|",D66,1))+1,FIND("|",D66,FIND("|",D66,1)+1)-FIND("|",D66,FIND("|",D66,1))-1)</f>
        <v/>
      </c>
      <c r="J66">
        <f>MID(D66,FIND(";",SUBSTITUTE(D66,"|",REPT(";",LEN(D66)),2))+1,FIND(";",SUBSTITUTE(D66,"|",REPT(";",LEN(D66)),3))-FIND(";",SUBSTITUTE(D66,"|",REPT(";",LEN(D66)),2))-1)</f>
        <v/>
      </c>
      <c r="K66">
        <f>MID(D66,FIND(";",SUBSTITUTE(D66,"|",REPT(";",LEN(D66)),3))+1,FIND(";",SUBSTITUTE(D66,"|",REPT(";",LEN(D66)),4))-FIND(";",SUBSTITUTE(D66,"|",REPT(";",LEN(D66)),3))-1)</f>
        <v/>
      </c>
      <c r="L66">
        <f>MID(D66,FIND(";",SUBSTITUTE(D66,"|",REPT(";",LEN(D66)),4))+1,FIND(";",SUBSTITUTE(D66,"|",REPT(";",LEN(D66)),5))-FIND(";",SUBSTITUTE(D66,"|",REPT(";",LEN(D66)),4))-1)</f>
        <v/>
      </c>
      <c r="M66">
        <f>MID(D66,FIND(";",SUBSTITUTE(D66,"|",REPT(";",LEN(D66)),7))+1,LEN(D66))</f>
        <v/>
      </c>
      <c r="N66">
        <f>MID(D66,FIND(";",SUBSTITUTE(D66,"|",REPT(";",LEN(D66)),5))+1,FIND(";",SUBSTITUTE(D66,"|",REPT(";",LEN(D66)),6))-FIND(";",SUBSTITUTE(D66,"|",REPT(";",LEN(D66)),5))-1)</f>
        <v/>
      </c>
      <c r="Q66">
        <f>MID(D66,FIND(";",SUBSTITUTE(D66,"|",REPT(";",LEN(D66)),6))+1,FIND(";",SUBSTITUTE(D66,"|",REPT(";",LEN(D66)),7))-FIND(";",SUBSTITUTE(D66,"|",REPT(";",LEN(D66)),6))-1)</f>
        <v/>
      </c>
    </row>
    <row r="67">
      <c r="A67" t="inlineStr">
        <is>
          <t>100501</t>
        </is>
      </c>
      <c r="B67" t="inlineStr">
        <is>
          <t>钢丝</t>
        </is>
      </c>
      <c r="C67" t="inlineStr">
        <is>
          <t>600979300</t>
        </is>
      </c>
      <c r="D67" t="inlineStr">
        <is>
          <t>重要用途碳素弹簧钢丝|钢丝|65Mn|Φ1.4|GB/T 4358-1995|冷拉|h11,F|GB/T 342-1982</t>
        </is>
      </c>
      <c r="E67" t="inlineStr">
        <is>
          <t>物资名称 重要用途碳素弹簧钢丝;物资简称 钢丝;牌号 65Mn;直径 Φ1.4;技术标准号 GB/T 4358-1995;抗拉强度 ;加工工艺 冷拉;表面状态 ;特殊要求 h11,F;规格标准号 GB/T 342-1982</t>
        </is>
      </c>
      <c r="F67" t="inlineStr">
        <is>
          <t>千克</t>
        </is>
      </c>
      <c r="G67">
        <f>LEFT(D67,FIND("|",D67,1)-1)</f>
        <v/>
      </c>
      <c r="H67">
        <f>MID(D67,FIND("|",D67,FIND("|",D67,1))+1,FIND("|",D67,FIND("|",D67,1)+1)-FIND("|",D67,FIND("|",D67,1))-1)</f>
        <v/>
      </c>
      <c r="J67">
        <f>MID(D67,FIND(";",SUBSTITUTE(D67,"|",REPT(";",LEN(D67)),2))+1,FIND(";",SUBSTITUTE(D67,"|",REPT(";",LEN(D67)),3))-FIND(";",SUBSTITUTE(D67,"|",REPT(";",LEN(D67)),2))-1)</f>
        <v/>
      </c>
      <c r="K67">
        <f>MID(D67,FIND(";",SUBSTITUTE(D67,"|",REPT(";",LEN(D67)),3))+1,FIND(";",SUBSTITUTE(D67,"|",REPT(";",LEN(D67)),4))-FIND(";",SUBSTITUTE(D67,"|",REPT(";",LEN(D67)),3))-1)</f>
        <v/>
      </c>
      <c r="L67">
        <f>MID(D67,FIND(";",SUBSTITUTE(D67,"|",REPT(";",LEN(D67)),4))+1,FIND(";",SUBSTITUTE(D67,"|",REPT(";",LEN(D67)),5))-FIND(";",SUBSTITUTE(D67,"|",REPT(";",LEN(D67)),4))-1)</f>
        <v/>
      </c>
      <c r="M67">
        <f>MID(D67,FIND(";",SUBSTITUTE(D67,"|",REPT(";",LEN(D67)),7))+1,LEN(D67))</f>
        <v/>
      </c>
      <c r="N67">
        <f>MID(D67,FIND(";",SUBSTITUTE(D67,"|",REPT(";",LEN(D67)),5))+1,FIND(";",SUBSTITUTE(D67,"|",REPT(";",LEN(D67)),6))-FIND(";",SUBSTITUTE(D67,"|",REPT(";",LEN(D67)),5))-1)</f>
        <v/>
      </c>
      <c r="Q67">
        <f>MID(D67,FIND(";",SUBSTITUTE(D67,"|",REPT(";",LEN(D67)),6))+1,FIND(";",SUBSTITUTE(D67,"|",REPT(";",LEN(D67)),7))-FIND(";",SUBSTITUTE(D67,"|",REPT(";",LEN(D67)),6))-1)</f>
        <v/>
      </c>
    </row>
    <row r="68">
      <c r="A68" t="inlineStr">
        <is>
          <t>100501</t>
        </is>
      </c>
      <c r="B68" t="inlineStr">
        <is>
          <t>钢丝</t>
        </is>
      </c>
      <c r="C68" t="inlineStr">
        <is>
          <t>600950000</t>
        </is>
      </c>
      <c r="D68" t="inlineStr">
        <is>
          <t>碳素弹簧钢丝|钢丝|70|Φ0.5-h11|GB/T 4357-1989|GB/T 342-1997</t>
        </is>
      </c>
      <c r="E68" t="inlineStr">
        <is>
          <t>物资名称 碳素弹簧钢丝;物资简称 钢丝;牌号 70;直径 Φ0.5-h11;技术标准号 GB/T 4357-1989;抗拉强度 ;加工工艺 ;表面状态 ;特殊要求 ;规格标准号 GB/T 342-1997</t>
        </is>
      </c>
      <c r="F68" t="inlineStr">
        <is>
          <t>千克</t>
        </is>
      </c>
      <c r="G68">
        <f>LEFT(D68,FIND("|",D68,1)-1)</f>
        <v/>
      </c>
      <c r="H68">
        <f>MID(D68,FIND("|",D68,FIND("|",D68,1))+1,FIND("|",D68,FIND("|",D68,1)+1)-FIND("|",D68,FIND("|",D68,1))-1)</f>
        <v/>
      </c>
      <c r="J68">
        <f>MID(D68,FIND(";",SUBSTITUTE(D68,"|",REPT(";",LEN(D68)),2))+1,FIND(";",SUBSTITUTE(D68,"|",REPT(";",LEN(D68)),3))-FIND(";",SUBSTITUTE(D68,"|",REPT(";",LEN(D68)),2))-1)</f>
        <v/>
      </c>
      <c r="K68">
        <f>MID(D68,FIND(";",SUBSTITUTE(D68,"|",REPT(";",LEN(D68)),3))+1,FIND(";",SUBSTITUTE(D68,"|",REPT(";",LEN(D68)),4))-FIND(";",SUBSTITUTE(D68,"|",REPT(";",LEN(D68)),3))-1)</f>
        <v/>
      </c>
      <c r="L68">
        <f>MID(D68,FIND(";",SUBSTITUTE(D68,"|",REPT(";",LEN(D68)),4))+1,FIND(";",SUBSTITUTE(D68,"|",REPT(";",LEN(D68)),5))-FIND(";",SUBSTITUTE(D68,"|",REPT(";",LEN(D68)),4))-1)</f>
        <v/>
      </c>
      <c r="M68">
        <f>MID(D68,FIND(";",SUBSTITUTE(D68,"|",REPT(";",LEN(D68)),5))+1,LEN(D68))</f>
        <v/>
      </c>
    </row>
    <row r="69">
      <c r="A69" t="inlineStr">
        <is>
          <t>100501</t>
        </is>
      </c>
      <c r="B69" t="inlineStr">
        <is>
          <t>钢丝</t>
        </is>
      </c>
      <c r="C69" t="inlineStr">
        <is>
          <t>600940800</t>
        </is>
      </c>
      <c r="D69" t="inlineStr">
        <is>
          <t>钢丝|钢丝|65Mn|Φ1.4-11|GB/T 4357-1989|GB/T 342-1997</t>
        </is>
      </c>
      <c r="E69" t="inlineStr">
        <is>
          <t>物资名称 钢丝;物资简称 钢丝;牌号 65Mn;直径 Φ1.4-11;技术标准号 GB/T 4357-1989;抗拉强度 ;加工工艺 ;表面状态 ;特殊要求 ;规格标准号 GB/T 342-1997</t>
        </is>
      </c>
      <c r="F69" t="inlineStr">
        <is>
          <t>千克</t>
        </is>
      </c>
      <c r="G69">
        <f>LEFT(D69,FIND("|",D69,1)-1)</f>
        <v/>
      </c>
      <c r="H69">
        <f>MID(D69,FIND("|",D69,FIND("|",D69,1))+1,FIND("|",D69,FIND("|",D69,1)+1)-FIND("|",D69,FIND("|",D69,1))-1)</f>
        <v/>
      </c>
      <c r="J69">
        <f>MID(D69,FIND(";",SUBSTITUTE(D69,"|",REPT(";",LEN(D69)),2))+1,FIND(";",SUBSTITUTE(D69,"|",REPT(";",LEN(D69)),3))-FIND(";",SUBSTITUTE(D69,"|",REPT(";",LEN(D69)),2))-1)</f>
        <v/>
      </c>
      <c r="K69">
        <f>MID(D69,FIND(";",SUBSTITUTE(D69,"|",REPT(";",LEN(D69)),3))+1,FIND(";",SUBSTITUTE(D69,"|",REPT(";",LEN(D69)),4))-FIND(";",SUBSTITUTE(D69,"|",REPT(";",LEN(D69)),3))-1)</f>
        <v/>
      </c>
      <c r="L69">
        <f>MID(D69,FIND(";",SUBSTITUTE(D69,"|",REPT(";",LEN(D69)),4))+1,FIND(";",SUBSTITUTE(D69,"|",REPT(";",LEN(D69)),5))-FIND(";",SUBSTITUTE(D69,"|",REPT(";",LEN(D69)),4))-1)</f>
        <v/>
      </c>
      <c r="M69">
        <f>MID(D69,FIND(";",SUBSTITUTE(D69,"|",REPT(";",LEN(D69)),5))+1,LEN(D69))</f>
        <v/>
      </c>
    </row>
    <row r="70">
      <c r="A70" t="inlineStr">
        <is>
          <t>100501</t>
        </is>
      </c>
      <c r="B70" t="inlineStr">
        <is>
          <t>钢丝</t>
        </is>
      </c>
      <c r="C70" t="inlineStr">
        <is>
          <t>600940700</t>
        </is>
      </c>
      <c r="D70" t="inlineStr">
        <is>
          <t>电镀锌钢丝|电镀锌钢丝|Φ0.5|GB/T 343-1994</t>
        </is>
      </c>
      <c r="E70" t="inlineStr">
        <is>
          <t xml:space="preserve">物资名称 电镀锌钢丝;物资简称 电镀锌钢丝;牌号 ;直径 Φ0.5;技术标准号 GB/T 343-1994;抗拉强度 ;加工工艺 ;表面状态 ;特殊要求 ;规格标准号 </t>
        </is>
      </c>
      <c r="F70" t="inlineStr">
        <is>
          <t>千克</t>
        </is>
      </c>
      <c r="G70">
        <f>LEFT(D70,FIND("|",D70,1)-1)</f>
        <v/>
      </c>
      <c r="H70">
        <f>MID(D70,FIND("|",D70,FIND("|",D70,1))+1,FIND("|",D70,FIND("|",D70,1)+1)-FIND("|",D70,FIND("|",D70,1))-1)</f>
        <v/>
      </c>
      <c r="K70">
        <f>MID(D70,FIND(";",SUBSTITUTE(D70,"|",REPT(";",LEN(D70)),2))+1,FIND(";",SUBSTITUTE(D70,"|",REPT(";",LEN(D70)),3))-FIND(";",SUBSTITUTE(D70,"|",REPT(";",LEN(D70)),2))-1)</f>
        <v/>
      </c>
      <c r="L70">
        <f>MID(D70,FIND(";",SUBSTITUTE(D70,"|",REPT(";",LEN(D70)),3))+1,LEN(D70))</f>
        <v/>
      </c>
    </row>
    <row r="71">
      <c r="A71" t="inlineStr">
        <is>
          <t>100501</t>
        </is>
      </c>
      <c r="B71" t="inlineStr">
        <is>
          <t>钢丝</t>
        </is>
      </c>
      <c r="C71" t="inlineStr">
        <is>
          <t>600918500</t>
        </is>
      </c>
      <c r="D71" t="inlineStr">
        <is>
          <t>不锈钢丝网|不锈钢丝网|0Cr18Ni9|JB/T 5979-92|320#</t>
        </is>
      </c>
      <c r="E71" t="inlineStr">
        <is>
          <t xml:space="preserve">物资名称 不锈钢丝网;物资简称 不锈钢丝网;牌号 0Cr18Ni9;直径 Φ;技术标准号 JB/T 5979-92;抗拉强度 ;加工工艺 ;表面状态 ;特殊要求 320#;规格标准号 </t>
        </is>
      </c>
      <c r="F71" t="inlineStr">
        <is>
          <t>千克</t>
        </is>
      </c>
      <c r="G71">
        <f>LEFT(D71,FIND("|",D71,1)-1)</f>
        <v/>
      </c>
      <c r="H71">
        <f>MID(D71,FIND("|",D71,FIND("|",D71,1))+1,FIND("|",D71,FIND("|",D71,1)+1)-FIND("|",D71,FIND("|",D71,1))-1)</f>
        <v/>
      </c>
      <c r="J71">
        <f>MID(D71,FIND(";",SUBSTITUTE(D71,"|",REPT(";",LEN(D71)),2))+1,FIND(";",SUBSTITUTE(D71,"|",REPT(";",LEN(D71)),3))-FIND(";",SUBSTITUTE(D71,"|",REPT(";",LEN(D71)),2))-1)</f>
        <v/>
      </c>
      <c r="L71">
        <f>MID(D71,FIND(";",SUBSTITUTE(D71,"|",REPT(";",LEN(D71)),3))+1,FIND(";",SUBSTITUTE(D71,"|",REPT(";",LEN(D71)),4))-FIND(";",SUBSTITUTE(D71,"|",REPT(";",LEN(D71)),3))-1)</f>
        <v/>
      </c>
      <c r="Q71">
        <f>MID(D71,FIND(";",SUBSTITUTE(D71,"|",REPT(";",LEN(D71)),4))+1,LEN(D71))</f>
        <v/>
      </c>
    </row>
    <row r="72">
      <c r="A72" t="inlineStr">
        <is>
          <t>100501</t>
        </is>
      </c>
      <c r="B72" t="inlineStr">
        <is>
          <t>钢丝</t>
        </is>
      </c>
      <c r="C72" t="inlineStr">
        <is>
          <t>600862600</t>
        </is>
      </c>
      <c r="D72" t="inlineStr">
        <is>
          <t>冷顶锻用不锈钢丝|钢丝|ML1Cr17Ni2|GB/T 4232-1993</t>
        </is>
      </c>
      <c r="E72" t="inlineStr">
        <is>
          <t xml:space="preserve">物资名称 冷顶锻用不锈钢丝;物资简称 钢丝;牌号 ML1Cr17Ni2;直径 Φ;技术标准号 GB/T 4232-1993;抗拉强度 ;加工工艺 ;表面状态 ;特殊要求 ;规格标准号 </t>
        </is>
      </c>
      <c r="F72" t="inlineStr">
        <is>
          <t>千克</t>
        </is>
      </c>
      <c r="G72">
        <f>LEFT(D72,FIND("|",D72,1)-1)</f>
        <v/>
      </c>
      <c r="H72">
        <f>MID(D72,FIND("|",D72,FIND("|",D72,1))+1,FIND("|",D72,FIND("|",D72,1)+1)-FIND("|",D72,FIND("|",D72,1))-1)</f>
        <v/>
      </c>
      <c r="J72">
        <f>MID(D72,FIND(";",SUBSTITUTE(D72,"|",REPT(";",LEN(D72)),2))+1,FIND(";",SUBSTITUTE(D72,"|",REPT(";",LEN(D72)),3))-FIND(";",SUBSTITUTE(D72,"|",REPT(";",LEN(D72)),2))-1)</f>
        <v/>
      </c>
      <c r="L72">
        <f>MID(D72,FIND(";",SUBSTITUTE(D72,"|",REPT(";",LEN(D72)),3))+1,LEN(D72))</f>
        <v/>
      </c>
    </row>
    <row r="73">
      <c r="A73" t="inlineStr">
        <is>
          <t>100501</t>
        </is>
      </c>
      <c r="B73" t="inlineStr">
        <is>
          <t>钢丝</t>
        </is>
      </c>
      <c r="C73" t="inlineStr">
        <is>
          <t>600861400</t>
        </is>
      </c>
      <c r="D73" t="inlineStr">
        <is>
          <t>一般用途低碳钢丝|电镀锌钢丝|Φ0.5|YB/T 5294-2006|用作辅料</t>
        </is>
      </c>
      <c r="E73" t="inlineStr">
        <is>
          <t xml:space="preserve">物资名称 一般用途低碳钢丝;物资简称 电镀锌钢丝;牌号 ;直径 Φ0.5;技术标准号 YB/T 5294-2006;抗拉强度 ;加工工艺 ;表面状态 ;特殊要求 用作辅料;规格标准号 </t>
        </is>
      </c>
      <c r="F73" t="inlineStr">
        <is>
          <t>千克</t>
        </is>
      </c>
      <c r="G73">
        <f>LEFT(D73,FIND("|",D73,1)-1)</f>
        <v/>
      </c>
      <c r="H73">
        <f>MID(D73,FIND("|",D73,FIND("|",D73,1))+1,FIND("|",D73,FIND("|",D73,1)+1)-FIND("|",D73,FIND("|",D73,1))-1)</f>
        <v/>
      </c>
      <c r="K73">
        <f>MID(D73,FIND(";",SUBSTITUTE(D73,"|",REPT(";",LEN(D73)),2))+1,FIND(";",SUBSTITUTE(D73,"|",REPT(";",LEN(D73)),3))-FIND(";",SUBSTITUTE(D73,"|",REPT(";",LEN(D73)),2))-1)</f>
        <v/>
      </c>
      <c r="L73">
        <f>MID(D73,FIND(";",SUBSTITUTE(D73,"|",REPT(";",LEN(D73)),3))+1,FIND(";",SUBSTITUTE(D73,"|",REPT(";",LEN(D73)),4))-FIND(";",SUBSTITUTE(D73,"|",REPT(";",LEN(D73)),3))-1)</f>
        <v/>
      </c>
      <c r="Q73">
        <f>MID(D73,FIND(";",SUBSTITUTE(D73,"|",REPT(";",LEN(D73)),4))+1,LEN(D73))</f>
        <v/>
      </c>
    </row>
    <row r="74">
      <c r="A74" t="inlineStr">
        <is>
          <t>100501</t>
        </is>
      </c>
      <c r="B74" t="inlineStr">
        <is>
          <t>钢丝</t>
        </is>
      </c>
      <c r="C74" t="inlineStr">
        <is>
          <t>600844400</t>
        </is>
      </c>
      <c r="D74" t="inlineStr">
        <is>
          <t>冷拉不锈钢丝|钢丝|12Cr18Ni9|Φ0.5|GB/T 4240-2009|冷拉</t>
        </is>
      </c>
      <c r="E74" t="inlineStr">
        <is>
          <t xml:space="preserve">物资名称 冷拉不锈钢丝;物资简称 钢丝;牌号 12Cr18Ni9;直径 Φ0.5;技术标准号 GB/T 4240-2009;抗拉强度 ;加工工艺 冷拉;表面状态 ;特殊要求 ;规格标准号 </t>
        </is>
      </c>
      <c r="F74" t="inlineStr">
        <is>
          <t>米</t>
        </is>
      </c>
      <c r="G74">
        <f>LEFT(D74,FIND("|",D74,1)-1)</f>
        <v/>
      </c>
      <c r="H74">
        <f>MID(D74,FIND("|",D74,FIND("|",D74,1))+1,FIND("|",D74,FIND("|",D74,1)+1)-FIND("|",D74,FIND("|",D74,1))-1)</f>
        <v/>
      </c>
      <c r="J74">
        <f>MID(D74,FIND(";",SUBSTITUTE(D74,"|",REPT(";",LEN(D74)),2))+1,FIND(";",SUBSTITUTE(D74,"|",REPT(";",LEN(D74)),3))-FIND(";",SUBSTITUTE(D74,"|",REPT(";",LEN(D74)),2))-1)</f>
        <v/>
      </c>
      <c r="K74">
        <f>MID(D74,FIND(";",SUBSTITUTE(D74,"|",REPT(";",LEN(D74)),3))+1,FIND(";",SUBSTITUTE(D74,"|",REPT(";",LEN(D74)),4))-FIND(";",SUBSTITUTE(D74,"|",REPT(";",LEN(D74)),3))-1)</f>
        <v/>
      </c>
      <c r="L74">
        <f>MID(D74,FIND(";",SUBSTITUTE(D74,"|",REPT(";",LEN(D74)),4))+1,FIND(";",SUBSTITUTE(D74,"|",REPT(";",LEN(D74)),5))-FIND(";",SUBSTITUTE(D74,"|",REPT(";",LEN(D74)),4))-1)</f>
        <v/>
      </c>
      <c r="N74">
        <f>MID(D74,FIND(";",SUBSTITUTE(D74,"|",REPT(";",LEN(D74)),5))+1,LEN(D74))</f>
        <v/>
      </c>
    </row>
    <row r="75">
      <c r="A75" t="inlineStr">
        <is>
          <t>100501</t>
        </is>
      </c>
      <c r="B75" t="inlineStr">
        <is>
          <t>钢丝</t>
        </is>
      </c>
      <c r="C75" t="inlineStr">
        <is>
          <t>600843400</t>
        </is>
      </c>
      <c r="D75" t="inlineStr">
        <is>
          <t>优质碳素结构钢丝|方钢丝|20|□2|GB/T 699-1999|允许偏差级别12|GB/T 342-1997</t>
        </is>
      </c>
      <c r="E75" t="inlineStr">
        <is>
          <t>物资名称 优质碳素结构钢丝;物资简称 方钢丝;牌号 20;边宽 □2;技术标准号 GB/T 699-1999;抗拉强度 ;加工工艺 ;表面状态 ;特殊要求 允许偏差级别12;规格标准号 GB/T 342-1997</t>
        </is>
      </c>
      <c r="F75" t="inlineStr">
        <is>
          <t>千克</t>
        </is>
      </c>
      <c r="G75">
        <f>LEFT(D75,FIND("|",D75,1)-1)</f>
        <v/>
      </c>
      <c r="H75">
        <f>MID(D75,FIND("|",D75,FIND("|",D75,1))+1,FIND("|",D75,FIND("|",D75,1)+1)-FIND("|",D75,FIND("|",D75,1))-1)</f>
        <v/>
      </c>
      <c r="J75">
        <f>MID(D75,FIND(";",SUBSTITUTE(D75,"|",REPT(";",LEN(D75)),2))+1,FIND(";",SUBSTITUTE(D75,"|",REPT(";",LEN(D75)),3))-FIND(";",SUBSTITUTE(D75,"|",REPT(";",LEN(D75)),2))-1)</f>
        <v/>
      </c>
      <c r="K75">
        <f>MID(D75,FIND(";",SUBSTITUTE(D75,"|",REPT(";",LEN(D75)),3))+1,FIND(";",SUBSTITUTE(D75,"|",REPT(";",LEN(D75)),4))-FIND(";",SUBSTITUTE(D75,"|",REPT(";",LEN(D75)),3))-1)</f>
        <v/>
      </c>
      <c r="L75">
        <f>MID(D75,FIND(";",SUBSTITUTE(D75,"|",REPT(";",LEN(D75)),4))+1,FIND(";",SUBSTITUTE(D75,"|",REPT(";",LEN(D75)),5))-FIND(";",SUBSTITUTE(D75,"|",REPT(";",LEN(D75)),4))-1)</f>
        <v/>
      </c>
      <c r="M75">
        <f>MID(D75,FIND(";",SUBSTITUTE(D75,"|",REPT(";",LEN(D75)),6))+1,LEN(D75))</f>
        <v/>
      </c>
      <c r="Q75">
        <f>MID(D75,FIND(";",SUBSTITUTE(D75,"|",REPT(";",LEN(D75)),5))+1,FIND(";",SUBSTITUTE(D75,"|",REPT(";",LEN(D75)),6))-FIND(";",SUBSTITUTE(D75,"|",REPT(";",LEN(D75)),5))-1)</f>
        <v/>
      </c>
    </row>
    <row r="76">
      <c r="A76" t="inlineStr">
        <is>
          <t>100501</t>
        </is>
      </c>
      <c r="B76" t="inlineStr">
        <is>
          <t>钢丝</t>
        </is>
      </c>
      <c r="C76" t="inlineStr">
        <is>
          <t>600842400</t>
        </is>
      </c>
      <c r="D76" t="inlineStr">
        <is>
          <t>冷拉不锈钢丝|钢丝|12Cr18Ni9|Φ1|GB/T 4240-2009|冷拉</t>
        </is>
      </c>
      <c r="E76" t="inlineStr">
        <is>
          <t xml:space="preserve">物资名称 冷拉不锈钢丝;物资简称 钢丝;牌号 12Cr18Ni9;直径 Φ1;技术标准号 GB/T 4240-2009;抗拉强度 ;加工工艺 冷拉;表面状态 ;特殊要求 ;规格标准号 </t>
        </is>
      </c>
      <c r="F76" t="inlineStr">
        <is>
          <t>米</t>
        </is>
      </c>
      <c r="G76">
        <f>LEFT(D76,FIND("|",D76,1)-1)</f>
        <v/>
      </c>
      <c r="H76">
        <f>MID(D76,FIND("|",D76,FIND("|",D76,1))+1,FIND("|",D76,FIND("|",D76,1)+1)-FIND("|",D76,FIND("|",D76,1))-1)</f>
        <v/>
      </c>
      <c r="J76">
        <f>MID(D76,FIND(";",SUBSTITUTE(D76,"|",REPT(";",LEN(D76)),2))+1,FIND(";",SUBSTITUTE(D76,"|",REPT(";",LEN(D76)),3))-FIND(";",SUBSTITUTE(D76,"|",REPT(";",LEN(D76)),2))-1)</f>
        <v/>
      </c>
      <c r="K76">
        <f>MID(D76,FIND(";",SUBSTITUTE(D76,"|",REPT(";",LEN(D76)),3))+1,FIND(";",SUBSTITUTE(D76,"|",REPT(";",LEN(D76)),4))-FIND(";",SUBSTITUTE(D76,"|",REPT(";",LEN(D76)),3))-1)</f>
        <v/>
      </c>
      <c r="L76">
        <f>MID(D76,FIND(";",SUBSTITUTE(D76,"|",REPT(";",LEN(D76)),4))+1,FIND(";",SUBSTITUTE(D76,"|",REPT(";",LEN(D76)),5))-FIND(";",SUBSTITUTE(D76,"|",REPT(";",LEN(D76)),4))-1)</f>
        <v/>
      </c>
      <c r="N76">
        <f>MID(D76,FIND(";",SUBSTITUTE(D76,"|",REPT(";",LEN(D76)),5))+1,LEN(D76))</f>
        <v/>
      </c>
    </row>
    <row r="77">
      <c r="A77" t="inlineStr">
        <is>
          <t>100501</t>
        </is>
      </c>
      <c r="B77" t="inlineStr">
        <is>
          <t>钢丝</t>
        </is>
      </c>
      <c r="C77" t="inlineStr">
        <is>
          <t>600840000</t>
        </is>
      </c>
      <c r="D77" t="inlineStr">
        <is>
          <t>冷拉弹簧用不锈钢丝|弹簧用不锈钢丝|1Cr18Ni9|Φ0.45|YB(T) 11-1983|B;允许偏差级别11|GB/T 342-1997</t>
        </is>
      </c>
      <c r="E77" t="inlineStr">
        <is>
          <t>物资名称 冷拉弹簧用不锈钢丝;物资简称 弹簧用不锈钢丝;牌号 1Cr18Ni9;直径 Φ0.45;技术标准号 YB(T) 11-1983;抗拉强度 ;加工工艺 ;表面状态 ;特殊要求 B;允许偏差级别11;规格标准号 GB/T 342-1997</t>
        </is>
      </c>
      <c r="F77" t="inlineStr">
        <is>
          <t>千克</t>
        </is>
      </c>
      <c r="G77">
        <f>LEFT(D77,FIND("|",D77,1)-1)</f>
        <v/>
      </c>
      <c r="H77">
        <f>MID(D77,FIND("|",D77,FIND("|",D77,1))+1,FIND("|",D77,FIND("|",D77,1)+1)-FIND("|",D77,FIND("|",D77,1))-1)</f>
        <v/>
      </c>
      <c r="J77">
        <f>MID(D77,FIND(";",SUBSTITUTE(D77,"|",REPT(";",LEN(D77)),2))+1,FIND(";",SUBSTITUTE(D77,"|",REPT(";",LEN(D77)),3))-FIND(";",SUBSTITUTE(D77,"|",REPT(";",LEN(D77)),2))-1)</f>
        <v/>
      </c>
      <c r="K77">
        <f>MID(D77,FIND(";",SUBSTITUTE(D77,"|",REPT(";",LEN(D77)),3))+1,FIND(";",SUBSTITUTE(D77,"|",REPT(";",LEN(D77)),4))-FIND(";",SUBSTITUTE(D77,"|",REPT(";",LEN(D77)),3))-1)</f>
        <v/>
      </c>
      <c r="L77">
        <f>MID(D77,FIND(";",SUBSTITUTE(D77,"|",REPT(";",LEN(D77)),4))+1,FIND(";",SUBSTITUTE(D77,"|",REPT(";",LEN(D77)),5))-FIND(";",SUBSTITUTE(D77,"|",REPT(";",LEN(D77)),4))-1)</f>
        <v/>
      </c>
      <c r="M77">
        <f>MID(D77,FIND(";;",SUBSTITUTE(D77,"|",REPT(";;",LEN(D77)),6))+1,LEN(D77))</f>
        <v/>
      </c>
      <c r="Q77">
        <f>MID(D77,FIND(";;",SUBSTITUTE(D77,"|",REPT(";;",LEN(D77)),5))+1,FIND(";;",SUBSTITUTE(D77,"|",REPT(";;",LEN(D77)),6))-FIND(";;",SUBSTITUTE(D77,"|",REPT(";;",LEN(D77)),5))-1)</f>
        <v/>
      </c>
    </row>
    <row r="78">
      <c r="A78" t="inlineStr">
        <is>
          <t>100501</t>
        </is>
      </c>
      <c r="B78" t="inlineStr">
        <is>
          <t>钢丝</t>
        </is>
      </c>
      <c r="C78" t="inlineStr">
        <is>
          <t>600838400</t>
        </is>
      </c>
      <c r="D78" t="inlineStr">
        <is>
          <t>冷拉弹簧用不锈钢丝|弹簧用不锈钢丝|1Cr18Ni9|Φ0.6|YB(T)11-1983|B;允许偏差级别11|GB/T 342-1997</t>
        </is>
      </c>
      <c r="E78" t="inlineStr">
        <is>
          <t>物资名称 冷拉弹簧用不锈钢丝;物资简称 弹簧用不锈钢丝;牌号 1Cr18Ni9;直径 Φ0.6;技术标准号 YB(T)11-1983;抗拉强度 ;加工工艺 ;表面状态 ;特殊要求 B;允许偏差级别11;规格标准号 GB/T 342-1997</t>
        </is>
      </c>
      <c r="F78" t="inlineStr">
        <is>
          <t>千克</t>
        </is>
      </c>
      <c r="G78">
        <f>LEFT(D78,FIND("|",D78,1)-1)</f>
        <v/>
      </c>
      <c r="H78">
        <f>MID(D78,FIND("|",D78,FIND("|",D78,1))+1,FIND("|",D78,FIND("|",D78,1)+1)-FIND("|",D78,FIND("|",D78,1))-1)</f>
        <v/>
      </c>
      <c r="J78">
        <f>MID(D78,FIND(";",SUBSTITUTE(D78,"|",REPT(";",LEN(D78)),2))+1,FIND(";",SUBSTITUTE(D78,"|",REPT(";",LEN(D78)),3))-FIND(";",SUBSTITUTE(D78,"|",REPT(";",LEN(D78)),2))-1)</f>
        <v/>
      </c>
      <c r="K78">
        <f>MID(D78,FIND(";",SUBSTITUTE(D78,"|",REPT(";",LEN(D78)),3))+1,FIND(";",SUBSTITUTE(D78,"|",REPT(";",LEN(D78)),4))-FIND(";",SUBSTITUTE(D78,"|",REPT(";",LEN(D78)),3))-1)</f>
        <v/>
      </c>
      <c r="L78">
        <f>MID(D78,FIND(";",SUBSTITUTE(D78,"|",REPT(";",LEN(D78)),4))+1,FIND(";",SUBSTITUTE(D78,"|",REPT(";",LEN(D78)),5))-FIND(";",SUBSTITUTE(D78,"|",REPT(";",LEN(D78)),4))-1)</f>
        <v/>
      </c>
      <c r="M78">
        <f>MID(D78,FIND(";;",SUBSTITUTE(D78,"|",REPT(";;",LEN(D78)),6))+1,LEN(D78))</f>
        <v/>
      </c>
      <c r="Q78">
        <f>MID(D78,FIND(";;",SUBSTITUTE(D78,"|",REPT(";;",LEN(D78)),5))+1,FIND(";;",SUBSTITUTE(D78,"|",REPT(";;",LEN(D78)),6))-FIND(";;",SUBSTITUTE(D78,"|",REPT(";;",LEN(D78)),5))-1)</f>
        <v/>
      </c>
    </row>
    <row r="79">
      <c r="A79" t="inlineStr">
        <is>
          <t>100501</t>
        </is>
      </c>
      <c r="B79" t="inlineStr">
        <is>
          <t>钢丝</t>
        </is>
      </c>
      <c r="C79" t="inlineStr">
        <is>
          <t>600825800</t>
        </is>
      </c>
      <c r="D79" t="inlineStr">
        <is>
          <t>一般用途低碳钢丝|镀锌钢丝|Φ0.5|GB 9972-1988</t>
        </is>
      </c>
      <c r="E79" t="inlineStr">
        <is>
          <t xml:space="preserve">物资名称 一般用途低碳钢丝;物资简称 镀锌钢丝;牌号 ;直径 Φ0.5;技术标准号 GB 9972-1988;抗拉强度 ;加工工艺 ;表面状态 ;特殊要求 ;规格标准号 </t>
        </is>
      </c>
      <c r="F79" t="inlineStr">
        <is>
          <t>千克</t>
        </is>
      </c>
      <c r="G79">
        <f>LEFT(D79,FIND("|",D79,1)-1)</f>
        <v/>
      </c>
      <c r="H79">
        <f>MID(D79,FIND("|",D79,FIND("|",D79,1))+1,FIND("|",D79,FIND("|",D79,1)+1)-FIND("|",D79,FIND("|",D79,1))-1)</f>
        <v/>
      </c>
      <c r="K79">
        <f>MID(D79,FIND(";",SUBSTITUTE(D79,"|",REPT(";",LEN(D79)),2))+1,FIND(";",SUBSTITUTE(D79,"|",REPT(";",LEN(D79)),3))-FIND(";",SUBSTITUTE(D79,"|",REPT(";",LEN(D79)),2))-1)</f>
        <v/>
      </c>
      <c r="L79">
        <f>MID(D79,FIND(";",SUBSTITUTE(D79,"|",REPT(";",LEN(D79)),3))+1,LEN(D79))</f>
        <v/>
      </c>
    </row>
    <row r="80">
      <c r="A80" t="inlineStr">
        <is>
          <t>100501</t>
        </is>
      </c>
      <c r="B80" t="inlineStr">
        <is>
          <t>钢丝</t>
        </is>
      </c>
      <c r="C80" t="inlineStr">
        <is>
          <t>600767200</t>
        </is>
      </c>
      <c r="D80" t="inlineStr">
        <is>
          <t>一般用途低碳钢丝|镀锌钢丝|ΦSZ-0.5|YB/T 5294-2009|用作辅料</t>
        </is>
      </c>
      <c r="E80" t="inlineStr">
        <is>
          <t xml:space="preserve">物资名称 一般用途低碳钢丝;物资简称 镀锌钢丝;牌号 ;直径 ΦSZ-0.5;技术标准号 YB/T 5294-2009;抗拉强度 ;加工工艺 ;表面状态 ;特殊要求 用作辅料;规格标准号 </t>
        </is>
      </c>
      <c r="F80" t="inlineStr">
        <is>
          <t>千克</t>
        </is>
      </c>
      <c r="G80">
        <f>LEFT(D80,FIND("|",D80,1)-1)</f>
        <v/>
      </c>
      <c r="H80">
        <f>MID(D80,FIND("|",D80,FIND("|",D80,1))+1,FIND("|",D80,FIND("|",D80,1)+1)-FIND("|",D80,FIND("|",D80,1))-1)</f>
        <v/>
      </c>
      <c r="K80">
        <f>MID(D80,FIND(";",SUBSTITUTE(D80,"|",REPT(";",LEN(D80)),2))+1,FIND(";",SUBSTITUTE(D80,"|",REPT(";",LEN(D80)),3))-FIND(";",SUBSTITUTE(D80,"|",REPT(";",LEN(D80)),2))-1)</f>
        <v/>
      </c>
      <c r="L80">
        <f>MID(D80,FIND(";",SUBSTITUTE(D80,"|",REPT(";",LEN(D80)),3))+1,FIND(";",SUBSTITUTE(D80,"|",REPT(";",LEN(D80)),4))-FIND(";",SUBSTITUTE(D80,"|",REPT(";",LEN(D80)),3))-1)</f>
        <v/>
      </c>
    </row>
    <row r="81">
      <c r="A81" t="inlineStr">
        <is>
          <t>100501</t>
        </is>
      </c>
      <c r="B81" t="inlineStr">
        <is>
          <t>钢丝</t>
        </is>
      </c>
      <c r="C81" t="inlineStr">
        <is>
          <t>600766600</t>
        </is>
      </c>
      <c r="D81" t="inlineStr">
        <is>
          <t>一般用途低碳钢丝|镀锌钢丝|ΦSZ-0.5|YB/T 5294-2009</t>
        </is>
      </c>
      <c r="E81" t="inlineStr">
        <is>
          <t xml:space="preserve">物资名称 一般用途低碳钢丝;物资简称 镀锌钢丝;牌号 ;直径 ΦSZ-0.5;技术标准号 YB/T 5294-2009;抗拉强度 ;加工工艺 ;表面状态 ;特殊要求 ;规格标准号 </t>
        </is>
      </c>
      <c r="F81" t="inlineStr">
        <is>
          <t>千克</t>
        </is>
      </c>
      <c r="G81">
        <f>LEFT(D81,FIND("|",D81,1)-1)</f>
        <v/>
      </c>
      <c r="H81">
        <f>MID(D81,FIND("|",D81,FIND("|",D81,1))+1,FIND("|",D81,FIND("|",D81,1)+1)-FIND("|",D81,FIND("|",D81,1))-1)</f>
        <v/>
      </c>
      <c r="K81">
        <f>MID(D81,FIND(";",SUBSTITUTE(D81,"|",REPT(";",LEN(D81)),2))+1,FIND(";",SUBSTITUTE(D81,"|",REPT(";",LEN(D81)),3))-FIND(";",SUBSTITUTE(D81,"|",REPT(";",LEN(D81)),2))-1)</f>
        <v/>
      </c>
      <c r="L81">
        <f>MID(D81,FIND(";",SUBSTITUTE(D81,"|",REPT(";",LEN(D81)),3))+1,LEN(D81))</f>
        <v/>
      </c>
    </row>
    <row r="82">
      <c r="A82" t="inlineStr">
        <is>
          <t>100501</t>
        </is>
      </c>
      <c r="B82" t="inlineStr">
        <is>
          <t>钢丝</t>
        </is>
      </c>
      <c r="C82" t="inlineStr">
        <is>
          <t>600634200</t>
        </is>
      </c>
      <c r="D82" t="inlineStr">
        <is>
          <t>合金工具钢丝|钢丝|Cr12MoV|GB/T 1299-2000|冷拉</t>
        </is>
      </c>
      <c r="E82" t="inlineStr">
        <is>
          <t xml:space="preserve">物资名称 合金工具钢丝;物资简称 钢丝;牌号 Cr12MoV;直径 Φ;技术标准号 GB/T 1299-2000;抗拉强度 ;加工工艺 冷拉;表面状态 ;特殊要求 ;规格标准号 </t>
        </is>
      </c>
      <c r="F82" t="inlineStr">
        <is>
          <t>千克</t>
        </is>
      </c>
      <c r="G82">
        <f>LEFT(D82,FIND("|",D82,1)-1)</f>
        <v/>
      </c>
      <c r="H82">
        <f>MID(D82,FIND("|",D82,FIND("|",D82,1))+1,FIND("|",D82,FIND("|",D82,1)+1)-FIND("|",D82,FIND("|",D82,1))-1)</f>
        <v/>
      </c>
      <c r="J82">
        <f>MID(D82,FIND(";",SUBSTITUTE(D82,"|",REPT(";",LEN(D82)),2))+1,FIND(";",SUBSTITUTE(D82,"|",REPT(";",LEN(D82)),3))-FIND(";",SUBSTITUTE(D82,"|",REPT(";",LEN(D82)),2))-1)</f>
        <v/>
      </c>
      <c r="L82">
        <f>MID(D82,FIND(";",SUBSTITUTE(D82,"|",REPT(";",LEN(D82)),3))+1,FIND(";",SUBSTITUTE(D82,"|",REPT(";",LEN(D82)),4))-FIND(";",SUBSTITUTE(D82,"|",REPT(";",LEN(D82)),3))-1)</f>
        <v/>
      </c>
      <c r="N82">
        <f>MID(D82,FIND(";",SUBSTITUTE(D82,"|",REPT(";",LEN(D82)),4))+1,LEN(D82))</f>
        <v/>
      </c>
    </row>
    <row r="83">
      <c r="A83" t="inlineStr">
        <is>
          <t>100501</t>
        </is>
      </c>
      <c r="B83" t="inlineStr">
        <is>
          <t>钢丝</t>
        </is>
      </c>
      <c r="C83" t="inlineStr">
        <is>
          <t>600634100</t>
        </is>
      </c>
      <c r="D83" t="inlineStr">
        <is>
          <t>冷拉不锈钢丝|钢丝|1Cr18Ni9Ti|GB/T 4240-1993|冷拉</t>
        </is>
      </c>
      <c r="E83" t="inlineStr">
        <is>
          <t xml:space="preserve">物资名称 冷拉不锈钢丝;物资简称 钢丝;牌号 1Cr18Ni9Ti;直径 Φ;技术标准号 GB/T 4240-1993;抗拉强度 ;加工工艺 冷拉;表面状态 ;特殊要求 ;规格标准号 </t>
        </is>
      </c>
      <c r="F83" t="inlineStr">
        <is>
          <t>千克</t>
        </is>
      </c>
      <c r="G83">
        <f>LEFT(D83,FIND("|",D83,1)-1)</f>
        <v/>
      </c>
      <c r="H83">
        <f>MID(D83,FIND("|",D83,FIND("|",D83,1))+1,FIND("|",D83,FIND("|",D83,1)+1)-FIND("|",D83,FIND("|",D83,1))-1)</f>
        <v/>
      </c>
      <c r="J83">
        <f>MID(D83,FIND(";",SUBSTITUTE(D83,"|",REPT(";",LEN(D83)),2))+1,FIND(";",SUBSTITUTE(D83,"|",REPT(";",LEN(D83)),3))-FIND(";",SUBSTITUTE(D83,"|",REPT(";",LEN(D83)),2))-1)</f>
        <v/>
      </c>
      <c r="L83">
        <f>MID(D83,FIND(";",SUBSTITUTE(D83,"|",REPT(";",LEN(D83)),3))+1,FIND(";",SUBSTITUTE(D83,"|",REPT(";",LEN(D83)),4))-FIND(";",SUBSTITUTE(D83,"|",REPT(";",LEN(D83)),3))-1)</f>
        <v/>
      </c>
      <c r="N83">
        <f>MID(D83,FIND(";",SUBSTITUTE(D83,"|",REPT(";",LEN(D83)),4))+1,LEN(D83))</f>
        <v/>
      </c>
    </row>
    <row r="84">
      <c r="A84" t="inlineStr">
        <is>
          <t>100501</t>
        </is>
      </c>
      <c r="B84" t="inlineStr">
        <is>
          <t>钢丝</t>
        </is>
      </c>
      <c r="C84" t="inlineStr">
        <is>
          <t>600634000</t>
        </is>
      </c>
      <c r="D84" t="inlineStr">
        <is>
          <t>冷拉不锈钢丝|钢丝|1Cr18Ni9Ti|Φ1|GB/T 4240-1993|冷拉</t>
        </is>
      </c>
      <c r="E84" t="inlineStr">
        <is>
          <t xml:space="preserve">物资名称 冷拉不锈钢丝;物资简称 钢丝;牌号 1Cr18Ni9Ti;直径 Φ1;技术标准号 GB/T 4240-1993;抗拉强度 ;加工工艺 冷拉;表面状态 ;特殊要求 ;规格标准号 </t>
        </is>
      </c>
      <c r="F84" t="inlineStr">
        <is>
          <t>千克</t>
        </is>
      </c>
      <c r="G84">
        <f>LEFT(D84,FIND("|",D84,1)-1)</f>
        <v/>
      </c>
      <c r="H84">
        <f>MID(D84,FIND("|",D84,FIND("|",D84,1))+1,FIND("|",D84,FIND("|",D84,1)+1)-FIND("|",D84,FIND("|",D84,1))-1)</f>
        <v/>
      </c>
      <c r="J84">
        <f>MID(D84,FIND(";",SUBSTITUTE(D84,"|",REPT(";",LEN(D84)),2))+1,FIND(";",SUBSTITUTE(D84,"|",REPT(";",LEN(D84)),3))-FIND(";",SUBSTITUTE(D84,"|",REPT(";",LEN(D84)),2))-1)</f>
        <v/>
      </c>
      <c r="K84">
        <f>MID(D84,FIND(";",SUBSTITUTE(D84,"|",REPT(";",LEN(D84)),3))+1,FIND(";",SUBSTITUTE(D84,"|",REPT(";",LEN(D84)),4))-FIND(";",SUBSTITUTE(D84,"|",REPT(";",LEN(D84)),3))-1)</f>
        <v/>
      </c>
      <c r="L84">
        <f>MID(D84,FIND(";",SUBSTITUTE(D84,"|",REPT(";",LEN(D84)),4))+1,FIND(";",SUBSTITUTE(D84,"|",REPT(";",LEN(D84)),5))-FIND(";",SUBSTITUTE(D84,"|",REPT(";",LEN(D84)),4))-1)</f>
        <v/>
      </c>
      <c r="N84">
        <f>MID(D84,FIND(";",SUBSTITUTE(D84,"|",REPT(";",LEN(D84)),5))+1,LEN(D84))</f>
        <v/>
      </c>
    </row>
    <row r="85">
      <c r="A85" t="inlineStr">
        <is>
          <t>100501</t>
        </is>
      </c>
      <c r="B85" t="inlineStr">
        <is>
          <t>钢丝</t>
        </is>
      </c>
      <c r="C85" t="inlineStr">
        <is>
          <t>600633900</t>
        </is>
      </c>
      <c r="D85" t="inlineStr">
        <is>
          <t>冷拉不锈钢丝|钢丝|1Cr18Ni9Ti|Φ3|GB/T 4240-1993|冷拉</t>
        </is>
      </c>
      <c r="E85" t="inlineStr">
        <is>
          <t xml:space="preserve">物资名称 冷拉不锈钢丝;物资简称 钢丝;牌号 1Cr18Ni9Ti;直径 Φ3;技术标准号 GB/T 4240-1993;抗拉强度 ;加工工艺 冷拉;表面状态 ;特殊要求 ;规格标准号 </t>
        </is>
      </c>
      <c r="F85" t="inlineStr">
        <is>
          <t>千克</t>
        </is>
      </c>
      <c r="G85">
        <f>LEFT(D85,FIND("|",D85,1)-1)</f>
        <v/>
      </c>
      <c r="H85">
        <f>MID(D85,FIND("|",D85,FIND("|",D85,1))+1,FIND("|",D85,FIND("|",D85,1)+1)-FIND("|",D85,FIND("|",D85,1))-1)</f>
        <v/>
      </c>
      <c r="J85">
        <f>MID(D85,FIND(";",SUBSTITUTE(D85,"|",REPT(";",LEN(D85)),2))+1,FIND(";",SUBSTITUTE(D85,"|",REPT(";",LEN(D85)),3))-FIND(";",SUBSTITUTE(D85,"|",REPT(";",LEN(D85)),2))-1)</f>
        <v/>
      </c>
      <c r="K85">
        <f>MID(D85,FIND(";",SUBSTITUTE(D85,"|",REPT(";",LEN(D85)),3))+1,FIND(";",SUBSTITUTE(D85,"|",REPT(";",LEN(D85)),4))-FIND(";",SUBSTITUTE(D85,"|",REPT(";",LEN(D85)),3))-1)</f>
        <v/>
      </c>
      <c r="L85">
        <f>MID(D85,FIND(";",SUBSTITUTE(D85,"|",REPT(";",LEN(D85)),4))+1,FIND(";",SUBSTITUTE(D85,"|",REPT(";",LEN(D85)),5))-FIND(";",SUBSTITUTE(D85,"|",REPT(";",LEN(D85)),4))-1)</f>
        <v/>
      </c>
      <c r="N85">
        <f>MID(D85,FIND(";",SUBSTITUTE(D85,"|",REPT(";",LEN(D85)),5))+1,LEN(D85))</f>
        <v/>
      </c>
    </row>
    <row r="86">
      <c r="A86" t="inlineStr">
        <is>
          <t>100501</t>
        </is>
      </c>
      <c r="B86" t="inlineStr">
        <is>
          <t>钢丝</t>
        </is>
      </c>
      <c r="C86" t="inlineStr">
        <is>
          <t>600633800</t>
        </is>
      </c>
      <c r="D86" t="inlineStr">
        <is>
          <t>冷拉不锈钢丝|钢丝|1Cr18Ni9Ti|Φ4|GB/T 4240-1993|冷拉</t>
        </is>
      </c>
      <c r="E86" t="inlineStr">
        <is>
          <t xml:space="preserve">物资名称 冷拉不锈钢丝;物资简称 钢丝;牌号 1Cr18Ni9Ti;直径 Φ4;技术标准号 GB/T 4240-1993;抗拉强度 ;加工工艺 冷拉;表面状态 ;特殊要求 ;规格标准号 </t>
        </is>
      </c>
      <c r="F86" t="inlineStr">
        <is>
          <t>千克</t>
        </is>
      </c>
      <c r="G86">
        <f>LEFT(D86,FIND("|",D86,1)-1)</f>
        <v/>
      </c>
      <c r="H86">
        <f>MID(D86,FIND("|",D86,FIND("|",D86,1))+1,FIND("|",D86,FIND("|",D86,1)+1)-FIND("|",D86,FIND("|",D86,1))-1)</f>
        <v/>
      </c>
      <c r="J86">
        <f>MID(D86,FIND(";",SUBSTITUTE(D86,"|",REPT(";",LEN(D86)),2))+1,FIND(";",SUBSTITUTE(D86,"|",REPT(";",LEN(D86)),3))-FIND(";",SUBSTITUTE(D86,"|",REPT(";",LEN(D86)),2))-1)</f>
        <v/>
      </c>
      <c r="K86">
        <f>MID(D86,FIND(";",SUBSTITUTE(D86,"|",REPT(";",LEN(D86)),3))+1,FIND(";",SUBSTITUTE(D86,"|",REPT(";",LEN(D86)),4))-FIND(";",SUBSTITUTE(D86,"|",REPT(";",LEN(D86)),3))-1)</f>
        <v/>
      </c>
      <c r="L86">
        <f>MID(D86,FIND(";",SUBSTITUTE(D86,"|",REPT(";",LEN(D86)),4))+1,FIND(";",SUBSTITUTE(D86,"|",REPT(";",LEN(D86)),5))-FIND(";",SUBSTITUTE(D86,"|",REPT(";",LEN(D86)),4))-1)</f>
        <v/>
      </c>
      <c r="N86">
        <f>MID(D86,FIND(";",SUBSTITUTE(D86,"|",REPT(";",LEN(D86)),5))+1,LEN(D86))</f>
        <v/>
      </c>
    </row>
    <row r="87">
      <c r="A87" t="inlineStr">
        <is>
          <t>100501</t>
        </is>
      </c>
      <c r="B87" t="inlineStr">
        <is>
          <t>钢丝</t>
        </is>
      </c>
      <c r="C87" t="inlineStr">
        <is>
          <t>600633700</t>
        </is>
      </c>
      <c r="D87" t="inlineStr">
        <is>
          <t>冷拉不锈钢丝|钢丝|1Cr18Ni9Ti|Φ5|GB/T 4240-1993|冷拉</t>
        </is>
      </c>
      <c r="E87" t="inlineStr">
        <is>
          <t xml:space="preserve">物资名称 冷拉不锈钢丝;物资简称 钢丝;牌号 1Cr18Ni9Ti;直径 Φ5;技术标准号 GB/T 4240-1993;抗拉强度 ;加工工艺 冷拉;表面状态 ;特殊要求 ;规格标准号 </t>
        </is>
      </c>
      <c r="F87" t="inlineStr">
        <is>
          <t>千克</t>
        </is>
      </c>
      <c r="G87">
        <f>LEFT(D87,FIND("|",D87,1)-1)</f>
        <v/>
      </c>
      <c r="H87">
        <f>MID(D87,FIND("|",D87,FIND("|",D87,1))+1,FIND("|",D87,FIND("|",D87,1)+1)-FIND("|",D87,FIND("|",D87,1))-1)</f>
        <v/>
      </c>
      <c r="J87">
        <f>MID(D87,FIND(";",SUBSTITUTE(D87,"|",REPT(";",LEN(D87)),2))+1,FIND(";",SUBSTITUTE(D87,"|",REPT(";",LEN(D87)),3))-FIND(";",SUBSTITUTE(D87,"|",REPT(";",LEN(D87)),2))-1)</f>
        <v/>
      </c>
      <c r="K87">
        <f>MID(D87,FIND(";",SUBSTITUTE(D87,"|",REPT(";",LEN(D87)),3))+1,FIND(";",SUBSTITUTE(D87,"|",REPT(";",LEN(D87)),4))-FIND(";",SUBSTITUTE(D87,"|",REPT(";",LEN(D87)),3))-1)</f>
        <v/>
      </c>
      <c r="L87">
        <f>MID(D87,FIND(";",SUBSTITUTE(D87,"|",REPT(";",LEN(D87)),4))+1,FIND(";",SUBSTITUTE(D87,"|",REPT(";",LEN(D87)),5))-FIND(";",SUBSTITUTE(D87,"|",REPT(";",LEN(D87)),4))-1)</f>
        <v/>
      </c>
      <c r="N87">
        <f>MID(D87,FIND(";",SUBSTITUTE(D87,"|",REPT(";",LEN(D87)),5))+1,LEN(D87))</f>
        <v/>
      </c>
    </row>
    <row r="88">
      <c r="A88" t="inlineStr">
        <is>
          <t>100501</t>
        </is>
      </c>
      <c r="B88" t="inlineStr">
        <is>
          <t>钢丝</t>
        </is>
      </c>
      <c r="C88" t="inlineStr">
        <is>
          <t>600633600</t>
        </is>
      </c>
      <c r="D88" t="inlineStr">
        <is>
          <t>冷拉不锈钢丝|钢丝|1Cr18Ni9Ti|Φ6|GB/T 4240-1993|冷拉</t>
        </is>
      </c>
      <c r="E88" t="inlineStr">
        <is>
          <t xml:space="preserve">物资名称 冷拉不锈钢丝;物资简称 钢丝;牌号 1Cr18Ni9Ti;直径 Φ6;技术标准号 GB/T 4240-1993;抗拉强度 ;加工工艺 冷拉;表面状态 ;特殊要求 ;规格标准号 </t>
        </is>
      </c>
      <c r="F88" t="inlineStr">
        <is>
          <t>千克</t>
        </is>
      </c>
      <c r="G88">
        <f>LEFT(D88,FIND("|",D88,1)-1)</f>
        <v/>
      </c>
      <c r="H88">
        <f>MID(D88,FIND("|",D88,FIND("|",D88,1))+1,FIND("|",D88,FIND("|",D88,1)+1)-FIND("|",D88,FIND("|",D88,1))-1)</f>
        <v/>
      </c>
      <c r="J88">
        <f>MID(D88,FIND(";",SUBSTITUTE(D88,"|",REPT(";",LEN(D88)),2))+1,FIND(";",SUBSTITUTE(D88,"|",REPT(";",LEN(D88)),3))-FIND(";",SUBSTITUTE(D88,"|",REPT(";",LEN(D88)),2))-1)</f>
        <v/>
      </c>
      <c r="K88">
        <f>MID(D88,FIND(";",SUBSTITUTE(D88,"|",REPT(";",LEN(D88)),3))+1,FIND(";",SUBSTITUTE(D88,"|",REPT(";",LEN(D88)),4))-FIND(";",SUBSTITUTE(D88,"|",REPT(";",LEN(D88)),3))-1)</f>
        <v/>
      </c>
      <c r="L88">
        <f>MID(D88,FIND(";",SUBSTITUTE(D88,"|",REPT(";",LEN(D88)),4))+1,FIND(";",SUBSTITUTE(D88,"|",REPT(";",LEN(D88)),5))-FIND(";",SUBSTITUTE(D88,"|",REPT(";",LEN(D88)),4))-1)</f>
        <v/>
      </c>
      <c r="N88">
        <f>MID(D88,FIND(";",SUBSTITUTE(D88,"|",REPT(";",LEN(D88)),5))+1,LEN(D88))</f>
        <v/>
      </c>
    </row>
    <row r="89">
      <c r="A89" t="inlineStr">
        <is>
          <t>100501</t>
        </is>
      </c>
      <c r="B89" t="inlineStr">
        <is>
          <t>钢丝</t>
        </is>
      </c>
      <c r="C89" t="inlineStr">
        <is>
          <t>600633500</t>
        </is>
      </c>
      <c r="D89" t="inlineStr">
        <is>
          <t>冷拉碳素弹簧钢丝|钢丝|65Mn|GB/T 4357-2009|冷拉</t>
        </is>
      </c>
      <c r="E89" t="inlineStr">
        <is>
          <t xml:space="preserve">物资名称 冷拉碳素弹簧钢丝;物资简称 钢丝;牌号 65Mn;直径 Φ;技术标准号 GB/T 4357-2009;抗拉强度 ;加工工艺 冷拉;表面状态 ;特殊要求 ;规格标准号 </t>
        </is>
      </c>
      <c r="F89" t="inlineStr">
        <is>
          <t>千克</t>
        </is>
      </c>
      <c r="G89">
        <f>LEFT(D89,FIND("|",D89,1)-1)</f>
        <v/>
      </c>
      <c r="H89">
        <f>MID(D89,FIND("|",D89,FIND("|",D89,1))+1,FIND("|",D89,FIND("|",D89,1)+1)-FIND("|",D89,FIND("|",D89,1))-1)</f>
        <v/>
      </c>
      <c r="J89">
        <f>MID(D89,FIND(";",SUBSTITUTE(D89,"|",REPT(";",LEN(D89)),2))+1,FIND(";",SUBSTITUTE(D89,"|",REPT(";",LEN(D89)),3))-FIND(";",SUBSTITUTE(D89,"|",REPT(";",LEN(D89)),2))-1)</f>
        <v/>
      </c>
      <c r="L89">
        <f>MID(D89,FIND(";",SUBSTITUTE(D89,"|",REPT(";",LEN(D89)),3))+1,FIND(";",SUBSTITUTE(D89,"|",REPT(";",LEN(D89)),4))-FIND(";",SUBSTITUTE(D89,"|",REPT(";",LEN(D89)),3))-1)</f>
        <v/>
      </c>
      <c r="N89">
        <f>MID(D89,FIND(";",SUBSTITUTE(D89,"|",REPT(";",LEN(D89)),4))+1,LEN(D89))</f>
        <v/>
      </c>
    </row>
    <row r="90">
      <c r="A90" t="inlineStr">
        <is>
          <t>100501</t>
        </is>
      </c>
      <c r="B90" t="inlineStr">
        <is>
          <t>钢丝</t>
        </is>
      </c>
      <c r="C90" t="inlineStr">
        <is>
          <t>600633400</t>
        </is>
      </c>
      <c r="D90" t="inlineStr">
        <is>
          <t>冷拉碳素弹簧钢丝|钢丝|65Mn|Φ0.4|GB/T 4357-2009|冷拉</t>
        </is>
      </c>
      <c r="E90" t="inlineStr">
        <is>
          <t xml:space="preserve">物资名称 冷拉碳素弹簧钢丝;物资简称 钢丝;牌号 65Mn;直径 Φ0.4;技术标准号 GB/T 4357-2009;抗拉强度 ;加工工艺 冷拉;表面状态 ;特殊要求 ;规格标准号 </t>
        </is>
      </c>
      <c r="F90" t="inlineStr">
        <is>
          <t>千克</t>
        </is>
      </c>
      <c r="G90">
        <f>LEFT(D90,FIND("|",D90,1)-1)</f>
        <v/>
      </c>
      <c r="H90">
        <f>MID(D90,FIND("|",D90,FIND("|",D90,1))+1,FIND("|",D90,FIND("|",D90,1)+1)-FIND("|",D90,FIND("|",D90,1))-1)</f>
        <v/>
      </c>
      <c r="J90">
        <f>MID(D90,FIND(";",SUBSTITUTE(D90,"|",REPT(";",LEN(D90)),2))+1,FIND(";",SUBSTITUTE(D90,"|",REPT(";",LEN(D90)),3))-FIND(";",SUBSTITUTE(D90,"|",REPT(";",LEN(D90)),2))-1)</f>
        <v/>
      </c>
      <c r="K90">
        <f>MID(D90,FIND(";",SUBSTITUTE(D90,"|",REPT(";",LEN(D90)),3))+1,FIND(";",SUBSTITUTE(D90,"|",REPT(";",LEN(D90)),4))-FIND(";",SUBSTITUTE(D90,"|",REPT(";",LEN(D90)),3))-1)</f>
        <v/>
      </c>
      <c r="L90">
        <f>MID(D90,FIND(";",SUBSTITUTE(D90,"|",REPT(";",LEN(D90)),4))+1,FIND(";",SUBSTITUTE(D90,"|",REPT(";",LEN(D90)),5))-FIND(";",SUBSTITUTE(D90,"|",REPT(";",LEN(D90)),4))-1)</f>
        <v/>
      </c>
      <c r="N90">
        <f>MID(D90,FIND(";",SUBSTITUTE(D90,"|",REPT(";",LEN(D90)),5))+1,LEN(D90))</f>
        <v/>
      </c>
    </row>
    <row r="91">
      <c r="A91" t="inlineStr">
        <is>
          <t>100501</t>
        </is>
      </c>
      <c r="B91" t="inlineStr">
        <is>
          <t>钢丝</t>
        </is>
      </c>
      <c r="C91" t="inlineStr">
        <is>
          <t>600633300</t>
        </is>
      </c>
      <c r="D91" t="inlineStr">
        <is>
          <t>冷拉碳素弹簧钢丝|钢丝|65Mn|Φ0.8|GB/T 4357-2009|冷拉</t>
        </is>
      </c>
      <c r="E91" t="inlineStr">
        <is>
          <t xml:space="preserve">物资名称 冷拉碳素弹簧钢丝;物资简称 钢丝;牌号 65Mn;直径 Φ0.8;技术标准号 GB/T 4357-2009;抗拉强度 ;加工工艺 冷拉;表面状态 ;特殊要求 ;规格标准号 </t>
        </is>
      </c>
      <c r="F91" t="inlineStr">
        <is>
          <t>千克</t>
        </is>
      </c>
      <c r="G91">
        <f>LEFT(D91,FIND("|",D91,1)-1)</f>
        <v/>
      </c>
      <c r="H91">
        <f>MID(D91,FIND("|",D91,FIND("|",D91,1))+1,FIND("|",D91,FIND("|",D91,1)+1)-FIND("|",D91,FIND("|",D91,1))-1)</f>
        <v/>
      </c>
      <c r="J91">
        <f>MID(D91,FIND(";",SUBSTITUTE(D91,"|",REPT(";",LEN(D91)),2))+1,FIND(";",SUBSTITUTE(D91,"|",REPT(";",LEN(D91)),3))-FIND(";",SUBSTITUTE(D91,"|",REPT(";",LEN(D91)),2))-1)</f>
        <v/>
      </c>
      <c r="K91">
        <f>MID(D91,FIND(";",SUBSTITUTE(D91,"|",REPT(";",LEN(D91)),3))+1,FIND(";",SUBSTITUTE(D91,"|",REPT(";",LEN(D91)),4))-FIND(";",SUBSTITUTE(D91,"|",REPT(";",LEN(D91)),3))-1)</f>
        <v/>
      </c>
      <c r="L91">
        <f>MID(D91,FIND(";",SUBSTITUTE(D91,"|",REPT(";",LEN(D91)),4))+1,FIND(";",SUBSTITUTE(D91,"|",REPT(";",LEN(D91)),5))-FIND(";",SUBSTITUTE(D91,"|",REPT(";",LEN(D91)),4))-1)</f>
        <v/>
      </c>
      <c r="N91">
        <f>MID(D91,FIND(";",SUBSTITUTE(D91,"|",REPT(";",LEN(D91)),5))+1,LEN(D91))</f>
        <v/>
      </c>
    </row>
    <row r="92">
      <c r="A92" t="inlineStr">
        <is>
          <t>100501</t>
        </is>
      </c>
      <c r="B92" t="inlineStr">
        <is>
          <t>钢丝</t>
        </is>
      </c>
      <c r="C92" t="inlineStr">
        <is>
          <t>600633200</t>
        </is>
      </c>
      <c r="D92" t="inlineStr">
        <is>
          <t>冷拉碳素弹簧钢丝|钢丝|70|GB/T 4357-2009|冷拉</t>
        </is>
      </c>
      <c r="E92" t="inlineStr">
        <is>
          <t xml:space="preserve">物资名称 冷拉碳素弹簧钢丝;物资简称 钢丝;牌号 70;直径 Φ;技术标准号 GB/T 4357-2009;抗拉强度 ;加工工艺 冷拉;表面状态 ;特殊要求 ;规格标准号 </t>
        </is>
      </c>
      <c r="F92" t="inlineStr">
        <is>
          <t>千克</t>
        </is>
      </c>
      <c r="G92">
        <f>LEFT(D92,FIND("|",D92,1)-1)</f>
        <v/>
      </c>
      <c r="H92">
        <f>MID(D92,FIND("|",D92,FIND("|",D92,1))+1,FIND("|",D92,FIND("|",D92,1)+1)-FIND("|",D92,FIND("|",D92,1))-1)</f>
        <v/>
      </c>
      <c r="J92">
        <f>MID(D92,FIND(";",SUBSTITUTE(D92,"|",REPT(";",LEN(D92)),2))+1,FIND(";",SUBSTITUTE(D92,"|",REPT(";",LEN(D92)),3))-FIND(";",SUBSTITUTE(D92,"|",REPT(";",LEN(D92)),2))-1)</f>
        <v/>
      </c>
      <c r="L92">
        <f>MID(D92,FIND(";",SUBSTITUTE(D92,"|",REPT(";",LEN(D92)),3))+1,FIND(";",SUBSTITUTE(D92,"|",REPT(";",LEN(D92)),4))-FIND(";",SUBSTITUTE(D92,"|",REPT(";",LEN(D92)),3))-1)</f>
        <v/>
      </c>
      <c r="N92">
        <f>MID(D92,FIND(";",SUBSTITUTE(D92,"|",REPT(";",LEN(D92)),4))+1,LEN(D92))</f>
        <v/>
      </c>
    </row>
    <row r="93">
      <c r="A93" t="inlineStr">
        <is>
          <t>100501</t>
        </is>
      </c>
      <c r="B93" t="inlineStr">
        <is>
          <t>钢丝</t>
        </is>
      </c>
      <c r="C93" t="inlineStr">
        <is>
          <t>600633100</t>
        </is>
      </c>
      <c r="D93" t="inlineStr">
        <is>
          <t>冷拉碳素弹簧钢丝|钢丝|70|Φ0.3|GB/T 4357-2009|冷拉</t>
        </is>
      </c>
      <c r="E93" t="inlineStr">
        <is>
          <t xml:space="preserve">物资名称 冷拉碳素弹簧钢丝;物资简称 钢丝;牌号 70;直径 Φ0.3;技术标准号 GB/T 4357-2009;抗拉强度 ;加工工艺 冷拉;表面状态 ;特殊要求 ;规格标准号 </t>
        </is>
      </c>
      <c r="F93" t="inlineStr">
        <is>
          <t>千克</t>
        </is>
      </c>
      <c r="G93">
        <f>LEFT(D93,FIND("|",D93,1)-1)</f>
        <v/>
      </c>
      <c r="H93">
        <f>MID(D93,FIND("|",D93,FIND("|",D93,1))+1,FIND("|",D93,FIND("|",D93,1)+1)-FIND("|",D93,FIND("|",D93,1))-1)</f>
        <v/>
      </c>
      <c r="J93">
        <f>MID(D93,FIND(";",SUBSTITUTE(D93,"|",REPT(";",LEN(D93)),2))+1,FIND(";",SUBSTITUTE(D93,"|",REPT(";",LEN(D93)),3))-FIND(";",SUBSTITUTE(D93,"|",REPT(";",LEN(D93)),2))-1)</f>
        <v/>
      </c>
      <c r="K93">
        <f>MID(D93,FIND(";",SUBSTITUTE(D93,"|",REPT(";",LEN(D93)),3))+1,FIND(";",SUBSTITUTE(D93,"|",REPT(";",LEN(D93)),4))-FIND(";",SUBSTITUTE(D93,"|",REPT(";",LEN(D93)),3))-1)</f>
        <v/>
      </c>
      <c r="L93">
        <f>MID(D93,FIND(";",SUBSTITUTE(D93,"|",REPT(";",LEN(D93)),4))+1,FIND(";",SUBSTITUTE(D93,"|",REPT(";",LEN(D93)),5))-FIND(";",SUBSTITUTE(D93,"|",REPT(";",LEN(D93)),4))-1)</f>
        <v/>
      </c>
      <c r="N93">
        <f>MID(D93,FIND(";",SUBSTITUTE(D93,"|",REPT(";",LEN(D93)),5))+1,LEN(D93))</f>
        <v/>
      </c>
    </row>
    <row r="94">
      <c r="A94" t="inlineStr">
        <is>
          <t>100501</t>
        </is>
      </c>
      <c r="B94" t="inlineStr">
        <is>
          <t>钢丝</t>
        </is>
      </c>
      <c r="C94" t="inlineStr">
        <is>
          <t>600633000</t>
        </is>
      </c>
      <c r="D94" t="inlineStr">
        <is>
          <t>冷拉碳素弹簧钢丝|钢丝|70|Φ0.4|GB/T 4357-2009|冷拉</t>
        </is>
      </c>
      <c r="E94" t="inlineStr">
        <is>
          <t xml:space="preserve">物资名称 冷拉碳素弹簧钢丝;物资简称 钢丝;牌号 70;直径 Φ0.4;技术标准号 GB/T 4357-2009;抗拉强度 ;加工工艺 冷拉;表面状态 ;特殊要求 ;规格标准号 </t>
        </is>
      </c>
      <c r="F94" t="inlineStr">
        <is>
          <t>千克</t>
        </is>
      </c>
      <c r="G94">
        <f>LEFT(D94,FIND("|",D94,1)-1)</f>
        <v/>
      </c>
      <c r="H94">
        <f>MID(D94,FIND("|",D94,FIND("|",D94,1))+1,FIND("|",D94,FIND("|",D94,1)+1)-FIND("|",D94,FIND("|",D94,1))-1)</f>
        <v/>
      </c>
      <c r="J94">
        <f>MID(D94,FIND(";",SUBSTITUTE(D94,"|",REPT(";",LEN(D94)),2))+1,FIND(";",SUBSTITUTE(D94,"|",REPT(";",LEN(D94)),3))-FIND(";",SUBSTITUTE(D94,"|",REPT(";",LEN(D94)),2))-1)</f>
        <v/>
      </c>
      <c r="K94">
        <f>MID(D94,FIND(";",SUBSTITUTE(D94,"|",REPT(";",LEN(D94)),3))+1,FIND(";",SUBSTITUTE(D94,"|",REPT(";",LEN(D94)),4))-FIND(";",SUBSTITUTE(D94,"|",REPT(";",LEN(D94)),3))-1)</f>
        <v/>
      </c>
      <c r="L94">
        <f>MID(D94,FIND(";",SUBSTITUTE(D94,"|",REPT(";",LEN(D94)),4))+1,FIND(";",SUBSTITUTE(D94,"|",REPT(";",LEN(D94)),5))-FIND(";",SUBSTITUTE(D94,"|",REPT(";",LEN(D94)),4))-1)</f>
        <v/>
      </c>
      <c r="N94">
        <f>MID(D94,FIND(";",SUBSTITUTE(D94,"|",REPT(";",LEN(D94)),5))+1,LEN(D94))</f>
        <v/>
      </c>
    </row>
    <row r="95">
      <c r="A95" t="inlineStr">
        <is>
          <t>100501</t>
        </is>
      </c>
      <c r="B95" t="inlineStr">
        <is>
          <t>钢丝</t>
        </is>
      </c>
      <c r="C95" t="inlineStr">
        <is>
          <t>600632900</t>
        </is>
      </c>
      <c r="D95" t="inlineStr">
        <is>
          <t>冷拉碳素弹簧钢丝|钢丝|70|Φ0.5|GB/T 4357-2009|冷拉</t>
        </is>
      </c>
      <c r="E95" t="inlineStr">
        <is>
          <t xml:space="preserve">物资名称 冷拉碳素弹簧钢丝;物资简称 钢丝;牌号 70;直径 Φ0.5;技术标准号 GB/T 4357-2009;抗拉强度 ;加工工艺 冷拉;表面状态 ;特殊要求 ;规格标准号 </t>
        </is>
      </c>
      <c r="F95" t="inlineStr">
        <is>
          <t>千克</t>
        </is>
      </c>
      <c r="G95">
        <f>LEFT(D95,FIND("|",D95,1)-1)</f>
        <v/>
      </c>
      <c r="H95">
        <f>MID(D95,FIND("|",D95,FIND("|",D95,1))+1,FIND("|",D95,FIND("|",D95,1)+1)-FIND("|",D95,FIND("|",D95,1))-1)</f>
        <v/>
      </c>
      <c r="J95">
        <f>MID(D95,FIND(";",SUBSTITUTE(D95,"|",REPT(";",LEN(D95)),2))+1,FIND(";",SUBSTITUTE(D95,"|",REPT(";",LEN(D95)),3))-FIND(";",SUBSTITUTE(D95,"|",REPT(";",LEN(D95)),2))-1)</f>
        <v/>
      </c>
      <c r="K95">
        <f>MID(D95,FIND(";",SUBSTITUTE(D95,"|",REPT(";",LEN(D95)),3))+1,FIND(";",SUBSTITUTE(D95,"|",REPT(";",LEN(D95)),4))-FIND(";",SUBSTITUTE(D95,"|",REPT(";",LEN(D95)),3))-1)</f>
        <v/>
      </c>
      <c r="L95">
        <f>MID(D95,FIND(";",SUBSTITUTE(D95,"|",REPT(";",LEN(D95)),4))+1,FIND(";",SUBSTITUTE(D95,"|",REPT(";",LEN(D95)),5))-FIND(";",SUBSTITUTE(D95,"|",REPT(";",LEN(D95)),4))-1)</f>
        <v/>
      </c>
      <c r="N95">
        <f>MID(D95,FIND(";",SUBSTITUTE(D95,"|",REPT(";",LEN(D95)),5))+1,LEN(D95))</f>
        <v/>
      </c>
    </row>
    <row r="96">
      <c r="A96" t="inlineStr">
        <is>
          <t>100501</t>
        </is>
      </c>
      <c r="B96" t="inlineStr">
        <is>
          <t>钢丝</t>
        </is>
      </c>
      <c r="C96" t="inlineStr">
        <is>
          <t>600632800</t>
        </is>
      </c>
      <c r="D96" t="inlineStr">
        <is>
          <t>冷拉碳素弹簧钢丝|钢丝|70|Φ0.6|GB/T 4357-2009|冷拉</t>
        </is>
      </c>
      <c r="E96" t="inlineStr">
        <is>
          <t xml:space="preserve">物资名称 冷拉碳素弹簧钢丝;物资简称 钢丝;牌号 70;直径 Φ0.6;技术标准号 GB/T 4357-2009;抗拉强度 ;加工工艺 冷拉;表面状态 ;特殊要求 ;规格标准号 </t>
        </is>
      </c>
      <c r="F96" t="inlineStr">
        <is>
          <t>千克</t>
        </is>
      </c>
      <c r="G96">
        <f>LEFT(D96,FIND("|",D96,1)-1)</f>
        <v/>
      </c>
      <c r="H96">
        <f>MID(D96,FIND("|",D96,FIND("|",D96,1))+1,FIND("|",D96,FIND("|",D96,1)+1)-FIND("|",D96,FIND("|",D96,1))-1)</f>
        <v/>
      </c>
      <c r="J96">
        <f>MID(D96,FIND(";",SUBSTITUTE(D96,"|",REPT(";",LEN(D96)),2))+1,FIND(";",SUBSTITUTE(D96,"|",REPT(";",LEN(D96)),3))-FIND(";",SUBSTITUTE(D96,"|",REPT(";",LEN(D96)),2))-1)</f>
        <v/>
      </c>
      <c r="K96">
        <f>MID(D96,FIND(";",SUBSTITUTE(D96,"|",REPT(";",LEN(D96)),3))+1,FIND(";",SUBSTITUTE(D96,"|",REPT(";",LEN(D96)),4))-FIND(";",SUBSTITUTE(D96,"|",REPT(";",LEN(D96)),3))-1)</f>
        <v/>
      </c>
      <c r="L96">
        <f>MID(D96,FIND(";",SUBSTITUTE(D96,"|",REPT(";",LEN(D96)),4))+1,FIND(";",SUBSTITUTE(D96,"|",REPT(";",LEN(D96)),5))-FIND(";",SUBSTITUTE(D96,"|",REPT(";",LEN(D96)),4))-1)</f>
        <v/>
      </c>
      <c r="N96">
        <f>MID(D96,FIND(";",SUBSTITUTE(D96,"|",REPT(";",LEN(D96)),5))+1,LEN(D96))</f>
        <v/>
      </c>
    </row>
    <row r="97">
      <c r="A97" t="inlineStr">
        <is>
          <t>100501</t>
        </is>
      </c>
      <c r="B97" t="inlineStr">
        <is>
          <t>钢丝</t>
        </is>
      </c>
      <c r="C97" t="inlineStr">
        <is>
          <t>600632700</t>
        </is>
      </c>
      <c r="D97" t="inlineStr">
        <is>
          <t>冷拉碳素弹簧钢丝|钢丝|70|Φ0.7|GB/T 4357-2009|冷拉</t>
        </is>
      </c>
      <c r="E97" t="inlineStr">
        <is>
          <t xml:space="preserve">物资名称 冷拉碳素弹簧钢丝;物资简称 钢丝;牌号 70;直径 Φ0.7;技术标准号 GB/T 4357-2009;抗拉强度 ;加工工艺 冷拉;表面状态 ;特殊要求 ;规格标准号 </t>
        </is>
      </c>
      <c r="F97" t="inlineStr">
        <is>
          <t>千克</t>
        </is>
      </c>
      <c r="G97">
        <f>LEFT(D97,FIND("|",D97,1)-1)</f>
        <v/>
      </c>
      <c r="H97">
        <f>MID(D97,FIND("|",D97,FIND("|",D97,1))+1,FIND("|",D97,FIND("|",D97,1)+1)-FIND("|",D97,FIND("|",D97,1))-1)</f>
        <v/>
      </c>
      <c r="J97">
        <f>MID(D97,FIND(";",SUBSTITUTE(D97,"|",REPT(";",LEN(D97)),2))+1,FIND(";",SUBSTITUTE(D97,"|",REPT(";",LEN(D97)),3))-FIND(";",SUBSTITUTE(D97,"|",REPT(";",LEN(D97)),2))-1)</f>
        <v/>
      </c>
      <c r="K97">
        <f>MID(D97,FIND(";",SUBSTITUTE(D97,"|",REPT(";",LEN(D97)),3))+1,FIND(";",SUBSTITUTE(D97,"|",REPT(";",LEN(D97)),4))-FIND(";",SUBSTITUTE(D97,"|",REPT(";",LEN(D97)),3))-1)</f>
        <v/>
      </c>
      <c r="L97">
        <f>MID(D97,FIND(";",SUBSTITUTE(D97,"|",REPT(";",LEN(D97)),4))+1,FIND(";",SUBSTITUTE(D97,"|",REPT(";",LEN(D97)),5))-FIND(";",SUBSTITUTE(D97,"|",REPT(";",LEN(D97)),4))-1)</f>
        <v/>
      </c>
      <c r="N97">
        <f>MID(D97,FIND(";",SUBSTITUTE(D97,"|",REPT(";",LEN(D97)),5))+1,LEN(D97))</f>
        <v/>
      </c>
    </row>
    <row r="98">
      <c r="A98" t="inlineStr">
        <is>
          <t>100501</t>
        </is>
      </c>
      <c r="B98" t="inlineStr">
        <is>
          <t>钢丝</t>
        </is>
      </c>
      <c r="C98" t="inlineStr">
        <is>
          <t>600632600</t>
        </is>
      </c>
      <c r="D98" t="inlineStr">
        <is>
          <t>冷拉碳素弹簧钢丝|钢丝|70|Φ0.8|GB/T 4357-2009|冷拉</t>
        </is>
      </c>
      <c r="E98" t="inlineStr">
        <is>
          <t xml:space="preserve">物资名称 冷拉碳素弹簧钢丝;物资简称 钢丝;牌号 70;直径 Φ0.8;技术标准号 GB/T 4357-2009;抗拉强度 ;加工工艺 冷拉;表面状态 ;特殊要求 ;规格标准号 </t>
        </is>
      </c>
      <c r="F98" t="inlineStr">
        <is>
          <t>千克</t>
        </is>
      </c>
      <c r="G98">
        <f>LEFT(D98,FIND("|",D98,1)-1)</f>
        <v/>
      </c>
      <c r="H98">
        <f>MID(D98,FIND("|",D98,FIND("|",D98,1))+1,FIND("|",D98,FIND("|",D98,1)+1)-FIND("|",D98,FIND("|",D98,1))-1)</f>
        <v/>
      </c>
      <c r="J98">
        <f>MID(D98,FIND(";",SUBSTITUTE(D98,"|",REPT(";",LEN(D98)),2))+1,FIND(";",SUBSTITUTE(D98,"|",REPT(";",LEN(D98)),3))-FIND(";",SUBSTITUTE(D98,"|",REPT(";",LEN(D98)),2))-1)</f>
        <v/>
      </c>
      <c r="K98">
        <f>MID(D98,FIND(";",SUBSTITUTE(D98,"|",REPT(";",LEN(D98)),3))+1,FIND(";",SUBSTITUTE(D98,"|",REPT(";",LEN(D98)),4))-FIND(";",SUBSTITUTE(D98,"|",REPT(";",LEN(D98)),3))-1)</f>
        <v/>
      </c>
      <c r="L98">
        <f>MID(D98,FIND(";",SUBSTITUTE(D98,"|",REPT(";",LEN(D98)),4))+1,FIND(";",SUBSTITUTE(D98,"|",REPT(";",LEN(D98)),5))-FIND(";",SUBSTITUTE(D98,"|",REPT(";",LEN(D98)),4))-1)</f>
        <v/>
      </c>
      <c r="N98">
        <f>MID(D98,FIND(";",SUBSTITUTE(D98,"|",REPT(";",LEN(D98)),5))+1,LEN(D98))</f>
        <v/>
      </c>
    </row>
    <row r="99">
      <c r="A99" t="inlineStr">
        <is>
          <t>100501</t>
        </is>
      </c>
      <c r="B99" t="inlineStr">
        <is>
          <t>钢丝</t>
        </is>
      </c>
      <c r="C99" t="inlineStr">
        <is>
          <t>600632500</t>
        </is>
      </c>
      <c r="D99" t="inlineStr">
        <is>
          <t>冷拉碳素弹簧钢丝|钢丝|70|Φ0.9|GB/T 4357-2009|冷拉</t>
        </is>
      </c>
      <c r="E99" t="inlineStr">
        <is>
          <t xml:space="preserve">物资名称 冷拉碳素弹簧钢丝;物资简称 钢丝;牌号 70;直径 Φ0.9;技术标准号 GB/T 4357-2009;抗拉强度 ;加工工艺 冷拉;表面状态 ;特殊要求 ;规格标准号 </t>
        </is>
      </c>
      <c r="F99" t="inlineStr">
        <is>
          <t>千克</t>
        </is>
      </c>
      <c r="G99">
        <f>LEFT(D99,FIND("|",D99,1)-1)</f>
        <v/>
      </c>
      <c r="H99">
        <f>MID(D99,FIND("|",D99,FIND("|",D99,1))+1,FIND("|",D99,FIND("|",D99,1)+1)-FIND("|",D99,FIND("|",D99,1))-1)</f>
        <v/>
      </c>
      <c r="J99">
        <f>MID(D99,FIND(";",SUBSTITUTE(D99,"|",REPT(";",LEN(D99)),2))+1,FIND(";",SUBSTITUTE(D99,"|",REPT(";",LEN(D99)),3))-FIND(";",SUBSTITUTE(D99,"|",REPT(";",LEN(D99)),2))-1)</f>
        <v/>
      </c>
      <c r="K99">
        <f>MID(D99,FIND(";",SUBSTITUTE(D99,"|",REPT(";",LEN(D99)),3))+1,FIND(";",SUBSTITUTE(D99,"|",REPT(";",LEN(D99)),4))-FIND(";",SUBSTITUTE(D99,"|",REPT(";",LEN(D99)),3))-1)</f>
        <v/>
      </c>
      <c r="L99">
        <f>MID(D99,FIND(";",SUBSTITUTE(D99,"|",REPT(";",LEN(D99)),4))+1,FIND(";",SUBSTITUTE(D99,"|",REPT(";",LEN(D99)),5))-FIND(";",SUBSTITUTE(D99,"|",REPT(";",LEN(D99)),4))-1)</f>
        <v/>
      </c>
      <c r="N99">
        <f>MID(D99,FIND(";",SUBSTITUTE(D99,"|",REPT(";",LEN(D99)),5))+1,LEN(D99))</f>
        <v/>
      </c>
    </row>
    <row r="100">
      <c r="A100" t="inlineStr">
        <is>
          <t>100501</t>
        </is>
      </c>
      <c r="B100" t="inlineStr">
        <is>
          <t>钢丝</t>
        </is>
      </c>
      <c r="C100" t="inlineStr">
        <is>
          <t>600632400</t>
        </is>
      </c>
      <c r="D100" t="inlineStr">
        <is>
          <t>阀门用铬钒弹簧钢丝|钢丝|45|YB/T 5136-1993|冷拉</t>
        </is>
      </c>
      <c r="E100" t="inlineStr">
        <is>
          <t xml:space="preserve">物资名称 阀门用铬钒弹簧钢丝;物资简称 钢丝;牌号 45;直径 Φ;技术标准号 YB/T 5136-1993;抗拉强度 ;加工工艺 冷拉;表面状态 ;特殊要求 ;规格标准号 </t>
        </is>
      </c>
      <c r="F100" t="inlineStr">
        <is>
          <t>千克</t>
        </is>
      </c>
      <c r="G100">
        <f>LEFT(D100,FIND("|",D100,1)-1)</f>
        <v/>
      </c>
      <c r="H100">
        <f>MID(D100,FIND("|",D100,FIND("|",D100,1))+1,FIND("|",D100,FIND("|",D100,1)+1)-FIND("|",D100,FIND("|",D100,1))-1)</f>
        <v/>
      </c>
      <c r="J100">
        <f>MID(D100,FIND(";",SUBSTITUTE(D100,"|",REPT(";",LEN(D100)),2))+1,FIND(";",SUBSTITUTE(D100,"|",REPT(";",LEN(D100)),3))-FIND(";",SUBSTITUTE(D100,"|",REPT(";",LEN(D100)),2))-1)</f>
        <v/>
      </c>
      <c r="L100">
        <f>MID(D100,FIND(";",SUBSTITUTE(D100,"|",REPT(";",LEN(D100)),3))+1,FIND(";",SUBSTITUTE(D100,"|",REPT(";",LEN(D100)),4))-FIND(";",SUBSTITUTE(D100,"|",REPT(";",LEN(D100)),3))-1)</f>
        <v/>
      </c>
      <c r="N100">
        <f>MID(D100,FIND(";",SUBSTITUTE(D100,"|",REPT(";",LEN(D100)),4))+1,LEN(D100))</f>
        <v/>
      </c>
    </row>
    <row r="101">
      <c r="A101" t="inlineStr">
        <is>
          <t>100501</t>
        </is>
      </c>
      <c r="B101" t="inlineStr">
        <is>
          <t>钢丝</t>
        </is>
      </c>
      <c r="C101" t="inlineStr">
        <is>
          <t>600632300</t>
        </is>
      </c>
      <c r="D101" t="inlineStr">
        <is>
          <t>优质碳素结构钢丝|钢丝|45|YB/T 5303-2006|冷拉</t>
        </is>
      </c>
      <c r="E101" t="inlineStr">
        <is>
          <t xml:space="preserve">物资名称 优质碳素结构钢丝;物资简称 钢丝;牌号 45;直径 Φ;技术标准号 YB/T 5303-2006;抗拉强度 ;加工工艺 冷拉;表面状态 ;特殊要求 ;规格标准号 </t>
        </is>
      </c>
      <c r="F101" t="inlineStr">
        <is>
          <t>千克</t>
        </is>
      </c>
      <c r="G101">
        <f>LEFT(D101,FIND("|",D101,1)-1)</f>
        <v/>
      </c>
      <c r="H101">
        <f>MID(D101,FIND("|",D101,FIND("|",D101,1))+1,FIND("|",D101,FIND("|",D101,1)+1)-FIND("|",D101,FIND("|",D101,1))-1)</f>
        <v/>
      </c>
      <c r="J101">
        <f>MID(D101,FIND(";",SUBSTITUTE(D101,"|",REPT(";",LEN(D101)),2))+1,FIND(";",SUBSTITUTE(D101,"|",REPT(";",LEN(D101)),3))-FIND(";",SUBSTITUTE(D101,"|",REPT(";",LEN(D101)),2))-1)</f>
        <v/>
      </c>
      <c r="L101">
        <f>MID(D101,FIND(";",SUBSTITUTE(D101,"|",REPT(";",LEN(D101)),3))+1,FIND(";",SUBSTITUTE(D101,"|",REPT(";",LEN(D101)),4))-FIND(";",SUBSTITUTE(D101,"|",REPT(";",LEN(D101)),3))-1)</f>
        <v/>
      </c>
      <c r="N101">
        <f>MID(D101,FIND(";",SUBSTITUTE(D101,"|",REPT(";",LEN(D101)),4))+1,LEN(D101))</f>
        <v/>
      </c>
    </row>
    <row r="102">
      <c r="A102" t="inlineStr">
        <is>
          <t>100501</t>
        </is>
      </c>
      <c r="B102" t="inlineStr">
        <is>
          <t>钢丝</t>
        </is>
      </c>
      <c r="C102" t="inlineStr">
        <is>
          <t>600632200</t>
        </is>
      </c>
      <c r="D102" t="inlineStr">
        <is>
          <t>磨光优质碳素结构钢丝|钢丝|45|Φ3|YB/T 5303-2006|磨光</t>
        </is>
      </c>
      <c r="E102" t="inlineStr">
        <is>
          <t xml:space="preserve">物资名称 磨光优质碳素结构钢丝;物资简称 钢丝;牌号 45;直径 Φ3;技术标准号 YB/T 5303-2006;抗拉强度 ;加工工艺 磨光;表面状态 ;特殊要求 ;规格标准号 </t>
        </is>
      </c>
      <c r="F102" t="inlineStr">
        <is>
          <t>千克</t>
        </is>
      </c>
      <c r="G102">
        <f>LEFT(D102,FIND("|",D102,1)-1)</f>
        <v/>
      </c>
      <c r="H102">
        <f>MID(D102,FIND("|",D102,FIND("|",D102,1))+1,FIND("|",D102,FIND("|",D102,1)+1)-FIND("|",D102,FIND("|",D102,1))-1)</f>
        <v/>
      </c>
      <c r="J102">
        <f>MID(D102,FIND(";",SUBSTITUTE(D102,"|",REPT(";",LEN(D102)),2))+1,FIND(";",SUBSTITUTE(D102,"|",REPT(";",LEN(D102)),3))-FIND(";",SUBSTITUTE(D102,"|",REPT(";",LEN(D102)),2))-1)</f>
        <v/>
      </c>
      <c r="K102">
        <f>MID(D102,FIND(";",SUBSTITUTE(D102,"|",REPT(";",LEN(D102)),3))+1,FIND(";",SUBSTITUTE(D102,"|",REPT(";",LEN(D102)),4))-FIND(";",SUBSTITUTE(D102,"|",REPT(";",LEN(D102)),3))-1)</f>
        <v/>
      </c>
      <c r="L102">
        <f>MID(D102,FIND(";",SUBSTITUTE(D102,"|",REPT(";",LEN(D102)),4))+1,FIND(";",SUBSTITUTE(D102,"|",REPT(";",LEN(D102)),5))-FIND(";",SUBSTITUTE(D102,"|",REPT(";",LEN(D102)),4))-1)</f>
        <v/>
      </c>
      <c r="N102">
        <f>MID(D102,FIND(";",SUBSTITUTE(D102,"|",REPT(";",LEN(D102)),5))+1,LEN(D102))</f>
        <v/>
      </c>
    </row>
    <row r="103">
      <c r="A103" t="inlineStr">
        <is>
          <t>100599</t>
        </is>
      </c>
      <c r="B103" t="inlineStr">
        <is>
          <t>其他钢制品</t>
        </is>
      </c>
      <c r="C103" t="inlineStr">
        <is>
          <t>603545000</t>
        </is>
      </c>
      <c r="D103" t="inlineStr">
        <is>
          <t>低合金超高强度钢|钢|GB/T 38809-2020|40CrNi2Si2MoVA</t>
        </is>
      </c>
      <c r="E103" t="inlineStr">
        <is>
          <t>物资名称 低合金超高强度钢;物资简称 钢;技术标准号 GB/T 38809-2020;牌号 40CrNi2Si2MoVA;规格 ;特殊要求 ;规格标准号</t>
        </is>
      </c>
      <c r="F103" t="inlineStr">
        <is>
          <t>千克</t>
        </is>
      </c>
      <c r="G103">
        <f>LEFT(D103,FIND("|",D103,1)-1)</f>
        <v/>
      </c>
      <c r="H103">
        <f>MID(D103,FIND("|",D103,FIND("|",D103,1))+1,FIND("|",D103,FIND("|",D103,1)+1)-FIND("|",D103,FIND("|",D103,1))-1)</f>
        <v/>
      </c>
      <c r="J103">
        <f>MID(D103,FIND(";",SUBSTITUTE(D103,"|",REPT(";",LEN(D103)),3))+1,LEN(D103))</f>
        <v/>
      </c>
      <c r="L103">
        <f>MID(D103,FIND(";",SUBSTITUTE(D103,"|",REPT(";",LEN(D103)),2))+1,FIND(";",SUBSTITUTE(D103,"|",REPT(";",LEN(D103)),3))-FIND(";",SUBSTITUTE(D103,"|",REPT(";",LEN(D103)),2))-1)</f>
        <v/>
      </c>
    </row>
    <row r="104">
      <c r="A104" t="inlineStr">
        <is>
          <t>100599</t>
        </is>
      </c>
      <c r="B104" t="inlineStr">
        <is>
          <t>其他钢制品</t>
        </is>
      </c>
      <c r="C104" t="inlineStr">
        <is>
          <t>603539800</t>
        </is>
      </c>
      <c r="D104" t="inlineStr">
        <is>
          <t>合金结构钢|钢|GB/T 3077-2015|30CrMnSi</t>
        </is>
      </c>
      <c r="E104" t="inlineStr">
        <is>
          <t>物资名称 合金结构钢;物资简称 钢;技术标准号 GB/T 3077-2015;牌号 30CrMnSi;规格 ;特殊要求 ;规格标准号</t>
        </is>
      </c>
      <c r="F104" t="inlineStr">
        <is>
          <t>千克</t>
        </is>
      </c>
      <c r="G104">
        <f>LEFT(D104,FIND("|",D104,1)-1)</f>
        <v/>
      </c>
      <c r="H104">
        <f>MID(D104,FIND("|",D104,FIND("|",D104,1))+1,FIND("|",D104,FIND("|",D104,1)+1)-FIND("|",D104,FIND("|",D104,1))-1)</f>
        <v/>
      </c>
      <c r="J104">
        <f>MID(D104,FIND(";",SUBSTITUTE(D104,"|",REPT(";",LEN(D104)),3))+1,LEN(D104))</f>
        <v/>
      </c>
      <c r="L104">
        <f>MID(D104,FIND(";",SUBSTITUTE(D104,"|",REPT(";",LEN(D104)),2))+1,FIND(";",SUBSTITUTE(D104,"|",REPT(";",LEN(D104)),3))-FIND(";",SUBSTITUTE(D104,"|",REPT(";",LEN(D104)),2))-1)</f>
        <v/>
      </c>
    </row>
    <row r="105">
      <c r="A105" t="inlineStr">
        <is>
          <t>100599</t>
        </is>
      </c>
      <c r="B105" t="inlineStr">
        <is>
          <t>其他钢制品</t>
        </is>
      </c>
      <c r="C105" t="inlineStr">
        <is>
          <t>603152400</t>
        </is>
      </c>
      <c r="D105" t="inlineStr">
        <is>
          <t>合金结构钢|钢|GB/T 3077-2015|35CrMnSiA</t>
        </is>
      </c>
      <c r="E105" t="inlineStr">
        <is>
          <t>物资名称 合金结构钢;物资简称 钢;技术标准号 GB/T 3077-2015;牌号 35CrMnSiA;规格 ;特殊要求 ;规格标准号</t>
        </is>
      </c>
      <c r="F105" t="inlineStr">
        <is>
          <t>千克</t>
        </is>
      </c>
      <c r="G105">
        <f>LEFT(D105,FIND("|",D105,1)-1)</f>
        <v/>
      </c>
      <c r="H105">
        <f>MID(D105,FIND("|",D105,FIND("|",D105,1))+1,FIND("|",D105,FIND("|",D105,1)+1)-FIND("|",D105,FIND("|",D105,1))-1)</f>
        <v/>
      </c>
      <c r="J105">
        <f>MID(D105,FIND(";",SUBSTITUTE(D105,"|",REPT(";",LEN(D105)),3))+1,LEN(D105))</f>
        <v/>
      </c>
      <c r="L105">
        <f>MID(D105,FIND(";",SUBSTITUTE(D105,"|",REPT(";",LEN(D105)),2))+1,FIND(";",SUBSTITUTE(D105,"|",REPT(";",LEN(D105)),3))-FIND(";",SUBSTITUTE(D105,"|",REPT(";",LEN(D105)),2))-1)</f>
        <v/>
      </c>
    </row>
    <row r="106">
      <c r="A106" t="inlineStr">
        <is>
          <t>100599</t>
        </is>
      </c>
      <c r="B106" t="inlineStr">
        <is>
          <t>其他钢制品</t>
        </is>
      </c>
      <c r="C106" t="inlineStr">
        <is>
          <t>603145000</t>
        </is>
      </c>
      <c r="D106" t="inlineStr">
        <is>
          <t>优质碳素结构钢|钢|GB/T 699-2015|65Mn</t>
        </is>
      </c>
      <c r="E106" t="inlineStr">
        <is>
          <t>物资名称 优质碳素结构钢;物资简称 钢;技术标准号 GB/T 699-2015;牌号 65Mn;规格 ;特殊要求 ;规格标准号</t>
        </is>
      </c>
      <c r="F106" t="inlineStr">
        <is>
          <t>千克</t>
        </is>
      </c>
      <c r="G106">
        <f>LEFT(D106,FIND("|",D106,1)-1)</f>
        <v/>
      </c>
      <c r="H106">
        <f>MID(D106,FIND("|",D106,FIND("|",D106,1))+1,FIND("|",D106,FIND("|",D106,1)+1)-FIND("|",D106,FIND("|",D106,1))-1)</f>
        <v/>
      </c>
      <c r="J106">
        <f>MID(D106,FIND(";",SUBSTITUTE(D106,"|",REPT(";",LEN(D106)),3))+1,LEN(D106))</f>
        <v/>
      </c>
      <c r="L106">
        <f>MID(D106,FIND(";",SUBSTITUTE(D106,"|",REPT(";",LEN(D106)),2))+1,FIND(";",SUBSTITUTE(D106,"|",REPT(";",LEN(D106)),3))-FIND(";",SUBSTITUTE(D106,"|",REPT(";",LEN(D106)),2))-1)</f>
        <v/>
      </c>
    </row>
    <row r="107">
      <c r="A107" t="inlineStr">
        <is>
          <t>100599</t>
        </is>
      </c>
      <c r="B107" t="inlineStr">
        <is>
          <t>其他钢制品</t>
        </is>
      </c>
      <c r="C107" t="inlineStr">
        <is>
          <t>602324500</t>
        </is>
      </c>
      <c r="D107" t="inlineStr">
        <is>
          <t>优质碳素结构钢|钢|GB/T 699-2015|45</t>
        </is>
      </c>
      <c r="E107" t="inlineStr">
        <is>
          <t xml:space="preserve">物资名称 优质碳素结构钢;物资简称 钢;技术标准号 GB/T 699-2015;牌号 45;规格 ;特殊要求 ;规格标准号 </t>
        </is>
      </c>
      <c r="F107" t="inlineStr">
        <is>
          <t>千克</t>
        </is>
      </c>
      <c r="G107">
        <f>LEFT(D107,FIND("|",D107,1)-1)</f>
        <v/>
      </c>
      <c r="H107">
        <f>MID(D107,FIND("|",D107,FIND("|",D107,1))+1,FIND("|",D107,FIND("|",D107,1)+1)-FIND("|",D107,FIND("|",D107,1))-1)</f>
        <v/>
      </c>
      <c r="J107">
        <f>MID(D107,FIND(";",SUBSTITUTE(D107,"|",REPT(";",LEN(D107)),3))+1,LEN(D107))</f>
        <v/>
      </c>
      <c r="L107">
        <f>MID(D107,FIND(";",SUBSTITUTE(D107,"|",REPT(";",LEN(D107)),2))+1,FIND(";",SUBSTITUTE(D107,"|",REPT(";",LEN(D107)),3))-FIND(";",SUBSTITUTE(D107,"|",REPT(";",LEN(D107)),2))-1)</f>
        <v/>
      </c>
    </row>
    <row r="108">
      <c r="A108" t="inlineStr">
        <is>
          <t>100599</t>
        </is>
      </c>
      <c r="B108" t="inlineStr">
        <is>
          <t>其他钢制品</t>
        </is>
      </c>
      <c r="C108" t="inlineStr">
        <is>
          <t>602324400</t>
        </is>
      </c>
      <c r="D108" t="inlineStr">
        <is>
          <t>合金结构钢|钢|GB/T 3077-2015|30CrMnSiA</t>
        </is>
      </c>
      <c r="E108" t="inlineStr">
        <is>
          <t xml:space="preserve">物资名称 合金结构钢;物资简称 钢;技术标准号 GB/T 3077-2015;牌号 30CrMnSiA;规格 ;特殊要求 ;规格标准号 </t>
        </is>
      </c>
      <c r="F108" t="inlineStr">
        <is>
          <t>千克</t>
        </is>
      </c>
      <c r="G108">
        <f>LEFT(D108,FIND("|",D108,1)-1)</f>
        <v/>
      </c>
      <c r="H108">
        <f>MID(D108,FIND("|",D108,FIND("|",D108,1))+1,FIND("|",D108,FIND("|",D108,1)+1)-FIND("|",D108,FIND("|",D108,1))-1)</f>
        <v/>
      </c>
      <c r="J108">
        <f>MID(D108,FIND(";",SUBSTITUTE(D108,"|",REPT(";",LEN(D108)),3))+1,LEN(D108))</f>
        <v/>
      </c>
      <c r="L108">
        <f>MID(D108,FIND(";",SUBSTITUTE(D108,"|",REPT(";",LEN(D108)),2))+1,FIND(";",SUBSTITUTE(D108,"|",REPT(";",LEN(D108)),3))-FIND(";",SUBSTITUTE(D108,"|",REPT(";",LEN(D108)),2))-1)</f>
        <v/>
      </c>
    </row>
    <row r="109">
      <c r="A109" t="inlineStr">
        <is>
          <t>100599</t>
        </is>
      </c>
      <c r="B109" t="inlineStr">
        <is>
          <t>其他钢制品</t>
        </is>
      </c>
      <c r="C109" t="inlineStr">
        <is>
          <t>602324300</t>
        </is>
      </c>
      <c r="D109" t="inlineStr">
        <is>
          <t>合金结构钢|钢|GB/T 3077-2015|40Cr</t>
        </is>
      </c>
      <c r="E109" t="inlineStr">
        <is>
          <t xml:space="preserve">物资名称 合金结构钢;物资简称 钢;技术标准号 GB/T 3077-2015;牌号 40Cr;规格 ;特殊要求 ;规格标准号 </t>
        </is>
      </c>
      <c r="F109" t="inlineStr">
        <is>
          <t>千克</t>
        </is>
      </c>
      <c r="G109">
        <f>LEFT(D109,FIND("|",D109,1)-1)</f>
        <v/>
      </c>
      <c r="H109">
        <f>MID(D109,FIND("|",D109,FIND("|",D109,1))+1,FIND("|",D109,FIND("|",D109,1)+1)-FIND("|",D109,FIND("|",D109,1))-1)</f>
        <v/>
      </c>
      <c r="J109">
        <f>MID(D109,FIND(";",SUBSTITUTE(D109,"|",REPT(";",LEN(D109)),3))+1,LEN(D109))</f>
        <v/>
      </c>
      <c r="L109">
        <f>MID(D109,FIND(";",SUBSTITUTE(D109,"|",REPT(";",LEN(D109)),2))+1,FIND(";",SUBSTITUTE(D109,"|",REPT(";",LEN(D109)),3))-FIND(";",SUBSTITUTE(D109,"|",REPT(";",LEN(D109)),2))-1)</f>
        <v/>
      </c>
    </row>
    <row r="110">
      <c r="A110" t="inlineStr">
        <is>
          <t>100599</t>
        </is>
      </c>
      <c r="B110" t="inlineStr">
        <is>
          <t>其他钢制品</t>
        </is>
      </c>
      <c r="C110" t="inlineStr">
        <is>
          <t>602324200</t>
        </is>
      </c>
      <c r="D110" t="inlineStr">
        <is>
          <t>合金结构钢|钢|GB/T 3077-2015|45CrNiMoVA</t>
        </is>
      </c>
      <c r="E110" t="inlineStr">
        <is>
          <t xml:space="preserve">物资名称 合金结构钢;物资简称 钢;技术标准号 GB/T 3077-2015;牌号 45CrNiMoVA;规格 ;特殊要求 ;规格标准号 </t>
        </is>
      </c>
      <c r="F110" t="inlineStr">
        <is>
          <t>千克</t>
        </is>
      </c>
      <c r="G110">
        <f>LEFT(D110,FIND("|",D110,1)-1)</f>
        <v/>
      </c>
      <c r="H110">
        <f>MID(D110,FIND("|",D110,FIND("|",D110,1))+1,FIND("|",D110,FIND("|",D110,1)+1)-FIND("|",D110,FIND("|",D110,1))-1)</f>
        <v/>
      </c>
      <c r="J110">
        <f>MID(D110,FIND(";",SUBSTITUTE(D110,"|",REPT(";",LEN(D110)),3))+1,LEN(D110))</f>
        <v/>
      </c>
      <c r="L110">
        <f>MID(D110,FIND(";",SUBSTITUTE(D110,"|",REPT(";",LEN(D110)),2))+1,FIND(";",SUBSTITUTE(D110,"|",REPT(";",LEN(D110)),3))-FIND(";",SUBSTITUTE(D110,"|",REPT(";",LEN(D110)),2))-1)</f>
        <v/>
      </c>
    </row>
    <row r="111">
      <c r="A111" t="inlineStr">
        <is>
          <t>100599</t>
        </is>
      </c>
      <c r="B111" t="inlineStr">
        <is>
          <t>其他钢制品</t>
        </is>
      </c>
      <c r="C111" t="inlineStr">
        <is>
          <t>601651800</t>
        </is>
      </c>
      <c r="D111" t="inlineStr">
        <is>
          <t>优质碳素结构钢|钢|GB/T 699-1999|65Mn</t>
        </is>
      </c>
      <c r="E111" t="inlineStr">
        <is>
          <t xml:space="preserve">物资名称 优质碳素结构钢;物资简称 钢;技术标准号 GB/T 699-1999;牌号 65Mn;规格 ;特殊要求 ;规格标准号 </t>
        </is>
      </c>
      <c r="F111" t="inlineStr">
        <is>
          <t>千克</t>
        </is>
      </c>
      <c r="G111">
        <f>LEFT(D111,FIND("|",D111,1)-1)</f>
        <v/>
      </c>
      <c r="H111">
        <f>MID(D111,FIND("|",D111,FIND("|",D111,1))+1,FIND("|",D111,FIND("|",D111,1)+1)-FIND("|",D111,FIND("|",D111,1))-1)</f>
        <v/>
      </c>
      <c r="J111">
        <f>MID(D111,FIND(";",SUBSTITUTE(D111,"|",REPT(";",LEN(D111)),3))+1,LEN(D111))</f>
        <v/>
      </c>
      <c r="L111">
        <f>MID(D111,FIND(";",SUBSTITUTE(D111,"|",REPT(";",LEN(D111)),2))+1,FIND(";",SUBSTITUTE(D111,"|",REPT(";",LEN(D111)),3))-FIND(";",SUBSTITUTE(D111,"|",REPT(";",LEN(D111)),2))-1)</f>
        <v/>
      </c>
    </row>
    <row r="112">
      <c r="A112" t="inlineStr">
        <is>
          <t>100599</t>
        </is>
      </c>
      <c r="B112" t="inlineStr">
        <is>
          <t>其他钢制品</t>
        </is>
      </c>
      <c r="C112" t="inlineStr">
        <is>
          <t>601544400</t>
        </is>
      </c>
      <c r="D112" t="inlineStr">
        <is>
          <t>热轧带肋钢筋|钢|GB/T 14992-2007|GH4169</t>
        </is>
      </c>
      <c r="E112" t="inlineStr">
        <is>
          <t xml:space="preserve">物资名称 热轧带肋钢筋;物资简称 钢;技术标准号 GB/T 14992-2007;牌号 GH4169;规格 ;特殊要求 ;规格标准号 </t>
        </is>
      </c>
      <c r="F112" t="inlineStr">
        <is>
          <t>千克</t>
        </is>
      </c>
      <c r="G112">
        <f>LEFT(D112,FIND("|",D112,1)-1)</f>
        <v/>
      </c>
      <c r="H112">
        <f>MID(D112,FIND("|",D112,FIND("|",D112,1))+1,FIND("|",D112,FIND("|",D112,1)+1)-FIND("|",D112,FIND("|",D112,1))-1)</f>
        <v/>
      </c>
      <c r="J112">
        <f>MID(D112,FIND(";",SUBSTITUTE(D112,"|",REPT(";",LEN(D112)),3))+1,LEN(D112))</f>
        <v/>
      </c>
      <c r="L112">
        <f>MID(D112,FIND(";",SUBSTITUTE(D112,"|",REPT(";",LEN(D112)),2))+1,FIND(";",SUBSTITUTE(D112,"|",REPT(";",LEN(D112)),3))-FIND(";",SUBSTITUTE(D112,"|",REPT(";",LEN(D112)),2))-1)</f>
        <v/>
      </c>
    </row>
    <row r="113">
      <c r="A113" t="inlineStr">
        <is>
          <t>100599</t>
        </is>
      </c>
      <c r="B113" t="inlineStr">
        <is>
          <t>其他钢制品</t>
        </is>
      </c>
      <c r="C113" t="inlineStr">
        <is>
          <t>601342200</t>
        </is>
      </c>
      <c r="D113" t="inlineStr">
        <is>
          <t>不锈钢丝网|不锈钢丝网|空|320×1</t>
        </is>
      </c>
      <c r="E113" t="inlineStr">
        <is>
          <t xml:space="preserve">物资名称 不锈钢丝网;物资简称 不锈钢丝网;技术标准号 空;牌号 320×1;规格 ;特殊要求 ;规格标准号 </t>
        </is>
      </c>
      <c r="F113" t="inlineStr">
        <is>
          <t>千克</t>
        </is>
      </c>
      <c r="G113">
        <f>LEFT(D113,FIND("|",D113,1)-1)</f>
        <v/>
      </c>
      <c r="H113">
        <f>MID(D113,FIND("|",D113,FIND("|",D113,1))+1,FIND("|",D113,FIND("|",D113,1)+1)-FIND("|",D113,FIND("|",D113,1))-1)</f>
        <v/>
      </c>
      <c r="J113">
        <f>MID(D113,FIND(";",SUBSTITUTE(D113,"|",REPT(";",LEN(D113)),3))+1,LEN(D113))</f>
        <v/>
      </c>
      <c r="L113">
        <f>MID(D113,FIND(";",SUBSTITUTE(D113,"|",REPT(";",LEN(D113)),2))+1,FIND(";",SUBSTITUTE(D113,"|",REPT(";",LEN(D113)),3))-FIND(";",SUBSTITUTE(D113,"|",REPT(";",LEN(D113)),2))-1)</f>
        <v/>
      </c>
    </row>
    <row r="114">
      <c r="A114" t="inlineStr">
        <is>
          <t>100599</t>
        </is>
      </c>
      <c r="B114" t="inlineStr">
        <is>
          <t>其他钢制品</t>
        </is>
      </c>
      <c r="C114" t="inlineStr">
        <is>
          <t>601342100</t>
        </is>
      </c>
      <c r="D114" t="inlineStr">
        <is>
          <t>GFW不锈钢丝网|不锈钢丝网|空|100目</t>
        </is>
      </c>
      <c r="E114" t="inlineStr">
        <is>
          <t xml:space="preserve">物资名称 GFW不锈钢丝网;物资简称 不锈钢丝网;技术标准号 空;牌号 100目;规格 ;特殊要求 ;规格标准号 </t>
        </is>
      </c>
      <c r="F114" t="inlineStr">
        <is>
          <t>千克</t>
        </is>
      </c>
      <c r="G114">
        <f>LEFT(D114,FIND("|",D114,1)-1)</f>
        <v/>
      </c>
      <c r="H114">
        <f>MID(D114,FIND("|",D114,FIND("|",D114,1))+1,FIND("|",D114,FIND("|",D114,1)+1)-FIND("|",D114,FIND("|",D114,1))-1)</f>
        <v/>
      </c>
      <c r="J114">
        <f>MID(D114,FIND(";",SUBSTITUTE(D114,"|",REPT(";",LEN(D114)),3))+1,LEN(D114))</f>
        <v/>
      </c>
      <c r="L114">
        <f>MID(D114,FIND(";",SUBSTITUTE(D114,"|",REPT(";",LEN(D114)),2))+1,FIND(";",SUBSTITUTE(D114,"|",REPT(";",LEN(D114)),3))-FIND(";",SUBSTITUTE(D114,"|",REPT(";",LEN(D114)),2))-1)</f>
        <v/>
      </c>
    </row>
    <row r="115">
      <c r="A115" t="inlineStr">
        <is>
          <t>100599</t>
        </is>
      </c>
      <c r="B115" t="inlineStr">
        <is>
          <t>其他钢制品</t>
        </is>
      </c>
      <c r="C115" t="inlineStr">
        <is>
          <t>601342000</t>
        </is>
      </c>
      <c r="D115" t="inlineStr">
        <is>
          <t>GFW不锈钢丝网|不锈钢丝网|空|δ0.4</t>
        </is>
      </c>
      <c r="E115" t="inlineStr">
        <is>
          <t xml:space="preserve">物资名称 GFW不锈钢丝网;物资简称 不锈钢丝网;技术标准号 空;牌号 ;规格 δ0.4;特殊要求 ;规格标准号 </t>
        </is>
      </c>
      <c r="F115" t="inlineStr">
        <is>
          <t>千克</t>
        </is>
      </c>
      <c r="G115">
        <f>LEFT(D115,FIND("|",D115,1)-1)</f>
        <v/>
      </c>
      <c r="H115">
        <f>MID(D115,FIND("|",D115,FIND("|",D115,1))+1,FIND("|",D115,FIND("|",D115,1)+1)-FIND("|",D115,FIND("|",D115,1))-1)</f>
        <v/>
      </c>
      <c r="J115">
        <f>MID(D115,FIND(";",SUBSTITUTE(D115,"|",REPT(";",LEN(D115)),3))+1,LEN(D115))</f>
        <v/>
      </c>
      <c r="L115">
        <f>MID(D115,FIND(";",SUBSTITUTE(D115,"|",REPT(";",LEN(D115)),2))+1,FIND(";",SUBSTITUTE(D115,"|",REPT(";",LEN(D115)),3))-FIND(";",SUBSTITUTE(D115,"|",REPT(";",LEN(D115)),2))-1)</f>
        <v/>
      </c>
    </row>
    <row r="116">
      <c r="A116" t="inlineStr">
        <is>
          <t>100599</t>
        </is>
      </c>
      <c r="B116" t="inlineStr">
        <is>
          <t>其他钢制品</t>
        </is>
      </c>
      <c r="C116" t="inlineStr">
        <is>
          <t>600909800</t>
        </is>
      </c>
      <c r="D116" t="inlineStr">
        <is>
          <t>GFW钢板|钢板|GB/T 3077-1999|40Cr</t>
        </is>
      </c>
      <c r="E116" t="inlineStr">
        <is>
          <t xml:space="preserve">物资名称 GFW钢板;物资简称 钢板;技术标准号 GB/T 3077-1999;牌号 40Cr;规格 ;特殊要求 ;规格标准号 </t>
        </is>
      </c>
      <c r="F116" t="inlineStr">
        <is>
          <t>千克</t>
        </is>
      </c>
      <c r="G116">
        <f>LEFT(D116,FIND("|",D116,1)-1)</f>
        <v/>
      </c>
      <c r="H116">
        <f>MID(D116,FIND("|",D116,FIND("|",D116,1))+1,FIND("|",D116,FIND("|",D116,1)+1)-FIND("|",D116,FIND("|",D116,1))-1)</f>
        <v/>
      </c>
      <c r="J116">
        <f>MID(D116,FIND(";",SUBSTITUTE(D116,"|",REPT(";",LEN(D116)),3))+1,LEN(D116))</f>
        <v/>
      </c>
      <c r="L116">
        <f>MID(D116,FIND(";",SUBSTITUTE(D116,"|",REPT(";",LEN(D116)),2))+1,FIND(";",SUBSTITUTE(D116,"|",REPT(";",LEN(D116)),3))-FIND(";",SUBSTITUTE(D116,"|",REPT(";",LEN(D116)),2))-1)</f>
        <v/>
      </c>
    </row>
    <row r="117">
      <c r="A117" t="inlineStr">
        <is>
          <t>100599</t>
        </is>
      </c>
      <c r="B117" t="inlineStr">
        <is>
          <t>其他钢制品</t>
        </is>
      </c>
      <c r="C117" t="inlineStr">
        <is>
          <t>600909700</t>
        </is>
      </c>
      <c r="D117" t="inlineStr">
        <is>
          <t>GFW钢板|钢板|GB/T 11251-1999|40Cr</t>
        </is>
      </c>
      <c r="E117" t="inlineStr">
        <is>
          <t xml:space="preserve">物资名称 GFW钢板;物资简称 钢板;技术标准号 GB/T 11251-1999;牌号 40Cr;规格 ;特殊要求 ;规格标准号 </t>
        </is>
      </c>
      <c r="F117" t="inlineStr">
        <is>
          <t>千克</t>
        </is>
      </c>
      <c r="G117">
        <f>LEFT(D117,FIND("|",D117,1)-1)</f>
        <v/>
      </c>
      <c r="H117">
        <f>MID(D117,FIND("|",D117,FIND("|",D117,1))+1,FIND("|",D117,FIND("|",D117,1)+1)-FIND("|",D117,FIND("|",D117,1))-1)</f>
        <v/>
      </c>
      <c r="J117">
        <f>MID(D117,FIND(";",SUBSTITUTE(D117,"|",REPT(";",LEN(D117)),3))+1,LEN(D117))</f>
        <v/>
      </c>
      <c r="L117">
        <f>MID(D117,FIND(";",SUBSTITUTE(D117,"|",REPT(";",LEN(D117)),2))+1,FIND(";",SUBSTITUTE(D117,"|",REPT(";",LEN(D117)),3))-FIND(";",SUBSTITUTE(D117,"|",REPT(";",LEN(D117)),2))-1)</f>
        <v/>
      </c>
    </row>
    <row r="118">
      <c r="A118" t="inlineStr">
        <is>
          <t>100599</t>
        </is>
      </c>
      <c r="B118" t="inlineStr">
        <is>
          <t>其他钢制品</t>
        </is>
      </c>
      <c r="C118" t="inlineStr">
        <is>
          <t>600848800</t>
        </is>
      </c>
      <c r="D118" t="inlineStr">
        <is>
          <t>GFW工业用金属筛网和金属丝编织方孔筛网|GFW丝网|GB/T 5330-2003|1Cr18Ni9Ti|0.15/0.1(平纹)|冷拉| GB 1220-1992</t>
        </is>
      </c>
      <c r="E118" t="inlineStr">
        <is>
          <t>物资名称 GFW工业用金属筛网和金属丝编织方孔筛网;物资简称 GFW丝网;技术标准号 GB/T 5330-2003;牌号 1Cr18Ni9Ti;规格 0.15/0.1(平纹);特殊要求 冷拉;规格标准号  GB 1220-1992</t>
        </is>
      </c>
      <c r="F118" t="inlineStr">
        <is>
          <t>平方米</t>
        </is>
      </c>
      <c r="G118">
        <f>LEFT(D118,FIND("|",D118,1)-1)</f>
        <v/>
      </c>
      <c r="H118">
        <f>MID(D118,FIND("|",D118,FIND("|",D118,1))+1,FIND("|",D118,FIND("|",D118,1)+1)-FIND("|",D118,FIND("|",D118,1))-1)</f>
        <v/>
      </c>
      <c r="J118">
        <f>MID(D118,FIND(";",SUBSTITUTE(D118,"|",REPT(";",LEN(D118)),3))+1,FIND(";",SUBSTITUTE(D118,"|",REPT(";",LEN(D118)),4))-FIND(";",SUBSTITUTE(D118,"|",REPT(";",LEN(D118)),3))-1)</f>
        <v/>
      </c>
      <c r="K118">
        <f>MID(D118,FIND(";",SUBSTITUTE(D118,"|",REPT(";",LEN(D118)),4))+1,FIND(";",SUBSTITUTE(D118,"|",REPT(";",LEN(D118)),5))-FIND(";",SUBSTITUTE(D118,"|",REPT(";",LEN(D118)),4))-1)</f>
        <v/>
      </c>
      <c r="L118">
        <f>MID(D118,FIND(";",SUBSTITUTE(D118,"|",REPT(";",LEN(D118)),2))+1,FIND(";",SUBSTITUTE(D118,"|",REPT(";",LEN(D118)),3))-FIND(";",SUBSTITUTE(D118,"|",REPT(";",LEN(D118)),2))-1)</f>
        <v/>
      </c>
      <c r="M118">
        <f>MID(D118,FIND(";",SUBSTITUTE(D118,"|",REPT(";",LEN(D118)),6))+1,LEN(D118))</f>
        <v/>
      </c>
      <c r="N118">
        <f>MID(D118,FIND(";",SUBSTITUTE(D118,"|",REPT(";",LEN(D118)),5))+1,FIND(";",SUBSTITUTE(D118,"|",REPT(";",LEN(D118)),6))-FIND(";",SUBSTITUTE(D118,"|",REPT(";",LEN(D118)),5))-1)</f>
        <v/>
      </c>
    </row>
    <row r="119">
      <c r="A119" t="inlineStr">
        <is>
          <t>100599</t>
        </is>
      </c>
      <c r="B119" t="inlineStr">
        <is>
          <t>其他钢制品</t>
        </is>
      </c>
      <c r="C119" t="inlineStr">
        <is>
          <t>600774500</t>
        </is>
      </c>
      <c r="D119" t="inlineStr">
        <is>
          <t>高碳铬轴承钢|钢|GB/T 18254-2002|GCr15</t>
        </is>
      </c>
      <c r="E119" t="inlineStr">
        <is>
          <t xml:space="preserve">物资名称 高碳铬轴承钢;物资简称 钢;技术标准号 GB/T 18254-2002;牌号 GCr15;规格 ;特殊要求 ;规格标准号 </t>
        </is>
      </c>
      <c r="F119" t="inlineStr">
        <is>
          <t>千克</t>
        </is>
      </c>
      <c r="G119">
        <f>LEFT(D119,FIND("|",D119,1)-1)</f>
        <v/>
      </c>
      <c r="H119">
        <f>MID(D119,FIND("|",D119,FIND("|",D119,1))+1,FIND("|",D119,FIND("|",D119,1)+1)-FIND("|",D119,FIND("|",D119,1))-1)</f>
        <v/>
      </c>
      <c r="J119">
        <f>MID(D119,FIND(";",SUBSTITUTE(D119,"|",REPT(";",LEN(D119)),3))+1,LEN(D119))</f>
        <v/>
      </c>
      <c r="L119">
        <f>MID(D119,FIND(";",SUBSTITUTE(D119,"|",REPT(";",LEN(D119)),2))+1,FIND(";",SUBSTITUTE(D119,"|",REPT(";",LEN(D119)),3))-FIND(";",SUBSTITUTE(D119,"|",REPT(";",LEN(D119)),2))-1)</f>
        <v/>
      </c>
    </row>
    <row r="120">
      <c r="A120" t="inlineStr">
        <is>
          <t>100599</t>
        </is>
      </c>
      <c r="B120" t="inlineStr">
        <is>
          <t>其他钢制品</t>
        </is>
      </c>
      <c r="C120" t="inlineStr">
        <is>
          <t>600636500</t>
        </is>
      </c>
      <c r="D120" t="inlineStr">
        <is>
          <t>GFW工业用金属筛网和金属丝编织方孔筛网|钢丝|GB/T 5330-2003|10.00/2.00|冷拉</t>
        </is>
      </c>
      <c r="E120" t="inlineStr">
        <is>
          <t xml:space="preserve">物资名称 GFW工业用金属筛网和金属丝编织方孔筛网;物资简称 钢丝;技术标准号 GB/T 5330-2003;牌号 ;规格 10.00/2.00;特殊要求 冷拉;规格标准号 </t>
        </is>
      </c>
      <c r="F120" t="inlineStr">
        <is>
          <t>千克</t>
        </is>
      </c>
      <c r="G120">
        <f>LEFT(D120,FIND("|",D120,1)-1)</f>
        <v/>
      </c>
      <c r="H120">
        <f>MID(D120,FIND("|",D120,FIND("|",D120,1))+1,FIND("|",D120,FIND("|",D120,1)+1)-FIND("|",D120,FIND("|",D120,1))-1)</f>
        <v/>
      </c>
      <c r="K120">
        <f>MID(D120,FIND(";",SUBSTITUTE(D120,"|",REPT(";",LEN(D120)),3))+1,FIND(";",SUBSTITUTE(D120,"|",REPT(";",LEN(D120)),4))-FIND(";",SUBSTITUTE(D120,"|",REPT(";",LEN(D120)),3))-1)</f>
        <v/>
      </c>
      <c r="L120">
        <f>MID(D120,FIND(";",SUBSTITUTE(D120,"|",REPT(";",LEN(D120)),2))+1,FIND(";",SUBSTITUTE(D120,"|",REPT(";",LEN(D120)),3))-FIND(";",SUBSTITUTE(D120,"|",REPT(";",LEN(D120)),2))-1)</f>
        <v/>
      </c>
      <c r="N120">
        <f>MID(D120,FIND(";",SUBSTITUTE(D120,"|",REPT(";",LEN(D120)),4))+1,LEN(D120))</f>
        <v/>
      </c>
    </row>
    <row r="121">
      <c r="A121" t="inlineStr">
        <is>
          <t>100599</t>
        </is>
      </c>
      <c r="B121" t="inlineStr">
        <is>
          <t>其他钢制品</t>
        </is>
      </c>
      <c r="C121" t="inlineStr">
        <is>
          <t>600636400</t>
        </is>
      </c>
      <c r="D121" t="inlineStr">
        <is>
          <t>GFW工业用金属筛网和金属丝编织方孔筛网|钢丝|GB/T 5330-2003|0.15/0.1|冷拉</t>
        </is>
      </c>
      <c r="E121" t="inlineStr">
        <is>
          <t xml:space="preserve">物资名称 GFW工业用金属筛网和金属丝编织方孔筛网;物资简称 钢丝;技术标准号 GB/T 5330-2003;牌号 ;规格 0.15/0.1;特殊要求 冷拉;规格标准号 </t>
        </is>
      </c>
      <c r="F121" t="inlineStr">
        <is>
          <t>千克</t>
        </is>
      </c>
      <c r="G121">
        <f>LEFT(D121,FIND("|",D121,1)-1)</f>
        <v/>
      </c>
      <c r="H121">
        <f>MID(D121,FIND("|",D121,FIND("|",D121,1))+1,FIND("|",D121,FIND("|",D121,1)+1)-FIND("|",D121,FIND("|",D121,1))-1)</f>
        <v/>
      </c>
      <c r="K121">
        <f>MID(D121,FIND(";",SUBSTITUTE(D121,"|",REPT(";",LEN(D121)),3))+1,FIND(";",SUBSTITUTE(D121,"|",REPT(";",LEN(D121)),4))-FIND(";",SUBSTITUTE(D121,"|",REPT(";",LEN(D121)),3))-1)</f>
        <v/>
      </c>
      <c r="L121">
        <f>MID(D121,FIND(";",SUBSTITUTE(D121,"|",REPT(";",LEN(D121)),2))+1,FIND(";",SUBSTITUTE(D121,"|",REPT(";",LEN(D121)),3))-FIND(";",SUBSTITUTE(D121,"|",REPT(";",LEN(D121)),2))-1)</f>
        <v/>
      </c>
      <c r="N121">
        <f>MID(D121,FIND(";",SUBSTITUTE(D121,"|",REPT(";",LEN(D121)),4))+1,LEN(D121))</f>
        <v/>
      </c>
    </row>
    <row r="122">
      <c r="A122" t="inlineStr">
        <is>
          <t>100599</t>
        </is>
      </c>
      <c r="B122" t="inlineStr">
        <is>
          <t>其他钢制品</t>
        </is>
      </c>
      <c r="C122" t="inlineStr">
        <is>
          <t>600636300</t>
        </is>
      </c>
      <c r="D122" t="inlineStr">
        <is>
          <t>优质碳素结构钢|钢|GB/T 699-1999|10</t>
        </is>
      </c>
      <c r="E122" t="inlineStr">
        <is>
          <t xml:space="preserve">物资名称 优质碳素结构钢;物资简称 钢;技术标准号 GB/T 699-1999;牌号 10;规格 ;特殊要求 ;规格标准号 </t>
        </is>
      </c>
      <c r="F122" t="inlineStr">
        <is>
          <t>千克</t>
        </is>
      </c>
      <c r="G122">
        <f>LEFT(D122,FIND("|",D122,1)-1)</f>
        <v/>
      </c>
      <c r="H122">
        <f>MID(D122,FIND("|",D122,FIND("|",D122,1))+1,FIND("|",D122,FIND("|",D122,1)+1)-FIND("|",D122,FIND("|",D122,1))-1)</f>
        <v/>
      </c>
      <c r="J122">
        <f>MID(D122,FIND(";",SUBSTITUTE(D122,"|",REPT(";",LEN(D122)),3))+1,LEN(D122))</f>
        <v/>
      </c>
      <c r="L122">
        <f>MID(D122,FIND(";",SUBSTITUTE(D122,"|",REPT(";",LEN(D122)),2))+1,FIND(";",SUBSTITUTE(D122,"|",REPT(";",LEN(D122)),3))-FIND(";",SUBSTITUTE(D122,"|",REPT(";",LEN(D122)),2))-1)</f>
        <v/>
      </c>
    </row>
    <row r="123">
      <c r="A123" t="inlineStr">
        <is>
          <t>100599</t>
        </is>
      </c>
      <c r="B123" t="inlineStr">
        <is>
          <t>其他钢制品</t>
        </is>
      </c>
      <c r="C123" t="inlineStr">
        <is>
          <t>600636200</t>
        </is>
      </c>
      <c r="D123" t="inlineStr">
        <is>
          <t>优质碳素结构钢|钢|GB/T 699-1999|20</t>
        </is>
      </c>
      <c r="E123" t="inlineStr">
        <is>
          <t xml:space="preserve">物资名称 优质碳素结构钢;物资简称 钢;技术标准号 GB/T 699-1999;牌号 20;规格 ;特殊要求 ;规格标准号 </t>
        </is>
      </c>
      <c r="F123" t="inlineStr">
        <is>
          <t>千克</t>
        </is>
      </c>
      <c r="G123">
        <f>LEFT(D123,FIND("|",D123,1)-1)</f>
        <v/>
      </c>
      <c r="H123">
        <f>MID(D123,FIND("|",D123,FIND("|",D123,1))+1,FIND("|",D123,FIND("|",D123,1)+1)-FIND("|",D123,FIND("|",D123,1))-1)</f>
        <v/>
      </c>
      <c r="J123">
        <f>MID(D123,FIND(";",SUBSTITUTE(D123,"|",REPT(";",LEN(D123)),3))+1,LEN(D123))</f>
        <v/>
      </c>
      <c r="L123">
        <f>MID(D123,FIND(";",SUBSTITUTE(D123,"|",REPT(";",LEN(D123)),2))+1,FIND(";",SUBSTITUTE(D123,"|",REPT(";",LEN(D123)),3))-FIND(";",SUBSTITUTE(D123,"|",REPT(";",LEN(D123)),2))-1)</f>
        <v/>
      </c>
    </row>
    <row r="124">
      <c r="A124" t="inlineStr">
        <is>
          <t>100599</t>
        </is>
      </c>
      <c r="B124" t="inlineStr">
        <is>
          <t>其他钢制品</t>
        </is>
      </c>
      <c r="C124" t="inlineStr">
        <is>
          <t>600636100</t>
        </is>
      </c>
      <c r="D124" t="inlineStr">
        <is>
          <t>优质碳素结构钢|钢|GB/T 699-1999|45</t>
        </is>
      </c>
      <c r="E124" t="inlineStr">
        <is>
          <t xml:space="preserve">物资名称 优质碳素结构钢;物资简称 钢;技术标准号 GB/T 699-1999;牌号 45;规格 ;特殊要求 ;规格标准号 </t>
        </is>
      </c>
      <c r="F124" t="inlineStr">
        <is>
          <t>千克</t>
        </is>
      </c>
      <c r="G124">
        <f>LEFT(D124,FIND("|",D124,1)-1)</f>
        <v/>
      </c>
      <c r="H124">
        <f>MID(D124,FIND("|",D124,FIND("|",D124,1))+1,FIND("|",D124,FIND("|",D124,1)+1)-FIND("|",D124,FIND("|",D124,1))-1)</f>
        <v/>
      </c>
      <c r="J124">
        <f>MID(D124,FIND(";",SUBSTITUTE(D124,"|",REPT(";",LEN(D124)),3))+1,LEN(D124))</f>
        <v/>
      </c>
      <c r="L124">
        <f>MID(D124,FIND(";",SUBSTITUTE(D124,"|",REPT(";",LEN(D124)),2))+1,FIND(";",SUBSTITUTE(D124,"|",REPT(";",LEN(D124)),3))-FIND(";",SUBSTITUTE(D124,"|",REPT(";",LEN(D124)),2))-1)</f>
        <v/>
      </c>
    </row>
    <row r="125">
      <c r="A125" t="inlineStr">
        <is>
          <t>100599</t>
        </is>
      </c>
      <c r="B125" t="inlineStr">
        <is>
          <t>其他钢制品</t>
        </is>
      </c>
      <c r="C125" t="inlineStr">
        <is>
          <t>600636000</t>
        </is>
      </c>
      <c r="D125" t="inlineStr">
        <is>
          <t>碳素结构钢|钢|GB/T 700-2006|Q235</t>
        </is>
      </c>
      <c r="E125" t="inlineStr">
        <is>
          <t xml:space="preserve">物资名称 碳素结构钢;物资简称 钢;技术标准号 GB/T 700-2006;牌号 Q235;规格 ;特殊要求 ;规格标准号 </t>
        </is>
      </c>
      <c r="F125" t="inlineStr">
        <is>
          <t>千克</t>
        </is>
      </c>
      <c r="G125">
        <f>LEFT(D125,FIND("|",D125,1)-1)</f>
        <v/>
      </c>
      <c r="H125">
        <f>MID(D125,FIND("|",D125,FIND("|",D125,1))+1,FIND("|",D125,FIND("|",D125,1)+1)-FIND("|",D125,FIND("|",D125,1))-1)</f>
        <v/>
      </c>
      <c r="J125">
        <f>MID(D125,FIND(";",SUBSTITUTE(D125,"|",REPT(";",LEN(D125)),3))+1,LEN(D125))</f>
        <v/>
      </c>
      <c r="L125">
        <f>MID(D125,FIND(";",SUBSTITUTE(D125,"|",REPT(";",LEN(D125)),2))+1,FIND(";",SUBSTITUTE(D125,"|",REPT(";",LEN(D125)),3))-FIND(";",SUBSTITUTE(D125,"|",REPT(";",LEN(D125)),2))-1)</f>
        <v/>
      </c>
    </row>
    <row r="126">
      <c r="A126" t="inlineStr">
        <is>
          <t>100599</t>
        </is>
      </c>
      <c r="B126" t="inlineStr">
        <is>
          <t>其他钢制品</t>
        </is>
      </c>
      <c r="C126" t="inlineStr">
        <is>
          <t>600635900</t>
        </is>
      </c>
      <c r="D126" t="inlineStr">
        <is>
          <t>弹簧钢|钢|GB/T 1222-2007|65Mn</t>
        </is>
      </c>
      <c r="E126" t="inlineStr">
        <is>
          <t xml:space="preserve">物资名称 弹簧钢;物资简称 钢;技术标准号 GB/T 1222-2007;牌号 65Mn;规格 ;特殊要求 ;规格标准号 </t>
        </is>
      </c>
      <c r="F126" t="inlineStr">
        <is>
          <t>千克</t>
        </is>
      </c>
      <c r="G126">
        <f>LEFT(D126,FIND("|",D126,1)-1)</f>
        <v/>
      </c>
      <c r="H126">
        <f>MID(D126,FIND("|",D126,FIND("|",D126,1))+1,FIND("|",D126,FIND("|",D126,1)+1)-FIND("|",D126,FIND("|",D126,1))-1)</f>
        <v/>
      </c>
      <c r="J126">
        <f>MID(D126,FIND(";",SUBSTITUTE(D126,"|",REPT(";",LEN(D126)),3))+1,LEN(D126))</f>
        <v/>
      </c>
      <c r="L126">
        <f>MID(D126,FIND(";",SUBSTITUTE(D126,"|",REPT(";",LEN(D126)),2))+1,FIND(";",SUBSTITUTE(D126,"|",REPT(";",LEN(D126)),3))-FIND(";",SUBSTITUTE(D126,"|",REPT(";",LEN(D126)),2))-1)</f>
        <v/>
      </c>
    </row>
    <row r="127">
      <c r="A127" t="inlineStr">
        <is>
          <t>100599</t>
        </is>
      </c>
      <c r="B127" t="inlineStr">
        <is>
          <t>其他钢制品</t>
        </is>
      </c>
      <c r="C127" t="inlineStr">
        <is>
          <t>600635800</t>
        </is>
      </c>
      <c r="D127" t="inlineStr">
        <is>
          <t>弹簧钢|钢|GB/T 1222-2007|60Si2MnA</t>
        </is>
      </c>
      <c r="E127" t="inlineStr">
        <is>
          <t xml:space="preserve">物资名称 弹簧钢;物资简称 钢;技术标准号 GB/T 1222-2007;牌号 60Si2MnA;规格 ;特殊要求 ;规格标准号 </t>
        </is>
      </c>
      <c r="F127" t="inlineStr">
        <is>
          <t>千克</t>
        </is>
      </c>
      <c r="G127">
        <f>LEFT(D127,FIND("|",D127,1)-1)</f>
        <v/>
      </c>
      <c r="H127">
        <f>MID(D127,FIND("|",D127,FIND("|",D127,1))+1,FIND("|",D127,FIND("|",D127,1)+1)-FIND("|",D127,FIND("|",D127,1))-1)</f>
        <v/>
      </c>
      <c r="J127">
        <f>MID(D127,FIND(";",SUBSTITUTE(D127,"|",REPT(";",LEN(D127)),3))+1,LEN(D127))</f>
        <v/>
      </c>
      <c r="L127">
        <f>MID(D127,FIND(";",SUBSTITUTE(D127,"|",REPT(";",LEN(D127)),2))+1,FIND(";",SUBSTITUTE(D127,"|",REPT(";",LEN(D127)),3))-FIND(";",SUBSTITUTE(D127,"|",REPT(";",LEN(D127)),2))-1)</f>
        <v/>
      </c>
    </row>
    <row r="128">
      <c r="A128" t="inlineStr">
        <is>
          <t>100599</t>
        </is>
      </c>
      <c r="B128" t="inlineStr">
        <is>
          <t>其他钢制品</t>
        </is>
      </c>
      <c r="C128" t="inlineStr">
        <is>
          <t>600635700</t>
        </is>
      </c>
      <c r="D128" t="inlineStr">
        <is>
          <t>合金工具钢|钢|GB/T 1299-2000|Cr12MoV</t>
        </is>
      </c>
      <c r="E128" t="inlineStr">
        <is>
          <t xml:space="preserve">物资名称 合金工具钢;物资简称 钢;技术标准号 GB/T 1299-2000;牌号 Cr12MoV;规格 ;特殊要求 ;规格标准号 </t>
        </is>
      </c>
      <c r="F128" t="inlineStr">
        <is>
          <t>千克</t>
        </is>
      </c>
      <c r="G128">
        <f>LEFT(D128,FIND("|",D128,1)-1)</f>
        <v/>
      </c>
      <c r="H128">
        <f>MID(D128,FIND("|",D128,FIND("|",D128,1))+1,FIND("|",D128,FIND("|",D128,1)+1)-FIND("|",D128,FIND("|",D128,1))-1)</f>
        <v/>
      </c>
      <c r="J128">
        <f>MID(D128,FIND(";",SUBSTITUTE(D128,"|",REPT(";",LEN(D128)),3))+1,LEN(D128))</f>
        <v/>
      </c>
      <c r="L128">
        <f>MID(D128,FIND(";",SUBSTITUTE(D128,"|",REPT(";",LEN(D128)),2))+1,FIND(";",SUBSTITUTE(D128,"|",REPT(";",LEN(D128)),3))-FIND(";",SUBSTITUTE(D128,"|",REPT(";",LEN(D128)),2))-1)</f>
        <v/>
      </c>
    </row>
    <row r="129">
      <c r="A129" t="inlineStr">
        <is>
          <t>100599</t>
        </is>
      </c>
      <c r="B129" t="inlineStr">
        <is>
          <t>其他钢制品</t>
        </is>
      </c>
      <c r="C129" t="inlineStr">
        <is>
          <t>600635600</t>
        </is>
      </c>
      <c r="D129" t="inlineStr">
        <is>
          <t>合金结构钢|钢|GB/T 3077-1999|40Cr</t>
        </is>
      </c>
      <c r="E129" t="inlineStr">
        <is>
          <t xml:space="preserve">物资名称 合金结构钢;物资简称 钢;技术标准号 GB/T 3077-1999;牌号 40Cr;规格 ;特殊要求 ;规格标准号 </t>
        </is>
      </c>
      <c r="F129" t="inlineStr">
        <is>
          <t>千克</t>
        </is>
      </c>
      <c r="G129">
        <f>LEFT(D129,FIND("|",D129,1)-1)</f>
        <v/>
      </c>
      <c r="H129">
        <f>MID(D129,FIND("|",D129,FIND("|",D129,1))+1,FIND("|",D129,FIND("|",D129,1)+1)-FIND("|",D129,FIND("|",D129,1))-1)</f>
        <v/>
      </c>
      <c r="J129">
        <f>MID(D129,FIND(";",SUBSTITUTE(D129,"|",REPT(";",LEN(D129)),3))+1,LEN(D129))</f>
        <v/>
      </c>
      <c r="L129">
        <f>MID(D129,FIND(";",SUBSTITUTE(D129,"|",REPT(";",LEN(D129)),2))+1,FIND(";",SUBSTITUTE(D129,"|",REPT(";",LEN(D129)),3))-FIND(";",SUBSTITUTE(D129,"|",REPT(";",LEN(D129)),2))-1)</f>
        <v/>
      </c>
    </row>
    <row r="130">
      <c r="A130" t="inlineStr">
        <is>
          <t>100599</t>
        </is>
      </c>
      <c r="B130" t="inlineStr">
        <is>
          <t>其他钢制品</t>
        </is>
      </c>
      <c r="C130" t="inlineStr">
        <is>
          <t>600635500</t>
        </is>
      </c>
      <c r="D130" t="inlineStr">
        <is>
          <t>合金结构钢|钢|GB/T 3077-1999|30CrMnSiA</t>
        </is>
      </c>
      <c r="E130" t="inlineStr">
        <is>
          <t xml:space="preserve">物资名称 合金结构钢;物资简称 钢;技术标准号 GB/T 3077-1999;牌号 30CrMnSiA;规格 ;特殊要求 ;规格标准号 </t>
        </is>
      </c>
      <c r="F130" t="inlineStr">
        <is>
          <t>千克</t>
        </is>
      </c>
      <c r="G130">
        <f>LEFT(D130,FIND("|",D130,1)-1)</f>
        <v/>
      </c>
      <c r="H130">
        <f>MID(D130,FIND("|",D130,FIND("|",D130,1))+1,FIND("|",D130,FIND("|",D130,1)+1)-FIND("|",D130,FIND("|",D130,1))-1)</f>
        <v/>
      </c>
      <c r="J130">
        <f>MID(D130,FIND(";",SUBSTITUTE(D130,"|",REPT(";",LEN(D130)),3))+1,LEN(D130))</f>
        <v/>
      </c>
      <c r="L130">
        <f>MID(D130,FIND(";",SUBSTITUTE(D130,"|",REPT(";",LEN(D130)),2))+1,FIND(";",SUBSTITUTE(D130,"|",REPT(";",LEN(D130)),3))-FIND(";",SUBSTITUTE(D130,"|",REPT(";",LEN(D130)),2))-1)</f>
        <v/>
      </c>
    </row>
    <row r="131">
      <c r="A131" t="inlineStr">
        <is>
          <t>100599</t>
        </is>
      </c>
      <c r="B131" t="inlineStr">
        <is>
          <t>其他钢制品</t>
        </is>
      </c>
      <c r="C131" t="inlineStr">
        <is>
          <t>600635400</t>
        </is>
      </c>
      <c r="D131" t="inlineStr">
        <is>
          <t>合金结构钢|钢|GB/T 3077-1999|38CrMoAl</t>
        </is>
      </c>
      <c r="E131" t="inlineStr">
        <is>
          <t xml:space="preserve">物资名称 合金结构钢;物资简称 钢;技术标准号 GB/T 3077-1999;牌号 38CrMoAl;规格 ;特殊要求 ;规格标准号 </t>
        </is>
      </c>
      <c r="F131" t="inlineStr">
        <is>
          <t>千克</t>
        </is>
      </c>
      <c r="G131">
        <f>LEFT(D131,FIND("|",D131,1)-1)</f>
        <v/>
      </c>
      <c r="H131">
        <f>MID(D131,FIND("|",D131,FIND("|",D131,1))+1,FIND("|",D131,FIND("|",D131,1)+1)-FIND("|",D131,FIND("|",D131,1))-1)</f>
        <v/>
      </c>
      <c r="J131">
        <f>MID(D131,FIND(";",SUBSTITUTE(D131,"|",REPT(";",LEN(D131)),3))+1,LEN(D131))</f>
        <v/>
      </c>
      <c r="L131">
        <f>MID(D131,FIND(";",SUBSTITUTE(D131,"|",REPT(";",LEN(D131)),2))+1,FIND(";",SUBSTITUTE(D131,"|",REPT(";",LEN(D131)),3))-FIND(";",SUBSTITUTE(D131,"|",REPT(";",LEN(D131)),2))-1)</f>
        <v/>
      </c>
    </row>
    <row r="132">
      <c r="A132" t="inlineStr">
        <is>
          <t>100599</t>
        </is>
      </c>
      <c r="B132" t="inlineStr">
        <is>
          <t>其他钢制品</t>
        </is>
      </c>
      <c r="C132" t="inlineStr">
        <is>
          <t>600635300</t>
        </is>
      </c>
      <c r="D132" t="inlineStr">
        <is>
          <t>合金结构钢|钢|GB/T 3077-1999|12CrNi2</t>
        </is>
      </c>
      <c r="E132" t="inlineStr">
        <is>
          <t xml:space="preserve">物资名称 合金结构钢;物资简称 钢;技术标准号 GB/T 3077-1999;牌号 12CrNi2;规格 ;特殊要求 ;规格标准号 </t>
        </is>
      </c>
      <c r="F132" t="inlineStr">
        <is>
          <t>千克</t>
        </is>
      </c>
      <c r="G132">
        <f>LEFT(D132,FIND("|",D132,1)-1)</f>
        <v/>
      </c>
      <c r="H132">
        <f>MID(D132,FIND("|",D132,FIND("|",D132,1))+1,FIND("|",D132,FIND("|",D132,1)+1)-FIND("|",D132,FIND("|",D132,1))-1)</f>
        <v/>
      </c>
      <c r="J132">
        <f>MID(D132,FIND(";",SUBSTITUTE(D132,"|",REPT(";",LEN(D132)),3))+1,LEN(D132))</f>
        <v/>
      </c>
      <c r="L132">
        <f>MID(D132,FIND(";",SUBSTITUTE(D132,"|",REPT(";",LEN(D132)),2))+1,FIND(";",SUBSTITUTE(D132,"|",REPT(";",LEN(D132)),3))-FIND(";",SUBSTITUTE(D132,"|",REPT(";",LEN(D132)),2))-1)</f>
        <v/>
      </c>
    </row>
    <row r="133">
      <c r="A133" t="inlineStr">
        <is>
          <t>100599</t>
        </is>
      </c>
      <c r="B133" t="inlineStr">
        <is>
          <t>其他钢制品</t>
        </is>
      </c>
      <c r="C133" t="inlineStr">
        <is>
          <t>600635200</t>
        </is>
      </c>
      <c r="D133" t="inlineStr">
        <is>
          <t>合金结构钢|钢|GB/T 3077-1999|30CrNi3</t>
        </is>
      </c>
      <c r="E133" t="inlineStr">
        <is>
          <t xml:space="preserve">物资名称 合金结构钢;物资简称 钢;技术标准号 GB/T 3077-1999;牌号 30CrNi3;规格 ;特殊要求 ;规格标准号 </t>
        </is>
      </c>
      <c r="F133" t="inlineStr">
        <is>
          <t>千克</t>
        </is>
      </c>
      <c r="G133">
        <f>LEFT(D133,FIND("|",D133,1)-1)</f>
        <v/>
      </c>
      <c r="H133">
        <f>MID(D133,FIND("|",D133,FIND("|",D133,1))+1,FIND("|",D133,FIND("|",D133,1)+1)-FIND("|",D133,FIND("|",D133,1))-1)</f>
        <v/>
      </c>
      <c r="J133">
        <f>MID(D133,FIND(";",SUBSTITUTE(D133,"|",REPT(";",LEN(D133)),3))+1,LEN(D133))</f>
        <v/>
      </c>
      <c r="L133">
        <f>MID(D133,FIND(";",SUBSTITUTE(D133,"|",REPT(";",LEN(D133)),2))+1,FIND(";",SUBSTITUTE(D133,"|",REPT(";",LEN(D133)),3))-FIND(";",SUBSTITUTE(D133,"|",REPT(";",LEN(D133)),2))-1)</f>
        <v/>
      </c>
    </row>
    <row r="134">
      <c r="A134" t="inlineStr">
        <is>
          <t>100599</t>
        </is>
      </c>
      <c r="B134" t="inlineStr">
        <is>
          <t>其他钢制品</t>
        </is>
      </c>
      <c r="C134" t="inlineStr">
        <is>
          <t>600635100</t>
        </is>
      </c>
      <c r="D134" t="inlineStr">
        <is>
          <t>合金结构钢|钢|GB/T 3077-1999|35CrMnSiA</t>
        </is>
      </c>
      <c r="E134" t="inlineStr">
        <is>
          <t xml:space="preserve">物资名称 合金结构钢;物资简称 钢;技术标准号 GB/T 3077-1999;牌号 35CrMnSiA;规格 ;特殊要求 ;规格标准号 </t>
        </is>
      </c>
      <c r="F134" t="inlineStr">
        <is>
          <t>千克</t>
        </is>
      </c>
      <c r="G134">
        <f>LEFT(D134,FIND("|",D134,1)-1)</f>
        <v/>
      </c>
      <c r="H134">
        <f>MID(D134,FIND("|",D134,FIND("|",D134,1))+1,FIND("|",D134,FIND("|",D134,1)+1)-FIND("|",D134,FIND("|",D134,1))-1)</f>
        <v/>
      </c>
      <c r="J134">
        <f>MID(D134,FIND(";",SUBSTITUTE(D134,"|",REPT(";",LEN(D134)),3))+1,LEN(D134))</f>
        <v/>
      </c>
      <c r="L134">
        <f>MID(D134,FIND(";",SUBSTITUTE(D134,"|",REPT(";",LEN(D134)),2))+1,FIND(";",SUBSTITUTE(D134,"|",REPT(";",LEN(D134)),3))-FIND(";",SUBSTITUTE(D134,"|",REPT(";",LEN(D134)),2))-1)</f>
        <v/>
      </c>
    </row>
    <row r="135">
      <c r="A135" t="inlineStr">
        <is>
          <t>100599</t>
        </is>
      </c>
      <c r="B135" t="inlineStr">
        <is>
          <t>其他钢制品</t>
        </is>
      </c>
      <c r="C135" t="inlineStr">
        <is>
          <t>600635000</t>
        </is>
      </c>
      <c r="D135" t="inlineStr">
        <is>
          <t>易切削结构钢|钢|GB/T 8731-2008|Y20</t>
        </is>
      </c>
      <c r="E135" t="inlineStr">
        <is>
          <t xml:space="preserve">物资名称 易切削结构钢;物资简称 钢;技术标准号 GB/T 8731-2008;牌号 Y20;规格 ;特殊要求 ;规格标准号 </t>
        </is>
      </c>
      <c r="F135" t="inlineStr">
        <is>
          <t>千克</t>
        </is>
      </c>
      <c r="G135">
        <f>LEFT(D135,FIND("|",D135,1)-1)</f>
        <v/>
      </c>
      <c r="H135">
        <f>MID(D135,FIND("|",D135,FIND("|",D135,1))+1,FIND("|",D135,FIND("|",D135,1)+1)-FIND("|",D135,FIND("|",D135,1))-1)</f>
        <v/>
      </c>
      <c r="J135">
        <f>MID(D135,FIND(";",SUBSTITUTE(D135,"|",REPT(";",LEN(D135)),3))+1,LEN(D135))</f>
        <v/>
      </c>
      <c r="L135">
        <f>MID(D135,FIND(";",SUBSTITUTE(D135,"|",REPT(";",LEN(D135)),2))+1,FIND(";",SUBSTITUTE(D135,"|",REPT(";",LEN(D135)),3))-FIND(";",SUBSTITUTE(D135,"|",REPT(";",LEN(D135)),2))-1)</f>
        <v/>
      </c>
    </row>
    <row r="136">
      <c r="A136" t="inlineStr">
        <is>
          <t>100599</t>
        </is>
      </c>
      <c r="B136" t="inlineStr">
        <is>
          <t>其他钢制品</t>
        </is>
      </c>
      <c r="C136" t="inlineStr">
        <is>
          <t>600634900</t>
        </is>
      </c>
      <c r="D136" t="inlineStr">
        <is>
          <t>高碳铬轴承钢|钢|GB/T 18257-2002|GCr15</t>
        </is>
      </c>
      <c r="E136" t="inlineStr">
        <is>
          <t xml:space="preserve">物资名称 高碳铬轴承钢;物资简称 钢;技术标准号 GB/T 18257-2002;牌号 GCr15;规格 ;特殊要求 ;规格标准号 </t>
        </is>
      </c>
      <c r="F136" t="inlineStr">
        <is>
          <t>千克</t>
        </is>
      </c>
      <c r="G136">
        <f>LEFT(D136,FIND("|",D136,1)-1)</f>
        <v/>
      </c>
      <c r="H136">
        <f>MID(D136,FIND("|",D136,FIND("|",D136,1))+1,FIND("|",D136,FIND("|",D136,1)+1)-FIND("|",D136,FIND("|",D136,1))-1)</f>
        <v/>
      </c>
      <c r="J136">
        <f>MID(D136,FIND(";",SUBSTITUTE(D136,"|",REPT(";",LEN(D136)),3))+1,LEN(D136))</f>
        <v/>
      </c>
      <c r="L136">
        <f>MID(D136,FIND(";",SUBSTITUTE(D136,"|",REPT(";",LEN(D136)),2))+1,FIND(";",SUBSTITUTE(D136,"|",REPT(";",LEN(D136)),3))-FIND(";",SUBSTITUTE(D136,"|",REPT(";",LEN(D136)),2))-1)</f>
        <v/>
      </c>
    </row>
    <row r="137">
      <c r="A137" t="inlineStr">
        <is>
          <t>100599</t>
        </is>
      </c>
      <c r="B137" t="inlineStr">
        <is>
          <t>其他钢制品</t>
        </is>
      </c>
      <c r="C137" t="inlineStr">
        <is>
          <t>600634800</t>
        </is>
      </c>
      <c r="D137" t="inlineStr">
        <is>
          <t>不锈钢和耐热钢|钢|GB/T 20878-2007|12Cr13</t>
        </is>
      </c>
      <c r="E137" t="inlineStr">
        <is>
          <t xml:space="preserve">物资名称 不锈钢和耐热钢;物资简称 钢;技术标准号 GB/T 20878-2007;牌号 12Cr13;规格 ;特殊要求 ;规格标准号 </t>
        </is>
      </c>
      <c r="F137" t="inlineStr">
        <is>
          <t>千克</t>
        </is>
      </c>
      <c r="G137">
        <f>LEFT(D137,FIND("|",D137,1)-1)</f>
        <v/>
      </c>
      <c r="H137">
        <f>MID(D137,FIND("|",D137,FIND("|",D137,1))+1,FIND("|",D137,FIND("|",D137,1)+1)-FIND("|",D137,FIND("|",D137,1))-1)</f>
        <v/>
      </c>
      <c r="J137">
        <f>MID(D137,FIND(";",SUBSTITUTE(D137,"|",REPT(";",LEN(D137)),3))+1,LEN(D137))</f>
        <v/>
      </c>
      <c r="L137">
        <f>MID(D137,FIND(";",SUBSTITUTE(D137,"|",REPT(";",LEN(D137)),2))+1,FIND(";",SUBSTITUTE(D137,"|",REPT(";",LEN(D137)),3))-FIND(";",SUBSTITUTE(D137,"|",REPT(";",LEN(D137)),2))-1)</f>
        <v/>
      </c>
    </row>
    <row r="138">
      <c r="A138" t="inlineStr">
        <is>
          <t>100599</t>
        </is>
      </c>
      <c r="B138" t="inlineStr">
        <is>
          <t>其他钢制品</t>
        </is>
      </c>
      <c r="C138" t="inlineStr">
        <is>
          <t>600634700</t>
        </is>
      </c>
      <c r="D138" t="inlineStr">
        <is>
          <t>不锈钢和耐热钢|钢|GB/T 20878-2007|20Cr13</t>
        </is>
      </c>
      <c r="E138" t="inlineStr">
        <is>
          <t xml:space="preserve">物资名称 不锈钢和耐热钢;物资简称 钢;技术标准号 GB/T 20878-2007;牌号 20Cr13;规格 ;特殊要求 ;规格标准号 </t>
        </is>
      </c>
      <c r="F138" t="inlineStr">
        <is>
          <t>千克</t>
        </is>
      </c>
      <c r="G138">
        <f>LEFT(D138,FIND("|",D138,1)-1)</f>
        <v/>
      </c>
      <c r="H138">
        <f>MID(D138,FIND("|",D138,FIND("|",D138,1))+1,FIND("|",D138,FIND("|",D138,1)+1)-FIND("|",D138,FIND("|",D138,1))-1)</f>
        <v/>
      </c>
      <c r="J138">
        <f>MID(D138,FIND(";",SUBSTITUTE(D138,"|",REPT(";",LEN(D138)),3))+1,LEN(D138))</f>
        <v/>
      </c>
      <c r="L138">
        <f>MID(D138,FIND(";",SUBSTITUTE(D138,"|",REPT(";",LEN(D138)),2))+1,FIND(";",SUBSTITUTE(D138,"|",REPT(";",LEN(D138)),3))-FIND(";",SUBSTITUTE(D138,"|",REPT(";",LEN(D138)),2))-1)</f>
        <v/>
      </c>
    </row>
    <row r="139">
      <c r="A139" t="inlineStr">
        <is>
          <t>100599</t>
        </is>
      </c>
      <c r="B139" t="inlineStr">
        <is>
          <t>其他钢制品</t>
        </is>
      </c>
      <c r="C139" t="inlineStr">
        <is>
          <t>600634600</t>
        </is>
      </c>
      <c r="D139" t="inlineStr">
        <is>
          <t>不锈钢和耐热钢|钢|GB/T 20878-2007|40Cr13</t>
        </is>
      </c>
      <c r="E139" t="inlineStr">
        <is>
          <t xml:space="preserve">物资名称 不锈钢和耐热钢;物资简称 钢;技术标准号 GB/T 20878-2007;牌号 40Cr13;规格 ;特殊要求 ;规格标准号 </t>
        </is>
      </c>
      <c r="F139" t="inlineStr">
        <is>
          <t>千克</t>
        </is>
      </c>
      <c r="G139">
        <f>LEFT(D139,FIND("|",D139,1)-1)</f>
        <v/>
      </c>
      <c r="H139">
        <f>MID(D139,FIND("|",D139,FIND("|",D139,1))+1,FIND("|",D139,FIND("|",D139,1)+1)-FIND("|",D139,FIND("|",D139,1))-1)</f>
        <v/>
      </c>
      <c r="J139">
        <f>MID(D139,FIND(";",SUBSTITUTE(D139,"|",REPT(";",LEN(D139)),3))+1,LEN(D139))</f>
        <v/>
      </c>
      <c r="L139">
        <f>MID(D139,FIND(";",SUBSTITUTE(D139,"|",REPT(";",LEN(D139)),2))+1,FIND(";",SUBSTITUTE(D139,"|",REPT(";",LEN(D139)),3))-FIND(";",SUBSTITUTE(D139,"|",REPT(";",LEN(D139)),2))-1)</f>
        <v/>
      </c>
    </row>
    <row r="140">
      <c r="A140" t="inlineStr">
        <is>
          <t>100599</t>
        </is>
      </c>
      <c r="B140" t="inlineStr">
        <is>
          <t>其他钢制品</t>
        </is>
      </c>
      <c r="C140" t="inlineStr">
        <is>
          <t>600634500</t>
        </is>
      </c>
      <c r="D140" t="inlineStr">
        <is>
          <t>不锈钢和耐热钢|钢|GB/T 20878-2007|06Cr19Ni10</t>
        </is>
      </c>
      <c r="E140" t="inlineStr">
        <is>
          <t xml:space="preserve">物资名称 不锈钢和耐热钢;物资简称 钢;技术标准号 GB/T 20878-2007;牌号 06Cr19Ni10;规格 ;特殊要求 ;规格标准号 </t>
        </is>
      </c>
      <c r="F140" t="inlineStr">
        <is>
          <t>千克</t>
        </is>
      </c>
      <c r="G140">
        <f>LEFT(D140,FIND("|",D140,1)-1)</f>
        <v/>
      </c>
      <c r="H140">
        <f>MID(D140,FIND("|",D140,FIND("|",D140,1))+1,FIND("|",D140,FIND("|",D140,1)+1)-FIND("|",D140,FIND("|",D140,1))-1)</f>
        <v/>
      </c>
      <c r="J140">
        <f>MID(D140,FIND(";",SUBSTITUTE(D140,"|",REPT(";",LEN(D140)),3))+1,LEN(D140))</f>
        <v/>
      </c>
      <c r="L140">
        <f>MID(D140,FIND(";",SUBSTITUTE(D140,"|",REPT(";",LEN(D140)),2))+1,FIND(";",SUBSTITUTE(D140,"|",REPT(";",LEN(D140)),3))-FIND(";",SUBSTITUTE(D140,"|",REPT(";",LEN(D140)),2))-1)</f>
        <v/>
      </c>
    </row>
    <row r="141">
      <c r="A141" t="inlineStr">
        <is>
          <t>100599</t>
        </is>
      </c>
      <c r="B141" t="inlineStr">
        <is>
          <t>其他钢制品</t>
        </is>
      </c>
      <c r="C141" t="inlineStr">
        <is>
          <t>600634400</t>
        </is>
      </c>
      <c r="D141" t="inlineStr">
        <is>
          <t>不锈钢和耐热钢|钢|GB/T 20878-2007|12Cr18Ni9</t>
        </is>
      </c>
      <c r="E141" t="inlineStr">
        <is>
          <t xml:space="preserve">物资名称 不锈钢和耐热钢;物资简称 钢;技术标准号 GB/T 20878-2007;牌号 12Cr18Ni9;规格 ;特殊要求 ;规格标准号 </t>
        </is>
      </c>
      <c r="F141" t="inlineStr">
        <is>
          <t>千克</t>
        </is>
      </c>
      <c r="G141">
        <f>LEFT(D141,FIND("|",D141,1)-1)</f>
        <v/>
      </c>
      <c r="H141">
        <f>MID(D141,FIND("|",D141,FIND("|",D141,1))+1,FIND("|",D141,FIND("|",D141,1)+1)-FIND("|",D141,FIND("|",D141,1))-1)</f>
        <v/>
      </c>
      <c r="J141">
        <f>MID(D141,FIND(";",SUBSTITUTE(D141,"|",REPT(";",LEN(D141)),3))+1,LEN(D141))</f>
        <v/>
      </c>
      <c r="L141">
        <f>MID(D141,FIND(";",SUBSTITUTE(D141,"|",REPT(";",LEN(D141)),2))+1,FIND(";",SUBSTITUTE(D141,"|",REPT(";",LEN(D141)),3))-FIND(";",SUBSTITUTE(D141,"|",REPT(";",LEN(D141)),2))-1)</f>
        <v/>
      </c>
    </row>
    <row r="142">
      <c r="A142" t="inlineStr">
        <is>
          <t>100599</t>
        </is>
      </c>
      <c r="B142" t="inlineStr">
        <is>
          <t>其他钢制品</t>
        </is>
      </c>
      <c r="C142" t="inlineStr">
        <is>
          <t>600634300</t>
        </is>
      </c>
      <c r="D142" t="inlineStr">
        <is>
          <t>合金结构圆钢|钢|GB/T 3077-1999|30CrMnSi</t>
        </is>
      </c>
      <c r="E142" t="inlineStr">
        <is>
          <t xml:space="preserve">物资名称 合金结构圆钢;物资简称 钢;技术标准号 GB/T 3077-1999;牌号 30CrMnSi;规格 ;特殊要求 ;规格标准号 </t>
        </is>
      </c>
      <c r="F142" t="inlineStr">
        <is>
          <t>千克</t>
        </is>
      </c>
      <c r="G142">
        <f>LEFT(D142,FIND("|",D142,1)-1)</f>
        <v/>
      </c>
      <c r="H142">
        <f>MID(D142,FIND("|",D142,FIND("|",D142,1))+1,FIND("|",D142,FIND("|",D142,1)+1)-FIND("|",D142,FIND("|",D142,1))-1)</f>
        <v/>
      </c>
      <c r="J142">
        <f>MID(D142,FIND(";",SUBSTITUTE(D142,"|",REPT(";",LEN(D142)),3))+1,LEN(D142))</f>
        <v/>
      </c>
      <c r="L142">
        <f>MID(D142,FIND(";",SUBSTITUTE(D142,"|",REPT(";",LEN(D142)),2))+1,FIND(";",SUBSTITUTE(D142,"|",REPT(";",LEN(D142)),3))-FIND(";",SUBSTITUTE(D142,"|",REPT(";",LEN(D142)),2))-1)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规格标准号</t>
        </is>
      </c>
      <c r="N1" t="inlineStr">
        <is>
          <t>加工工艺</t>
        </is>
      </c>
      <c r="O1" t="inlineStr">
        <is>
          <t>热处理工艺</t>
        </is>
      </c>
      <c r="P1" t="inlineStr">
        <is>
          <t>力学性能</t>
        </is>
      </c>
      <c r="Q1" t="inlineStr">
        <is>
          <t>特殊要求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规格标准号</t>
        </is>
      </c>
      <c r="N1" t="inlineStr">
        <is>
          <t>加工工艺</t>
        </is>
      </c>
      <c r="O1" t="inlineStr">
        <is>
          <t>热处理工艺</t>
        </is>
      </c>
      <c r="P1" t="inlineStr">
        <is>
          <t>力学性能</t>
        </is>
      </c>
      <c r="Q1" t="inlineStr">
        <is>
          <t>特殊要求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牌号/代号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加工工艺</t>
        </is>
      </c>
      <c r="N1" t="inlineStr">
        <is>
          <t>热处理工艺</t>
        </is>
      </c>
      <c r="O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牌号/代号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加工工艺</t>
        </is>
      </c>
      <c r="N1" t="inlineStr">
        <is>
          <t>热处理工艺</t>
        </is>
      </c>
      <c r="O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</row>
    <row r="4">
      <c r="A4" t="inlineStr">
        <is>
          <t>100603</t>
        </is>
      </c>
      <c r="B4" t="inlineStr">
        <is>
          <t>铁合金</t>
        </is>
      </c>
      <c r="C4" t="inlineStr">
        <is>
          <t>603575500</t>
        </is>
      </c>
      <c r="D4" t="inlineStr">
        <is>
          <t>电磁纯铁|电工纯铁|DT2|δ15×34×47|YB200-1975</t>
        </is>
      </c>
      <c r="E4" t="inlineStr">
        <is>
          <t>物资名称 电磁纯铁;物资简称 电工纯铁;牌号 DT2;厚度 δ15;宽 34;长 47;技术标准号 YB200-1975;特殊要求 ;规格标准号</t>
        </is>
      </c>
      <c r="F4" t="inlineStr">
        <is>
          <t>千克</t>
        </is>
      </c>
      <c r="G4">
        <f>LEFT(D4,FIND("|",D4,1)-1)</f>
        <v/>
      </c>
      <c r="H4">
        <f>MID(D4,FIND("|",D4,FIND("|",D4,1))+1,FIND("|",D4,FIND("|",D4,1)+1)-FIND("|",D4,FIND("|",D4,1))-1)</f>
        <v/>
      </c>
      <c r="J4">
        <f>MID(D4,FIND(";",SUBSTITUTE(D4,"|",REPT(";",LEN(D4)),2))+1,FIND(";",SUBSTITUTE(D4,"|",REPT(";",LEN(D4)),3))-FIND(";",SUBSTITUTE(D4,"|",REPT(";",LEN(D4)),2))-1)</f>
        <v/>
      </c>
      <c r="K4">
        <f>MID(D4,FIND(";",SUBSTITUTE(D4,"|",REPT(";",LEN(D4)),3))+1,FIND(";",SUBSTITUTE(D4,"|",REPT(";",LEN(D4)),4))-FIND(";",SUBSTITUTE(D4,"|",REPT(";",LEN(D4)),3))-1)</f>
        <v/>
      </c>
      <c r="L4">
        <f>MID(D4,FIND(";",SUBSTITUTE(D4,"|",REPT(";",LEN(D4)),4))+1,LEN(D4))</f>
        <v/>
      </c>
    </row>
    <row r="5">
      <c r="A5" t="inlineStr">
        <is>
          <t>100603</t>
        </is>
      </c>
      <c r="B5" t="inlineStr">
        <is>
          <t>铁合金</t>
        </is>
      </c>
      <c r="C5" t="inlineStr">
        <is>
          <t>603573400</t>
        </is>
      </c>
      <c r="D5" t="inlineStr">
        <is>
          <t>电磁纯铁|电工纯铁|DT2|δ15×500×500|YB200-1975</t>
        </is>
      </c>
      <c r="E5" t="inlineStr">
        <is>
          <t>物资名称 电磁纯铁;物资简称 电工纯铁;牌号 DT2;厚度 δ15;宽 500;长 500;技术标准号 YB200-1975;特殊要求 ;规格标准号</t>
        </is>
      </c>
      <c r="F5" t="inlineStr">
        <is>
          <t>千克</t>
        </is>
      </c>
      <c r="G5">
        <f>LEFT(D5,FIND("|",D5,1)-1)</f>
        <v/>
      </c>
      <c r="H5">
        <f>MID(D5,FIND("|",D5,FIND("|",D5,1))+1,FIND("|",D5,FIND("|",D5,1)+1)-FIND("|",D5,FIND("|",D5,1))-1)</f>
        <v/>
      </c>
      <c r="J5">
        <f>MID(D5,FIND(";",SUBSTITUTE(D5,"|",REPT(";",LEN(D5)),2))+1,FIND(";",SUBSTITUTE(D5,"|",REPT(";",LEN(D5)),3))-FIND(";",SUBSTITUTE(D5,"|",REPT(";",LEN(D5)),2))-1)</f>
        <v/>
      </c>
      <c r="K5">
        <f>MID(D5,FIND(";",SUBSTITUTE(D5,"|",REPT(";",LEN(D5)),3))+1,FIND(";",SUBSTITUTE(D5,"|",REPT(";",LEN(D5)),4))-FIND(";",SUBSTITUTE(D5,"|",REPT(";",LEN(D5)),3))-1)</f>
        <v/>
      </c>
      <c r="L5">
        <f>MID(D5,FIND(";",SUBSTITUTE(D5,"|",REPT(";",LEN(D5)),4))+1,LEN(D5))</f>
        <v/>
      </c>
    </row>
    <row r="6">
      <c r="A6" t="inlineStr">
        <is>
          <t>100603</t>
        </is>
      </c>
      <c r="B6" t="inlineStr">
        <is>
          <t>铁合金</t>
        </is>
      </c>
      <c r="C6" t="inlineStr">
        <is>
          <t>603573300</t>
        </is>
      </c>
      <c r="D6" t="inlineStr">
        <is>
          <t>电磁纯铁|电工纯铁|DT2|δ2.5|YB200-1975</t>
        </is>
      </c>
      <c r="E6" t="inlineStr">
        <is>
          <t>物资名称 电磁纯铁;物资简称 电工纯铁;牌号 DT2;厚度 δ2.5;宽 ;长 ;技术标准号 YB200-1975;特殊要求 ;规格标准号</t>
        </is>
      </c>
      <c r="F6" t="inlineStr">
        <is>
          <t>千克</t>
        </is>
      </c>
      <c r="G6">
        <f>LEFT(D6,FIND("|",D6,1)-1)</f>
        <v/>
      </c>
      <c r="H6">
        <f>MID(D6,FIND("|",D6,FIND("|",D6,1))+1,FIND("|",D6,FIND("|",D6,1)+1)-FIND("|",D6,FIND("|",D6,1))-1)</f>
        <v/>
      </c>
      <c r="J6">
        <f>MID(D6,FIND(";",SUBSTITUTE(D6,"|",REPT(";",LEN(D6)),2))+1,FIND(";",SUBSTITUTE(D6,"|",REPT(";",LEN(D6)),3))-FIND(";",SUBSTITUTE(D6,"|",REPT(";",LEN(D6)),2))-1)</f>
        <v/>
      </c>
      <c r="K6">
        <f>MID(D6,FIND(";",SUBSTITUTE(D6,"|",REPT(";",LEN(D6)),3))+1,FIND(";",SUBSTITUTE(D6,"|",REPT(";",LEN(D6)),4))-FIND(";",SUBSTITUTE(D6,"|",REPT(";",LEN(D6)),3))-1)</f>
        <v/>
      </c>
      <c r="L6">
        <f>MID(D6,FIND(";",SUBSTITUTE(D6,"|",REPT(";",LEN(D6)),4))+1,LEN(D6))</f>
        <v/>
      </c>
    </row>
    <row r="7">
      <c r="A7" t="inlineStr">
        <is>
          <t>100603</t>
        </is>
      </c>
      <c r="B7" t="inlineStr">
        <is>
          <t>铁合金</t>
        </is>
      </c>
      <c r="C7" t="inlineStr">
        <is>
          <t>603572000</t>
        </is>
      </c>
      <c r="D7" t="inlineStr">
        <is>
          <t>电工纯铁|电工纯铁|DT2|Φ26|YB200-75|GB/T 702-1986</t>
        </is>
      </c>
      <c r="E7" t="inlineStr">
        <is>
          <t>物资名称 电工纯铁;物资简称 电工纯铁;牌号 DT2;直径 Φ26;技术标准号 YB200-75;特殊要求 ;规格标准号 GB/T 702-1986</t>
        </is>
      </c>
      <c r="F7" t="inlineStr">
        <is>
          <t>千克</t>
        </is>
      </c>
      <c r="G7">
        <f>LEFT(D7,FIND("|",D7,1)-1)</f>
        <v/>
      </c>
      <c r="H7">
        <f>MID(D7,FIND("|",D7,FIND("|",D7,1))+1,FIND("|",D7,FIND("|",D7,1)+1)-FIND("|",D7,FIND("|",D7,1))-1)</f>
        <v/>
      </c>
      <c r="J7">
        <f>MID(D7,FIND(";",SUBSTITUTE(D7,"|",REPT(";",LEN(D7)),2))+1,FIND(";",SUBSTITUTE(D7,"|",REPT(";",LEN(D7)),3))-FIND(";",SUBSTITUTE(D7,"|",REPT(";",LEN(D7)),2))-1)</f>
        <v/>
      </c>
      <c r="K7">
        <f>MID(D7,FIND(";",SUBSTITUTE(D7,"|",REPT(";",LEN(D7)),3))+1,FIND(";",SUBSTITUTE(D7,"|",REPT(";",LEN(D7)),4))-FIND(";",SUBSTITUTE(D7,"|",REPT(";",LEN(D7)),3))-1)</f>
        <v/>
      </c>
      <c r="L7" t="inlineStr">
        <is>
          <t>YB200-75 GB/T 702-1986</t>
        </is>
      </c>
    </row>
    <row r="8">
      <c r="A8" t="inlineStr">
        <is>
          <t>100603</t>
        </is>
      </c>
      <c r="B8" t="inlineStr">
        <is>
          <t>铁合金</t>
        </is>
      </c>
      <c r="C8" t="inlineStr">
        <is>
          <t>601418000</t>
        </is>
      </c>
      <c r="D8" t="inlineStr">
        <is>
          <t>电工纯铁|电工纯铁|DT4|GB/T 6983-1986|60-2|GB/T 702-1986</t>
        </is>
      </c>
      <c r="E8" t="inlineStr">
        <is>
          <t>物资名称 电工纯铁;物资简称 电工纯铁;牌号 DT4;直径 Φ;技术标准号 GB/T 6983-1986;特殊要求 60-2;规格标准号 GB/T 702-1986</t>
        </is>
      </c>
      <c r="F8" t="inlineStr">
        <is>
          <t>千克</t>
        </is>
      </c>
      <c r="G8">
        <f>LEFT(D8,FIND("|",D8,1)-1)</f>
        <v/>
      </c>
      <c r="H8">
        <f>MID(D8,FIND("|",D8,FIND("|",D8,1))+1,FIND("|",D8,FIND("|",D8,1)+1)-FIND("|",D8,FIND("|",D8,1))-1)</f>
        <v/>
      </c>
      <c r="J8">
        <f>MID(D8,FIND(";",SUBSTITUTE(D8,"|",REPT(";",LEN(D8)),2))+1,FIND(";",SUBSTITUTE(D8,"|",REPT(";",LEN(D8)),3))-FIND(";",SUBSTITUTE(D8,"|",REPT(";",LEN(D8)),2))-1)</f>
        <v/>
      </c>
      <c r="L8" t="inlineStr">
        <is>
          <t>GB/T 6983-1986 GB/T 702-1986</t>
        </is>
      </c>
      <c r="O8">
        <f>MID(D8,FIND(";",SUBSTITUTE(D8,"|",REPT(";",LEN(D8)),4))+1,FIND(";",SUBSTITUTE(D8,"|",REPT(";",LEN(D8)),5))-FIND(";",SUBSTITUTE(D8,"|",REPT(";",LEN(D8)),4))-1)</f>
        <v/>
      </c>
    </row>
    <row r="9">
      <c r="A9" t="inlineStr">
        <is>
          <t>100603</t>
        </is>
      </c>
      <c r="B9" t="inlineStr">
        <is>
          <t>铁合金</t>
        </is>
      </c>
      <c r="C9" t="inlineStr">
        <is>
          <t>601342900</t>
        </is>
      </c>
      <c r="D9" t="inlineStr">
        <is>
          <t>电磁纯铁棒|电磁纯铁棒|DT4A|Φ110|GB/T 6983-2008</t>
        </is>
      </c>
      <c r="E9" t="inlineStr">
        <is>
          <t xml:space="preserve">物资名称 电磁纯铁棒;物资简称 电磁纯铁棒;牌号 DT4A;直径 Φ110;技术标准号 GB/T 6983-2008;特殊要求 ;规格标准号 </t>
        </is>
      </c>
      <c r="F9" t="inlineStr">
        <is>
          <t>千克</t>
        </is>
      </c>
      <c r="G9">
        <f>LEFT(D9,FIND("|",D9,1)-1)</f>
        <v/>
      </c>
      <c r="H9">
        <f>MID(D9,FIND("|",D9,FIND("|",D9,1))+1,FIND("|",D9,FIND("|",D9,1)+1)-FIND("|",D9,FIND("|",D9,1))-1)</f>
        <v/>
      </c>
      <c r="J9">
        <f>MID(D9,FIND(";",SUBSTITUTE(D9,"|",REPT(";",LEN(D9)),2))+1,FIND(";",SUBSTITUTE(D9,"|",REPT(";",LEN(D9)),3))-FIND(";",SUBSTITUTE(D9,"|",REPT(";",LEN(D9)),2))-1)</f>
        <v/>
      </c>
      <c r="K9">
        <f>MID(D9,FIND(";",SUBSTITUTE(D9,"|",REPT(";",LEN(D9)),3))+1,FIND(";",SUBSTITUTE(D9,"|",REPT(";",LEN(D9)),4))-FIND(";",SUBSTITUTE(D9,"|",REPT(";",LEN(D9)),3))-1)</f>
        <v/>
      </c>
      <c r="L9">
        <f>MID(D9,FIND(";",SUBSTITUTE(D9,"|",REPT(";",LEN(D9)),4))+1,LEN(D9))</f>
        <v/>
      </c>
    </row>
    <row r="10">
      <c r="A10" t="inlineStr">
        <is>
          <t>100603</t>
        </is>
      </c>
      <c r="B10" t="inlineStr">
        <is>
          <t>铁合金</t>
        </is>
      </c>
      <c r="C10" t="inlineStr">
        <is>
          <t>601342800</t>
        </is>
      </c>
      <c r="D10" t="inlineStr">
        <is>
          <t>电磁纯铁板|电磁纯铁板|DT4|Φ3.9|GB/T 6983-2008</t>
        </is>
      </c>
      <c r="E10" t="inlineStr">
        <is>
          <t xml:space="preserve">物资名称 电磁纯铁板;物资简称 电磁纯铁板;牌号 DT4;直径 Φ3.9;技术标准号 GB/T 6983-2008;特殊要求 ;规格标准号 </t>
        </is>
      </c>
      <c r="F10" t="inlineStr">
        <is>
          <t>千克</t>
        </is>
      </c>
      <c r="G10">
        <f>LEFT(D10,FIND("|",D10,1)-1)</f>
        <v/>
      </c>
      <c r="H10">
        <f>MID(D10,FIND("|",D10,FIND("|",D10,1))+1,FIND("|",D10,FIND("|",D10,1)+1)-FIND("|",D10,FIND("|",D10,1))-1)</f>
        <v/>
      </c>
      <c r="J10">
        <f>MID(D10,FIND(";",SUBSTITUTE(D10,"|",REPT(";",LEN(D10)),2))+1,FIND(";",SUBSTITUTE(D10,"|",REPT(";",LEN(D10)),3))-FIND(";",SUBSTITUTE(D10,"|",REPT(";",LEN(D10)),2))-1)</f>
        <v/>
      </c>
      <c r="K10">
        <f>MID(D10,FIND(";",SUBSTITUTE(D10,"|",REPT(";",LEN(D10)),3))+1,FIND(";",SUBSTITUTE(D10,"|",REPT(";",LEN(D10)),4))-FIND(";",SUBSTITUTE(D10,"|",REPT(";",LEN(D10)),3))-1)</f>
        <v/>
      </c>
      <c r="L10">
        <f>MID(D10,FIND(";",SUBSTITUTE(D10,"|",REPT(";",LEN(D10)),4))+1,LEN(D10))</f>
        <v/>
      </c>
    </row>
    <row r="11">
      <c r="A11" t="inlineStr">
        <is>
          <t>100603</t>
        </is>
      </c>
      <c r="B11" t="inlineStr">
        <is>
          <t>铁合金</t>
        </is>
      </c>
      <c r="C11" t="inlineStr">
        <is>
          <t>601342700</t>
        </is>
      </c>
      <c r="D11" t="inlineStr">
        <is>
          <t>电磁纯铁板|电磁纯铁板|DT4E|Φ16|GB/T 6983-2008</t>
        </is>
      </c>
      <c r="E11" t="inlineStr">
        <is>
          <t xml:space="preserve">物资名称 电磁纯铁板;物资简称 电磁纯铁板;牌号 DT4E;直径 Φ16;技术标准号 GB/T 6983-2008;特殊要求 ;规格标准号 </t>
        </is>
      </c>
      <c r="F11" t="inlineStr">
        <is>
          <t>千克</t>
        </is>
      </c>
      <c r="G11">
        <f>LEFT(D11,FIND("|",D11,1)-1)</f>
        <v/>
      </c>
      <c r="H11">
        <f>MID(D11,FIND("|",D11,FIND("|",D11,1))+1,FIND("|",D11,FIND("|",D11,1)+1)-FIND("|",D11,FIND("|",D11,1))-1)</f>
        <v/>
      </c>
      <c r="J11">
        <f>MID(D11,FIND(";",SUBSTITUTE(D11,"|",REPT(";",LEN(D11)),2))+1,FIND(";",SUBSTITUTE(D11,"|",REPT(";",LEN(D11)),3))-FIND(";",SUBSTITUTE(D11,"|",REPT(";",LEN(D11)),2))-1)</f>
        <v/>
      </c>
      <c r="K11">
        <f>MID(D11,FIND(";",SUBSTITUTE(D11,"|",REPT(";",LEN(D11)),3))+1,FIND(";",SUBSTITUTE(D11,"|",REPT(";",LEN(D11)),4))-FIND(";",SUBSTITUTE(D11,"|",REPT(";",LEN(D11)),3))-1)</f>
        <v/>
      </c>
      <c r="L11">
        <f>MID(D11,FIND(";",SUBSTITUTE(D11,"|",REPT(";",LEN(D11)),4))+1,LEN(D11))</f>
        <v/>
      </c>
    </row>
    <row r="12">
      <c r="A12" t="inlineStr">
        <is>
          <t>100603</t>
        </is>
      </c>
      <c r="B12" t="inlineStr">
        <is>
          <t>铁合金</t>
        </is>
      </c>
      <c r="C12" t="inlineStr">
        <is>
          <t>601342600</t>
        </is>
      </c>
      <c r="D12" t="inlineStr">
        <is>
          <t>电磁纯铁板|电磁纯铁板|DT4E|Φ2.5|GB/T 6983-2008</t>
        </is>
      </c>
      <c r="E12" t="inlineStr">
        <is>
          <t xml:space="preserve">物资名称 电磁纯铁板;物资简称 电磁纯铁板;牌号 DT4E;直径 Φ2.5;技术标准号 GB/T 6983-2008;特殊要求 ;规格标准号 </t>
        </is>
      </c>
      <c r="F12" t="inlineStr">
        <is>
          <t>千克</t>
        </is>
      </c>
      <c r="G12">
        <f>LEFT(D12,FIND("|",D12,1)-1)</f>
        <v/>
      </c>
      <c r="H12">
        <f>MID(D12,FIND("|",D12,FIND("|",D12,1))+1,FIND("|",D12,FIND("|",D12,1)+1)-FIND("|",D12,FIND("|",D12,1))-1)</f>
        <v/>
      </c>
      <c r="J12">
        <f>MID(D12,FIND(";",SUBSTITUTE(D12,"|",REPT(";",LEN(D12)),2))+1,FIND(";",SUBSTITUTE(D12,"|",REPT(";",LEN(D12)),3))-FIND(";",SUBSTITUTE(D12,"|",REPT(";",LEN(D12)),2))-1)</f>
        <v/>
      </c>
      <c r="K12">
        <f>MID(D12,FIND(";",SUBSTITUTE(D12,"|",REPT(";",LEN(D12)),3))+1,FIND(";",SUBSTITUTE(D12,"|",REPT(";",LEN(D12)),4))-FIND(";",SUBSTITUTE(D12,"|",REPT(";",LEN(D12)),3))-1)</f>
        <v/>
      </c>
      <c r="L12">
        <f>MID(D12,FIND(";",SUBSTITUTE(D12,"|",REPT(";",LEN(D12)),4))+1,LEN(D12))</f>
        <v/>
      </c>
    </row>
    <row r="13">
      <c r="A13" t="inlineStr">
        <is>
          <t>100603</t>
        </is>
      </c>
      <c r="B13" t="inlineStr">
        <is>
          <t>铁合金</t>
        </is>
      </c>
      <c r="C13" t="inlineStr">
        <is>
          <t>601342500</t>
        </is>
      </c>
      <c r="D13" t="inlineStr">
        <is>
          <t>电磁纯铁棒|电磁纯铁棒|DT4A|Φ12|GB/T 6983-2008</t>
        </is>
      </c>
      <c r="E13" t="inlineStr">
        <is>
          <t xml:space="preserve">物资名称 电磁纯铁棒;物资简称 电磁纯铁棒;牌号 DT4A;直径 Φ12;技术标准号 GB/T 6983-2008;特殊要求 ;规格标准号 </t>
        </is>
      </c>
      <c r="F13" t="inlineStr">
        <is>
          <t>千克</t>
        </is>
      </c>
      <c r="G13">
        <f>LEFT(D13,FIND("|",D13,1)-1)</f>
        <v/>
      </c>
      <c r="H13">
        <f>MID(D13,FIND("|",D13,FIND("|",D13,1))+1,FIND("|",D13,FIND("|",D13,1)+1)-FIND("|",D13,FIND("|",D13,1))-1)</f>
        <v/>
      </c>
      <c r="J13">
        <f>MID(D13,FIND(";",SUBSTITUTE(D13,"|",REPT(";",LEN(D13)),2))+1,FIND(";",SUBSTITUTE(D13,"|",REPT(";",LEN(D13)),3))-FIND(";",SUBSTITUTE(D13,"|",REPT(";",LEN(D13)),2))-1)</f>
        <v/>
      </c>
      <c r="K13">
        <f>MID(D13,FIND(";",SUBSTITUTE(D13,"|",REPT(";",LEN(D13)),3))+1,FIND(";",SUBSTITUTE(D13,"|",REPT(";",LEN(D13)),4))-FIND(";",SUBSTITUTE(D13,"|",REPT(";",LEN(D13)),3))-1)</f>
        <v/>
      </c>
      <c r="L13">
        <f>MID(D13,FIND(";",SUBSTITUTE(D13,"|",REPT(";",LEN(D13)),4))+1,LEN(D13))</f>
        <v/>
      </c>
    </row>
    <row r="14">
      <c r="A14" t="inlineStr">
        <is>
          <t>100603</t>
        </is>
      </c>
      <c r="B14" t="inlineStr">
        <is>
          <t>铁合金</t>
        </is>
      </c>
      <c r="C14" t="inlineStr">
        <is>
          <t>601342400</t>
        </is>
      </c>
      <c r="D14" t="inlineStr">
        <is>
          <t>电磁纯铁棒|电磁纯铁棒|DT4A|Φ28|GB/T 6983-2008</t>
        </is>
      </c>
      <c r="E14" t="inlineStr">
        <is>
          <t xml:space="preserve">物资名称 电磁纯铁棒;物资简称 电磁纯铁棒;牌号 DT4A;直径 Φ28;技术标准号 GB/T 6983-2008;特殊要求 ;规格标准号 </t>
        </is>
      </c>
      <c r="F14" t="inlineStr">
        <is>
          <t>千克</t>
        </is>
      </c>
      <c r="G14">
        <f>LEFT(D14,FIND("|",D14,1)-1)</f>
        <v/>
      </c>
      <c r="H14">
        <f>MID(D14,FIND("|",D14,FIND("|",D14,1))+1,FIND("|",D14,FIND("|",D14,1)+1)-FIND("|",D14,FIND("|",D14,1))-1)</f>
        <v/>
      </c>
      <c r="J14">
        <f>MID(D14,FIND(";",SUBSTITUTE(D14,"|",REPT(";",LEN(D14)),2))+1,FIND(";",SUBSTITUTE(D14,"|",REPT(";",LEN(D14)),3))-FIND(";",SUBSTITUTE(D14,"|",REPT(";",LEN(D14)),2))-1)</f>
        <v/>
      </c>
      <c r="K14">
        <f>MID(D14,FIND(";",SUBSTITUTE(D14,"|",REPT(";",LEN(D14)),3))+1,FIND(";",SUBSTITUTE(D14,"|",REPT(";",LEN(D14)),4))-FIND(";",SUBSTITUTE(D14,"|",REPT(";",LEN(D14)),3))-1)</f>
        <v/>
      </c>
      <c r="L14">
        <f>MID(D14,FIND(";",SUBSTITUTE(D14,"|",REPT(";",LEN(D14)),4))+1,LEN(D14))</f>
        <v/>
      </c>
    </row>
    <row r="15">
      <c r="A15" t="inlineStr">
        <is>
          <t>100603</t>
        </is>
      </c>
      <c r="B15" t="inlineStr">
        <is>
          <t>铁合金</t>
        </is>
      </c>
      <c r="C15" t="inlineStr">
        <is>
          <t>601342300</t>
        </is>
      </c>
      <c r="D15" t="inlineStr">
        <is>
          <t>电磁纯铁棒|电磁纯铁棒|DT4C|Φ75|GB/T 6983-2008</t>
        </is>
      </c>
      <c r="E15" t="inlineStr">
        <is>
          <t xml:space="preserve">物资名称 电磁纯铁棒;物资简称 电磁纯铁棒;牌号 DT4C;直径 Φ75;技术标准号 GB/T 6983-2008;特殊要求 ;规格标准号 </t>
        </is>
      </c>
      <c r="F15" t="inlineStr">
        <is>
          <t>千克</t>
        </is>
      </c>
      <c r="G15">
        <f>LEFT(D15,FIND("|",D15,1)-1)</f>
        <v/>
      </c>
      <c r="H15">
        <f>MID(D15,FIND("|",D15,FIND("|",D15,1))+1,FIND("|",D15,FIND("|",D15,1)+1)-FIND("|",D15,FIND("|",D15,1))-1)</f>
        <v/>
      </c>
      <c r="J15">
        <f>MID(D15,FIND(";",SUBSTITUTE(D15,"|",REPT(";",LEN(D15)),2))+1,FIND(";",SUBSTITUTE(D15,"|",REPT(";",LEN(D15)),3))-FIND(";",SUBSTITUTE(D15,"|",REPT(";",LEN(D15)),2))-1)</f>
        <v/>
      </c>
      <c r="K15">
        <f>MID(D15,FIND(";",SUBSTITUTE(D15,"|",REPT(";",LEN(D15)),3))+1,FIND(";",SUBSTITUTE(D15,"|",REPT(";",LEN(D15)),4))-FIND(";",SUBSTITUTE(D15,"|",REPT(";",LEN(D15)),3))-1)</f>
        <v/>
      </c>
      <c r="L15">
        <f>MID(D15,FIND(";",SUBSTITUTE(D15,"|",REPT(";",LEN(D15)),4))+1,LEN(D15))</f>
        <v/>
      </c>
    </row>
    <row r="16">
      <c r="A16" t="inlineStr">
        <is>
          <t>100603</t>
        </is>
      </c>
      <c r="B16" t="inlineStr">
        <is>
          <t>铁合金</t>
        </is>
      </c>
      <c r="C16" t="inlineStr">
        <is>
          <t>600985600</t>
        </is>
      </c>
      <c r="D16" t="inlineStr">
        <is>
          <t>纯铁|铁合金|DT4C|Φ60|GB/T 6983-1986</t>
        </is>
      </c>
      <c r="E16" t="inlineStr">
        <is>
          <t xml:space="preserve">物资名称 纯铁;物资简称 铁合金;牌号 DT4C;直径 Φ60;技术标准号 GB/T 6983-1986;特殊要求 ;规格标准号 </t>
        </is>
      </c>
      <c r="F16" t="inlineStr">
        <is>
          <t>千克</t>
        </is>
      </c>
      <c r="G16">
        <f>LEFT(D16,FIND("|",D16,1)-1)</f>
        <v/>
      </c>
      <c r="H16">
        <f>MID(D16,FIND("|",D16,FIND("|",D16,1))+1,FIND("|",D16,FIND("|",D16,1)+1)-FIND("|",D16,FIND("|",D16,1))-1)</f>
        <v/>
      </c>
      <c r="J16">
        <f>MID(D16,FIND(";",SUBSTITUTE(D16,"|",REPT(";",LEN(D16)),2))+1,FIND(";",SUBSTITUTE(D16,"|",REPT(";",LEN(D16)),3))-FIND(";",SUBSTITUTE(D16,"|",REPT(";",LEN(D16)),2))-1)</f>
        <v/>
      </c>
      <c r="K16">
        <f>MID(D16,FIND(";",SUBSTITUTE(D16,"|",REPT(";",LEN(D16)),3))+1,FIND(";",SUBSTITUTE(D16,"|",REPT(";",LEN(D16)),4))-FIND(";",SUBSTITUTE(D16,"|",REPT(";",LEN(D16)),3))-1)</f>
        <v/>
      </c>
      <c r="L16">
        <f>MID(D16,FIND(";",SUBSTITUTE(D16,"|",REPT(";",LEN(D16)),4))+1,LEN(D16))</f>
        <v/>
      </c>
    </row>
    <row r="17">
      <c r="A17" t="inlineStr">
        <is>
          <t>100603</t>
        </is>
      </c>
      <c r="B17" t="inlineStr">
        <is>
          <t>铁合金</t>
        </is>
      </c>
      <c r="C17" t="inlineStr">
        <is>
          <t>600909300</t>
        </is>
      </c>
      <c r="D17" t="inlineStr">
        <is>
          <t>纯铁棒|DT4C|GB/T 6983-1986</t>
        </is>
      </c>
      <c r="E17" t="inlineStr">
        <is>
          <t xml:space="preserve">物资名称 纯铁棒;牌号 DT4C;技术标准号 GB/T 6983-1986;特殊要求 ;规格标准号 </t>
        </is>
      </c>
      <c r="F17" t="inlineStr">
        <is>
          <t>千克</t>
        </is>
      </c>
      <c r="G17">
        <f>LEFT(D17,FIND("|",D17,1)-1)</f>
        <v/>
      </c>
      <c r="J17">
        <f>MID(D17,FIND("|",D17,FIND("|",D17,1))+1,FIND("|",D17,FIND("|",D17,1)+1)-FIND("|",D17,FIND("|",D17,1))-1)</f>
        <v/>
      </c>
      <c r="L17">
        <f>MID(D17,FIND(";",SUBSTITUTE(D17,"|",REPT(";",LEN(D17)),2))+1,LEN(D17))</f>
        <v/>
      </c>
    </row>
    <row r="18">
      <c r="A18" t="inlineStr">
        <is>
          <t>100603</t>
        </is>
      </c>
      <c r="B18" t="inlineStr">
        <is>
          <t>铁合金</t>
        </is>
      </c>
      <c r="C18" t="inlineStr">
        <is>
          <t>600881400</t>
        </is>
      </c>
      <c r="D18" t="inlineStr">
        <is>
          <t>电磁纯铁|电工纯铁|DT4C|δ2.5|GB 6985-1996|A Ⅱ</t>
        </is>
      </c>
      <c r="E18" t="inlineStr">
        <is>
          <t xml:space="preserve">物资名称 电磁纯铁;物资简称 电工纯铁;牌号 DT4C;厚度 δ2.5;宽 ;长 ;技术标准号 GB 6985-1996;特殊要求 A Ⅱ;规格标准号 </t>
        </is>
      </c>
      <c r="F18" t="inlineStr">
        <is>
          <t>千克</t>
        </is>
      </c>
      <c r="G18">
        <f>LEFT(D18,FIND("|",D18,1)-1)</f>
        <v/>
      </c>
      <c r="H18">
        <f>MID(D18,FIND("|",D18,FIND("|",D18,1))+1,FIND("|",D18,FIND("|",D18,1)+1)-FIND("|",D18,FIND("|",D18,1))-1)</f>
        <v/>
      </c>
      <c r="J18">
        <f>MID(D18,FIND(";",SUBSTITUTE(D18,"|",REPT(";",LEN(D18)),2))+1,FIND(";",SUBSTITUTE(D18,"|",REPT(";",LEN(D18)),3))-FIND(";",SUBSTITUTE(D18,"|",REPT(";",LEN(D18)),2))-1)</f>
        <v/>
      </c>
      <c r="K18">
        <f>MID(D18,FIND(";",SUBSTITUTE(D18,"|",REPT(";",LEN(D18)),3))+1,FIND(";",SUBSTITUTE(D18,"|",REPT(";",LEN(D18)),4))-FIND(";",SUBSTITUTE(D18,"|",REPT(";",LEN(D18)),3))-1)</f>
        <v/>
      </c>
      <c r="L18">
        <f>MID(D18,FIND(";",SUBSTITUTE(D18,"|",REPT(";",LEN(D18)),4))+1,FIND(";",SUBSTITUTE(D18,"|",REPT(";",LEN(D18)),5))-FIND(";",SUBSTITUTE(D18,"|",REPT(";",LEN(D18)),4))-1)</f>
        <v/>
      </c>
      <c r="O18">
        <f>MID(D18,FIND(";",SUBSTITUTE(D18,"|",REPT(";",LEN(D18)),5))+1,LEN(D18))</f>
        <v/>
      </c>
    </row>
    <row r="19">
      <c r="A19" t="inlineStr">
        <is>
          <t>100603</t>
        </is>
      </c>
      <c r="B19" t="inlineStr">
        <is>
          <t>铁合金</t>
        </is>
      </c>
      <c r="C19" t="inlineStr">
        <is>
          <t>600636900</t>
        </is>
      </c>
      <c r="D19" t="inlineStr">
        <is>
          <t>铁镍合金|4J36|YB/T 5241-2005</t>
        </is>
      </c>
      <c r="E19" t="inlineStr">
        <is>
          <t xml:space="preserve">物资名称 铁镍合金;牌号 4J36;技术标准号 YB/T 5241-2005;特殊要求 ;规格标准号 </t>
        </is>
      </c>
      <c r="F19" t="inlineStr">
        <is>
          <t>千克</t>
        </is>
      </c>
      <c r="G19">
        <f>LEFT(D19,FIND("|",D19,1)-1)</f>
        <v/>
      </c>
      <c r="J19">
        <f>MID(D19,FIND("|",D19,FIND("|",D19,1))+1,FIND("|",D19,FIND("|",D19,1)+1)-FIND("|",D19,FIND("|",D19,1))-1)</f>
        <v/>
      </c>
      <c r="L19">
        <f>MID(D19,FIND(";",SUBSTITUTE(D19,"|",REPT(";",LEN(D19)),2))+1,LEN(D19))</f>
        <v/>
      </c>
    </row>
    <row r="20">
      <c r="A20" t="inlineStr">
        <is>
          <t>100603</t>
        </is>
      </c>
      <c r="B20" t="inlineStr">
        <is>
          <t>铁合金</t>
        </is>
      </c>
      <c r="C20" t="inlineStr">
        <is>
          <t>600636800</t>
        </is>
      </c>
      <c r="D20" t="inlineStr">
        <is>
          <t>电磁纯铁|DT4|GB/T 6983-2008</t>
        </is>
      </c>
      <c r="E20" t="inlineStr">
        <is>
          <t xml:space="preserve">物资名称 电磁纯铁;牌号 DT4;技术标准号 GB/T 6983-2008;特殊要求 ;规格标准号 </t>
        </is>
      </c>
      <c r="F20" t="inlineStr">
        <is>
          <t>千克</t>
        </is>
      </c>
      <c r="G20">
        <f>LEFT(D20,FIND("|",D20,1)-1)</f>
        <v/>
      </c>
      <c r="J20">
        <f>MID(D20,FIND("|",D20,FIND("|",D20,1))+1,FIND("|",D20,FIND("|",D20,1)+1)-FIND("|",D20,FIND("|",D20,1))-1)</f>
        <v/>
      </c>
      <c r="L20">
        <f>MID(D20,FIND(";",SUBSTITUTE(D20,"|",REPT(";",LEN(D20)),2))+1,LEN(D20))</f>
        <v/>
      </c>
    </row>
    <row r="21">
      <c r="A21" t="inlineStr">
        <is>
          <t>100603</t>
        </is>
      </c>
      <c r="B21" t="inlineStr">
        <is>
          <t>铁合金</t>
        </is>
      </c>
      <c r="C21" t="inlineStr">
        <is>
          <t>600636700</t>
        </is>
      </c>
      <c r="D21" t="inlineStr">
        <is>
          <t>电磁纯铁|DT4A|GB/T 6983-2008</t>
        </is>
      </c>
      <c r="E21" t="inlineStr">
        <is>
          <t xml:space="preserve">物资名称 电磁纯铁;牌号 DT4A;技术标准号 GB/T 6983-2008;特殊要求 ;规格标准号 </t>
        </is>
      </c>
      <c r="F21" t="inlineStr">
        <is>
          <t>千克</t>
        </is>
      </c>
      <c r="G21">
        <f>LEFT(D21,FIND("|",D21,1)-1)</f>
        <v/>
      </c>
      <c r="J21">
        <f>MID(D21,FIND("|",D21,FIND("|",D21,1))+1,FIND("|",D21,FIND("|",D21,1)+1)-FIND("|",D21,FIND("|",D21,1))-1)</f>
        <v/>
      </c>
      <c r="L21">
        <f>MID(D21,FIND(";",SUBSTITUTE(D21,"|",REPT(";",LEN(D21)),2))+1,LEN(D21))</f>
        <v/>
      </c>
    </row>
    <row r="22">
      <c r="A22" t="inlineStr">
        <is>
          <t>100603</t>
        </is>
      </c>
      <c r="B22" t="inlineStr">
        <is>
          <t>铁合金</t>
        </is>
      </c>
      <c r="C22" t="inlineStr">
        <is>
          <t>600636600</t>
        </is>
      </c>
      <c r="D22" t="inlineStr">
        <is>
          <t>电磁纯铁|DT4C|GB/T 6983-2008</t>
        </is>
      </c>
      <c r="E22" t="inlineStr">
        <is>
          <t xml:space="preserve">物资名称 电磁纯铁;牌号 DT4C;技术标准号 GB/T 6983-2008;特殊要求 ;规格标准号 </t>
        </is>
      </c>
      <c r="F22" t="inlineStr">
        <is>
          <t>千克</t>
        </is>
      </c>
      <c r="G22">
        <f>LEFT(D22,FIND("|",D22,1)-1)</f>
        <v/>
      </c>
      <c r="J22">
        <f>MID(D22,FIND("|",D22,FIND("|",D22,1))+1,FIND("|",D22,FIND("|",D22,1)+1)-FIND("|",D22,FIND("|",D22,1))-1)</f>
        <v/>
      </c>
      <c r="L22">
        <f>MID(D22,FIND(";",SUBSTITUTE(D22,"|",REPT(";",LEN(D22)),2))+1,LEN(D22))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牌号/代号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加工工艺</t>
        </is>
      </c>
      <c r="N1" t="inlineStr">
        <is>
          <t>热处理工艺</t>
        </is>
      </c>
      <c r="O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牌号/代号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加工工艺</t>
        </is>
      </c>
      <c r="N1" t="inlineStr">
        <is>
          <t>热处理工艺</t>
        </is>
      </c>
      <c r="O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牌号/代号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加工工艺</t>
        </is>
      </c>
      <c r="N1" t="inlineStr">
        <is>
          <t>热处理工艺</t>
        </is>
      </c>
      <c r="O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</row>
    <row r="4">
      <c r="A4" t="inlineStr">
        <is>
          <t>109904</t>
        </is>
      </c>
      <c r="B4" t="inlineStr">
        <is>
          <t>铸钢件</t>
        </is>
      </c>
      <c r="C4" t="inlineStr">
        <is>
          <t>601010200</t>
        </is>
      </c>
      <c r="D4" t="inlineStr">
        <is>
          <t>铸钢|铸钢|ZG40Cr|WJ649-95</t>
        </is>
      </c>
      <c r="E4" t="inlineStr">
        <is>
          <t xml:space="preserve">物资名称 铸钢;物资简称 铸钢;牌号 ZG40Cr;规格 ;技术标准号 WJ649-95;加工工艺 ;热处理工艺 ;特殊要求 ;规格标准号 </t>
        </is>
      </c>
      <c r="F4" t="inlineStr">
        <is>
          <t>千克</t>
        </is>
      </c>
      <c r="G4">
        <f>LEFT(D4,FIND("|",D4,1)-1)</f>
        <v/>
      </c>
      <c r="H4">
        <f>MID(D4,FIND("|",D4,FIND("|",D4,1))+1,FIND("|",D4,FIND("|",D4,1)+1)-FIND("|",D4,FIND("|",D4,1))-1)</f>
        <v/>
      </c>
      <c r="J4">
        <f>MID(D4,FIND(";",SUBSTITUTE(D4,"|",REPT(";",LEN(D4)),2))+1,FIND(";",SUBSTITUTE(D4,"|",REPT(";",LEN(D4)),3))-FIND(";",SUBSTITUTE(D4,"|",REPT(";",LEN(D4)),2))-1)</f>
        <v/>
      </c>
      <c r="L4">
        <f>MID(D4,FIND(";",SUBSTITUTE(D4,"|",REPT(";",LEN(D4)),3))+1,LEN(D4))</f>
        <v/>
      </c>
    </row>
    <row r="5">
      <c r="A5" t="inlineStr">
        <is>
          <t>109904</t>
        </is>
      </c>
      <c r="B5" t="inlineStr">
        <is>
          <t>铸钢件</t>
        </is>
      </c>
      <c r="C5" t="inlineStr">
        <is>
          <t>600909600</t>
        </is>
      </c>
      <c r="D5" t="inlineStr">
        <is>
          <t>铸钢|铸钢|ZG2Cr13|GB/T 2100-1980</t>
        </is>
      </c>
      <c r="E5" t="inlineStr">
        <is>
          <t xml:space="preserve">物资名称 铸钢;物资简称 铸钢;牌号 ZG2Cr13;规格 ;技术标准号 GB/T 2100-1980;加工工艺 ;热处理工艺 ;特殊要求 ;规格标准号 </t>
        </is>
      </c>
      <c r="F5" t="inlineStr">
        <is>
          <t>千克</t>
        </is>
      </c>
      <c r="G5">
        <f>LEFT(D5,FIND("|",D5,1)-1)</f>
        <v/>
      </c>
      <c r="H5">
        <f>MID(D5,FIND("|",D5,FIND("|",D5,1))+1,FIND("|",D5,FIND("|",D5,1)+1)-FIND("|",D5,FIND("|",D5,1))-1)</f>
        <v/>
      </c>
      <c r="J5">
        <f>MID(D5,FIND(";",SUBSTITUTE(D5,"|",REPT(";",LEN(D5)),2))+1,FIND(";",SUBSTITUTE(D5,"|",REPT(";",LEN(D5)),3))-FIND(";",SUBSTITUTE(D5,"|",REPT(";",LEN(D5)),2))-1)</f>
        <v/>
      </c>
      <c r="L5">
        <f>MID(D5,FIND(";",SUBSTITUTE(D5,"|",REPT(";",LEN(D5)),3))+1,LEN(D5))</f>
        <v/>
      </c>
    </row>
    <row r="6">
      <c r="A6" t="inlineStr">
        <is>
          <t>109904</t>
        </is>
      </c>
      <c r="B6" t="inlineStr">
        <is>
          <t>铸钢件</t>
        </is>
      </c>
      <c r="C6" t="inlineStr">
        <is>
          <t>600637000</t>
        </is>
      </c>
      <c r="D6" t="inlineStr">
        <is>
          <t>一般用途耐蚀钢铸件|铸钢|ZG20Cr13|GB/T 2100-2002</t>
        </is>
      </c>
      <c r="E6" t="inlineStr">
        <is>
          <t xml:space="preserve">物资名称 一般用途耐蚀钢铸件;物资简称 铸钢;牌号 ZG20Cr13;规格 ;技术标准号 GB/T 2100-2002;加工工艺 ;热处理工艺 ;特殊要求 ;规格标准号 </t>
        </is>
      </c>
      <c r="F6" t="inlineStr">
        <is>
          <t>千克</t>
        </is>
      </c>
      <c r="G6">
        <f>LEFT(D6,FIND("|",D6,1)-1)</f>
        <v/>
      </c>
      <c r="H6">
        <f>MID(D6,FIND("|",D6,FIND("|",D6,1))+1,FIND("|",D6,FIND("|",D6,1)+1)-FIND("|",D6,FIND("|",D6,1))-1)</f>
        <v/>
      </c>
      <c r="J6">
        <f>MID(D6,FIND(";",SUBSTITUTE(D6,"|",REPT(";",LEN(D6)),2))+1,FIND(";",SUBSTITUTE(D6,"|",REPT(";",LEN(D6)),3))-FIND(";",SUBSTITUTE(D6,"|",REPT(";",LEN(D6)),2))-1)</f>
        <v/>
      </c>
      <c r="L6">
        <f>MID(D6,FIND(";",SUBSTITUTE(D6,"|",REPT(";",LEN(D6)),3))+1,LEN(D6))</f>
        <v/>
      </c>
    </row>
    <row r="7">
      <c r="A7" t="inlineStr">
        <is>
          <t>109988</t>
        </is>
      </c>
      <c r="B7" t="inlineStr">
        <is>
          <t>不确定小类</t>
        </is>
      </c>
      <c r="C7" t="inlineStr">
        <is>
          <t>601439200</t>
        </is>
      </c>
      <c r="D7" t="inlineStr">
        <is>
          <t>不锈板|1Cr18Ni9Ti|T=10</t>
        </is>
      </c>
      <c r="E7" t="inlineStr">
        <is>
          <t>物资名称 不锈板;型号规格 1Cr18Ni9Ti|T=10</t>
        </is>
      </c>
      <c r="F7" t="inlineStr">
        <is>
          <t>千克</t>
        </is>
      </c>
      <c r="G7">
        <f>LEFT(D7,FIND("|",D7,1)-1)</f>
        <v/>
      </c>
      <c r="K7">
        <f>MID(D7,FIND(";",SUBSTITUTE(D7,"|",REPT(";",LEN(D7)),1))+1,LEN(D7))</f>
        <v/>
      </c>
    </row>
    <row r="8">
      <c r="A8" t="inlineStr">
        <is>
          <t>109988</t>
        </is>
      </c>
      <c r="B8" t="inlineStr">
        <is>
          <t>不确定小类</t>
        </is>
      </c>
      <c r="C8" t="inlineStr">
        <is>
          <t>601439100</t>
        </is>
      </c>
      <c r="D8" t="inlineStr">
        <is>
          <t>不锈板|1Cr18Ni9Ti|T=6</t>
        </is>
      </c>
      <c r="E8" t="inlineStr">
        <is>
          <t>物资名称 不锈板;型号规格 1Cr18Ni9Ti|T=6</t>
        </is>
      </c>
      <c r="F8" t="inlineStr">
        <is>
          <t>千克</t>
        </is>
      </c>
      <c r="G8">
        <f>LEFT(D8,FIND("|",D8,1)-1)</f>
        <v/>
      </c>
      <c r="K8">
        <f>MID(D8,FIND(";",SUBSTITUTE(D8,"|",REPT(";",LEN(D8)),1))+1,LEN(D8))</f>
        <v/>
      </c>
    </row>
    <row r="9">
      <c r="A9" t="inlineStr">
        <is>
          <t>109988</t>
        </is>
      </c>
      <c r="B9" t="inlineStr">
        <is>
          <t>不确定小类</t>
        </is>
      </c>
      <c r="C9" t="inlineStr">
        <is>
          <t>601312600</t>
        </is>
      </c>
      <c r="D9" t="inlineStr">
        <is>
          <t>不锈板|0Cr18Ni9_t=1_泰恒润丰</t>
        </is>
      </c>
      <c r="E9" t="inlineStr">
        <is>
          <t>物资名称 不锈板;型号规格 0Cr18Ni9_t=1_泰恒润丰</t>
        </is>
      </c>
      <c r="F9" t="inlineStr">
        <is>
          <t>千克</t>
        </is>
      </c>
      <c r="G9">
        <f>LEFT(D9,FIND("|",D9,1)-1)</f>
        <v/>
      </c>
      <c r="K9">
        <f>MID(D9,FIND(";",SUBSTITUTE(D9,"|",REPT(";",LEN(D9)),1))+1,LEN(D9))</f>
        <v/>
      </c>
    </row>
    <row r="10">
      <c r="A10" t="inlineStr">
        <is>
          <t>109988</t>
        </is>
      </c>
      <c r="B10" t="inlineStr">
        <is>
          <t>不确定小类</t>
        </is>
      </c>
      <c r="C10" t="inlineStr">
        <is>
          <t>601312500</t>
        </is>
      </c>
      <c r="D10" t="inlineStr">
        <is>
          <t>不锈板|0Cr18Ni9_T=2.5</t>
        </is>
      </c>
      <c r="E10" t="inlineStr">
        <is>
          <t>物资名称 不锈板;型号规格 0Cr18Ni9_T=2.5</t>
        </is>
      </c>
      <c r="F10" t="inlineStr">
        <is>
          <t>千克</t>
        </is>
      </c>
      <c r="G10">
        <f>LEFT(D10,FIND("|",D10,1)-1)</f>
        <v/>
      </c>
      <c r="K10">
        <f>MID(D10,FIND(";",SUBSTITUTE(D10,"|",REPT(";",LEN(D10)),1))+1,LEN(D10))</f>
        <v/>
      </c>
    </row>
    <row r="11">
      <c r="A11" t="inlineStr">
        <is>
          <t>109988</t>
        </is>
      </c>
      <c r="B11" t="inlineStr">
        <is>
          <t>不确定小类</t>
        </is>
      </c>
      <c r="C11" t="inlineStr">
        <is>
          <t>601312400</t>
        </is>
      </c>
      <c r="D11" t="inlineStr">
        <is>
          <t>不锈板|0Cr18Ni9_T=2</t>
        </is>
      </c>
      <c r="E11" t="inlineStr">
        <is>
          <t>物资名称 不锈板;型号规格 0Cr18Ni9_T=2</t>
        </is>
      </c>
      <c r="F11" t="inlineStr">
        <is>
          <t>千克</t>
        </is>
      </c>
      <c r="G11">
        <f>LEFT(D11,FIND("|",D11,1)-1)</f>
        <v/>
      </c>
      <c r="K11">
        <f>MID(D11,FIND(";",SUBSTITUTE(D11,"|",REPT(";",LEN(D11)),1))+1,LEN(D11))</f>
        <v/>
      </c>
    </row>
    <row r="12">
      <c r="A12" t="inlineStr">
        <is>
          <t>109988</t>
        </is>
      </c>
      <c r="B12" t="inlineStr">
        <is>
          <t>不确定小类</t>
        </is>
      </c>
      <c r="C12" t="inlineStr">
        <is>
          <t>601312300</t>
        </is>
      </c>
      <c r="D12" t="inlineStr">
        <is>
          <t>不锈板|0Cr18Ni9_T=4</t>
        </is>
      </c>
      <c r="E12" t="inlineStr">
        <is>
          <t>物资名称 不锈板;型号规格 0Cr18Ni9_T=4</t>
        </is>
      </c>
      <c r="F12" t="inlineStr">
        <is>
          <t>千克</t>
        </is>
      </c>
      <c r="G12">
        <f>LEFT(D12,FIND("|",D12,1)-1)</f>
        <v/>
      </c>
      <c r="K12">
        <f>MID(D12,FIND(";",SUBSTITUTE(D12,"|",REPT(";",LEN(D12)),1))+1,LEN(D12))</f>
        <v/>
      </c>
    </row>
    <row r="13">
      <c r="A13" t="inlineStr">
        <is>
          <t>109988</t>
        </is>
      </c>
      <c r="B13" t="inlineStr">
        <is>
          <t>不确定小类</t>
        </is>
      </c>
      <c r="C13" t="inlineStr">
        <is>
          <t>601312200</t>
        </is>
      </c>
      <c r="D13" t="inlineStr">
        <is>
          <t>不锈板|0Cr18Ni9_T=5*1.5*384</t>
        </is>
      </c>
      <c r="E13" t="inlineStr">
        <is>
          <t>物资名称 不锈板;型号规格 0Cr18Ni9_T=5*1.5*384</t>
        </is>
      </c>
      <c r="F13" t="inlineStr">
        <is>
          <t>千克</t>
        </is>
      </c>
      <c r="G13">
        <f>LEFT(D13,FIND("|",D13,1)-1)</f>
        <v/>
      </c>
      <c r="K13">
        <f>MID(D13,FIND(";",SUBSTITUTE(D13,"|",REPT(";",LEN(D13)),1))+1,LEN(D13))</f>
        <v/>
      </c>
    </row>
    <row r="14">
      <c r="A14" t="inlineStr">
        <is>
          <t>109988</t>
        </is>
      </c>
      <c r="B14" t="inlineStr">
        <is>
          <t>不确定小类</t>
        </is>
      </c>
      <c r="C14" t="inlineStr">
        <is>
          <t>601312100</t>
        </is>
      </c>
      <c r="D14" t="inlineStr">
        <is>
          <t>不锈板|12Cr18Ni9_T=3</t>
        </is>
      </c>
      <c r="E14" t="inlineStr">
        <is>
          <t>物资名称 不锈板;型号规格 12Cr18Ni9_T=3</t>
        </is>
      </c>
      <c r="F14" t="inlineStr">
        <is>
          <t>千克</t>
        </is>
      </c>
      <c r="G14">
        <f>LEFT(D14,FIND("|",D14,1)-1)</f>
        <v/>
      </c>
      <c r="K14">
        <f>MID(D14,FIND(";",SUBSTITUTE(D14,"|",REPT(";",LEN(D14)),1))+1,LEN(D14))</f>
        <v/>
      </c>
    </row>
    <row r="15">
      <c r="A15" t="inlineStr">
        <is>
          <t>109988</t>
        </is>
      </c>
      <c r="B15" t="inlineStr">
        <is>
          <t>不确定小类</t>
        </is>
      </c>
      <c r="C15" t="inlineStr">
        <is>
          <t>601312000</t>
        </is>
      </c>
      <c r="D15" t="inlineStr">
        <is>
          <t>不锈板|1Cr13_t=2</t>
        </is>
      </c>
      <c r="E15" t="inlineStr">
        <is>
          <t>物资名称 不锈板;型号规格 1Cr13_t=2</t>
        </is>
      </c>
      <c r="F15" t="inlineStr">
        <is>
          <t>千克</t>
        </is>
      </c>
      <c r="G15">
        <f>LEFT(D15,FIND("|",D15,1)-1)</f>
        <v/>
      </c>
      <c r="K15">
        <f>MID(D15,FIND(";",SUBSTITUTE(D15,"|",REPT(";",LEN(D15)),1))+1,LEN(D15))</f>
        <v/>
      </c>
    </row>
    <row r="16">
      <c r="A16" t="inlineStr">
        <is>
          <t>109988</t>
        </is>
      </c>
      <c r="B16" t="inlineStr">
        <is>
          <t>不确定小类</t>
        </is>
      </c>
      <c r="C16" t="inlineStr">
        <is>
          <t>601311900</t>
        </is>
      </c>
      <c r="D16" t="inlineStr">
        <is>
          <t>不锈板|1Cr18Ni9Ti_T=25</t>
        </is>
      </c>
      <c r="E16" t="inlineStr">
        <is>
          <t>物资名称 不锈板;型号规格 1Cr18Ni9Ti_T=25</t>
        </is>
      </c>
      <c r="F16" t="inlineStr">
        <is>
          <t>千克</t>
        </is>
      </c>
      <c r="G16">
        <f>LEFT(D16,FIND("|",D16,1)-1)</f>
        <v/>
      </c>
      <c r="K16">
        <f>MID(D16,FIND(";",SUBSTITUTE(D16,"|",REPT(";",LEN(D16)),1))+1,LEN(D16))</f>
        <v/>
      </c>
    </row>
    <row r="17">
      <c r="A17" t="inlineStr">
        <is>
          <t>109988</t>
        </is>
      </c>
      <c r="B17" t="inlineStr">
        <is>
          <t>不确定小类</t>
        </is>
      </c>
      <c r="C17" t="inlineStr">
        <is>
          <t>601311800</t>
        </is>
      </c>
      <c r="D17" t="inlineStr">
        <is>
          <t>不锈板|1Cr18Ni9Ti_T=8*200</t>
        </is>
      </c>
      <c r="E17" t="inlineStr">
        <is>
          <t>物资名称 不锈板;型号规格 1Cr18Ni9Ti_T=8*200</t>
        </is>
      </c>
      <c r="F17" t="inlineStr">
        <is>
          <t>千克</t>
        </is>
      </c>
      <c r="G17">
        <f>LEFT(D17,FIND("|",D17,1)-1)</f>
        <v/>
      </c>
      <c r="K17">
        <f>MID(D17,FIND(";",SUBSTITUTE(D17,"|",REPT(";",LEN(D17)),1))+1,LEN(D17))</f>
        <v/>
      </c>
    </row>
    <row r="18">
      <c r="A18" t="inlineStr">
        <is>
          <t>109988</t>
        </is>
      </c>
      <c r="B18" t="inlineStr">
        <is>
          <t>不确定小类</t>
        </is>
      </c>
      <c r="C18" t="inlineStr">
        <is>
          <t>601311700</t>
        </is>
      </c>
      <c r="D18" t="inlineStr">
        <is>
          <t>不锈板|2Cr13A-Ⅱ_t=1.5</t>
        </is>
      </c>
      <c r="E18" t="inlineStr">
        <is>
          <t>物资名称 不锈板;型号规格 2Cr13A-Ⅱ_t=1.5</t>
        </is>
      </c>
      <c r="F18" t="inlineStr">
        <is>
          <t>千克</t>
        </is>
      </c>
      <c r="G18">
        <f>LEFT(D18,FIND("|",D18,1)-1)</f>
        <v/>
      </c>
      <c r="K18">
        <f>MID(D18,FIND(";",SUBSTITUTE(D18,"|",REPT(";",LEN(D18)),1))+1,LEN(D18))</f>
        <v/>
      </c>
    </row>
    <row r="19">
      <c r="A19" t="inlineStr">
        <is>
          <t>109988</t>
        </is>
      </c>
      <c r="B19" t="inlineStr">
        <is>
          <t>不确定小类</t>
        </is>
      </c>
      <c r="C19" t="inlineStr">
        <is>
          <t>601311600</t>
        </is>
      </c>
      <c r="D19" t="inlineStr">
        <is>
          <t>不锈板|2Cr13_t=2.5</t>
        </is>
      </c>
      <c r="E19" t="inlineStr">
        <is>
          <t>物资名称 不锈板;型号规格 2Cr13_t=2.5</t>
        </is>
      </c>
      <c r="F19" t="inlineStr">
        <is>
          <t>千克</t>
        </is>
      </c>
      <c r="G19">
        <f>LEFT(D19,FIND("|",D19,1)-1)</f>
        <v/>
      </c>
      <c r="K19">
        <f>MID(D19,FIND(";",SUBSTITUTE(D19,"|",REPT(";",LEN(D19)),1))+1,LEN(D19))</f>
        <v/>
      </c>
    </row>
    <row r="20">
      <c r="A20" t="inlineStr">
        <is>
          <t>109988</t>
        </is>
      </c>
      <c r="B20" t="inlineStr">
        <is>
          <t>不确定小类</t>
        </is>
      </c>
      <c r="C20" t="inlineStr">
        <is>
          <t>601311500</t>
        </is>
      </c>
      <c r="D20" t="inlineStr">
        <is>
          <t>不锈板|2Cr13_t=2</t>
        </is>
      </c>
      <c r="E20" t="inlineStr">
        <is>
          <t>物资名称 不锈板;型号规格 2Cr13_t=2</t>
        </is>
      </c>
      <c r="F20" t="inlineStr">
        <is>
          <t>千克</t>
        </is>
      </c>
      <c r="G20">
        <f>LEFT(D20,FIND("|",D20,1)-1)</f>
        <v/>
      </c>
      <c r="K20">
        <f>MID(D20,FIND(";",SUBSTITUTE(D20,"|",REPT(";",LEN(D20)),1))+1,LEN(D20))</f>
        <v/>
      </c>
    </row>
    <row r="21">
      <c r="A21" t="inlineStr">
        <is>
          <t>109988</t>
        </is>
      </c>
      <c r="B21" t="inlineStr">
        <is>
          <t>不确定小类</t>
        </is>
      </c>
      <c r="C21" t="inlineStr">
        <is>
          <t>601311400</t>
        </is>
      </c>
      <c r="D21" t="inlineStr">
        <is>
          <t>不锈板|2Cr13_t=4*1.05*1.82_泰恒润丰</t>
        </is>
      </c>
      <c r="E21" t="inlineStr">
        <is>
          <t>物资名称 不锈板;型号规格 2Cr13_t=4*1.05*1.82_泰恒润丰</t>
        </is>
      </c>
      <c r="F21" t="inlineStr">
        <is>
          <t>千克</t>
        </is>
      </c>
      <c r="G21">
        <f>LEFT(D21,FIND("|",D21,1)-1)</f>
        <v/>
      </c>
      <c r="K21">
        <f>MID(D21,FIND(";",SUBSTITUTE(D21,"|",REPT(";",LEN(D21)),1))+1,LEN(D21))</f>
        <v/>
      </c>
    </row>
    <row r="22">
      <c r="A22" t="inlineStr">
        <is>
          <t>109988</t>
        </is>
      </c>
      <c r="B22" t="inlineStr">
        <is>
          <t>不确定小类</t>
        </is>
      </c>
      <c r="C22" t="inlineStr">
        <is>
          <t>601311300</t>
        </is>
      </c>
      <c r="D22" t="inlineStr">
        <is>
          <t>不锈板|2Cr13-A-Ⅱ_t=2</t>
        </is>
      </c>
      <c r="E22" t="inlineStr">
        <is>
          <t>物资名称 不锈板;型号规格 2Cr13-A-Ⅱ_t=2</t>
        </is>
      </c>
      <c r="F22" t="inlineStr">
        <is>
          <t>千克</t>
        </is>
      </c>
      <c r="G22">
        <f>LEFT(D22,FIND("|",D22,1)-1)</f>
        <v/>
      </c>
      <c r="K22">
        <f>MID(D22,FIND(";",SUBSTITUTE(D22,"|",REPT(";",LEN(D22)),1))+1,LEN(D22))</f>
        <v/>
      </c>
    </row>
    <row r="23">
      <c r="A23" t="inlineStr">
        <is>
          <t>109988</t>
        </is>
      </c>
      <c r="B23" t="inlineStr">
        <is>
          <t>不确定小类</t>
        </is>
      </c>
      <c r="C23" t="inlineStr">
        <is>
          <t>601311200</t>
        </is>
      </c>
      <c r="D23" t="inlineStr">
        <is>
          <t>不锈板|0Cr25Ni20_T=1_北京晶天宝不锈钢有限公司</t>
        </is>
      </c>
      <c r="E23" t="inlineStr">
        <is>
          <t>物资名称 不锈板;型号规格 0Cr25Ni20_T=1_北京晶天宝不锈钢有限公司</t>
        </is>
      </c>
      <c r="F23" t="inlineStr">
        <is>
          <t>千克</t>
        </is>
      </c>
      <c r="G23">
        <f>LEFT(D23,FIND("|",D23,1)-1)</f>
        <v/>
      </c>
      <c r="K23">
        <f>MID(D23,FIND(";",SUBSTITUTE(D23,"|",REPT(";",LEN(D23)),1))+1,LEN(D23))</f>
        <v/>
      </c>
    </row>
    <row r="24">
      <c r="A24" t="inlineStr">
        <is>
          <t>109988</t>
        </is>
      </c>
      <c r="B24" t="inlineStr">
        <is>
          <t>不确定小类</t>
        </is>
      </c>
      <c r="C24" t="inlineStr">
        <is>
          <t>601311100</t>
        </is>
      </c>
      <c r="D24" t="inlineStr">
        <is>
          <t>钢板|20#_T=10*1500</t>
        </is>
      </c>
      <c r="E24" t="inlineStr">
        <is>
          <t>物资名称 钢板;型号规格 20#_T=10*1500</t>
        </is>
      </c>
      <c r="F24" t="inlineStr">
        <is>
          <t>千克</t>
        </is>
      </c>
      <c r="G24">
        <f>LEFT(D24,FIND("|",D24,1)-1)</f>
        <v/>
      </c>
      <c r="K24">
        <f>MID(D24,FIND(";",SUBSTITUTE(D24,"|",REPT(";",LEN(D24)),1))+1,LEN(D24))</f>
        <v/>
      </c>
    </row>
    <row r="25">
      <c r="A25" t="inlineStr">
        <is>
          <t>109988</t>
        </is>
      </c>
      <c r="B25" t="inlineStr">
        <is>
          <t>不确定小类</t>
        </is>
      </c>
      <c r="C25" t="inlineStr">
        <is>
          <t>601311000</t>
        </is>
      </c>
      <c r="D25" t="inlineStr">
        <is>
          <t>钢板|20#_T=12</t>
        </is>
      </c>
      <c r="E25" t="inlineStr">
        <is>
          <t>物资名称 钢板;型号规格 20#_T=12</t>
        </is>
      </c>
      <c r="F25" t="inlineStr">
        <is>
          <t>千克</t>
        </is>
      </c>
      <c r="G25">
        <f>LEFT(D25,FIND("|",D25,1)-1)</f>
        <v/>
      </c>
      <c r="K25">
        <f>MID(D25,FIND(";",SUBSTITUTE(D25,"|",REPT(";",LEN(D25)),1))+1,LEN(D25))</f>
        <v/>
      </c>
    </row>
    <row r="26">
      <c r="A26" t="inlineStr">
        <is>
          <t>109988</t>
        </is>
      </c>
      <c r="B26" t="inlineStr">
        <is>
          <t>不确定小类</t>
        </is>
      </c>
      <c r="C26" t="inlineStr">
        <is>
          <t>601310900</t>
        </is>
      </c>
      <c r="D26" t="inlineStr">
        <is>
          <t>钢板|４０＃_t=2．5</t>
        </is>
      </c>
      <c r="E26" t="inlineStr">
        <is>
          <t>物资名称 钢板;型号规格 ４０＃_t=2．5</t>
        </is>
      </c>
      <c r="F26" t="inlineStr">
        <is>
          <t>千克</t>
        </is>
      </c>
      <c r="G26">
        <f>LEFT(D26,FIND("|",D26,1)-1)</f>
        <v/>
      </c>
      <c r="K26">
        <f>MID(D26,FIND(";",SUBSTITUTE(D26,"|",REPT(";",LEN(D26)),1))+1,LEN(D26))</f>
        <v/>
      </c>
    </row>
    <row r="27">
      <c r="A27" t="inlineStr">
        <is>
          <t>109988</t>
        </is>
      </c>
      <c r="B27" t="inlineStr">
        <is>
          <t>不确定小类</t>
        </is>
      </c>
      <c r="C27" t="inlineStr">
        <is>
          <t>601310800</t>
        </is>
      </c>
      <c r="D27" t="inlineStr">
        <is>
          <t>钢板|４５＃_t=１．５</t>
        </is>
      </c>
      <c r="E27" t="inlineStr">
        <is>
          <t>物资名称 钢板;型号规格 ４５＃_t=１．５</t>
        </is>
      </c>
      <c r="F27" t="inlineStr">
        <is>
          <t>千克</t>
        </is>
      </c>
      <c r="G27">
        <f>LEFT(D27,FIND("|",D27,1)-1)</f>
        <v/>
      </c>
      <c r="K27">
        <f>MID(D27,FIND(";",SUBSTITUTE(D27,"|",REPT(";",LEN(D27)),1))+1,LEN(D27))</f>
        <v/>
      </c>
    </row>
    <row r="28">
      <c r="A28" t="inlineStr">
        <is>
          <t>109988</t>
        </is>
      </c>
      <c r="B28" t="inlineStr">
        <is>
          <t>不确定小类</t>
        </is>
      </c>
      <c r="C28" t="inlineStr">
        <is>
          <t>601310700</t>
        </is>
      </c>
      <c r="D28" t="inlineStr">
        <is>
          <t>钢板|45#_t=1</t>
        </is>
      </c>
      <c r="E28" t="inlineStr">
        <is>
          <t>物资名称 钢板;型号规格 45#_t=1</t>
        </is>
      </c>
      <c r="F28" t="inlineStr">
        <is>
          <t>千克</t>
        </is>
      </c>
      <c r="G28">
        <f>LEFT(D28,FIND("|",D28,1)-1)</f>
        <v/>
      </c>
      <c r="K28">
        <f>MID(D28,FIND(";",SUBSTITUTE(D28,"|",REPT(";",LEN(D28)),1))+1,LEN(D28))</f>
        <v/>
      </c>
    </row>
    <row r="29">
      <c r="A29" t="inlineStr">
        <is>
          <t>109988</t>
        </is>
      </c>
      <c r="B29" t="inlineStr">
        <is>
          <t>不确定小类</t>
        </is>
      </c>
      <c r="C29" t="inlineStr">
        <is>
          <t>601310600</t>
        </is>
      </c>
      <c r="D29" t="inlineStr">
        <is>
          <t>钢板|45#_T=22</t>
        </is>
      </c>
      <c r="E29" t="inlineStr">
        <is>
          <t>物资名称 钢板;型号规格 45#_T=22</t>
        </is>
      </c>
      <c r="F29" t="inlineStr">
        <is>
          <t>千克</t>
        </is>
      </c>
      <c r="G29">
        <f>LEFT(D29,FIND("|",D29,1)-1)</f>
        <v/>
      </c>
      <c r="K29">
        <f>MID(D29,FIND(";",SUBSTITUTE(D29,"|",REPT(";",LEN(D29)),1))+1,LEN(D29))</f>
        <v/>
      </c>
    </row>
    <row r="30">
      <c r="A30" t="inlineStr">
        <is>
          <t>109988</t>
        </is>
      </c>
      <c r="B30" t="inlineStr">
        <is>
          <t>不确定小类</t>
        </is>
      </c>
      <c r="C30" t="inlineStr">
        <is>
          <t>601310500</t>
        </is>
      </c>
      <c r="D30" t="inlineStr">
        <is>
          <t>钢板|65Mn-P-Ⅱ-Q-T_T=1*180</t>
        </is>
      </c>
      <c r="E30" t="inlineStr">
        <is>
          <t>物资名称 钢板;型号规格 65Mn-P-Ⅱ-Q-T_T=1*180</t>
        </is>
      </c>
      <c r="F30" t="inlineStr">
        <is>
          <t>千克</t>
        </is>
      </c>
      <c r="G30">
        <f>LEFT(D30,FIND("|",D30,1)-1)</f>
        <v/>
      </c>
      <c r="K30">
        <f>MID(D30,FIND(";",SUBSTITUTE(D30,"|",REPT(";",LEN(D30)),1))+1,LEN(D30))</f>
        <v/>
      </c>
    </row>
    <row r="31">
      <c r="A31" t="inlineStr">
        <is>
          <t>109988</t>
        </is>
      </c>
      <c r="B31" t="inlineStr">
        <is>
          <t>不确定小类</t>
        </is>
      </c>
      <c r="C31" t="inlineStr">
        <is>
          <t>601310400</t>
        </is>
      </c>
      <c r="D31" t="inlineStr">
        <is>
          <t>钢板|S４５C_t=1.2</t>
        </is>
      </c>
      <c r="E31" t="inlineStr">
        <is>
          <t>物资名称 钢板;型号规格 S４５C_t=1.2</t>
        </is>
      </c>
      <c r="F31" t="inlineStr">
        <is>
          <t>千克</t>
        </is>
      </c>
      <c r="G31">
        <f>LEFT(D31,FIND("|",D31,1)-1)</f>
        <v/>
      </c>
      <c r="K31">
        <f>MID(D31,FIND(";",SUBSTITUTE(D31,"|",REPT(";",LEN(D31)),1))+1,LEN(D31))</f>
        <v/>
      </c>
    </row>
    <row r="32">
      <c r="A32" t="inlineStr">
        <is>
          <t>109988</t>
        </is>
      </c>
      <c r="B32" t="inlineStr">
        <is>
          <t>不确定小类</t>
        </is>
      </c>
      <c r="C32" t="inlineStr">
        <is>
          <t>601310300</t>
        </is>
      </c>
      <c r="D32" t="inlineStr">
        <is>
          <t>合结钢|45CrNiMo1VA_T=25_GJB5063-2001</t>
        </is>
      </c>
      <c r="E32" t="inlineStr">
        <is>
          <t>物资名称 合结钢;型号规格 45CrNiMo1VA_T=25_GJB5063-2001</t>
        </is>
      </c>
      <c r="F32" t="inlineStr">
        <is>
          <t>千克</t>
        </is>
      </c>
      <c r="G32">
        <f>LEFT(D32,FIND("|",D32,1)-1)</f>
        <v/>
      </c>
      <c r="K32">
        <f>MID(D32,FIND(";",SUBSTITUTE(D32,"|",REPT(";",LEN(D32)),1))+1,LEN(D32))</f>
        <v/>
      </c>
    </row>
    <row r="33">
      <c r="A33" t="inlineStr">
        <is>
          <t>109988</t>
        </is>
      </c>
      <c r="B33" t="inlineStr">
        <is>
          <t>不确定小类</t>
        </is>
      </c>
      <c r="C33" t="inlineStr">
        <is>
          <t>601310200</t>
        </is>
      </c>
      <c r="D33" t="inlineStr">
        <is>
          <t>不锈板|304_T=10</t>
        </is>
      </c>
      <c r="E33" t="inlineStr">
        <is>
          <t>物资名称 不锈板;型号规格 304_T=10</t>
        </is>
      </c>
      <c r="F33" t="inlineStr">
        <is>
          <t>千克</t>
        </is>
      </c>
      <c r="G33">
        <f>LEFT(D33,FIND("|",D33,1)-1)</f>
        <v/>
      </c>
      <c r="K33">
        <f>MID(D33,FIND(";",SUBSTITUTE(D33,"|",REPT(";",LEN(D33)),1))+1,LEN(D33))</f>
        <v/>
      </c>
    </row>
    <row r="34">
      <c r="A34" t="inlineStr">
        <is>
          <t>109988</t>
        </is>
      </c>
      <c r="B34" t="inlineStr">
        <is>
          <t>不确定小类</t>
        </is>
      </c>
      <c r="C34" t="inlineStr">
        <is>
          <t>601310100</t>
        </is>
      </c>
      <c r="D34" t="inlineStr">
        <is>
          <t>不锈板|304_T=62</t>
        </is>
      </c>
      <c r="E34" t="inlineStr">
        <is>
          <t>物资名称 不锈板;型号规格 304_T=62</t>
        </is>
      </c>
      <c r="F34" t="inlineStr">
        <is>
          <t>千克</t>
        </is>
      </c>
      <c r="G34">
        <f>LEFT(D34,FIND("|",D34,1)-1)</f>
        <v/>
      </c>
      <c r="K34">
        <f>MID(D34,FIND(";",SUBSTITUTE(D34,"|",REPT(";",LEN(D34)),1))+1,LEN(D34))</f>
        <v/>
      </c>
    </row>
    <row r="35">
      <c r="A35" t="inlineStr">
        <is>
          <t>109988</t>
        </is>
      </c>
      <c r="B35" t="inlineStr">
        <is>
          <t>不确定小类</t>
        </is>
      </c>
      <c r="C35" t="inlineStr">
        <is>
          <t>601310000</t>
        </is>
      </c>
      <c r="D35" t="inlineStr">
        <is>
          <t>不锈板|304_T=18</t>
        </is>
      </c>
      <c r="E35" t="inlineStr">
        <is>
          <t>物资名称 不锈板;型号规格 304_T=18</t>
        </is>
      </c>
      <c r="F35" t="inlineStr">
        <is>
          <t>千克</t>
        </is>
      </c>
      <c r="G35">
        <f>LEFT(D35,FIND("|",D35,1)-1)</f>
        <v/>
      </c>
      <c r="K35">
        <f>MID(D35,FIND(";",SUBSTITUTE(D35,"|",REPT(";",LEN(D35)),1))+1,LEN(D35))</f>
        <v/>
      </c>
    </row>
    <row r="36">
      <c r="A36" t="inlineStr">
        <is>
          <t>109988</t>
        </is>
      </c>
      <c r="B36" t="inlineStr">
        <is>
          <t>不确定小类</t>
        </is>
      </c>
      <c r="C36" t="inlineStr">
        <is>
          <t>601309900</t>
        </is>
      </c>
      <c r="D36" t="inlineStr">
        <is>
          <t>不锈板|304_T=95</t>
        </is>
      </c>
      <c r="E36" t="inlineStr">
        <is>
          <t>物资名称 不锈板;型号规格 304_T=95</t>
        </is>
      </c>
      <c r="F36" t="inlineStr">
        <is>
          <t>千克</t>
        </is>
      </c>
      <c r="G36">
        <f>LEFT(D36,FIND("|",D36,1)-1)</f>
        <v/>
      </c>
      <c r="K36">
        <f>MID(D36,FIND(";",SUBSTITUTE(D36,"|",REPT(";",LEN(D36)),1))+1,LEN(D36))</f>
        <v/>
      </c>
    </row>
    <row r="37">
      <c r="A37" t="inlineStr">
        <is>
          <t>109999</t>
        </is>
      </c>
      <c r="B37" t="inlineStr">
        <is>
          <t>各种其他黑色金属材料</t>
        </is>
      </c>
      <c r="C37" t="inlineStr">
        <is>
          <t>601343400</t>
        </is>
      </c>
      <c r="D37" t="inlineStr">
        <is>
          <t>不锈槽钢|0Cr18Ni9|60*30*3</t>
        </is>
      </c>
      <c r="E37" t="inlineStr">
        <is>
          <t xml:space="preserve">物资名称 不锈槽钢;牌号 0Cr18Ni9;规格 60*30*3;技术标准号 ;加工工艺 ;热处理工艺 ;特殊要求 ;规格标准号 </t>
        </is>
      </c>
      <c r="F37" t="inlineStr">
        <is>
          <t>千克</t>
        </is>
      </c>
      <c r="G37">
        <f>LEFT(D37,FIND("|",D37,1)-1)</f>
        <v/>
      </c>
      <c r="H37">
        <f>MID(D37,FIND("|",D37,FIND("|",D37,1))+1,FIND("|",D37,FIND("|",D37,1)+1)-FIND("|",D37,FIND("|",D37,1))-1)</f>
        <v/>
      </c>
      <c r="K37">
        <f>MID(D37,FIND(";",SUBSTITUTE(D37,"|",REPT(";",LEN(D37)),2))+1,LEN(D37))</f>
        <v/>
      </c>
    </row>
    <row r="38">
      <c r="A38" t="inlineStr">
        <is>
          <t>109999</t>
        </is>
      </c>
      <c r="B38" t="inlineStr">
        <is>
          <t>各种其他黑色金属材料</t>
        </is>
      </c>
      <c r="C38" t="inlineStr">
        <is>
          <t>601343300</t>
        </is>
      </c>
      <c r="D38" t="inlineStr">
        <is>
          <t>方钢管|0Cr18Ni9|40*40*4</t>
        </is>
      </c>
      <c r="E38" t="inlineStr">
        <is>
          <t xml:space="preserve">物资名称 方钢管;牌号 0Cr18Ni9;规格 40*40*4;技术标准号 ;加工工艺 ;热处理工艺 ;特殊要求 ;规格标准号 </t>
        </is>
      </c>
      <c r="F38" t="inlineStr">
        <is>
          <t>千克</t>
        </is>
      </c>
      <c r="G38">
        <f>LEFT(D38,FIND("|",D38,1)-1)</f>
        <v/>
      </c>
      <c r="H38">
        <f>MID(D38,FIND("|",D38,FIND("|",D38,1))+1,FIND("|",D38,FIND("|",D38,1)+1)-FIND("|",D38,FIND("|",D38,1))-1)</f>
        <v/>
      </c>
      <c r="K38">
        <f>MID(D38,FIND(";",SUBSTITUTE(D38,"|",REPT(";",LEN(D38)),2))+1,LEN(D38))</f>
        <v/>
      </c>
    </row>
    <row r="39">
      <c r="A39" t="inlineStr">
        <is>
          <t>109999</t>
        </is>
      </c>
      <c r="B39" t="inlineStr">
        <is>
          <t>各种其他黑色金属材料</t>
        </is>
      </c>
      <c r="C39" t="inlineStr">
        <is>
          <t>601343200</t>
        </is>
      </c>
      <c r="D39" t="inlineStr">
        <is>
          <t>方管|Q235|20*20*2</t>
        </is>
      </c>
      <c r="E39" t="inlineStr">
        <is>
          <t xml:space="preserve">物资名称 方管;牌号 Q235;规格 20*20*2;技术标准号 ;加工工艺 ;热处理工艺 ;特殊要求 ;规格标准号 </t>
        </is>
      </c>
      <c r="F39" t="inlineStr">
        <is>
          <t>千克</t>
        </is>
      </c>
      <c r="G39">
        <f>LEFT(D39,FIND("|",D39,1)-1)</f>
        <v/>
      </c>
      <c r="H39">
        <f>MID(D39,FIND("|",D39,FIND("|",D39,1))+1,FIND("|",D39,FIND("|",D39,1)+1)-FIND("|",D39,FIND("|",D39,1))-1)</f>
        <v/>
      </c>
      <c r="K39">
        <f>MID(D39,FIND(";",SUBSTITUTE(D39,"|",REPT(";",LEN(D39)),2))+1,LEN(D39))</f>
        <v/>
      </c>
    </row>
    <row r="40">
      <c r="A40" t="inlineStr">
        <is>
          <t>109999</t>
        </is>
      </c>
      <c r="B40" t="inlineStr">
        <is>
          <t>各种其他黑色金属材料</t>
        </is>
      </c>
      <c r="C40" t="inlineStr">
        <is>
          <t>601343100</t>
        </is>
      </c>
      <c r="D40" t="inlineStr">
        <is>
          <t>钢板|200＃|t=0.5</t>
        </is>
      </c>
      <c r="E40" t="inlineStr">
        <is>
          <t xml:space="preserve">物资名称 钢板;牌号 200＃;规格 t=0.5;技术标准号 ;加工工艺 ;热处理工艺 ;特殊要求 ;规格标准号 </t>
        </is>
      </c>
      <c r="F40" t="inlineStr">
        <is>
          <t>千克</t>
        </is>
      </c>
      <c r="G40">
        <f>LEFT(D40,FIND("|",D40,1)-1)</f>
        <v/>
      </c>
      <c r="H40">
        <f>MID(D40,FIND("|",D40,FIND("|",D40,1))+1,FIND("|",D40,FIND("|",D40,1)+1)-FIND("|",D40,FIND("|",D40,1))-1)</f>
        <v/>
      </c>
      <c r="K40">
        <f>MID(D40,FIND(";",SUBSTITUTE(D40,"|",REPT(";",LEN(D40)),2))+1,LEN(D40))</f>
        <v/>
      </c>
    </row>
    <row r="41">
      <c r="A41" t="inlineStr">
        <is>
          <t>109999</t>
        </is>
      </c>
      <c r="B41" t="inlineStr">
        <is>
          <t>各种其他黑色金属材料</t>
        </is>
      </c>
      <c r="C41" t="inlineStr">
        <is>
          <t>601343000</t>
        </is>
      </c>
      <c r="D41" t="inlineStr">
        <is>
          <t>钢板|200＃|t=1.5*1250*2500</t>
        </is>
      </c>
      <c r="E41" t="inlineStr">
        <is>
          <t xml:space="preserve">物资名称 钢板;牌号 200＃;规格 t=1.5*1250*2500;技术标准号 ;加工工艺 ;热处理工艺 ;特殊要求 ;规格标准号 </t>
        </is>
      </c>
      <c r="F41" t="inlineStr">
        <is>
          <t>千克</t>
        </is>
      </c>
      <c r="G41">
        <f>LEFT(D41,FIND("|",D41,1)-1)</f>
        <v/>
      </c>
      <c r="H41">
        <f>MID(D41,FIND("|",D41,FIND("|",D41,1))+1,FIND("|",D41,FIND("|",D41,1)+1)-FIND("|",D41,FIND("|",D41,1))-1)</f>
        <v/>
      </c>
      <c r="K41">
        <f>MID(D41,FIND(";",SUBSTITUTE(D41,"|",REPT(";",LEN(D41)),2))+1,LEN(D41))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类别编码</t>
        </is>
      </c>
      <c r="B1" t="inlineStr">
        <is>
          <t>类别名称</t>
        </is>
      </c>
      <c r="C1" t="inlineStr">
        <is>
          <t>物料代码</t>
        </is>
      </c>
      <c r="D1" t="inlineStr">
        <is>
          <t>长描述</t>
        </is>
      </c>
      <c r="E1" t="inlineStr">
        <is>
          <t>全描述</t>
        </is>
      </c>
      <c r="F1" t="inlineStr">
        <is>
          <t>计量单位</t>
        </is>
      </c>
      <c r="G1" t="inlineStr">
        <is>
          <t>物资名称</t>
        </is>
      </c>
      <c r="H1" t="inlineStr">
        <is>
          <t>物资简称</t>
        </is>
      </c>
      <c r="I1" t="inlineStr">
        <is>
          <t>物资别名</t>
        </is>
      </c>
      <c r="J1" t="inlineStr">
        <is>
          <t>牌号/代号</t>
        </is>
      </c>
      <c r="K1" t="inlineStr">
        <is>
          <t>规格</t>
        </is>
      </c>
      <c r="L1" t="inlineStr">
        <is>
          <t>技术标准号</t>
        </is>
      </c>
      <c r="M1" t="inlineStr">
        <is>
          <t>加工工艺</t>
        </is>
      </c>
      <c r="N1" t="inlineStr">
        <is>
          <t>热处理工艺</t>
        </is>
      </c>
      <c r="O1" t="inlineStr">
        <is>
          <t>特殊要求</t>
        </is>
      </c>
    </row>
    <row r="2">
      <c r="A2" t="inlineStr">
        <is>
          <t>注：“〇”表示必填项，“－”表示非必填项</t>
        </is>
      </c>
    </row>
    <row r="3">
      <c r="G3" t="inlineStr">
        <is>
          <t>〇</t>
        </is>
      </c>
      <c r="H3" t="inlineStr">
        <is>
          <t>〇</t>
        </is>
      </c>
      <c r="I3" t="inlineStr">
        <is>
          <t>－</t>
        </is>
      </c>
      <c r="J3" t="inlineStr">
        <is>
          <t>〇</t>
        </is>
      </c>
      <c r="K3" t="inlineStr">
        <is>
          <t>〇</t>
        </is>
      </c>
      <c r="L3" t="inlineStr">
        <is>
          <t>〇</t>
        </is>
      </c>
      <c r="M3" t="inlineStr">
        <is>
          <t>〇</t>
        </is>
      </c>
      <c r="N3" t="inlineStr">
        <is>
          <t>〇</t>
        </is>
      </c>
      <c r="O3" t="inlineStr">
        <is>
          <t>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2026-01-28T03:20:00Z</dcterms:created>
  <dc:creator>Apache POI</dc:creator>
  <cp:lastModifiedBy>刘博康</cp:lastModifiedBy>
  <dcterms:modified xsi:type="dcterms:W3CDTF">2026-06-03T10:31:32Z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2B03822D9AF841708246F991C4F19D46_12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